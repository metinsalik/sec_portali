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31"/>
  <workbookPr defaultThemeVersion="124226"/>
  <mc:AlternateContent xmlns:mc="http://schemas.openxmlformats.org/markup-compatibility/2006">
    <mc:Choice Requires="x15">
      <x15ac:absPath xmlns:x15ac="http://schemas.microsoft.com/office/spreadsheetml/2010/11/ac" url="/Users/metinsalik/Desktop/"/>
    </mc:Choice>
  </mc:AlternateContent>
  <xr:revisionPtr revIDLastSave="0" documentId="13_ncr:1_{972D8146-816D-9C45-B5B6-F77D60148561}" xr6:coauthVersionLast="47" xr6:coauthVersionMax="47" xr10:uidLastSave="{00000000-0000-0000-0000-000000000000}"/>
  <bookViews>
    <workbookView xWindow="0" yWindow="660" windowWidth="30240" windowHeight="17140" tabRatio="801" activeTab="2" xr2:uid="{00000000-000D-0000-FFFF-FFFF00000000}"/>
  </bookViews>
  <sheets>
    <sheet name="KAPAK" sheetId="2" state="hidden" r:id="rId1"/>
    <sheet name="İSG-F13-02" sheetId="1" state="hidden" r:id="rId2"/>
    <sheet name="Açıklamalar" sheetId="14" r:id="rId3"/>
    <sheet name="Fine Kinney Metodu" sheetId="10" r:id="rId4"/>
    <sheet name="RD Fine Kinney (Birim Bazlı)" sheetId="8" r:id="rId5"/>
    <sheet name="Analiz (Birim Bazlı)" sheetId="6" r:id="rId6"/>
    <sheet name="RD Fine Kinney (Konsolide)" sheetId="15" r:id="rId7"/>
    <sheet name="Analiz (Konsolide)" sheetId="16" r:id="rId8"/>
    <sheet name="5x5 Matris Metodu" sheetId="12" state="hidden" r:id="rId9"/>
    <sheet name="RD Matris" sheetId="13" state="hidden" r:id="rId10"/>
    <sheet name="Veri" sheetId="5" state="hidden" r:id="rId11"/>
  </sheets>
  <definedNames>
    <definedName name="_Fill" localSheetId="8" hidden="1">#REF!</definedName>
    <definedName name="_Fill" localSheetId="2" hidden="1">#REF!</definedName>
    <definedName name="_Fill" localSheetId="7" hidden="1">#REF!</definedName>
    <definedName name="_Fill" localSheetId="1" hidden="1">#REF!</definedName>
    <definedName name="_Fill" localSheetId="0" hidden="1">#REF!</definedName>
    <definedName name="_Fill" localSheetId="6" hidden="1">#REF!</definedName>
    <definedName name="_Fill" localSheetId="9" hidden="1">#REF!</definedName>
    <definedName name="_Fill" hidden="1">#REF!</definedName>
    <definedName name="_xlnm._FilterDatabase" localSheetId="1" hidden="1">'İSG-F13-02'!$A$4:$P$5</definedName>
    <definedName name="_xlnm._FilterDatabase" localSheetId="4" hidden="1">'RD Fine Kinney (Birim Bazlı)'!$A$7:$AG$7</definedName>
    <definedName name="_xlnm._FilterDatabase" localSheetId="6" hidden="1">'RD Fine Kinney (Konsolide)'!$A$6:$AG$171</definedName>
    <definedName name="bas" localSheetId="8">#REF!</definedName>
    <definedName name="bas" localSheetId="2">#REF!</definedName>
    <definedName name="bas" localSheetId="7">#REF!</definedName>
    <definedName name="bas" localSheetId="0">#REF!</definedName>
    <definedName name="bas" localSheetId="6">#REF!</definedName>
    <definedName name="bas" localSheetId="9">#REF!</definedName>
    <definedName name="bas">#REF!</definedName>
    <definedName name="dd" localSheetId="8" hidden="1">#REF!</definedName>
    <definedName name="dd" localSheetId="2" hidden="1">#REF!</definedName>
    <definedName name="dd" localSheetId="7" hidden="1">#REF!</definedName>
    <definedName name="dd" localSheetId="1" hidden="1">#REF!</definedName>
    <definedName name="dd" localSheetId="0" hidden="1">#REF!</definedName>
    <definedName name="dd" localSheetId="6" hidden="1">#REF!</definedName>
    <definedName name="dd" localSheetId="9" hidden="1">#REF!</definedName>
    <definedName name="dd" hidden="1">#REF!</definedName>
    <definedName name="ERE" localSheetId="8" hidden="1">#REF!</definedName>
    <definedName name="ERE" localSheetId="2" hidden="1">#REF!</definedName>
    <definedName name="ERE" localSheetId="7" hidden="1">#REF!</definedName>
    <definedName name="ERE" localSheetId="1" hidden="1">#REF!</definedName>
    <definedName name="ERE" localSheetId="0" hidden="1">#REF!</definedName>
    <definedName name="ERE" localSheetId="6" hidden="1">#REF!</definedName>
    <definedName name="ERE" localSheetId="9" hidden="1">#REF!</definedName>
    <definedName name="ERE" hidden="1">#REF!</definedName>
    <definedName name="gg" localSheetId="8" hidden="1">#REF!</definedName>
    <definedName name="gg" localSheetId="2" hidden="1">#REF!</definedName>
    <definedName name="gg" localSheetId="7" hidden="1">#REF!</definedName>
    <definedName name="gg" localSheetId="1" hidden="1">#REF!</definedName>
    <definedName name="gg" localSheetId="0" hidden="1">#REF!</definedName>
    <definedName name="gg" localSheetId="6" hidden="1">#REF!</definedName>
    <definedName name="gg" localSheetId="9" hidden="1">#REF!</definedName>
    <definedName name="gg" hidden="1">#REF!</definedName>
    <definedName name="OLE_LINK1" localSheetId="1">'İSG-F13-02'!#REF!</definedName>
    <definedName name="RGFED" localSheetId="8" hidden="1">#REF!</definedName>
    <definedName name="RGFED" localSheetId="2" hidden="1">#REF!</definedName>
    <definedName name="RGFED" localSheetId="7" hidden="1">#REF!</definedName>
    <definedName name="RGFED" localSheetId="1" hidden="1">#REF!</definedName>
    <definedName name="RGFED" localSheetId="0" hidden="1">#REF!</definedName>
    <definedName name="RGFED" localSheetId="6" hidden="1">#REF!</definedName>
    <definedName name="RGFED" localSheetId="9" hidden="1">#REF!</definedName>
    <definedName name="RGFED" hidden="1">#REF!</definedName>
    <definedName name="_xlnm.Print_Area" localSheetId="1">'İSG-F13-02'!$A$1:$Y$21</definedName>
    <definedName name="_xlnm.Print_Area" localSheetId="4">'RD Fine Kinney (Birim Bazlı)'!$A$1:$AG$118</definedName>
    <definedName name="_xlnm.Print_Area" localSheetId="6">'RD Fine Kinney (Konsolide)'!$A$1:$AG$171</definedName>
    <definedName name="_xlnm.Print_Area" localSheetId="9">'RD Matris'!$A$1:$Z$29</definedName>
    <definedName name="_xlnm.Print_Titles" localSheetId="1">'İSG-F13-02'!$1:$5</definedName>
    <definedName name="_xlnm.Print_Titles" localSheetId="4">'RD Fine Kinney (Birim Bazlı)'!$1:$7</definedName>
    <definedName name="_xlnm.Print_Titles" localSheetId="6">'RD Fine Kinney (Konsolide)'!$1:$7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6" i="15" l="1"/>
  <c r="AC36" i="15" s="1"/>
  <c r="AB8" i="15"/>
  <c r="AC8" i="15"/>
  <c r="Q8" i="15"/>
  <c r="R8" i="15" s="1"/>
  <c r="Q9" i="15"/>
  <c r="R9" i="15" s="1"/>
  <c r="AB9" i="15"/>
  <c r="AC9" i="15" s="1"/>
  <c r="Q10" i="15"/>
  <c r="R10" i="15" s="1"/>
  <c r="AB10" i="15"/>
  <c r="AC10" i="15" s="1"/>
  <c r="Q11" i="15"/>
  <c r="R11" i="15" s="1"/>
  <c r="AB11" i="15"/>
  <c r="AC11" i="15" s="1"/>
  <c r="Q12" i="15"/>
  <c r="R12" i="15" s="1"/>
  <c r="AB12" i="15"/>
  <c r="AC12" i="15" s="1"/>
  <c r="Q13" i="15"/>
  <c r="R13" i="15" s="1"/>
  <c r="AB13" i="15"/>
  <c r="AC13" i="15" s="1"/>
  <c r="Q14" i="15"/>
  <c r="R14" i="15" s="1"/>
  <c r="AB14" i="15"/>
  <c r="AC14" i="15" s="1"/>
  <c r="Q15" i="15"/>
  <c r="R15" i="15" s="1"/>
  <c r="AB15" i="15"/>
  <c r="AC15" i="15" s="1"/>
  <c r="Q16" i="15"/>
  <c r="R16" i="15" s="1"/>
  <c r="AB16" i="15"/>
  <c r="AC16" i="15" s="1"/>
  <c r="Q17" i="15"/>
  <c r="R17" i="15" s="1"/>
  <c r="AB17" i="15"/>
  <c r="AC17" i="15" s="1"/>
  <c r="Q18" i="15"/>
  <c r="R18" i="15" s="1"/>
  <c r="AB18" i="15"/>
  <c r="AC18" i="15" s="1"/>
  <c r="Q19" i="15"/>
  <c r="R19" i="15" s="1"/>
  <c r="AB19" i="15"/>
  <c r="AC19" i="15" s="1"/>
  <c r="Q20" i="15"/>
  <c r="R20" i="15" s="1"/>
  <c r="AB20" i="15"/>
  <c r="AC20" i="15" s="1"/>
  <c r="Q21" i="15"/>
  <c r="R21" i="15" s="1"/>
  <c r="AB21" i="15"/>
  <c r="AC21" i="15" s="1"/>
  <c r="Q22" i="15"/>
  <c r="R22" i="15" s="1"/>
  <c r="AB22" i="15"/>
  <c r="AC22" i="15" s="1"/>
  <c r="Q23" i="15"/>
  <c r="R23" i="15" s="1"/>
  <c r="AB23" i="15"/>
  <c r="AC23" i="15" s="1"/>
  <c r="Q24" i="15"/>
  <c r="R24" i="15" s="1"/>
  <c r="AB24" i="15"/>
  <c r="AC24" i="15" s="1"/>
  <c r="Q25" i="15"/>
  <c r="R25" i="15" s="1"/>
  <c r="AB25" i="15"/>
  <c r="AC25" i="15" s="1"/>
  <c r="Q26" i="15"/>
  <c r="R26" i="15" s="1"/>
  <c r="AB26" i="15"/>
  <c r="AC26" i="15" s="1"/>
  <c r="Q27" i="15"/>
  <c r="R27" i="15" s="1"/>
  <c r="AB27" i="15"/>
  <c r="AC27" i="15" s="1"/>
  <c r="Q28" i="15"/>
  <c r="R28" i="15" s="1"/>
  <c r="AB28" i="15"/>
  <c r="AC28" i="15" s="1"/>
  <c r="Q29" i="15"/>
  <c r="R29" i="15" s="1"/>
  <c r="AB29" i="15"/>
  <c r="AC29" i="15" s="1"/>
  <c r="Q30" i="15"/>
  <c r="R30" i="15" s="1"/>
  <c r="AB30" i="15"/>
  <c r="AC30" i="15" s="1"/>
  <c r="Q31" i="15"/>
  <c r="R31" i="15" s="1"/>
  <c r="AB31" i="15"/>
  <c r="AC31" i="15" s="1"/>
  <c r="Q32" i="15"/>
  <c r="R32" i="15" s="1"/>
  <c r="AB32" i="15"/>
  <c r="AC32" i="15" s="1"/>
  <c r="Q33" i="15"/>
  <c r="R33" i="15" s="1"/>
  <c r="AB33" i="15"/>
  <c r="AC33" i="15" s="1"/>
  <c r="Q34" i="15"/>
  <c r="R34" i="15" s="1"/>
  <c r="AB34" i="15"/>
  <c r="AC34" i="15" s="1"/>
  <c r="Q35" i="15"/>
  <c r="R35" i="15" s="1"/>
  <c r="AB35" i="15"/>
  <c r="AC35" i="15" s="1"/>
  <c r="Q36" i="15"/>
  <c r="R36" i="15" s="1"/>
  <c r="Q37" i="15"/>
  <c r="R37" i="15" s="1"/>
  <c r="AB37" i="15"/>
  <c r="AC37" i="15" s="1"/>
  <c r="Q38" i="15"/>
  <c r="R38" i="15" s="1"/>
  <c r="AB38" i="15"/>
  <c r="AC38" i="15" s="1"/>
  <c r="Q39" i="15"/>
  <c r="R39" i="15" s="1"/>
  <c r="AB39" i="15"/>
  <c r="AC39" i="15" s="1"/>
  <c r="Q40" i="15"/>
  <c r="R40" i="15" s="1"/>
  <c r="AB40" i="15"/>
  <c r="AC40" i="15" s="1"/>
  <c r="Q41" i="15"/>
  <c r="R41" i="15" s="1"/>
  <c r="AB41" i="15"/>
  <c r="AC41" i="15" s="1"/>
  <c r="Q42" i="15"/>
  <c r="R42" i="15" s="1"/>
  <c r="AB42" i="15"/>
  <c r="AC42" i="15" s="1"/>
  <c r="Q43" i="15"/>
  <c r="R43" i="15" s="1"/>
  <c r="AB43" i="15"/>
  <c r="AC43" i="15" s="1"/>
  <c r="Q44" i="15"/>
  <c r="R44" i="15" s="1"/>
  <c r="AB44" i="15"/>
  <c r="AC44" i="15" s="1"/>
  <c r="Q45" i="15"/>
  <c r="R45" i="15" s="1"/>
  <c r="AB45" i="15"/>
  <c r="AC45" i="15" s="1"/>
  <c r="Q46" i="15"/>
  <c r="R46" i="15" s="1"/>
  <c r="AB46" i="15"/>
  <c r="AC46" i="15" s="1"/>
  <c r="Q47" i="15"/>
  <c r="R47" i="15" s="1"/>
  <c r="AB47" i="15"/>
  <c r="AC47" i="15" s="1"/>
  <c r="Q48" i="15"/>
  <c r="R48" i="15" s="1"/>
  <c r="AB48" i="15"/>
  <c r="AC48" i="15" s="1"/>
  <c r="Q49" i="15"/>
  <c r="R49" i="15" s="1"/>
  <c r="AB49" i="15"/>
  <c r="AC49" i="15" s="1"/>
  <c r="Q50" i="15"/>
  <c r="R50" i="15" s="1"/>
  <c r="AB50" i="15"/>
  <c r="AC50" i="15" s="1"/>
  <c r="Q51" i="15"/>
  <c r="R51" i="15" s="1"/>
  <c r="AB51" i="15"/>
  <c r="AC51" i="15" s="1"/>
  <c r="Q52" i="15"/>
  <c r="R52" i="15" s="1"/>
  <c r="AB52" i="15"/>
  <c r="AC52" i="15" s="1"/>
  <c r="Q53" i="15"/>
  <c r="R53" i="15" s="1"/>
  <c r="AB53" i="15"/>
  <c r="AC53" i="15" s="1"/>
  <c r="Q54" i="15"/>
  <c r="R54" i="15" s="1"/>
  <c r="AB54" i="15"/>
  <c r="AC54" i="15" s="1"/>
  <c r="Q55" i="15"/>
  <c r="R55" i="15" s="1"/>
  <c r="AB55" i="15"/>
  <c r="AC55" i="15" s="1"/>
  <c r="Q56" i="15"/>
  <c r="R56" i="15" s="1"/>
  <c r="AB56" i="15"/>
  <c r="AC56" i="15" s="1"/>
  <c r="Q57" i="15"/>
  <c r="R57" i="15" s="1"/>
  <c r="AB57" i="15"/>
  <c r="AC57" i="15" s="1"/>
  <c r="Q58" i="15"/>
  <c r="R58" i="15" s="1"/>
  <c r="AB58" i="15"/>
  <c r="AC58" i="15" s="1"/>
  <c r="Q59" i="15"/>
  <c r="R59" i="15" s="1"/>
  <c r="AB59" i="15"/>
  <c r="AC59" i="15" s="1"/>
  <c r="Q60" i="15"/>
  <c r="R60" i="15" s="1"/>
  <c r="AB60" i="15"/>
  <c r="AC60" i="15" s="1"/>
  <c r="Q61" i="15"/>
  <c r="R61" i="15" s="1"/>
  <c r="AB61" i="15"/>
  <c r="AC61" i="15" s="1"/>
  <c r="Q62" i="15"/>
  <c r="R62" i="15" s="1"/>
  <c r="AB62" i="15"/>
  <c r="AC62" i="15" s="1"/>
  <c r="Q63" i="15"/>
  <c r="R63" i="15" s="1"/>
  <c r="AB63" i="15"/>
  <c r="AC63" i="15" s="1"/>
  <c r="Q64" i="15"/>
  <c r="R64" i="15" s="1"/>
  <c r="AB64" i="15"/>
  <c r="AC64" i="15" s="1"/>
  <c r="Q65" i="15"/>
  <c r="R65" i="15" s="1"/>
  <c r="AB65" i="15"/>
  <c r="AC65" i="15" s="1"/>
  <c r="Q66" i="15"/>
  <c r="R66" i="15" s="1"/>
  <c r="AB66" i="15"/>
  <c r="AC66" i="15" s="1"/>
  <c r="Q67" i="15"/>
  <c r="R67" i="15" s="1"/>
  <c r="AB67" i="15"/>
  <c r="AC67" i="15" s="1"/>
  <c r="Q68" i="15"/>
  <c r="R68" i="15" s="1"/>
  <c r="AB68" i="15"/>
  <c r="AC68" i="15" s="1"/>
  <c r="Q69" i="15"/>
  <c r="R69" i="15" s="1"/>
  <c r="AB69" i="15"/>
  <c r="AC69" i="15" s="1"/>
  <c r="Q70" i="15"/>
  <c r="R70" i="15" s="1"/>
  <c r="AB70" i="15"/>
  <c r="AC70" i="15" s="1"/>
  <c r="Q71" i="15"/>
  <c r="R71" i="15" s="1"/>
  <c r="AB71" i="15"/>
  <c r="AC71" i="15" s="1"/>
  <c r="Q72" i="15"/>
  <c r="R72" i="15" s="1"/>
  <c r="AB72" i="15"/>
  <c r="AC72" i="15" s="1"/>
  <c r="Q73" i="15"/>
  <c r="R73" i="15" s="1"/>
  <c r="AB73" i="15"/>
  <c r="AC73" i="15" s="1"/>
  <c r="Q74" i="15"/>
  <c r="R74" i="15" s="1"/>
  <c r="AB74" i="15"/>
  <c r="AC74" i="15" s="1"/>
  <c r="Q75" i="15"/>
  <c r="R75" i="15" s="1"/>
  <c r="AB75" i="15"/>
  <c r="AC75" i="15" s="1"/>
  <c r="Q76" i="15"/>
  <c r="R76" i="15" s="1"/>
  <c r="AB76" i="15"/>
  <c r="AC76" i="15" s="1"/>
  <c r="Q77" i="15"/>
  <c r="R77" i="15" s="1"/>
  <c r="AB77" i="15"/>
  <c r="AC77" i="15" s="1"/>
  <c r="Q78" i="15"/>
  <c r="R78" i="15" s="1"/>
  <c r="AB78" i="15"/>
  <c r="AC78" i="15" s="1"/>
  <c r="Q79" i="15"/>
  <c r="R79" i="15" s="1"/>
  <c r="AB79" i="15"/>
  <c r="AC79" i="15" s="1"/>
  <c r="Q80" i="15"/>
  <c r="R80" i="15" s="1"/>
  <c r="AB80" i="15"/>
  <c r="AC80" i="15" s="1"/>
  <c r="Q81" i="15"/>
  <c r="R81" i="15" s="1"/>
  <c r="AB81" i="15"/>
  <c r="AC81" i="15" s="1"/>
  <c r="Q82" i="15"/>
  <c r="R82" i="15" s="1"/>
  <c r="AB82" i="15"/>
  <c r="AC82" i="15" s="1"/>
  <c r="Q83" i="15"/>
  <c r="R83" i="15" s="1"/>
  <c r="AB83" i="15"/>
  <c r="AC83" i="15" s="1"/>
  <c r="Q84" i="15"/>
  <c r="R84" i="15" s="1"/>
  <c r="AB84" i="15"/>
  <c r="AC84" i="15" s="1"/>
  <c r="Q85" i="15"/>
  <c r="R85" i="15" s="1"/>
  <c r="AB85" i="15"/>
  <c r="AC85" i="15" s="1"/>
  <c r="Q86" i="15"/>
  <c r="R86" i="15" s="1"/>
  <c r="AB86" i="15"/>
  <c r="AC86" i="15" s="1"/>
  <c r="Q87" i="15"/>
  <c r="R87" i="15" s="1"/>
  <c r="AB87" i="15"/>
  <c r="AC87" i="15" s="1"/>
  <c r="Q88" i="15"/>
  <c r="R88" i="15" s="1"/>
  <c r="AB88" i="15"/>
  <c r="AC88" i="15" s="1"/>
  <c r="Q89" i="15"/>
  <c r="R89" i="15" s="1"/>
  <c r="AB89" i="15"/>
  <c r="AC89" i="15" s="1"/>
  <c r="Q90" i="15"/>
  <c r="R90" i="15" s="1"/>
  <c r="AB90" i="15"/>
  <c r="AC90" i="15" s="1"/>
  <c r="Q91" i="15"/>
  <c r="R91" i="15" s="1"/>
  <c r="AB91" i="15"/>
  <c r="AC91" i="15" s="1"/>
  <c r="Q92" i="15"/>
  <c r="R92" i="15" s="1"/>
  <c r="AB92" i="15"/>
  <c r="AC92" i="15" s="1"/>
  <c r="Q93" i="15"/>
  <c r="R93" i="15" s="1"/>
  <c r="AB93" i="15"/>
  <c r="AC93" i="15" s="1"/>
  <c r="Q94" i="15"/>
  <c r="R94" i="15" s="1"/>
  <c r="AB94" i="15"/>
  <c r="AC94" i="15" s="1"/>
  <c r="Q95" i="15"/>
  <c r="R95" i="15" s="1"/>
  <c r="AB95" i="15"/>
  <c r="AC95" i="15" s="1"/>
  <c r="Q96" i="15"/>
  <c r="R96" i="15" s="1"/>
  <c r="AB96" i="15"/>
  <c r="AC96" i="15" s="1"/>
  <c r="Q97" i="15"/>
  <c r="R97" i="15" s="1"/>
  <c r="AB97" i="15"/>
  <c r="AC97" i="15" s="1"/>
  <c r="Q98" i="15"/>
  <c r="R98" i="15" s="1"/>
  <c r="AB98" i="15"/>
  <c r="AC98" i="15" s="1"/>
  <c r="Q99" i="15"/>
  <c r="R99" i="15" s="1"/>
  <c r="AB99" i="15"/>
  <c r="AC99" i="15" s="1"/>
  <c r="Q100" i="15"/>
  <c r="R100" i="15" s="1"/>
  <c r="AB100" i="15"/>
  <c r="AC100" i="15" s="1"/>
  <c r="Q101" i="15"/>
  <c r="R101" i="15" s="1"/>
  <c r="AB101" i="15"/>
  <c r="AC101" i="15" s="1"/>
  <c r="Q102" i="15"/>
  <c r="R102" i="15" s="1"/>
  <c r="AB102" i="15"/>
  <c r="AC102" i="15" s="1"/>
  <c r="Q103" i="15"/>
  <c r="R103" i="15" s="1"/>
  <c r="AB103" i="15"/>
  <c r="AC103" i="15" s="1"/>
  <c r="Q104" i="15"/>
  <c r="R104" i="15" s="1"/>
  <c r="AB104" i="15"/>
  <c r="AC104" i="15" s="1"/>
  <c r="Q105" i="15"/>
  <c r="R105" i="15" s="1"/>
  <c r="AB105" i="15"/>
  <c r="AC105" i="15" s="1"/>
  <c r="Q106" i="15"/>
  <c r="R106" i="15" s="1"/>
  <c r="AB106" i="15"/>
  <c r="AC106" i="15" s="1"/>
  <c r="Q107" i="15"/>
  <c r="R107" i="15" s="1"/>
  <c r="AB107" i="15"/>
  <c r="AC107" i="15" s="1"/>
  <c r="Q108" i="15"/>
  <c r="R108" i="15" s="1"/>
  <c r="AB108" i="15"/>
  <c r="AC108" i="15" s="1"/>
  <c r="Q109" i="15"/>
  <c r="R109" i="15" s="1"/>
  <c r="AB109" i="15"/>
  <c r="AC109" i="15" s="1"/>
  <c r="Q110" i="15"/>
  <c r="R110" i="15" s="1"/>
  <c r="AB110" i="15"/>
  <c r="AC110" i="15" s="1"/>
  <c r="Q111" i="15"/>
  <c r="R111" i="15" s="1"/>
  <c r="AB111" i="15"/>
  <c r="AC111" i="15" s="1"/>
  <c r="Q112" i="15"/>
  <c r="R112" i="15" s="1"/>
  <c r="AB112" i="15"/>
  <c r="AC112" i="15" s="1"/>
  <c r="Q113" i="15"/>
  <c r="R113" i="15" s="1"/>
  <c r="AB113" i="15"/>
  <c r="AC113" i="15" s="1"/>
  <c r="Q114" i="15"/>
  <c r="R114" i="15" s="1"/>
  <c r="AB114" i="15"/>
  <c r="AC114" i="15" s="1"/>
  <c r="Q115" i="15"/>
  <c r="R115" i="15" s="1"/>
  <c r="AB115" i="15"/>
  <c r="AC115" i="15" s="1"/>
  <c r="Q116" i="15"/>
  <c r="R116" i="15" s="1"/>
  <c r="AB116" i="15"/>
  <c r="AC116" i="15" s="1"/>
  <c r="Q117" i="15"/>
  <c r="R117" i="15" s="1"/>
  <c r="AB117" i="15"/>
  <c r="AC117" i="15" s="1"/>
  <c r="Q118" i="15"/>
  <c r="R118" i="15" s="1"/>
  <c r="AB118" i="15"/>
  <c r="AC118" i="15" s="1"/>
  <c r="Q119" i="15"/>
  <c r="R119" i="15" s="1"/>
  <c r="AB119" i="15"/>
  <c r="AC119" i="15" s="1"/>
  <c r="Q120" i="15"/>
  <c r="R120" i="15" s="1"/>
  <c r="AB120" i="15"/>
  <c r="AC120" i="15" s="1"/>
  <c r="Q121" i="15"/>
  <c r="R121" i="15" s="1"/>
  <c r="AB121" i="15"/>
  <c r="AC121" i="15" s="1"/>
  <c r="Q122" i="15"/>
  <c r="R122" i="15" s="1"/>
  <c r="AB122" i="15"/>
  <c r="AC122" i="15" s="1"/>
  <c r="Q123" i="15"/>
  <c r="R123" i="15" s="1"/>
  <c r="AB123" i="15"/>
  <c r="AC123" i="15" s="1"/>
  <c r="Q124" i="15"/>
  <c r="R124" i="15" s="1"/>
  <c r="AB124" i="15"/>
  <c r="AC124" i="15" s="1"/>
  <c r="Q125" i="15"/>
  <c r="R125" i="15" s="1"/>
  <c r="AB125" i="15"/>
  <c r="AC125" i="15" s="1"/>
  <c r="Q126" i="15"/>
  <c r="R126" i="15" s="1"/>
  <c r="AB126" i="15"/>
  <c r="AC126" i="15" s="1"/>
  <c r="Q127" i="15"/>
  <c r="R127" i="15" s="1"/>
  <c r="AB127" i="15"/>
  <c r="AC127" i="15" s="1"/>
  <c r="Q128" i="15"/>
  <c r="R128" i="15" s="1"/>
  <c r="AB128" i="15"/>
  <c r="AC128" i="15" s="1"/>
  <c r="Q129" i="15"/>
  <c r="R129" i="15" s="1"/>
  <c r="AB129" i="15"/>
  <c r="AC129" i="15" s="1"/>
  <c r="Q130" i="15"/>
  <c r="R130" i="15" s="1"/>
  <c r="AB130" i="15"/>
  <c r="AC130" i="15" s="1"/>
  <c r="Q131" i="15"/>
  <c r="R131" i="15" s="1"/>
  <c r="AB131" i="15"/>
  <c r="AC131" i="15" s="1"/>
  <c r="Q132" i="15"/>
  <c r="R132" i="15" s="1"/>
  <c r="AB132" i="15"/>
  <c r="AC132" i="15" s="1"/>
  <c r="Q133" i="15"/>
  <c r="R133" i="15" s="1"/>
  <c r="AB133" i="15"/>
  <c r="AC133" i="15" s="1"/>
  <c r="Q134" i="15"/>
  <c r="R134" i="15" s="1"/>
  <c r="AB134" i="15"/>
  <c r="AC134" i="15" s="1"/>
  <c r="Q135" i="15"/>
  <c r="R135" i="15" s="1"/>
  <c r="AB135" i="15"/>
  <c r="AC135" i="15" s="1"/>
  <c r="Q136" i="15"/>
  <c r="R136" i="15" s="1"/>
  <c r="AB136" i="15"/>
  <c r="AC136" i="15" s="1"/>
  <c r="Q137" i="15"/>
  <c r="R137" i="15" s="1"/>
  <c r="AB137" i="15"/>
  <c r="AC137" i="15" s="1"/>
  <c r="Q138" i="15"/>
  <c r="R138" i="15" s="1"/>
  <c r="AB138" i="15"/>
  <c r="AC138" i="15" s="1"/>
  <c r="Q139" i="15"/>
  <c r="R139" i="15" s="1"/>
  <c r="AB139" i="15"/>
  <c r="AC139" i="15" s="1"/>
  <c r="Q140" i="15"/>
  <c r="R140" i="15" s="1"/>
  <c r="AB140" i="15"/>
  <c r="AC140" i="15" s="1"/>
  <c r="Q141" i="15"/>
  <c r="R141" i="15" s="1"/>
  <c r="AB141" i="15"/>
  <c r="AC141" i="15" s="1"/>
  <c r="Q142" i="15"/>
  <c r="R142" i="15" s="1"/>
  <c r="AB142" i="15"/>
  <c r="AC142" i="15" s="1"/>
  <c r="Q143" i="15"/>
  <c r="R143" i="15" s="1"/>
  <c r="AB143" i="15"/>
  <c r="AC143" i="15" s="1"/>
  <c r="Q144" i="15"/>
  <c r="R144" i="15" s="1"/>
  <c r="AB144" i="15"/>
  <c r="AC144" i="15" s="1"/>
  <c r="Q145" i="15"/>
  <c r="R145" i="15" s="1"/>
  <c r="AB145" i="15"/>
  <c r="AC145" i="15" s="1"/>
  <c r="Q146" i="15"/>
  <c r="R146" i="15" s="1"/>
  <c r="AB146" i="15"/>
  <c r="AC146" i="15" s="1"/>
  <c r="Q147" i="15"/>
  <c r="R147" i="15" s="1"/>
  <c r="AB147" i="15"/>
  <c r="AC147" i="15" s="1"/>
  <c r="Q148" i="15"/>
  <c r="R148" i="15" s="1"/>
  <c r="AB148" i="15"/>
  <c r="AC148" i="15" s="1"/>
  <c r="Q149" i="15"/>
  <c r="R149" i="15" s="1"/>
  <c r="AB149" i="15"/>
  <c r="AC149" i="15" s="1"/>
  <c r="Q150" i="15"/>
  <c r="R150" i="15" s="1"/>
  <c r="AB150" i="15"/>
  <c r="AC150" i="15" s="1"/>
  <c r="Q151" i="15"/>
  <c r="R151" i="15" s="1"/>
  <c r="AB151" i="15"/>
  <c r="AC151" i="15" s="1"/>
  <c r="Q152" i="15"/>
  <c r="R152" i="15" s="1"/>
  <c r="AB152" i="15"/>
  <c r="AC152" i="15" s="1"/>
  <c r="Q153" i="15"/>
  <c r="R153" i="15" s="1"/>
  <c r="AB153" i="15"/>
  <c r="AC153" i="15" s="1"/>
  <c r="Q154" i="15"/>
  <c r="R154" i="15" s="1"/>
  <c r="AB154" i="15"/>
  <c r="AC154" i="15" s="1"/>
  <c r="Q155" i="15"/>
  <c r="R155" i="15" s="1"/>
  <c r="AB155" i="15"/>
  <c r="AC155" i="15" s="1"/>
  <c r="Q156" i="15"/>
  <c r="R156" i="15" s="1"/>
  <c r="AB156" i="15"/>
  <c r="AC156" i="15" s="1"/>
  <c r="Q157" i="15"/>
  <c r="R157" i="15" s="1"/>
  <c r="AB157" i="15"/>
  <c r="AC157" i="15" s="1"/>
  <c r="Q158" i="15"/>
  <c r="R158" i="15" s="1"/>
  <c r="AB158" i="15"/>
  <c r="AC158" i="15" s="1"/>
  <c r="Q159" i="15"/>
  <c r="R159" i="15" s="1"/>
  <c r="AB159" i="15"/>
  <c r="AC159" i="15" s="1"/>
  <c r="Q160" i="15"/>
  <c r="R160" i="15" s="1"/>
  <c r="AB160" i="15"/>
  <c r="AC160" i="15" s="1"/>
  <c r="Q161" i="15"/>
  <c r="R161" i="15" s="1"/>
  <c r="AB161" i="15"/>
  <c r="AC161" i="15" s="1"/>
  <c r="Q162" i="15"/>
  <c r="R162" i="15" s="1"/>
  <c r="AB162" i="15"/>
  <c r="AC162" i="15" s="1"/>
  <c r="Q163" i="15"/>
  <c r="R163" i="15" s="1"/>
  <c r="AB163" i="15"/>
  <c r="AC163" i="15" s="1"/>
  <c r="Q164" i="15"/>
  <c r="R164" i="15" s="1"/>
  <c r="AB164" i="15"/>
  <c r="AC164" i="15" s="1"/>
  <c r="Q165" i="15"/>
  <c r="R165" i="15" s="1"/>
  <c r="AB165" i="15"/>
  <c r="AC165" i="15" s="1"/>
  <c r="Q166" i="15"/>
  <c r="R166" i="15" s="1"/>
  <c r="AB166" i="15"/>
  <c r="AC166" i="15" s="1"/>
  <c r="Q167" i="15"/>
  <c r="R167" i="15" s="1"/>
  <c r="AB167" i="15"/>
  <c r="AC167" i="15" s="1"/>
  <c r="Q168" i="15"/>
  <c r="R168" i="15" s="1"/>
  <c r="AB168" i="15"/>
  <c r="AC168" i="15" s="1"/>
  <c r="Q169" i="15"/>
  <c r="R169" i="15" s="1"/>
  <c r="AB169" i="15"/>
  <c r="AC169" i="15" s="1"/>
  <c r="Q170" i="15"/>
  <c r="R170" i="15" s="1"/>
  <c r="AB170" i="15"/>
  <c r="AC170" i="15" s="1"/>
  <c r="Q171" i="15"/>
  <c r="R171" i="15" s="1"/>
  <c r="AB171" i="15"/>
  <c r="AC171" i="15" s="1"/>
  <c r="E12" i="16" l="1"/>
  <c r="G34" i="16"/>
  <c r="F34" i="16"/>
  <c r="E34" i="16"/>
  <c r="D34" i="16"/>
  <c r="C34" i="16"/>
  <c r="G27" i="16"/>
  <c r="F27" i="16"/>
  <c r="E27" i="16"/>
  <c r="D27" i="16"/>
  <c r="C27" i="16"/>
  <c r="D7" i="16"/>
  <c r="E7" i="16"/>
  <c r="F7" i="16"/>
  <c r="G7" i="16"/>
  <c r="M39" i="16"/>
  <c r="L39" i="16"/>
  <c r="K39" i="16"/>
  <c r="J39" i="16"/>
  <c r="I39" i="16"/>
  <c r="M38" i="16"/>
  <c r="L38" i="16"/>
  <c r="K38" i="16"/>
  <c r="J38" i="16"/>
  <c r="I38" i="16"/>
  <c r="M37" i="16"/>
  <c r="L37" i="16"/>
  <c r="K37" i="16"/>
  <c r="J37" i="16"/>
  <c r="I37" i="16"/>
  <c r="M36" i="16"/>
  <c r="L36" i="16"/>
  <c r="K36" i="16"/>
  <c r="J36" i="16"/>
  <c r="I36" i="16"/>
  <c r="M35" i="16"/>
  <c r="L35" i="16"/>
  <c r="K35" i="16"/>
  <c r="J35" i="16"/>
  <c r="I35" i="16"/>
  <c r="M34" i="16"/>
  <c r="L34" i="16"/>
  <c r="K34" i="16"/>
  <c r="J34" i="16"/>
  <c r="I34" i="16"/>
  <c r="M33" i="16"/>
  <c r="L33" i="16"/>
  <c r="K33" i="16"/>
  <c r="J33" i="16"/>
  <c r="I33" i="16"/>
  <c r="M32" i="16"/>
  <c r="L32" i="16"/>
  <c r="K32" i="16"/>
  <c r="J32" i="16"/>
  <c r="I32" i="16"/>
  <c r="M31" i="16"/>
  <c r="L31" i="16"/>
  <c r="K31" i="16"/>
  <c r="J31" i="16"/>
  <c r="I31" i="16"/>
  <c r="M30" i="16"/>
  <c r="L30" i="16"/>
  <c r="K30" i="16"/>
  <c r="J30" i="16"/>
  <c r="I30" i="16"/>
  <c r="M29" i="16"/>
  <c r="L29" i="16"/>
  <c r="K29" i="16"/>
  <c r="J29" i="16"/>
  <c r="I29" i="16"/>
  <c r="M28" i="16"/>
  <c r="L28" i="16"/>
  <c r="K28" i="16"/>
  <c r="J28" i="16"/>
  <c r="I28" i="16"/>
  <c r="M27" i="16"/>
  <c r="L27" i="16"/>
  <c r="K27" i="16"/>
  <c r="J27" i="16"/>
  <c r="I27" i="16"/>
  <c r="I26" i="16"/>
  <c r="J26" i="16"/>
  <c r="K26" i="16"/>
  <c r="L26" i="16"/>
  <c r="M26" i="16"/>
  <c r="M22" i="16"/>
  <c r="L22" i="16"/>
  <c r="I22" i="16"/>
  <c r="M21" i="16"/>
  <c r="L21" i="16"/>
  <c r="K21" i="16"/>
  <c r="J21" i="16"/>
  <c r="I21" i="16"/>
  <c r="M19" i="16"/>
  <c r="L19" i="16"/>
  <c r="K19" i="16"/>
  <c r="J19" i="16"/>
  <c r="I19" i="16"/>
  <c r="I16" i="16"/>
  <c r="J16" i="16"/>
  <c r="K16" i="16"/>
  <c r="L16" i="16"/>
  <c r="M16" i="16"/>
  <c r="I17" i="16"/>
  <c r="J17" i="16"/>
  <c r="K17" i="16"/>
  <c r="L17" i="16"/>
  <c r="M17" i="16"/>
  <c r="M15" i="16"/>
  <c r="L15" i="16"/>
  <c r="K15" i="16"/>
  <c r="J15" i="16"/>
  <c r="I15" i="16"/>
  <c r="M14" i="16"/>
  <c r="L14" i="16"/>
  <c r="K14" i="16"/>
  <c r="J14" i="16"/>
  <c r="I14" i="16"/>
  <c r="I9" i="16"/>
  <c r="J9" i="16"/>
  <c r="K9" i="16"/>
  <c r="L9" i="16"/>
  <c r="M9" i="16"/>
  <c r="I10" i="16"/>
  <c r="J10" i="16"/>
  <c r="K10" i="16"/>
  <c r="L10" i="16"/>
  <c r="M10" i="16"/>
  <c r="I11" i="16"/>
  <c r="J11" i="16"/>
  <c r="K11" i="16"/>
  <c r="L11" i="16"/>
  <c r="M11" i="16"/>
  <c r="J8" i="16"/>
  <c r="K8" i="16"/>
  <c r="L8" i="16"/>
  <c r="M8" i="16"/>
  <c r="I8" i="16"/>
  <c r="J7" i="16"/>
  <c r="K7" i="16"/>
  <c r="L7" i="16"/>
  <c r="M7" i="16"/>
  <c r="I7" i="16"/>
  <c r="C36" i="16"/>
  <c r="D36" i="16"/>
  <c r="E36" i="16"/>
  <c r="F36" i="16"/>
  <c r="G36" i="16"/>
  <c r="C37" i="16"/>
  <c r="D37" i="16"/>
  <c r="E37" i="16"/>
  <c r="F37" i="16"/>
  <c r="G37" i="16"/>
  <c r="C38" i="16"/>
  <c r="D38" i="16"/>
  <c r="E38" i="16"/>
  <c r="F38" i="16"/>
  <c r="G38" i="16"/>
  <c r="C39" i="16"/>
  <c r="D39" i="16"/>
  <c r="E39" i="16"/>
  <c r="F39" i="16"/>
  <c r="G39" i="16"/>
  <c r="G35" i="16"/>
  <c r="F35" i="16"/>
  <c r="E35" i="16"/>
  <c r="D35" i="16"/>
  <c r="C35" i="16"/>
  <c r="C32" i="16"/>
  <c r="D32" i="16"/>
  <c r="E32" i="16"/>
  <c r="F32" i="16"/>
  <c r="G32" i="16"/>
  <c r="C33" i="16"/>
  <c r="D33" i="16"/>
  <c r="E33" i="16"/>
  <c r="F33" i="16"/>
  <c r="G33" i="16"/>
  <c r="G31" i="16"/>
  <c r="F31" i="16"/>
  <c r="E31" i="16"/>
  <c r="D31" i="16"/>
  <c r="C31" i="16"/>
  <c r="G30" i="16"/>
  <c r="F30" i="16"/>
  <c r="E30" i="16"/>
  <c r="D30" i="16"/>
  <c r="C30" i="16"/>
  <c r="G29" i="16"/>
  <c r="F29" i="16"/>
  <c r="E29" i="16"/>
  <c r="D29" i="16"/>
  <c r="C29" i="16"/>
  <c r="G28" i="16"/>
  <c r="F28" i="16"/>
  <c r="E28" i="16"/>
  <c r="D28" i="16"/>
  <c r="C28" i="16"/>
  <c r="G11" i="16"/>
  <c r="F11" i="16"/>
  <c r="E11" i="16"/>
  <c r="D11" i="16"/>
  <c r="C11" i="16"/>
  <c r="G10" i="16"/>
  <c r="F10" i="16"/>
  <c r="E10" i="16"/>
  <c r="D10" i="16"/>
  <c r="C10" i="16"/>
  <c r="G9" i="16"/>
  <c r="F9" i="16"/>
  <c r="E9" i="16"/>
  <c r="D9" i="16"/>
  <c r="C9" i="16"/>
  <c r="G8" i="16"/>
  <c r="F8" i="16"/>
  <c r="E8" i="16"/>
  <c r="D8" i="16"/>
  <c r="C8" i="16"/>
  <c r="C7" i="16"/>
  <c r="C21" i="16"/>
  <c r="D21" i="16"/>
  <c r="E21" i="16"/>
  <c r="F21" i="16"/>
  <c r="G21" i="16"/>
  <c r="C26" i="16"/>
  <c r="D26" i="16"/>
  <c r="E26" i="16"/>
  <c r="F26" i="16"/>
  <c r="G26" i="16"/>
  <c r="G19" i="16"/>
  <c r="F19" i="16"/>
  <c r="E19" i="16"/>
  <c r="D19" i="16"/>
  <c r="C19" i="16"/>
  <c r="C17" i="16"/>
  <c r="D17" i="16"/>
  <c r="E17" i="16"/>
  <c r="F17" i="16"/>
  <c r="G17" i="16"/>
  <c r="C14" i="16"/>
  <c r="D14" i="16"/>
  <c r="E14" i="16"/>
  <c r="F14" i="16"/>
  <c r="G14" i="16"/>
  <c r="C15" i="16"/>
  <c r="D15" i="16"/>
  <c r="E15" i="16"/>
  <c r="F15" i="16"/>
  <c r="G15" i="16"/>
  <c r="C16" i="16"/>
  <c r="D16" i="16"/>
  <c r="E16" i="16"/>
  <c r="F16" i="16"/>
  <c r="G16" i="16"/>
  <c r="D22" i="16" l="1"/>
  <c r="I23" i="16"/>
  <c r="F12" i="16"/>
  <c r="C12" i="16"/>
  <c r="G12" i="16"/>
  <c r="D12" i="16"/>
  <c r="F22" i="16"/>
  <c r="K22" i="16"/>
  <c r="J22" i="16"/>
  <c r="E22" i="16"/>
  <c r="G22" i="16"/>
  <c r="C22" i="16"/>
  <c r="D23" i="16"/>
  <c r="E23" i="16"/>
  <c r="C23" i="16"/>
  <c r="F23" i="16"/>
  <c r="G23" i="16"/>
  <c r="C24" i="16"/>
  <c r="G24" i="16"/>
  <c r="D24" i="16"/>
  <c r="I24" i="16"/>
  <c r="M24" i="16"/>
  <c r="K24" i="16"/>
  <c r="J24" i="16"/>
  <c r="L24" i="16"/>
  <c r="E24" i="16"/>
  <c r="F24" i="16"/>
  <c r="L25" i="16"/>
  <c r="K25" i="16"/>
  <c r="I25" i="16"/>
  <c r="M25" i="16"/>
  <c r="J25" i="16"/>
  <c r="F25" i="16"/>
  <c r="C25" i="16"/>
  <c r="G25" i="16"/>
  <c r="D25" i="16"/>
  <c r="E25" i="16"/>
  <c r="K23" i="16"/>
  <c r="L23" i="16"/>
  <c r="M23" i="16"/>
  <c r="J23" i="16"/>
  <c r="H3" i="8"/>
  <c r="Q8" i="8"/>
  <c r="R8" i="8" s="1"/>
  <c r="AB8" i="8"/>
  <c r="AC8" i="8" s="1"/>
  <c r="Q9" i="8"/>
  <c r="R9" i="8" s="1"/>
  <c r="AB9" i="8"/>
  <c r="AC9" i="8" s="1"/>
  <c r="Q10" i="8"/>
  <c r="R10" i="8" s="1"/>
  <c r="AB10" i="8"/>
  <c r="AC10" i="8" s="1"/>
  <c r="Q11" i="8"/>
  <c r="R11" i="8" s="1"/>
  <c r="AB11" i="8"/>
  <c r="AC11" i="8" s="1"/>
  <c r="Q12" i="8"/>
  <c r="R12" i="8" s="1"/>
  <c r="AB12" i="8"/>
  <c r="AC12" i="8" s="1"/>
  <c r="Q13" i="8"/>
  <c r="R13" i="8" s="1"/>
  <c r="AB13" i="8"/>
  <c r="AC13" i="8" s="1"/>
  <c r="Q14" i="8"/>
  <c r="R14" i="8" s="1"/>
  <c r="AB14" i="8"/>
  <c r="Q15" i="8"/>
  <c r="R15" i="8" s="1"/>
  <c r="AB15" i="8"/>
  <c r="AC15" i="8" s="1"/>
  <c r="Q16" i="8"/>
  <c r="R16" i="8" s="1"/>
  <c r="AB16" i="8"/>
  <c r="AC16" i="8" s="1"/>
  <c r="Q17" i="8"/>
  <c r="R17" i="8" s="1"/>
  <c r="AB17" i="8"/>
  <c r="AC17" i="8" s="1"/>
  <c r="Q18" i="8"/>
  <c r="R18" i="8" s="1"/>
  <c r="AB18" i="8"/>
  <c r="AC18" i="8" s="1"/>
  <c r="Q19" i="8"/>
  <c r="R19" i="8" s="1"/>
  <c r="AB19" i="8"/>
  <c r="AC19" i="8" s="1"/>
  <c r="Q20" i="8"/>
  <c r="R20" i="8" s="1"/>
  <c r="AB20" i="8"/>
  <c r="AC20" i="8" s="1"/>
  <c r="Q21" i="8"/>
  <c r="R21" i="8" s="1"/>
  <c r="AB21" i="8"/>
  <c r="AC21" i="8" s="1"/>
  <c r="Q22" i="8"/>
  <c r="R22" i="8" s="1"/>
  <c r="AB22" i="8"/>
  <c r="AC22" i="8" s="1"/>
  <c r="Q23" i="8"/>
  <c r="R23" i="8" s="1"/>
  <c r="AB23" i="8"/>
  <c r="AC23" i="8" s="1"/>
  <c r="Q24" i="8"/>
  <c r="R24" i="8" s="1"/>
  <c r="AB24" i="8"/>
  <c r="AC24" i="8" s="1"/>
  <c r="Q25" i="8"/>
  <c r="R25" i="8" s="1"/>
  <c r="AB25" i="8"/>
  <c r="AC25" i="8" s="1"/>
  <c r="Q26" i="8"/>
  <c r="R26" i="8" s="1"/>
  <c r="AB26" i="8"/>
  <c r="AC26" i="8" s="1"/>
  <c r="Q27" i="8"/>
  <c r="R27" i="8" s="1"/>
  <c r="AB27" i="8"/>
  <c r="AC27" i="8" s="1"/>
  <c r="Q28" i="8"/>
  <c r="R28" i="8" s="1"/>
  <c r="AB28" i="8"/>
  <c r="AC28" i="8" s="1"/>
  <c r="Q29" i="8"/>
  <c r="R29" i="8" s="1"/>
  <c r="AB29" i="8"/>
  <c r="AC29" i="8" s="1"/>
  <c r="Q30" i="8"/>
  <c r="R30" i="8" s="1"/>
  <c r="AB30" i="8"/>
  <c r="AC30" i="8" s="1"/>
  <c r="Q31" i="8"/>
  <c r="R31" i="8" s="1"/>
  <c r="AB31" i="8"/>
  <c r="AC31" i="8" s="1"/>
  <c r="Q32" i="8"/>
  <c r="R32" i="8" s="1"/>
  <c r="AB32" i="8"/>
  <c r="AC32" i="8" s="1"/>
  <c r="Q33" i="8"/>
  <c r="R33" i="8" s="1"/>
  <c r="AB33" i="8"/>
  <c r="AC33" i="8" s="1"/>
  <c r="Q34" i="8"/>
  <c r="R34" i="8" s="1"/>
  <c r="AB34" i="8"/>
  <c r="AC34" i="8" s="1"/>
  <c r="Q35" i="8"/>
  <c r="R35" i="8" s="1"/>
  <c r="AB35" i="8"/>
  <c r="AC35" i="8" s="1"/>
  <c r="Q36" i="8"/>
  <c r="R36" i="8" s="1"/>
  <c r="AB36" i="8"/>
  <c r="AC36" i="8" s="1"/>
  <c r="Q37" i="8"/>
  <c r="R37" i="8" s="1"/>
  <c r="AB37" i="8"/>
  <c r="AC37" i="8" s="1"/>
  <c r="Q38" i="8"/>
  <c r="R38" i="8" s="1"/>
  <c r="AB38" i="8"/>
  <c r="AC38" i="8" s="1"/>
  <c r="Q39" i="8"/>
  <c r="R39" i="8" s="1"/>
  <c r="AB39" i="8"/>
  <c r="AC39" i="8" s="1"/>
  <c r="Q40" i="8"/>
  <c r="R40" i="8" s="1"/>
  <c r="AB40" i="8"/>
  <c r="AC40" i="8" s="1"/>
  <c r="Q41" i="8"/>
  <c r="R41" i="8" s="1"/>
  <c r="AB41" i="8"/>
  <c r="AC41" i="8" s="1"/>
  <c r="Q42" i="8"/>
  <c r="R42" i="8" s="1"/>
  <c r="AB42" i="8"/>
  <c r="AC42" i="8" s="1"/>
  <c r="Q43" i="8"/>
  <c r="R43" i="8" s="1"/>
  <c r="AB43" i="8"/>
  <c r="AC43" i="8" s="1"/>
  <c r="Q44" i="8"/>
  <c r="R44" i="8" s="1"/>
  <c r="AB44" i="8"/>
  <c r="AC44" i="8" s="1"/>
  <c r="Q45" i="8"/>
  <c r="R45" i="8" s="1"/>
  <c r="AB45" i="8"/>
  <c r="AC45" i="8" s="1"/>
  <c r="Q46" i="8"/>
  <c r="R46" i="8" s="1"/>
  <c r="AB46" i="8"/>
  <c r="AC46" i="8" s="1"/>
  <c r="Q47" i="8"/>
  <c r="R47" i="8" s="1"/>
  <c r="AB47" i="8"/>
  <c r="AC47" i="8" s="1"/>
  <c r="Q48" i="8"/>
  <c r="R48" i="8" s="1"/>
  <c r="AB48" i="8"/>
  <c r="AC48" i="8" s="1"/>
  <c r="Q49" i="8"/>
  <c r="R49" i="8" s="1"/>
  <c r="AB49" i="8"/>
  <c r="AC49" i="8" s="1"/>
  <c r="Q50" i="8"/>
  <c r="R50" i="8" s="1"/>
  <c r="AB50" i="8"/>
  <c r="AC50" i="8" s="1"/>
  <c r="Q51" i="8"/>
  <c r="R51" i="8" s="1"/>
  <c r="AB51" i="8"/>
  <c r="AC51" i="8" s="1"/>
  <c r="Q52" i="8"/>
  <c r="R52" i="8" s="1"/>
  <c r="AB52" i="8"/>
  <c r="AC52" i="8" s="1"/>
  <c r="Q53" i="8"/>
  <c r="R53" i="8" s="1"/>
  <c r="AB53" i="8"/>
  <c r="AC53" i="8" s="1"/>
  <c r="Q54" i="8"/>
  <c r="R54" i="8" s="1"/>
  <c r="AB54" i="8"/>
  <c r="AC54" i="8" s="1"/>
  <c r="Q55" i="8"/>
  <c r="R55" i="8" s="1"/>
  <c r="AB55" i="8"/>
  <c r="AC55" i="8" s="1"/>
  <c r="Q56" i="8"/>
  <c r="R56" i="8" s="1"/>
  <c r="AB56" i="8"/>
  <c r="AC56" i="8" s="1"/>
  <c r="Q57" i="8"/>
  <c r="R57" i="8" s="1"/>
  <c r="AB57" i="8"/>
  <c r="AC57" i="8" s="1"/>
  <c r="Q58" i="8"/>
  <c r="R58" i="8" s="1"/>
  <c r="AB58" i="8"/>
  <c r="AC58" i="8" s="1"/>
  <c r="Q59" i="8"/>
  <c r="R59" i="8" s="1"/>
  <c r="AB59" i="8"/>
  <c r="AC59" i="8" s="1"/>
  <c r="Q60" i="8"/>
  <c r="R60" i="8" s="1"/>
  <c r="AB60" i="8"/>
  <c r="AC60" i="8" s="1"/>
  <c r="Q61" i="8"/>
  <c r="R61" i="8" s="1"/>
  <c r="AB61" i="8"/>
  <c r="AC61" i="8" s="1"/>
  <c r="Q62" i="8"/>
  <c r="R62" i="8" s="1"/>
  <c r="AB62" i="8"/>
  <c r="AC62" i="8" s="1"/>
  <c r="Q63" i="8"/>
  <c r="R63" i="8" s="1"/>
  <c r="AB63" i="8"/>
  <c r="AC63" i="8" s="1"/>
  <c r="Q64" i="8"/>
  <c r="R64" i="8" s="1"/>
  <c r="AB64" i="8"/>
  <c r="AC64" i="8" s="1"/>
  <c r="Q65" i="8"/>
  <c r="R65" i="8" s="1"/>
  <c r="AB65" i="8"/>
  <c r="AC65" i="8" s="1"/>
  <c r="Q66" i="8"/>
  <c r="R66" i="8" s="1"/>
  <c r="AB66" i="8"/>
  <c r="AC66" i="8" s="1"/>
  <c r="Q67" i="8"/>
  <c r="R67" i="8" s="1"/>
  <c r="AB67" i="8"/>
  <c r="AC67" i="8" s="1"/>
  <c r="Q68" i="8"/>
  <c r="R68" i="8" s="1"/>
  <c r="AB68" i="8"/>
  <c r="AC68" i="8" s="1"/>
  <c r="Q69" i="8"/>
  <c r="R69" i="8" s="1"/>
  <c r="AB69" i="8"/>
  <c r="AC69" i="8" s="1"/>
  <c r="Q70" i="8"/>
  <c r="R70" i="8" s="1"/>
  <c r="AB70" i="8"/>
  <c r="AC70" i="8" s="1"/>
  <c r="Q71" i="8"/>
  <c r="R71" i="8" s="1"/>
  <c r="AB71" i="8"/>
  <c r="AC71" i="8" s="1"/>
  <c r="Q72" i="8"/>
  <c r="R72" i="8" s="1"/>
  <c r="AB72" i="8"/>
  <c r="AC72" i="8" s="1"/>
  <c r="Q73" i="8"/>
  <c r="R73" i="8" s="1"/>
  <c r="AB73" i="8"/>
  <c r="AC73" i="8" s="1"/>
  <c r="Q74" i="8"/>
  <c r="R74" i="8" s="1"/>
  <c r="AB74" i="8"/>
  <c r="AC74" i="8" s="1"/>
  <c r="Q75" i="8"/>
  <c r="R75" i="8" s="1"/>
  <c r="AB75" i="8"/>
  <c r="AC75" i="8" s="1"/>
  <c r="Q76" i="8"/>
  <c r="R76" i="8" s="1"/>
  <c r="AB76" i="8"/>
  <c r="AC76" i="8" s="1"/>
  <c r="Q77" i="8"/>
  <c r="R77" i="8" s="1"/>
  <c r="AB77" i="8"/>
  <c r="AC77" i="8" s="1"/>
  <c r="Q78" i="8"/>
  <c r="R78" i="8" s="1"/>
  <c r="AB78" i="8"/>
  <c r="AC78" i="8" s="1"/>
  <c r="Q79" i="8"/>
  <c r="R79" i="8" s="1"/>
  <c r="AB79" i="8"/>
  <c r="AC79" i="8" s="1"/>
  <c r="Q80" i="8"/>
  <c r="R80" i="8" s="1"/>
  <c r="AB80" i="8"/>
  <c r="AC80" i="8" s="1"/>
  <c r="Q81" i="8"/>
  <c r="R81" i="8" s="1"/>
  <c r="AB81" i="8"/>
  <c r="AC81" i="8" s="1"/>
  <c r="Q82" i="8"/>
  <c r="R82" i="8" s="1"/>
  <c r="AB82" i="8"/>
  <c r="AC82" i="8" s="1"/>
  <c r="Q83" i="8"/>
  <c r="R83" i="8" s="1"/>
  <c r="AB83" i="8"/>
  <c r="AC83" i="8" s="1"/>
  <c r="Q84" i="8"/>
  <c r="R84" i="8" s="1"/>
  <c r="AB84" i="8"/>
  <c r="AC84" i="8" s="1"/>
  <c r="Q85" i="8"/>
  <c r="R85" i="8" s="1"/>
  <c r="AB85" i="8"/>
  <c r="AC85" i="8" s="1"/>
  <c r="Q86" i="8"/>
  <c r="R86" i="8" s="1"/>
  <c r="AB86" i="8"/>
  <c r="AC86" i="8" s="1"/>
  <c r="Q87" i="8"/>
  <c r="R87" i="8" s="1"/>
  <c r="AB87" i="8"/>
  <c r="AC87" i="8" s="1"/>
  <c r="Q88" i="8"/>
  <c r="R88" i="8" s="1"/>
  <c r="AB88" i="8"/>
  <c r="AC88" i="8" s="1"/>
  <c r="Q89" i="8"/>
  <c r="R89" i="8" s="1"/>
  <c r="AB89" i="8"/>
  <c r="AC89" i="8" s="1"/>
  <c r="Q90" i="8"/>
  <c r="R90" i="8" s="1"/>
  <c r="AB90" i="8"/>
  <c r="AC90" i="8" s="1"/>
  <c r="Q91" i="8"/>
  <c r="R91" i="8" s="1"/>
  <c r="AB91" i="8"/>
  <c r="AC91" i="8" s="1"/>
  <c r="Q92" i="8"/>
  <c r="R92" i="8" s="1"/>
  <c r="AB92" i="8"/>
  <c r="AC92" i="8" s="1"/>
  <c r="Q93" i="8"/>
  <c r="R93" i="8" s="1"/>
  <c r="AB93" i="8"/>
  <c r="AC93" i="8" s="1"/>
  <c r="Q94" i="8"/>
  <c r="R94" i="8" s="1"/>
  <c r="AB94" i="8"/>
  <c r="AC94" i="8" s="1"/>
  <c r="Q95" i="8"/>
  <c r="R95" i="8" s="1"/>
  <c r="AB95" i="8"/>
  <c r="AC95" i="8" s="1"/>
  <c r="Q96" i="8"/>
  <c r="R96" i="8" s="1"/>
  <c r="AB96" i="8"/>
  <c r="AC96" i="8" s="1"/>
  <c r="Q97" i="8"/>
  <c r="R97" i="8" s="1"/>
  <c r="AB97" i="8"/>
  <c r="AC97" i="8" s="1"/>
  <c r="Q98" i="8"/>
  <c r="R98" i="8" s="1"/>
  <c r="AB98" i="8"/>
  <c r="AC98" i="8" s="1"/>
  <c r="Q99" i="8"/>
  <c r="R99" i="8" s="1"/>
  <c r="AB99" i="8"/>
  <c r="AC99" i="8" s="1"/>
  <c r="Q100" i="8"/>
  <c r="R100" i="8" s="1"/>
  <c r="AB100" i="8"/>
  <c r="AC100" i="8" s="1"/>
  <c r="AC14" i="8" l="1"/>
  <c r="N36" i="16"/>
  <c r="N30" i="16"/>
  <c r="N24" i="16"/>
  <c r="C115" i="6"/>
  <c r="D115" i="6"/>
  <c r="E115" i="6"/>
  <c r="F115" i="6"/>
  <c r="G115" i="6"/>
  <c r="I115" i="6"/>
  <c r="J115" i="6"/>
  <c r="K115" i="6"/>
  <c r="L115" i="6"/>
  <c r="M115" i="6"/>
  <c r="I109" i="6"/>
  <c r="J109" i="6"/>
  <c r="K109" i="6"/>
  <c r="L109" i="6"/>
  <c r="M109" i="6"/>
  <c r="C109" i="6"/>
  <c r="D109" i="6"/>
  <c r="E109" i="6"/>
  <c r="F109" i="6"/>
  <c r="G109" i="6"/>
  <c r="K20" i="16" l="1"/>
  <c r="J18" i="16"/>
  <c r="J20" i="16"/>
  <c r="M20" i="16"/>
  <c r="I20" i="16"/>
  <c r="L20" i="16"/>
  <c r="I18" i="16"/>
  <c r="L18" i="16"/>
  <c r="K18" i="16"/>
  <c r="M18" i="16"/>
  <c r="K13" i="16"/>
  <c r="J13" i="16"/>
  <c r="I13" i="16"/>
  <c r="M12" i="16"/>
  <c r="L12" i="16"/>
  <c r="J12" i="16"/>
  <c r="K12" i="16"/>
  <c r="I12" i="16"/>
  <c r="M13" i="16"/>
  <c r="L13" i="16"/>
  <c r="H9" i="16"/>
  <c r="H21" i="16"/>
  <c r="H27" i="16"/>
  <c r="H39" i="16"/>
  <c r="H15" i="16"/>
  <c r="H33" i="16"/>
  <c r="H24" i="16"/>
  <c r="H30" i="16"/>
  <c r="H36" i="16"/>
  <c r="N17" i="16"/>
  <c r="N29" i="16"/>
  <c r="N35" i="16"/>
  <c r="N11" i="16"/>
  <c r="N23" i="16"/>
  <c r="N115" i="6"/>
  <c r="H8" i="16"/>
  <c r="H14" i="16"/>
  <c r="H26" i="16"/>
  <c r="H32" i="16"/>
  <c r="H38" i="16"/>
  <c r="H109" i="6"/>
  <c r="H115" i="6"/>
  <c r="N10" i="16"/>
  <c r="N16" i="16"/>
  <c r="N22" i="16"/>
  <c r="N28" i="16"/>
  <c r="N34" i="16"/>
  <c r="N9" i="16"/>
  <c r="N109" i="6"/>
  <c r="H7" i="16"/>
  <c r="H19" i="16"/>
  <c r="H25" i="16"/>
  <c r="H31" i="16"/>
  <c r="H37" i="16"/>
  <c r="N15" i="16"/>
  <c r="N21" i="16"/>
  <c r="N27" i="16"/>
  <c r="N33" i="16"/>
  <c r="N39" i="16"/>
  <c r="N8" i="16"/>
  <c r="N14" i="16"/>
  <c r="N26" i="16"/>
  <c r="N32" i="16"/>
  <c r="N38" i="16"/>
  <c r="H11" i="16"/>
  <c r="H17" i="16"/>
  <c r="H23" i="16"/>
  <c r="H29" i="16"/>
  <c r="H35" i="16"/>
  <c r="N19" i="16"/>
  <c r="N25" i="16"/>
  <c r="N31" i="16"/>
  <c r="N37" i="16"/>
  <c r="H10" i="16"/>
  <c r="H16" i="16"/>
  <c r="H22" i="16"/>
  <c r="H28" i="16"/>
  <c r="H34" i="16"/>
  <c r="N7" i="16"/>
  <c r="J105" i="6"/>
  <c r="K105" i="6"/>
  <c r="L105" i="6"/>
  <c r="M105" i="6"/>
  <c r="J106" i="6"/>
  <c r="K106" i="6"/>
  <c r="L106" i="6"/>
  <c r="M106" i="6"/>
  <c r="J107" i="6"/>
  <c r="K107" i="6"/>
  <c r="L107" i="6"/>
  <c r="M107" i="6"/>
  <c r="J108" i="6"/>
  <c r="K108" i="6"/>
  <c r="L108" i="6"/>
  <c r="M108" i="6"/>
  <c r="J110" i="6"/>
  <c r="K110" i="6"/>
  <c r="L110" i="6"/>
  <c r="M110" i="6"/>
  <c r="J111" i="6"/>
  <c r="K111" i="6"/>
  <c r="L111" i="6"/>
  <c r="M111" i="6"/>
  <c r="J112" i="6"/>
  <c r="K112" i="6"/>
  <c r="L112" i="6"/>
  <c r="M112" i="6"/>
  <c r="J113" i="6"/>
  <c r="K113" i="6"/>
  <c r="L113" i="6"/>
  <c r="M113" i="6"/>
  <c r="J114" i="6"/>
  <c r="K114" i="6"/>
  <c r="L114" i="6"/>
  <c r="M114" i="6"/>
  <c r="J116" i="6"/>
  <c r="K116" i="6"/>
  <c r="L116" i="6"/>
  <c r="M116" i="6"/>
  <c r="J117" i="6"/>
  <c r="K117" i="6"/>
  <c r="L117" i="6"/>
  <c r="M117" i="6"/>
  <c r="I106" i="6"/>
  <c r="I107" i="6"/>
  <c r="I108" i="6"/>
  <c r="I110" i="6"/>
  <c r="I111" i="6"/>
  <c r="I112" i="6"/>
  <c r="I113" i="6"/>
  <c r="I114" i="6"/>
  <c r="I116" i="6"/>
  <c r="I117" i="6"/>
  <c r="I105" i="6"/>
  <c r="D105" i="6"/>
  <c r="E105" i="6"/>
  <c r="F105" i="6"/>
  <c r="G105" i="6"/>
  <c r="D106" i="6"/>
  <c r="E106" i="6"/>
  <c r="F106" i="6"/>
  <c r="G106" i="6"/>
  <c r="D107" i="6"/>
  <c r="E107" i="6"/>
  <c r="F107" i="6"/>
  <c r="G107" i="6"/>
  <c r="D108" i="6"/>
  <c r="E108" i="6"/>
  <c r="F108" i="6"/>
  <c r="G108" i="6"/>
  <c r="D110" i="6"/>
  <c r="E110" i="6"/>
  <c r="F110" i="6"/>
  <c r="G110" i="6"/>
  <c r="D111" i="6"/>
  <c r="E111" i="6"/>
  <c r="F111" i="6"/>
  <c r="G111" i="6"/>
  <c r="D112" i="6"/>
  <c r="E112" i="6"/>
  <c r="F112" i="6"/>
  <c r="G112" i="6"/>
  <c r="D113" i="6"/>
  <c r="E113" i="6"/>
  <c r="F113" i="6"/>
  <c r="G113" i="6"/>
  <c r="D114" i="6"/>
  <c r="E114" i="6"/>
  <c r="F114" i="6"/>
  <c r="G114" i="6"/>
  <c r="D116" i="6"/>
  <c r="E116" i="6"/>
  <c r="F116" i="6"/>
  <c r="G116" i="6"/>
  <c r="D117" i="6"/>
  <c r="E117" i="6"/>
  <c r="F117" i="6"/>
  <c r="G117" i="6"/>
  <c r="C106" i="6"/>
  <c r="C107" i="6"/>
  <c r="C108" i="6"/>
  <c r="C110" i="6"/>
  <c r="C111" i="6"/>
  <c r="C112" i="6"/>
  <c r="C113" i="6"/>
  <c r="C114" i="6"/>
  <c r="C116" i="6"/>
  <c r="C117" i="6"/>
  <c r="C105" i="6"/>
  <c r="M34" i="6"/>
  <c r="L34" i="6"/>
  <c r="K34" i="6"/>
  <c r="J34" i="6"/>
  <c r="I34" i="6"/>
  <c r="M27" i="6"/>
  <c r="L27" i="6"/>
  <c r="K27" i="6"/>
  <c r="J27" i="6"/>
  <c r="I27" i="6"/>
  <c r="J7" i="6"/>
  <c r="K7" i="6"/>
  <c r="L7" i="6"/>
  <c r="M7" i="6"/>
  <c r="I7" i="6"/>
  <c r="G34" i="6"/>
  <c r="F34" i="6"/>
  <c r="E34" i="6"/>
  <c r="D34" i="6"/>
  <c r="C34" i="6"/>
  <c r="G27" i="6"/>
  <c r="F27" i="6"/>
  <c r="E27" i="6"/>
  <c r="D27" i="6"/>
  <c r="C27" i="6"/>
  <c r="D7" i="6"/>
  <c r="E7" i="6"/>
  <c r="F7" i="6"/>
  <c r="G7" i="6"/>
  <c r="C7" i="6"/>
  <c r="J13" i="6"/>
  <c r="J17" i="6"/>
  <c r="I25" i="6"/>
  <c r="C23" i="6"/>
  <c r="D17" i="6"/>
  <c r="D15" i="6"/>
  <c r="C26" i="6"/>
  <c r="J35" i="6"/>
  <c r="K35" i="6"/>
  <c r="L35" i="6"/>
  <c r="M35" i="6"/>
  <c r="J36" i="6"/>
  <c r="K36" i="6"/>
  <c r="L36" i="6"/>
  <c r="M36" i="6"/>
  <c r="J37" i="6"/>
  <c r="K37" i="6"/>
  <c r="L37" i="6"/>
  <c r="M37" i="6"/>
  <c r="J38" i="6"/>
  <c r="K38" i="6"/>
  <c r="L38" i="6"/>
  <c r="M38" i="6"/>
  <c r="J39" i="6"/>
  <c r="K39" i="6"/>
  <c r="L39" i="6"/>
  <c r="M39" i="6"/>
  <c r="I36" i="6"/>
  <c r="I37" i="6"/>
  <c r="I38" i="6"/>
  <c r="I39" i="6"/>
  <c r="I35" i="6"/>
  <c r="J28" i="6"/>
  <c r="K28" i="6"/>
  <c r="L28" i="6"/>
  <c r="M28" i="6"/>
  <c r="J29" i="6"/>
  <c r="K29" i="6"/>
  <c r="L29" i="6"/>
  <c r="M29" i="6"/>
  <c r="J30" i="6"/>
  <c r="K30" i="6"/>
  <c r="L30" i="6"/>
  <c r="M30" i="6"/>
  <c r="J31" i="6"/>
  <c r="K31" i="6"/>
  <c r="L31" i="6"/>
  <c r="M31" i="6"/>
  <c r="J32" i="6"/>
  <c r="K32" i="6"/>
  <c r="L32" i="6"/>
  <c r="M32" i="6"/>
  <c r="J33" i="6"/>
  <c r="K33" i="6"/>
  <c r="L33" i="6"/>
  <c r="M33" i="6"/>
  <c r="I29" i="6"/>
  <c r="I30" i="6"/>
  <c r="I31" i="6"/>
  <c r="I32" i="6"/>
  <c r="I33" i="6"/>
  <c r="I28" i="6"/>
  <c r="M21" i="6"/>
  <c r="L21" i="6"/>
  <c r="K21" i="6"/>
  <c r="J21" i="6"/>
  <c r="I21" i="6"/>
  <c r="M20" i="6"/>
  <c r="L20" i="6"/>
  <c r="K20" i="6"/>
  <c r="J20" i="6"/>
  <c r="I20" i="6"/>
  <c r="J8" i="6"/>
  <c r="K8" i="6"/>
  <c r="L8" i="6"/>
  <c r="M8" i="6"/>
  <c r="J9" i="6"/>
  <c r="K9" i="6"/>
  <c r="L9" i="6"/>
  <c r="M9" i="6"/>
  <c r="J10" i="6"/>
  <c r="K10" i="6"/>
  <c r="L10" i="6"/>
  <c r="M10" i="6"/>
  <c r="J11" i="6"/>
  <c r="K11" i="6"/>
  <c r="L11" i="6"/>
  <c r="M11" i="6"/>
  <c r="I9" i="6"/>
  <c r="I10" i="6"/>
  <c r="I11" i="6"/>
  <c r="I8" i="6"/>
  <c r="D35" i="6"/>
  <c r="E35" i="6"/>
  <c r="F35" i="6"/>
  <c r="G35" i="6"/>
  <c r="D36" i="6"/>
  <c r="E36" i="6"/>
  <c r="F36" i="6"/>
  <c r="G36" i="6"/>
  <c r="D37" i="6"/>
  <c r="E37" i="6"/>
  <c r="F37" i="6"/>
  <c r="G37" i="6"/>
  <c r="D38" i="6"/>
  <c r="E38" i="6"/>
  <c r="F38" i="6"/>
  <c r="G38" i="6"/>
  <c r="D39" i="6"/>
  <c r="E39" i="6"/>
  <c r="F39" i="6"/>
  <c r="G39" i="6"/>
  <c r="C36" i="6"/>
  <c r="C37" i="6"/>
  <c r="C38" i="6"/>
  <c r="C39" i="6"/>
  <c r="C35" i="6"/>
  <c r="D28" i="6"/>
  <c r="E28" i="6"/>
  <c r="F28" i="6"/>
  <c r="G28" i="6"/>
  <c r="D29" i="6"/>
  <c r="E29" i="6"/>
  <c r="F29" i="6"/>
  <c r="G29" i="6"/>
  <c r="D30" i="6"/>
  <c r="E30" i="6"/>
  <c r="F30" i="6"/>
  <c r="G30" i="6"/>
  <c r="D31" i="6"/>
  <c r="E31" i="6"/>
  <c r="F31" i="6"/>
  <c r="G31" i="6"/>
  <c r="D32" i="6"/>
  <c r="E32" i="6"/>
  <c r="F32" i="6"/>
  <c r="G32" i="6"/>
  <c r="D33" i="6"/>
  <c r="E33" i="6"/>
  <c r="F33" i="6"/>
  <c r="G33" i="6"/>
  <c r="C33" i="6"/>
  <c r="C29" i="6"/>
  <c r="C30" i="6"/>
  <c r="C31" i="6"/>
  <c r="C32" i="6"/>
  <c r="C28" i="6"/>
  <c r="D20" i="6"/>
  <c r="E20" i="6"/>
  <c r="F20" i="6"/>
  <c r="G20" i="6"/>
  <c r="D21" i="6"/>
  <c r="E21" i="6"/>
  <c r="F21" i="6"/>
  <c r="G21" i="6"/>
  <c r="F23" i="6"/>
  <c r="D26" i="6"/>
  <c r="C20" i="6"/>
  <c r="C21" i="6"/>
  <c r="D14" i="6"/>
  <c r="E14" i="6"/>
  <c r="F14" i="6"/>
  <c r="G14" i="6"/>
  <c r="F15" i="6"/>
  <c r="D16" i="6"/>
  <c r="E16" i="6"/>
  <c r="F16" i="6"/>
  <c r="G16" i="6"/>
  <c r="C14" i="6"/>
  <c r="C16" i="6"/>
  <c r="D8" i="6"/>
  <c r="E8" i="6"/>
  <c r="F8" i="6"/>
  <c r="G8" i="6"/>
  <c r="D9" i="6"/>
  <c r="E9" i="6"/>
  <c r="F9" i="6"/>
  <c r="G9" i="6"/>
  <c r="D10" i="6"/>
  <c r="E10" i="6"/>
  <c r="F10" i="6"/>
  <c r="G10" i="6"/>
  <c r="D11" i="6"/>
  <c r="E11" i="6"/>
  <c r="F11" i="6"/>
  <c r="G11" i="6"/>
  <c r="C9" i="6"/>
  <c r="C10" i="6"/>
  <c r="C11" i="6"/>
  <c r="C8" i="6"/>
  <c r="K40" i="16" l="1"/>
  <c r="J40" i="16"/>
  <c r="M40" i="16"/>
  <c r="N20" i="16"/>
  <c r="L40" i="16"/>
  <c r="I40" i="16"/>
  <c r="N18" i="16"/>
  <c r="E18" i="16"/>
  <c r="E40" i="16" s="1"/>
  <c r="D20" i="16"/>
  <c r="C20" i="16"/>
  <c r="G20" i="16"/>
  <c r="D18" i="16"/>
  <c r="D40" i="16" s="1"/>
  <c r="E20" i="16"/>
  <c r="F20" i="16"/>
  <c r="F18" i="16"/>
  <c r="F40" i="16" s="1"/>
  <c r="G18" i="16"/>
  <c r="G40" i="16" s="1"/>
  <c r="C18" i="16"/>
  <c r="C40" i="16" s="1"/>
  <c r="J105" i="16"/>
  <c r="J108" i="16"/>
  <c r="J111" i="16"/>
  <c r="J114" i="16"/>
  <c r="J117" i="16"/>
  <c r="I114" i="16"/>
  <c r="E107" i="16"/>
  <c r="G109" i="16"/>
  <c r="D112" i="16"/>
  <c r="F114" i="16"/>
  <c r="C117" i="16"/>
  <c r="D106" i="16"/>
  <c r="G106" i="16"/>
  <c r="L110" i="16"/>
  <c r="D114" i="16"/>
  <c r="I113" i="16"/>
  <c r="K105" i="16"/>
  <c r="K108" i="16"/>
  <c r="K111" i="16"/>
  <c r="K114" i="16"/>
  <c r="K117" i="16"/>
  <c r="I115" i="16"/>
  <c r="F107" i="16"/>
  <c r="C110" i="16"/>
  <c r="E112" i="16"/>
  <c r="G114" i="16"/>
  <c r="D117" i="16"/>
  <c r="L115" i="16"/>
  <c r="G115" i="16"/>
  <c r="I111" i="16"/>
  <c r="I112" i="16"/>
  <c r="D107" i="16"/>
  <c r="L105" i="16"/>
  <c r="L108" i="16"/>
  <c r="L111" i="16"/>
  <c r="L114" i="16"/>
  <c r="L117" i="16"/>
  <c r="I116" i="16"/>
  <c r="G107" i="16"/>
  <c r="D110" i="16"/>
  <c r="F112" i="16"/>
  <c r="C115" i="16"/>
  <c r="E117" i="16"/>
  <c r="L112" i="16"/>
  <c r="E113" i="16"/>
  <c r="K107" i="16"/>
  <c r="F111" i="16"/>
  <c r="C105" i="16"/>
  <c r="C107" i="16"/>
  <c r="F109" i="16"/>
  <c r="M105" i="16"/>
  <c r="M108" i="16"/>
  <c r="M111" i="16"/>
  <c r="M114" i="16"/>
  <c r="M117" i="16"/>
  <c r="I117" i="16"/>
  <c r="C108" i="16"/>
  <c r="E110" i="16"/>
  <c r="G112" i="16"/>
  <c r="D115" i="16"/>
  <c r="F117" i="16"/>
  <c r="L109" i="16"/>
  <c r="F108" i="16"/>
  <c r="K116" i="16"/>
  <c r="L116" i="16"/>
  <c r="M107" i="16"/>
  <c r="E114" i="16"/>
  <c r="J106" i="16"/>
  <c r="J109" i="16"/>
  <c r="J112" i="16"/>
  <c r="J115" i="16"/>
  <c r="I106" i="16"/>
  <c r="I105" i="16"/>
  <c r="D108" i="16"/>
  <c r="F110" i="16"/>
  <c r="C113" i="16"/>
  <c r="E115" i="16"/>
  <c r="G117" i="16"/>
  <c r="L106" i="16"/>
  <c r="C111" i="16"/>
  <c r="E105" i="16"/>
  <c r="D109" i="16"/>
  <c r="L113" i="16"/>
  <c r="F116" i="16"/>
  <c r="M110" i="16"/>
  <c r="G116" i="16"/>
  <c r="K106" i="16"/>
  <c r="K109" i="16"/>
  <c r="K112" i="16"/>
  <c r="K115" i="16"/>
  <c r="I107" i="16"/>
  <c r="C106" i="16"/>
  <c r="E108" i="16"/>
  <c r="G110" i="16"/>
  <c r="D113" i="16"/>
  <c r="F115" i="16"/>
  <c r="D105" i="16"/>
  <c r="I108" i="16"/>
  <c r="K113" i="16"/>
  <c r="E116" i="16"/>
  <c r="E109" i="16"/>
  <c r="M113" i="16"/>
  <c r="C112" i="16"/>
  <c r="M106" i="16"/>
  <c r="M109" i="16"/>
  <c r="M112" i="16"/>
  <c r="M115" i="16"/>
  <c r="I109" i="16"/>
  <c r="E106" i="16"/>
  <c r="G108" i="16"/>
  <c r="D111" i="16"/>
  <c r="F113" i="16"/>
  <c r="C116" i="16"/>
  <c r="F105" i="16"/>
  <c r="J107" i="16"/>
  <c r="J110" i="16"/>
  <c r="J113" i="16"/>
  <c r="J116" i="16"/>
  <c r="I110" i="16"/>
  <c r="F106" i="16"/>
  <c r="C109" i="16"/>
  <c r="E111" i="16"/>
  <c r="G113" i="16"/>
  <c r="D116" i="16"/>
  <c r="G105" i="16"/>
  <c r="K110" i="16"/>
  <c r="C114" i="16"/>
  <c r="L107" i="16"/>
  <c r="G111" i="16"/>
  <c r="M116" i="16"/>
  <c r="D85" i="16"/>
  <c r="E85" i="16"/>
  <c r="F86" i="16"/>
  <c r="G84" i="16"/>
  <c r="E84" i="16"/>
  <c r="E86" i="16"/>
  <c r="D84" i="16"/>
  <c r="F84" i="16"/>
  <c r="C85" i="16"/>
  <c r="G85" i="16"/>
  <c r="D86" i="16"/>
  <c r="F85" i="16"/>
  <c r="C86" i="16"/>
  <c r="G86" i="16"/>
  <c r="C84" i="16"/>
  <c r="N13" i="16"/>
  <c r="N12" i="16"/>
  <c r="G13" i="16"/>
  <c r="C13" i="16"/>
  <c r="D13" i="16"/>
  <c r="F13" i="16"/>
  <c r="E13" i="16"/>
  <c r="H106" i="6"/>
  <c r="N116" i="6"/>
  <c r="H117" i="6"/>
  <c r="N107" i="6"/>
  <c r="H108" i="6"/>
  <c r="N114" i="6"/>
  <c r="N111" i="6"/>
  <c r="H116" i="6"/>
  <c r="N113" i="6"/>
  <c r="H105" i="6"/>
  <c r="N112" i="6"/>
  <c r="N117" i="6"/>
  <c r="N27" i="6"/>
  <c r="N110" i="6"/>
  <c r="H114" i="6"/>
  <c r="N108" i="6"/>
  <c r="H113" i="6"/>
  <c r="H112" i="6"/>
  <c r="N106" i="6"/>
  <c r="H38" i="6"/>
  <c r="H111" i="6"/>
  <c r="H107" i="6"/>
  <c r="H110" i="6"/>
  <c r="N105" i="6"/>
  <c r="N38" i="6"/>
  <c r="N21" i="6"/>
  <c r="N39" i="6"/>
  <c r="H9" i="6"/>
  <c r="N10" i="6"/>
  <c r="H34" i="6"/>
  <c r="N31" i="6"/>
  <c r="N11" i="6"/>
  <c r="N36" i="6"/>
  <c r="N35" i="6"/>
  <c r="N37" i="6"/>
  <c r="H28" i="6"/>
  <c r="H7" i="6"/>
  <c r="N28" i="6"/>
  <c r="N34" i="6"/>
  <c r="H31" i="6"/>
  <c r="N33" i="6"/>
  <c r="N20" i="6"/>
  <c r="N32" i="6"/>
  <c r="N7" i="6"/>
  <c r="N30" i="6"/>
  <c r="H27" i="6"/>
  <c r="N29" i="6"/>
  <c r="N9" i="6"/>
  <c r="N8" i="6"/>
  <c r="H21" i="6"/>
  <c r="H16" i="6"/>
  <c r="H20" i="6"/>
  <c r="H32" i="6"/>
  <c r="H30" i="6"/>
  <c r="H14" i="6"/>
  <c r="H29" i="6"/>
  <c r="H8" i="6"/>
  <c r="H33" i="6"/>
  <c r="H11" i="6"/>
  <c r="H10" i="6"/>
  <c r="H36" i="6"/>
  <c r="H37" i="6"/>
  <c r="H35" i="6"/>
  <c r="H39" i="6"/>
  <c r="G26" i="6"/>
  <c r="F26" i="6"/>
  <c r="E26" i="6"/>
  <c r="C17" i="6"/>
  <c r="G17" i="6"/>
  <c r="E17" i="6"/>
  <c r="F13" i="6"/>
  <c r="C13" i="6"/>
  <c r="C12" i="6"/>
  <c r="E13" i="6"/>
  <c r="D13" i="6"/>
  <c r="D24" i="6"/>
  <c r="F24" i="6"/>
  <c r="G24" i="6"/>
  <c r="C24" i="6"/>
  <c r="F17" i="6"/>
  <c r="G23" i="6"/>
  <c r="E23" i="6"/>
  <c r="D23" i="6"/>
  <c r="I13" i="6"/>
  <c r="M13" i="6"/>
  <c r="L13" i="6"/>
  <c r="G15" i="6"/>
  <c r="M12" i="6"/>
  <c r="D25" i="6"/>
  <c r="C25" i="6"/>
  <c r="E25" i="6"/>
  <c r="F25" i="6"/>
  <c r="G25" i="6"/>
  <c r="K15" i="6"/>
  <c r="L15" i="6"/>
  <c r="M15" i="6"/>
  <c r="I15" i="6"/>
  <c r="J15" i="6"/>
  <c r="C15" i="6"/>
  <c r="E15" i="6"/>
  <c r="E24" i="6"/>
  <c r="K13" i="6"/>
  <c r="D12" i="6"/>
  <c r="I12" i="6"/>
  <c r="E12" i="6"/>
  <c r="J12" i="6"/>
  <c r="F12" i="6"/>
  <c r="K12" i="6"/>
  <c r="G12" i="6"/>
  <c r="L12" i="6"/>
  <c r="L23" i="6"/>
  <c r="M23" i="6"/>
  <c r="I14" i="6"/>
  <c r="K14" i="6"/>
  <c r="L14" i="6"/>
  <c r="M14" i="6"/>
  <c r="M25" i="6"/>
  <c r="L25" i="6"/>
  <c r="M17" i="6"/>
  <c r="K25" i="6"/>
  <c r="J25" i="6"/>
  <c r="L19" i="6"/>
  <c r="M19" i="6"/>
  <c r="K19" i="6"/>
  <c r="J19" i="6"/>
  <c r="I19" i="6"/>
  <c r="I16" i="6"/>
  <c r="J16" i="6"/>
  <c r="K16" i="6"/>
  <c r="L16" i="6"/>
  <c r="M16" i="6"/>
  <c r="M26" i="6"/>
  <c r="L26" i="6"/>
  <c r="I26" i="6"/>
  <c r="K26" i="6"/>
  <c r="J26" i="6"/>
  <c r="K24" i="6"/>
  <c r="L24" i="6"/>
  <c r="I24" i="6"/>
  <c r="M24" i="6"/>
  <c r="J24" i="6"/>
  <c r="K23" i="6"/>
  <c r="J23" i="6"/>
  <c r="I23" i="6"/>
  <c r="K17" i="6"/>
  <c r="J14" i="6"/>
  <c r="I17" i="6"/>
  <c r="L17" i="6"/>
  <c r="G19" i="6"/>
  <c r="E19" i="6"/>
  <c r="C19" i="6"/>
  <c r="D19" i="6"/>
  <c r="F19" i="6"/>
  <c r="G13" i="6"/>
  <c r="N40" i="16" l="1"/>
  <c r="H40" i="16"/>
  <c r="N109" i="16"/>
  <c r="H20" i="16"/>
  <c r="H18" i="16"/>
  <c r="N106" i="16"/>
  <c r="H105" i="16"/>
  <c r="H110" i="16"/>
  <c r="N110" i="16"/>
  <c r="H117" i="16"/>
  <c r="H84" i="16"/>
  <c r="N115" i="16"/>
  <c r="H106" i="16"/>
  <c r="H111" i="16"/>
  <c r="N117" i="16"/>
  <c r="H85" i="16"/>
  <c r="H114" i="16"/>
  <c r="H112" i="16"/>
  <c r="N107" i="16"/>
  <c r="N112" i="16"/>
  <c r="H115" i="16"/>
  <c r="N111" i="16"/>
  <c r="N114" i="16"/>
  <c r="H116" i="16"/>
  <c r="H113" i="16"/>
  <c r="N113" i="16"/>
  <c r="H108" i="16"/>
  <c r="N108" i="16"/>
  <c r="N116" i="16"/>
  <c r="H86" i="16"/>
  <c r="H109" i="16"/>
  <c r="N105" i="16"/>
  <c r="H107" i="16"/>
  <c r="H13" i="16"/>
  <c r="H12" i="16"/>
  <c r="N25" i="6"/>
  <c r="N15" i="6"/>
  <c r="H15" i="6"/>
  <c r="N23" i="6"/>
  <c r="N26" i="6"/>
  <c r="N12" i="6"/>
  <c r="N16" i="6"/>
  <c r="N19" i="6"/>
  <c r="N17" i="6"/>
  <c r="H12" i="6"/>
  <c r="N24" i="6"/>
  <c r="N14" i="6"/>
  <c r="N13" i="6"/>
  <c r="H24" i="6"/>
  <c r="H26" i="6"/>
  <c r="H23" i="6"/>
  <c r="H17" i="6"/>
  <c r="H25" i="6"/>
  <c r="H19" i="6"/>
  <c r="H13" i="6"/>
  <c r="V10" i="13"/>
  <c r="W10" i="13" s="1"/>
  <c r="V9" i="13"/>
  <c r="W9" i="13" s="1"/>
  <c r="V8" i="13"/>
  <c r="W8" i="13" s="1"/>
  <c r="O10" i="13"/>
  <c r="P10" i="13" s="1"/>
  <c r="O9" i="13"/>
  <c r="P9" i="13" s="1"/>
  <c r="O8" i="13"/>
  <c r="P8" i="13" s="1"/>
  <c r="D84" i="6" l="1"/>
  <c r="E84" i="6"/>
  <c r="F84" i="6"/>
  <c r="G84" i="6"/>
  <c r="C84" i="6"/>
  <c r="C85" i="6"/>
  <c r="D18" i="6"/>
  <c r="D40" i="6" s="1"/>
  <c r="D85" i="6"/>
  <c r="C18" i="6"/>
  <c r="E85" i="6"/>
  <c r="F85" i="6"/>
  <c r="G85" i="6"/>
  <c r="C86" i="6"/>
  <c r="D86" i="6"/>
  <c r="E86" i="6"/>
  <c r="F86" i="6"/>
  <c r="G86" i="6"/>
  <c r="G18" i="6"/>
  <c r="G40" i="6" s="1"/>
  <c r="F18" i="6"/>
  <c r="F40" i="6" s="1"/>
  <c r="E18" i="6"/>
  <c r="E40" i="6" s="1"/>
  <c r="I18" i="6"/>
  <c r="M18" i="6"/>
  <c r="M40" i="6" s="1"/>
  <c r="L18" i="6"/>
  <c r="L40" i="6" s="1"/>
  <c r="K18" i="6"/>
  <c r="K40" i="6" s="1"/>
  <c r="J18" i="6"/>
  <c r="J40" i="6" s="1"/>
  <c r="I22" i="6"/>
  <c r="J22" i="6"/>
  <c r="L22" i="6"/>
  <c r="M22" i="6"/>
  <c r="K22" i="6"/>
  <c r="C22" i="6"/>
  <c r="D22" i="6"/>
  <c r="E22" i="6"/>
  <c r="F22" i="6"/>
  <c r="G22" i="6"/>
  <c r="M6" i="1"/>
  <c r="N6" i="1" s="1"/>
  <c r="U6" i="1"/>
  <c r="V6" i="1" s="1"/>
  <c r="M7" i="1"/>
  <c r="N7" i="1" s="1"/>
  <c r="U7" i="1"/>
  <c r="V7" i="1" s="1"/>
  <c r="M8" i="1"/>
  <c r="N8" i="1" s="1"/>
  <c r="U8" i="1"/>
  <c r="V8" i="1" s="1"/>
  <c r="M9" i="1"/>
  <c r="N9" i="1" s="1"/>
  <c r="U9" i="1"/>
  <c r="V9" i="1" s="1"/>
  <c r="M10" i="1"/>
  <c r="N10" i="1" s="1"/>
  <c r="U10" i="1"/>
  <c r="V10" i="1" s="1"/>
  <c r="M11" i="1"/>
  <c r="N11" i="1" s="1"/>
  <c r="U11" i="1"/>
  <c r="V11" i="1" s="1"/>
  <c r="M12" i="1"/>
  <c r="N12" i="1" s="1"/>
  <c r="U12" i="1"/>
  <c r="V12" i="1" s="1"/>
  <c r="M13" i="1"/>
  <c r="N13" i="1" s="1"/>
  <c r="U13" i="1"/>
  <c r="V13" i="1" s="1"/>
  <c r="M14" i="1"/>
  <c r="N14" i="1" s="1"/>
  <c r="U14" i="1"/>
  <c r="V14" i="1" s="1"/>
  <c r="M15" i="1"/>
  <c r="N15" i="1" s="1"/>
  <c r="U15" i="1"/>
  <c r="V15" i="1" s="1"/>
  <c r="M16" i="1"/>
  <c r="N16" i="1" s="1"/>
  <c r="U16" i="1"/>
  <c r="V16" i="1" s="1"/>
  <c r="H18" i="6" l="1"/>
  <c r="N22" i="6"/>
  <c r="N18" i="6"/>
  <c r="H22" i="6"/>
  <c r="I40" i="6"/>
  <c r="N40" i="6" s="1"/>
  <c r="C40" i="6"/>
  <c r="H40" i="6" s="1"/>
  <c r="H84" i="6"/>
  <c r="H85" i="6"/>
  <c r="H86" i="6"/>
</calcChain>
</file>

<file path=xl/sharedStrings.xml><?xml version="1.0" encoding="utf-8"?>
<sst xmlns="http://schemas.openxmlformats.org/spreadsheetml/2006/main" count="4138" uniqueCount="1119">
  <si>
    <t>İmza</t>
  </si>
  <si>
    <t>Ad Soyad</t>
  </si>
  <si>
    <t>Hiçbir kontrol önlemi yok</t>
  </si>
  <si>
    <t>KKD Kullanımı</t>
  </si>
  <si>
    <t>Risk Seviyesi</t>
  </si>
  <si>
    <t>Risk
Puanı</t>
  </si>
  <si>
    <t>Şiddet</t>
  </si>
  <si>
    <t>Frekans</t>
  </si>
  <si>
    <t>Olasılık</t>
  </si>
  <si>
    <t>Alınacak Önlemler</t>
  </si>
  <si>
    <t>İdari Kontrol</t>
  </si>
  <si>
    <t>İlgili Mevzuat/Doküman</t>
  </si>
  <si>
    <t>Sonuç</t>
  </si>
  <si>
    <t>İyileştirme Sonrası Görsel</t>
  </si>
  <si>
    <t>İYİLEŞTİRME</t>
  </si>
  <si>
    <t>Termin</t>
  </si>
  <si>
    <t>İyileştirme Sorumlusu</t>
  </si>
  <si>
    <t>MEVCUT</t>
  </si>
  <si>
    <r>
      <t xml:space="preserve">Mevcut Durum 
</t>
    </r>
    <r>
      <rPr>
        <b/>
        <sz val="10"/>
        <rFont val="Tahoma"/>
        <family val="2"/>
        <charset val="162"/>
      </rPr>
      <t>(Tespit edilen riske ilişkin mevcut önlemler)</t>
    </r>
  </si>
  <si>
    <t>Riskten Etkilenecek Kişiler</t>
  </si>
  <si>
    <r>
      <rPr>
        <b/>
        <sz val="12"/>
        <rFont val="Tahoma"/>
        <family val="2"/>
        <charset val="162"/>
      </rPr>
      <t xml:space="preserve">Sonuç/ </t>
    </r>
    <r>
      <rPr>
        <b/>
        <strike/>
        <sz val="12"/>
        <rFont val="Tahoma"/>
        <family val="2"/>
        <charset val="162"/>
      </rPr>
      <t xml:space="preserve">
</t>
    </r>
    <r>
      <rPr>
        <b/>
        <sz val="12"/>
        <rFont val="Tahoma"/>
        <family val="2"/>
        <charset val="162"/>
      </rPr>
      <t>Olası Etki Zarar</t>
    </r>
  </si>
  <si>
    <t>Risk</t>
  </si>
  <si>
    <t>Tehlike Görseli</t>
  </si>
  <si>
    <t>Tehlike</t>
  </si>
  <si>
    <t xml:space="preserve">Faaliyet </t>
  </si>
  <si>
    <t>Tehlike Modülü</t>
  </si>
  <si>
    <t>No</t>
  </si>
  <si>
    <t>Mühendislik kontrolü</t>
  </si>
  <si>
    <t>Fine-Kinney Metodu</t>
  </si>
  <si>
    <t xml:space="preserve">Kullanılan Metod </t>
  </si>
  <si>
    <t xml:space="preserve">İşyeri Unvanı, Adresi   </t>
  </si>
  <si>
    <t>Tehlikenin ortadan kaldırılması</t>
  </si>
  <si>
    <t xml:space="preserve">Geçerlilik Tarihi </t>
  </si>
  <si>
    <t>Risk Değ. GüncellemeTarihi</t>
  </si>
  <si>
    <t xml:space="preserve">Değerlendirilen Bölüm  </t>
  </si>
  <si>
    <t>ŞİDDET</t>
  </si>
  <si>
    <t>FREKANS</t>
  </si>
  <si>
    <t>OLASILIK</t>
  </si>
  <si>
    <t>TEHLİKE BELİRLEME VE RİSK DEĞERLENDİRME TABLOSU (FINE KINNEY METODU)</t>
  </si>
  <si>
    <t>İŞVEREN/ VEKİLİ</t>
  </si>
  <si>
    <t>İŞ GÜVNLİĞİ UZMANI (LARI)</t>
  </si>
  <si>
    <t>İŞ YERİ HEKİMİ</t>
  </si>
  <si>
    <t>BAŞ ÇALIŞAN TEMSİLCİSİ</t>
  </si>
  <si>
    <t>DESTEK ELEMAN</t>
  </si>
  <si>
    <t>KALİTE YÖNETİCİSİ</t>
  </si>
  <si>
    <t>DİĞER KATILIMCILAR / DİĞER EKİP ÜYELERİ (Ad Soyadı, Görevi, İmza)</t>
  </si>
  <si>
    <r>
      <rPr>
        <b/>
        <sz val="12"/>
        <color indexed="8"/>
        <rFont val="Tahoma"/>
        <family val="2"/>
        <charset val="162"/>
      </rPr>
      <t>2. YASAL DAYANAK</t>
    </r>
    <r>
      <rPr>
        <sz val="12"/>
        <color indexed="8"/>
        <rFont val="Tahoma"/>
        <family val="2"/>
        <charset val="162"/>
      </rPr>
      <t xml:space="preserve">
Bu Risk değerlendirme raporu ; “6331 Sayılı İş Sağlığı Ve Güvenliği Kanunu” kapsamında 29.12.2012 tarih ve 28512 sayılı Rsmi Gazetede yayınlanmış olan ''İş Sağlığı Ve Güvenliği Risk Değerlendirmesi Yönetmeliği'' gereğince hazırlanmıştır.
</t>
    </r>
    <r>
      <rPr>
        <b/>
        <sz val="12"/>
        <color indexed="8"/>
        <rFont val="Tahoma"/>
        <family val="2"/>
        <charset val="162"/>
      </rPr>
      <t xml:space="preserve">
</t>
    </r>
    <r>
      <rPr>
        <sz val="12"/>
        <color indexed="8"/>
        <rFont val="Tahoma"/>
        <family val="2"/>
        <charset val="162"/>
      </rPr>
      <t xml:space="preserve">
</t>
    </r>
  </si>
  <si>
    <t>ÖZEL ……………….. HASTANESİ</t>
  </si>
  <si>
    <t xml:space="preserve">HAZIRLAMA Tarihi EKLENECEK </t>
  </si>
  <si>
    <r>
      <rPr>
        <b/>
        <sz val="12"/>
        <color indexed="8"/>
        <rFont val="Tahoma"/>
        <family val="2"/>
        <charset val="162"/>
      </rPr>
      <t>1.AMAÇ</t>
    </r>
    <r>
      <rPr>
        <sz val="12"/>
        <color indexed="8"/>
        <rFont val="Tahoma"/>
        <family val="2"/>
        <charset val="162"/>
      </rPr>
      <t xml:space="preserve">
Risklerin değerlendirilmesinde temel amaç, çalışanların, hasta ve yakınlarının, ziyaretçilerin, diğer kişilerin sağlığının korunması ve güvenliklerinin sağlanmasıdır. Risk değerlendirme, işle ilgili faaliyetlerden kaynaklanan ve etkilenecek kişilere ve çevreye olabilecek olası zararların en aza indirilmesine yardım eder.
Bu kapsamda bu çalışmanın amacı .............................................. SAĞLIK HİZMETLERİ LTD. ŞTİ. Bünyesindeki ÖZEL ................................................................... HASTANESİ’ nde yapılan faaliyetlerin İş Sağlığı ve Güvenliği (İSG) açısından tehlikelerini ve riskleri tanımlamak, ortadan kaldırmak ve/veya azaltmak amacıyla gerekli tedbirleri belirlemektir. Risk değerlendirmesi sonucunda, işyerindeki gözlemlenen faaliyetlerindeki tehlikelerin neler olduğu ve kaza olma olasılığı ile olası kazaların boyutu/büyüklüğü hakkında bilgi sahibi olunacaktır.
</t>
    </r>
  </si>
  <si>
    <r>
      <rPr>
        <b/>
        <sz val="12"/>
        <color indexed="8"/>
        <rFont val="Tahoma"/>
        <family val="2"/>
        <charset val="162"/>
      </rPr>
      <t>4. GEÇERLİLİK TARİHİ</t>
    </r>
    <r>
      <rPr>
        <sz val="12"/>
        <color indexed="8"/>
        <rFont val="Tahoma"/>
        <family val="2"/>
        <charset val="162"/>
      </rPr>
      <t xml:space="preserve">
Hastanemiz risk değerlendirmesi .............................. tarihi itibari ile yapılmış olup 
İş Sağlığı ve Güvenliği Risk Değerlendirmesi Yönetmeliğinin 12. Maddesinin 2. bendinde belirtilen durumlar olması durumunda yenilenir.
Bu durumların olmaması durumunda da yine yönetmeliğin aynı maddesinin 1. bendine göre çok tehlikeli sınıfta olması sebebi ile ......................... yılına kadar geçerlidir.
</t>
    </r>
    <r>
      <rPr>
        <b/>
        <sz val="12"/>
        <color indexed="8"/>
        <rFont val="Tahoma"/>
        <family val="2"/>
        <charset val="162"/>
      </rPr>
      <t xml:space="preserve">
</t>
    </r>
    <r>
      <rPr>
        <sz val="12"/>
        <color indexed="8"/>
        <rFont val="Tahoma"/>
        <family val="2"/>
        <charset val="162"/>
      </rPr>
      <t xml:space="preserve">
</t>
    </r>
  </si>
  <si>
    <r>
      <rPr>
        <b/>
        <sz val="12"/>
        <color indexed="8"/>
        <rFont val="Tahoma"/>
        <family val="2"/>
        <charset val="162"/>
      </rPr>
      <t xml:space="preserve">5. RİSK DEĞERLENDİRME EKİBİ
</t>
    </r>
    <r>
      <rPr>
        <sz val="12"/>
        <color indexed="8"/>
        <rFont val="Tahoma"/>
        <family val="2"/>
        <charset val="162"/>
      </rPr>
      <t xml:space="preserve">İş Sağlığı Ve Güvenliği Risk Değerlendirmesi Yönetmeliğinin 6. maddesine göre İşyerlerinde Risk Değerlendirmesi işverenin oluşturduğu bir ekip tarafından gerçekleştirilir.
Bu kapsamda hastanemiz Risk Değerlendirme çalışmasında görevli kişiler de belirlenmiştir.
Bunlar;
</t>
    </r>
    <r>
      <rPr>
        <b/>
        <u/>
        <sz val="12"/>
        <color indexed="8"/>
        <rFont val="Tahoma"/>
        <family val="2"/>
        <charset val="162"/>
      </rPr>
      <t>ADI SOYADI</t>
    </r>
    <r>
      <rPr>
        <sz val="12"/>
        <color indexed="8"/>
        <rFont val="Tahoma"/>
        <family val="2"/>
        <charset val="162"/>
      </rPr>
      <t xml:space="preserve">           </t>
    </r>
    <r>
      <rPr>
        <b/>
        <u/>
        <sz val="12"/>
        <color indexed="8"/>
        <rFont val="Tahoma"/>
        <family val="2"/>
        <charset val="162"/>
      </rPr>
      <t>GÖREVİ</t>
    </r>
    <r>
      <rPr>
        <sz val="12"/>
        <color indexed="8"/>
        <rFont val="Tahoma"/>
        <family val="2"/>
        <charset val="162"/>
      </rPr>
      <t xml:space="preserve">
</t>
    </r>
    <r>
      <rPr>
        <b/>
        <sz val="12"/>
        <color indexed="8"/>
        <rFont val="Tahoma"/>
        <family val="2"/>
        <charset val="162"/>
      </rPr>
      <t xml:space="preserve">
6. KULLANILAN YÖNTEM VE UYGULAMA</t>
    </r>
    <r>
      <rPr>
        <sz val="12"/>
        <color indexed="8"/>
        <rFont val="Tahoma"/>
        <family val="2"/>
        <charset val="162"/>
      </rPr>
      <t xml:space="preserve">
Risk değerlendirmesinde riskin büyüklüğünün hesaplanarak riskin kabul edilebilir olup olmadığına karar verilmelidir. Bunun belirlenmesi içinde kullanılan uluslararası risk değerlendirme metodları vardır. 
Bu çalışmada </t>
    </r>
    <r>
      <rPr>
        <b/>
        <sz val="12"/>
        <color indexed="8"/>
        <rFont val="Tahoma"/>
        <family val="2"/>
        <charset val="162"/>
      </rPr>
      <t>FİNE KİNNEY</t>
    </r>
    <r>
      <rPr>
        <sz val="12"/>
        <color indexed="8"/>
        <rFont val="Tahoma"/>
        <family val="2"/>
        <charset val="162"/>
      </rPr>
      <t xml:space="preserve"> Risk değerlendirme metodu uygulanmıştır.
Risk derecelendirme esasları aşağıdaki gibidir.
RİSK PUANI: OLASILIK X FREKANS X ŞİDDET
Risk Puanı, olasılık, frekans ve şiddet puanları çarpılarak bulunur.
Hastanemiz risk değerlendirme çalışmalarında kullanılan yöntem ve uygulamaya ilişkin detaylar </t>
    </r>
    <r>
      <rPr>
        <b/>
        <sz val="12"/>
        <color indexed="8"/>
        <rFont val="Tahoma"/>
        <family val="2"/>
        <charset val="162"/>
      </rPr>
      <t>"İSG-P02 Tehlike Belirleme ve Risk Değerlendirme Prosedürü"</t>
    </r>
    <r>
      <rPr>
        <sz val="12"/>
        <color indexed="8"/>
        <rFont val="Tahoma"/>
        <family val="2"/>
        <charset val="162"/>
      </rPr>
      <t xml:space="preserve">nde anlatılmaktadır.
</t>
    </r>
    <r>
      <rPr>
        <b/>
        <sz val="12"/>
        <color indexed="8"/>
        <rFont val="Tahoma"/>
        <family val="2"/>
        <charset val="162"/>
      </rPr>
      <t xml:space="preserve">
</t>
    </r>
    <r>
      <rPr>
        <sz val="12"/>
        <color indexed="8"/>
        <rFont val="Tahoma"/>
        <family val="2"/>
        <charset val="162"/>
      </rPr>
      <t xml:space="preserve">
</t>
    </r>
  </si>
  <si>
    <r>
      <rPr>
        <b/>
        <sz val="12"/>
        <color indexed="8"/>
        <rFont val="Tahoma"/>
        <family val="2"/>
        <charset val="162"/>
      </rPr>
      <t>3. İŞYERİ TANITIMI</t>
    </r>
    <r>
      <rPr>
        <sz val="12"/>
        <color indexed="8"/>
        <rFont val="Tahoma"/>
        <family val="2"/>
        <charset val="162"/>
      </rPr>
      <t xml:space="preserve">
Hastane olarak hizmet vermekte olan Özel ...................................................................Hastanesi, ..................................................................... Ltd. Şti ' ye bağlı bir kuruluştur. 
Acil servis, Ambulans Hizmetleri, Poliklinikler, Yoğun Bakım Üniteleri, Ameliyathane ve Hasta servisleri ile bir çok konuda sağlık hizmeti vermektedir.
Adres olarak .................................................................................................' de bulunmaktadır.
İşveren Vekili ..........................................' dır.
</t>
    </r>
    <r>
      <rPr>
        <b/>
        <sz val="12"/>
        <color indexed="8"/>
        <rFont val="Tahoma"/>
        <family val="2"/>
        <charset val="162"/>
      </rPr>
      <t xml:space="preserve">
</t>
    </r>
    <r>
      <rPr>
        <sz val="12"/>
        <color indexed="8"/>
        <rFont val="Tahoma"/>
        <family val="2"/>
        <charset val="162"/>
      </rPr>
      <t xml:space="preserve">
</t>
    </r>
  </si>
  <si>
    <t>Yangın Güvenliği</t>
  </si>
  <si>
    <t>Emniyet</t>
  </si>
  <si>
    <t>Altyapı Sistemleri</t>
  </si>
  <si>
    <t>Acil Durum ve Afet Yönetimi</t>
  </si>
  <si>
    <t>İnşaat ve Renovasyon</t>
  </si>
  <si>
    <t>Mevcut Durum</t>
  </si>
  <si>
    <t>Toplam</t>
  </si>
  <si>
    <t>İyileştirme Sonrası</t>
  </si>
  <si>
    <t>Düşük Risk</t>
  </si>
  <si>
    <t>Olası Risk</t>
  </si>
  <si>
    <t>Önemli Risk</t>
  </si>
  <si>
    <t>Yüksek Risk</t>
  </si>
  <si>
    <t>Kabul Edilemez Risk</t>
  </si>
  <si>
    <t>Yemekhane</t>
  </si>
  <si>
    <t>Kazan Dairesi</t>
  </si>
  <si>
    <t>Ana Dağıtım Panosu</t>
  </si>
  <si>
    <t>Çatı</t>
  </si>
  <si>
    <t>Teknik Alanlar</t>
  </si>
  <si>
    <t>Ameliyathane</t>
  </si>
  <si>
    <t>Eczane</t>
  </si>
  <si>
    <t>Üst Yönetim</t>
  </si>
  <si>
    <t>Toplanma Alanı</t>
  </si>
  <si>
    <t>Medikal Gaz Odası</t>
  </si>
  <si>
    <t>Depo</t>
  </si>
  <si>
    <t>OLASILIK DEĞERİ</t>
  </si>
  <si>
    <t>Beklenir, kesin</t>
  </si>
  <si>
    <t>Yüksek, oldukça mümkün</t>
  </si>
  <si>
    <r>
      <t xml:space="preserve">ŞANS
</t>
    </r>
    <r>
      <rPr>
        <sz val="11"/>
        <color theme="0"/>
        <rFont val="Tahoma"/>
        <family val="2"/>
        <charset val="162"/>
      </rPr>
      <t>zararın gerçekleşme olasılığı</t>
    </r>
  </si>
  <si>
    <t>Olası</t>
  </si>
  <si>
    <t>Mümkün fakat düşük</t>
  </si>
  <si>
    <t>Beklenmez fakat mümkün</t>
  </si>
  <si>
    <t>Beklenmez</t>
  </si>
  <si>
    <t>FREKANS DEĞERİ</t>
  </si>
  <si>
    <r>
      <t xml:space="preserve">FREKANS
</t>
    </r>
    <r>
      <rPr>
        <sz val="11"/>
        <color theme="0"/>
        <rFont val="Tahoma"/>
        <family val="2"/>
        <charset val="162"/>
      </rPr>
      <t>tehlikeye zaman içinde maruz kalma tekrarı</t>
    </r>
  </si>
  <si>
    <t>Çok Seyrek 
(yılda bir veya daha seyrek)</t>
  </si>
  <si>
    <t>Seyrek
(yılda birkaç defa)</t>
  </si>
  <si>
    <t>Sık Değil
(ayda bir veya birkaç defa)</t>
  </si>
  <si>
    <t>Ara Sıra
(haftada bir veya birkaç defa)</t>
  </si>
  <si>
    <t>Sık 
(günde bir veya birkaç defa)</t>
  </si>
  <si>
    <t>Hemen Hemen Sürekli
(bir saatte birkaç defa)</t>
  </si>
  <si>
    <t>ŞİDDET DEĞERİ</t>
  </si>
  <si>
    <r>
      <t xml:space="preserve">ŞİDDET
</t>
    </r>
    <r>
      <rPr>
        <sz val="11"/>
        <color theme="0"/>
        <rFont val="Tahoma"/>
        <family val="2"/>
        <charset val="162"/>
      </rPr>
      <t>insan ve/veya çevre üzerinde yaratacağı tahmini zarar</t>
    </r>
  </si>
  <si>
    <r>
      <rPr>
        <sz val="11"/>
        <color rgb="FFFF0000"/>
        <rFont val="Tahoma"/>
        <family val="2"/>
        <charset val="162"/>
      </rPr>
      <t>Küçük Hasar/Yaralanma, Dahili İlk Yardım</t>
    </r>
    <r>
      <rPr>
        <sz val="11"/>
        <color theme="1"/>
        <rFont val="Tahoma"/>
        <family val="2"/>
        <charset val="162"/>
      </rPr>
      <t xml:space="preserve"> / </t>
    </r>
    <r>
      <rPr>
        <sz val="11"/>
        <color rgb="FF00B050"/>
        <rFont val="Tahoma"/>
        <family val="2"/>
        <charset val="162"/>
      </rPr>
      <t>Arazi İçinde Sınırlı Çevresel Zarar</t>
    </r>
  </si>
  <si>
    <r>
      <rPr>
        <sz val="11"/>
        <color rgb="FFFF0000"/>
        <rFont val="Tahoma"/>
        <family val="2"/>
        <charset val="162"/>
      </rPr>
      <t>Birden Fazla Ölümlü Kaza</t>
    </r>
    <r>
      <rPr>
        <sz val="11"/>
        <color theme="1"/>
        <rFont val="Tahoma"/>
        <family val="2"/>
        <charset val="162"/>
      </rPr>
      <t xml:space="preserve"> /</t>
    </r>
    <r>
      <rPr>
        <sz val="11"/>
        <color rgb="FF00B050"/>
        <rFont val="Tahoma"/>
        <family val="2"/>
        <charset val="162"/>
      </rPr>
      <t xml:space="preserve"> Çevresel Felaket</t>
    </r>
  </si>
  <si>
    <r>
      <rPr>
        <sz val="11"/>
        <color rgb="FFFF0000"/>
        <rFont val="Tahoma"/>
        <family val="2"/>
        <charset val="162"/>
      </rPr>
      <t>Öldürücü Kaza</t>
    </r>
    <r>
      <rPr>
        <sz val="11"/>
        <color theme="1"/>
        <rFont val="Tahoma"/>
        <family val="2"/>
        <charset val="162"/>
      </rPr>
      <t xml:space="preserve"> / </t>
    </r>
    <r>
      <rPr>
        <sz val="11"/>
        <color rgb="FF00B050"/>
        <rFont val="Tahoma"/>
        <family val="2"/>
        <charset val="162"/>
      </rPr>
      <t>Ciddi Çevresel Zarar</t>
    </r>
  </si>
  <si>
    <r>
      <rPr>
        <sz val="11"/>
        <color rgb="FFFF0000"/>
        <rFont val="Tahoma"/>
        <family val="2"/>
        <charset val="162"/>
      </rPr>
      <t>Kalıcı Hasar - Yaralanma, İş Kaybı</t>
    </r>
    <r>
      <rPr>
        <sz val="11"/>
        <color theme="1"/>
        <rFont val="Tahoma"/>
        <family val="2"/>
        <charset val="162"/>
      </rPr>
      <t xml:space="preserve"> / </t>
    </r>
    <r>
      <rPr>
        <sz val="11"/>
        <color rgb="FF00B050"/>
        <rFont val="Tahoma"/>
        <family val="2"/>
        <charset val="162"/>
      </rPr>
      <t>Çevresel Engel Oluşturma, Yakın Çevreden Şikayet</t>
    </r>
  </si>
  <si>
    <r>
      <rPr>
        <sz val="11"/>
        <color rgb="FFFF0000"/>
        <rFont val="Tahoma"/>
        <family val="2"/>
        <charset val="162"/>
      </rPr>
      <t>Önemli Hasar / Yaralanma, Dış İlkyardım İhtiyacı</t>
    </r>
    <r>
      <rPr>
        <sz val="11"/>
        <color theme="1"/>
        <rFont val="Tahoma"/>
        <family val="2"/>
        <charset val="162"/>
      </rPr>
      <t xml:space="preserve"> / </t>
    </r>
    <r>
      <rPr>
        <sz val="11"/>
        <color rgb="FF00B050"/>
        <rFont val="Tahoma"/>
        <family val="2"/>
        <charset val="162"/>
      </rPr>
      <t>Arazi Sınırları Dışında Çevresel Zarar</t>
    </r>
  </si>
  <si>
    <r>
      <rPr>
        <sz val="11"/>
        <color rgb="FFFF0000"/>
        <rFont val="Tahoma"/>
        <family val="2"/>
        <charset val="162"/>
      </rPr>
      <t>Ucuz Atlatma</t>
    </r>
    <r>
      <rPr>
        <sz val="11"/>
        <color theme="1"/>
        <rFont val="Tahoma"/>
        <family val="2"/>
        <charset val="162"/>
      </rPr>
      <t xml:space="preserve"> / </t>
    </r>
    <r>
      <rPr>
        <sz val="11"/>
        <color rgb="FF00B050"/>
        <rFont val="Tahoma"/>
        <family val="2"/>
        <charset val="162"/>
      </rPr>
      <t>Çevresel Zarar Yok</t>
    </r>
  </si>
  <si>
    <t>RİSK DEĞERLENDİRME SONUCU</t>
  </si>
  <si>
    <t>RİSK DEĞERİ</t>
  </si>
  <si>
    <t>400 &lt; R</t>
  </si>
  <si>
    <t>200 &lt; R &lt; 400</t>
  </si>
  <si>
    <t>70 &lt; R &lt; 200</t>
  </si>
  <si>
    <t>20 &lt; R &lt;  70</t>
  </si>
  <si>
    <r>
      <rPr>
        <b/>
        <sz val="11"/>
        <color rgb="FFC00000"/>
        <rFont val="Tahoma"/>
        <family val="2"/>
        <charset val="162"/>
      </rPr>
      <t>Tolerans Gösterilemez Risk</t>
    </r>
    <r>
      <rPr>
        <sz val="11"/>
        <rFont val="Tahoma"/>
        <family val="2"/>
        <charset val="162"/>
      </rPr>
      <t xml:space="preserve">
(hemen gerekli önlemler alınmalı / veya tesis, bina, çevrenin kapatılması düşünülmelidir)</t>
    </r>
  </si>
  <si>
    <r>
      <rPr>
        <b/>
        <sz val="11"/>
        <color rgb="FFFF0000"/>
        <rFont val="Tahoma"/>
        <family val="2"/>
        <charset val="162"/>
      </rPr>
      <t>Yüksek Risk</t>
    </r>
    <r>
      <rPr>
        <sz val="11"/>
        <rFont val="Tahoma"/>
        <family val="2"/>
        <charset val="162"/>
      </rPr>
      <t xml:space="preserve">
(kısa dönemde iyileştirilmelidir (birkaç ay içinde))</t>
    </r>
  </si>
  <si>
    <r>
      <rPr>
        <b/>
        <sz val="11"/>
        <color theme="9"/>
        <rFont val="Tahoma"/>
        <family val="2"/>
        <charset val="162"/>
      </rPr>
      <t>Önemli Risk</t>
    </r>
    <r>
      <rPr>
        <sz val="11"/>
        <rFont val="Tahoma"/>
        <family val="2"/>
        <charset val="162"/>
      </rPr>
      <t xml:space="preserve">
(uzun dönemde iyileştirilmelidir (yıl içinde))</t>
    </r>
  </si>
  <si>
    <r>
      <rPr>
        <b/>
        <sz val="11"/>
        <color rgb="FFFFFF00"/>
        <rFont val="Tahoma"/>
        <family val="2"/>
        <charset val="162"/>
      </rPr>
      <t>Olası Risk</t>
    </r>
    <r>
      <rPr>
        <sz val="11"/>
        <rFont val="Tahoma"/>
        <family val="2"/>
        <charset val="162"/>
      </rPr>
      <t xml:space="preserve">
(gözetim altında uygulanmalıdır)</t>
    </r>
  </si>
  <si>
    <r>
      <rPr>
        <b/>
        <sz val="11"/>
        <color rgb="FF00B050"/>
        <rFont val="Tahoma"/>
        <family val="2"/>
        <charset val="162"/>
      </rPr>
      <t>Önemsiz Risk</t>
    </r>
    <r>
      <rPr>
        <sz val="11"/>
        <rFont val="Tahoma"/>
        <family val="2"/>
        <charset val="162"/>
      </rPr>
      <t xml:space="preserve">
(önlem öncelikli değildir)</t>
    </r>
  </si>
  <si>
    <t>Acil Servis</t>
  </si>
  <si>
    <t>Merkezi Sterilizasyon Ünitesi</t>
  </si>
  <si>
    <t>Endoskopi</t>
  </si>
  <si>
    <t>İdari Ofisler</t>
  </si>
  <si>
    <t>Mutfak</t>
  </si>
  <si>
    <t>Yoğun Bakım (Erişkin)</t>
  </si>
  <si>
    <t>Yoğun Bakım (Yenidoğan)</t>
  </si>
  <si>
    <t>Yoğun Bakım (Pediatrik)</t>
  </si>
  <si>
    <t>Yoğun Bakım (KVC)</t>
  </si>
  <si>
    <t>Yoğun Bakım (NICU)</t>
  </si>
  <si>
    <t>Tıbbi Hizmetler</t>
  </si>
  <si>
    <t>Yönetsel Hizmetler</t>
  </si>
  <si>
    <t>Tesis Güvenliği</t>
  </si>
  <si>
    <t>Çevre Güvenliği</t>
  </si>
  <si>
    <t>İş Sağlığı ve Güvenliği</t>
  </si>
  <si>
    <t>Tüp Bebek (IVF)</t>
  </si>
  <si>
    <t>Laboratuvar (Mikrobiyoloji)</t>
  </si>
  <si>
    <t>Laboratuvar (Patoloji)</t>
  </si>
  <si>
    <t>Laboratuvar (Biyokimya)</t>
  </si>
  <si>
    <t>Otopark (Açık)</t>
  </si>
  <si>
    <t>Otopark (Kapalı)</t>
  </si>
  <si>
    <t>Laboratuvar (PCR)</t>
  </si>
  <si>
    <t>Transfüzyon Merkezi</t>
  </si>
  <si>
    <t>Kan Alma</t>
  </si>
  <si>
    <t>Santral / Çağrı Merkezi</t>
  </si>
  <si>
    <t>Radyoloji</t>
  </si>
  <si>
    <t>Nükleer Tıp</t>
  </si>
  <si>
    <t>Girişimsel Radyoloji</t>
  </si>
  <si>
    <t>CCTV Odası</t>
  </si>
  <si>
    <t>Server Odası</t>
  </si>
  <si>
    <t>Radyasyon Onkolojisi</t>
  </si>
  <si>
    <t>Organ Nakli</t>
  </si>
  <si>
    <t>Morg</t>
  </si>
  <si>
    <t>Arşiv</t>
  </si>
  <si>
    <t>Doğumhane</t>
  </si>
  <si>
    <t>Risk Değ. Güncelleme Tarihi</t>
  </si>
  <si>
    <t>Mevcut Risk Skoru</t>
  </si>
  <si>
    <t>İyileştirme Sonrası Risk Skoru</t>
  </si>
  <si>
    <t xml:space="preserve">
</t>
  </si>
  <si>
    <t>Açıklama</t>
  </si>
  <si>
    <t>Alınacak Önlemler / İyileştirici Faaliyet</t>
  </si>
  <si>
    <t>İyileştirme Kontrol Sorumlusu</t>
  </si>
  <si>
    <t>Faaliyet</t>
  </si>
  <si>
    <t>Alan</t>
  </si>
  <si>
    <t>Ambalaj Atık</t>
  </si>
  <si>
    <t>Evsel Atık</t>
  </si>
  <si>
    <t>Radyoaktif Atık</t>
  </si>
  <si>
    <t>Tehlikeli Atık</t>
  </si>
  <si>
    <t>Tıbbi Atık</t>
  </si>
  <si>
    <t>Atık Alanı</t>
  </si>
  <si>
    <t>Bilgi Sistemleri</t>
  </si>
  <si>
    <t>Biyomedikal</t>
  </si>
  <si>
    <t>Ofis</t>
  </si>
  <si>
    <t>Servis</t>
  </si>
  <si>
    <t>Saha</t>
  </si>
  <si>
    <t>Kırmızı Alan</t>
  </si>
  <si>
    <t>Sarı Alan</t>
  </si>
  <si>
    <t>Yeşil Alan</t>
  </si>
  <si>
    <t>Müşahade Alanı</t>
  </si>
  <si>
    <t>Çocuk Müşahade Alanı</t>
  </si>
  <si>
    <t>Banko</t>
  </si>
  <si>
    <t>WC</t>
  </si>
  <si>
    <t>İlaç Deposu</t>
  </si>
  <si>
    <t>Risk Kategorisi
(JCI)</t>
  </si>
  <si>
    <t>TEHLİKE BELİRLEME VE RİSK DEĞERLENDİRME TABLOSU (MATRIS METODU)</t>
  </si>
  <si>
    <t>FINE KINNEY METODU
(Risk Skoru=Olasılık x Frekans x Şiddet)</t>
  </si>
  <si>
    <t>5x5 MATRIS METODU
(Risk Skoru=Olasılık x Şiddet)</t>
  </si>
  <si>
    <r>
      <t xml:space="preserve">OLASILIK
</t>
    </r>
    <r>
      <rPr>
        <sz val="11"/>
        <color theme="0"/>
        <rFont val="Tahoma"/>
        <family val="2"/>
        <charset val="162"/>
      </rPr>
      <t>zararın gerçekleşme olasılığı</t>
    </r>
  </si>
  <si>
    <t>DERECELENDİRME</t>
  </si>
  <si>
    <t>Çok Küçük</t>
  </si>
  <si>
    <t>Küçük</t>
  </si>
  <si>
    <t>Orta</t>
  </si>
  <si>
    <t>Yüksek</t>
  </si>
  <si>
    <t>Çok Yüksek</t>
  </si>
  <si>
    <t>Çok az (yılda bir kez), sadece anormal durumlarda</t>
  </si>
  <si>
    <t>Çok sıklıkla (haftada bir, her gün), normal çalışma şartlarında</t>
  </si>
  <si>
    <t>Çok Hafif</t>
  </si>
  <si>
    <t>Hafif</t>
  </si>
  <si>
    <t>Ciddi</t>
  </si>
  <si>
    <t>Çok Ciddi</t>
  </si>
  <si>
    <t>İş saati kaybı yok, hemen giderilebilen, ilk yardım gerektiren</t>
  </si>
  <si>
    <t>İş günü kaybı yok, kalıcı etkisi olmayan ayakta tedavi</t>
  </si>
  <si>
    <t>Hafif yaralanma, yatarak tedavi/yaralanma</t>
  </si>
  <si>
    <t>Ciddi yaralanma, uzun süreli tedavi, meslek hastalığı</t>
  </si>
  <si>
    <t>Ölüm, sürekli iş göremezlik</t>
  </si>
  <si>
    <t>5x5 L TİPİ MATRİS DEĞERLENDİRMESİ</t>
  </si>
  <si>
    <t>5-Çok Yüksek</t>
  </si>
  <si>
    <t>1-Çok Küçük</t>
  </si>
  <si>
    <t>2-Küçük</t>
  </si>
  <si>
    <t>4-Yüksek</t>
  </si>
  <si>
    <t>3-Orta</t>
  </si>
  <si>
    <t>1- Çok Hafif</t>
  </si>
  <si>
    <t>2- Hafif</t>
  </si>
  <si>
    <t>3- Orta</t>
  </si>
  <si>
    <t>4- Ciddi</t>
  </si>
  <si>
    <t>5- Çok Ciddi</t>
  </si>
  <si>
    <t>Düşük 2</t>
  </si>
  <si>
    <t>Düşük 3</t>
  </si>
  <si>
    <t>Düşük 4</t>
  </si>
  <si>
    <t>Düşük 5</t>
  </si>
  <si>
    <t>Düşük 6</t>
  </si>
  <si>
    <t>Orta 8</t>
  </si>
  <si>
    <t>Orta 10</t>
  </si>
  <si>
    <t>Orta 9</t>
  </si>
  <si>
    <t>Orta 12</t>
  </si>
  <si>
    <t>Yüksek 15</t>
  </si>
  <si>
    <t>Yüksek 16</t>
  </si>
  <si>
    <t>Yüksek 20</t>
  </si>
  <si>
    <t>Tolere Edilemez 25</t>
  </si>
  <si>
    <t>Önemsiz Riskler (1)</t>
  </si>
  <si>
    <t>Hemen hemen hiç</t>
  </si>
  <si>
    <t>Sıklıkla (ayda bir)</t>
  </si>
  <si>
    <t>Az (yılda bir kaç kez)</t>
  </si>
  <si>
    <t xml:space="preserve">Orta Düzeydeki Riskler 
(8,9,10,12) </t>
  </si>
  <si>
    <t>Belirlenen riskleri düşürmek için faaliyetler başlatılmalıdır. Risk azaltma önlemleri zaman alabilir.</t>
  </si>
  <si>
    <t>Belirlenen riskleri ortadan kaldırmak için ilave kontrol proseslerine ihtiyaç olmayabilir. Ancak mevcut kontroller sürdürülmeli ve bu kontrollerin sürdürüldüğü denetlenmelidir</t>
  </si>
  <si>
    <t>Belirlenen riskleri ortadan kaldırmak için kontrol prosesleri planlamaya ve gerçekleştirilecek faaliyetlerin kayıtlarını saklamaya gerek olmayabilir.</t>
  </si>
  <si>
    <t>Belirlenen risk azaltılıncaya kadar iş başlatılmamalı eğer devam eden bir faaliyet varsa derhal durdurulmalıdır. Risk işin devam etmesi ile ilgiliyse acil önlem alınmalı ve bu önlemler sonucunda faaliyetin devamına karar verilmelidir.</t>
  </si>
  <si>
    <t>Belirlenen risk kabul edilebilir bir seviyeye düşürülünceye kadar iş başlatılmamalı eğer devam eden bir faaliyet varsa derhal durdurulmalıdır. Gerçekleştirilen faaliyetlere rağmen riski düşürmek mümkün olmuyorsa, faaliyet engellenmelidir.</t>
  </si>
  <si>
    <t>Eylem</t>
  </si>
  <si>
    <t>Önemsiz 1</t>
  </si>
  <si>
    <t>Düşük Riskler (2,3,4,5,6)</t>
  </si>
  <si>
    <t>Yüksek Riskler (15,16,20)</t>
  </si>
  <si>
    <t>OLASILIK X ŞİDDET</t>
  </si>
  <si>
    <t>Depolar</t>
  </si>
  <si>
    <t>Açık Otopark</t>
  </si>
  <si>
    <t>Kapalı Otopark</t>
  </si>
  <si>
    <t>Otopark</t>
  </si>
  <si>
    <t>Hidrofor Odası</t>
  </si>
  <si>
    <t>Jeneratör Alanı</t>
  </si>
  <si>
    <t>Klima Santrali</t>
  </si>
  <si>
    <t>Likit Oksijen Tankı</t>
  </si>
  <si>
    <t>Su Deposu</t>
  </si>
  <si>
    <t>Şaftlar</t>
  </si>
  <si>
    <t>UPS Odası</t>
  </si>
  <si>
    <t>Yağ Tutucu Alanı</t>
  </si>
  <si>
    <t>Yakıt Tankı</t>
  </si>
  <si>
    <t>Erişkin Yoğun Bakım</t>
  </si>
  <si>
    <t>KVC Yoğun Bakım</t>
  </si>
  <si>
    <t>Yenidoğan Yoğun Bakım</t>
  </si>
  <si>
    <t>Pediatrik Yoğun Bakım</t>
  </si>
  <si>
    <t>Fine Kinney Skorlama</t>
  </si>
  <si>
    <t>L Matris Skorlama</t>
  </si>
  <si>
    <t>Tolere Edilemez Riskler (25)</t>
  </si>
  <si>
    <t>-</t>
  </si>
  <si>
    <t>• İdari süreçler ile ilgili riskler
• Finansal süreçler ile ilgili riskler
• İtibar yönetimi
• Paydaşlarla iletişim süreçlerine yönelik riskler 
• Bilgi yönetimi süreçleri ile ilgili riskler</t>
  </si>
  <si>
    <t>• Hizmete erişim ile ilgili riskler
• Hasta kabul süreci ile ilgili riskler
• Tanı süreci ile ilgili riskler
• Tedavi ve rehabilitasyon süreci ile ilgili riskler
• Takip ve taburculuk süreci ile ilgili riskler
• Tıbbi kayıt ve arşiv süreci ile ilgili riskler</t>
  </si>
  <si>
    <r>
      <t>•</t>
    </r>
    <r>
      <rPr>
        <b/>
        <sz val="10"/>
        <rFont val="Tahoma"/>
        <family val="2"/>
        <charset val="162"/>
      </rPr>
      <t xml:space="preserve"> Hizmete erişim ile ilgili riskler: </t>
    </r>
    <r>
      <rPr>
        <sz val="10"/>
        <rFont val="Tahoma"/>
        <family val="2"/>
        <charset val="162"/>
      </rPr>
      <t>İnternet sayfasında yer alan yanlış adres, randevu alınırken yaşanan hastane kaynaklı aksaklıklar v.b.
•</t>
    </r>
    <r>
      <rPr>
        <b/>
        <sz val="10"/>
        <rFont val="Tahoma"/>
        <family val="2"/>
        <charset val="162"/>
      </rPr>
      <t xml:space="preserve"> Hasta kabul süreci ile ilgili riskler: </t>
    </r>
    <r>
      <rPr>
        <sz val="10"/>
        <rFont val="Tahoma"/>
        <family val="2"/>
        <charset val="162"/>
      </rPr>
      <t xml:space="preserve">Kimlik bilgilerinin eksik veya hatalı girilmesi, kimlik doğrulamanın yapılmaması, yanlış polikliniğe yönlendirilme, hasta yatışında yaşanan sorunlar, sahte kimlikli hasta kabulü v.b.
• </t>
    </r>
    <r>
      <rPr>
        <b/>
        <sz val="10"/>
        <rFont val="Tahoma"/>
        <family val="2"/>
        <charset val="162"/>
      </rPr>
      <t xml:space="preserve">Tanı süreci ile ilgili riskler: </t>
    </r>
    <r>
      <rPr>
        <sz val="10"/>
        <rFont val="Tahoma"/>
        <family val="2"/>
        <charset val="162"/>
      </rPr>
      <t xml:space="preserve">Hasta tetkiklerinin karışması, tetkik süreçlerine ilişkin hatalar, hatalı tanı girilmesi v.b.
• </t>
    </r>
    <r>
      <rPr>
        <b/>
        <sz val="10"/>
        <rFont val="Tahoma"/>
        <family val="2"/>
        <charset val="162"/>
      </rPr>
      <t xml:space="preserve">Tedavi ve rehabilitasyon süreci ile ilgili riskler: </t>
    </r>
    <r>
      <rPr>
        <sz val="10"/>
        <rFont val="Tahoma"/>
        <family val="2"/>
        <charset val="162"/>
      </rPr>
      <t xml:space="preserve">Hastanın kliniğine özgü riskler, ilaç uygulama hataları, bakım sürecine ilişkin hatalar, hasta düşmeleri, hastalara takılan yüksek riskli kateterlerin yanlış kullanımı, cerrahi süreç hataları, hasta devrinde hastanın bilgilerinin eksik aktarılması, kurum içi konsültasyon istem sürecindeki aksaklıklar v.b.
• </t>
    </r>
    <r>
      <rPr>
        <b/>
        <sz val="10"/>
        <rFont val="Tahoma"/>
        <family val="2"/>
        <charset val="162"/>
      </rPr>
      <t>Takip ve taburculuk süreci ile ilgili riskler:</t>
    </r>
    <r>
      <rPr>
        <sz val="10"/>
        <rFont val="Tahoma"/>
        <family val="2"/>
        <charset val="162"/>
      </rPr>
      <t xml:space="preserve"> Hasta takibinde yaşanılan erişim sorunları, hasta ve hasta yakınına taburculuk eğitiminin eksik verilmesi v.b.
• </t>
    </r>
    <r>
      <rPr>
        <b/>
        <sz val="10"/>
        <rFont val="Tahoma"/>
        <family val="2"/>
        <charset val="162"/>
      </rPr>
      <t>Tıbbi kayıt ve arşiv süreci ile ilgili riskler:</t>
    </r>
    <r>
      <rPr>
        <sz val="10"/>
        <rFont val="Tahoma"/>
        <family val="2"/>
        <charset val="162"/>
      </rPr>
      <t xml:space="preserve"> Hasta kayıtlarına ulaşılamaması, eksik kayıt, arşiv hataları v.b.</t>
    </r>
  </si>
  <si>
    <r>
      <t xml:space="preserve">• </t>
    </r>
    <r>
      <rPr>
        <b/>
        <sz val="10"/>
        <rFont val="Tahoma"/>
        <family val="2"/>
        <charset val="162"/>
      </rPr>
      <t xml:space="preserve">İdari süreç ile ilgili riskler: </t>
    </r>
    <r>
      <rPr>
        <sz val="10"/>
        <rFont val="Tahoma"/>
        <family val="2"/>
        <charset val="162"/>
      </rPr>
      <t xml:space="preserve">Personel eksikliği, hasta ve çalışan geri bildirimlerinde olumsuz sonuçlar v.b.
• </t>
    </r>
    <r>
      <rPr>
        <b/>
        <sz val="10"/>
        <rFont val="Tahoma"/>
        <family val="2"/>
        <charset val="162"/>
      </rPr>
      <t xml:space="preserve">Finansal süreç riskleri: </t>
    </r>
    <r>
      <rPr>
        <sz val="10"/>
        <rFont val="Tahoma"/>
        <family val="2"/>
        <charset val="162"/>
      </rPr>
      <t xml:space="preserve">İsraf, gereksiz malzeme kullanımı, hizmet alımı kapsamındaki gecikme v.b.
• </t>
    </r>
    <r>
      <rPr>
        <b/>
        <sz val="10"/>
        <rFont val="Tahoma"/>
        <family val="2"/>
        <charset val="162"/>
      </rPr>
      <t xml:space="preserve">İtibar yönetimi: </t>
    </r>
    <r>
      <rPr>
        <sz val="10"/>
        <rFont val="Tahoma"/>
        <family val="2"/>
        <charset val="162"/>
      </rPr>
      <t xml:space="preserve">Sosyal sorumluluk projelerindeki yetersizlik v.b.
• </t>
    </r>
    <r>
      <rPr>
        <b/>
        <sz val="10"/>
        <rFont val="Tahoma"/>
        <family val="2"/>
        <charset val="162"/>
      </rPr>
      <t>Paydaşlarla</t>
    </r>
    <r>
      <rPr>
        <sz val="10"/>
        <rFont val="Tahoma"/>
        <family val="2"/>
        <charset val="162"/>
      </rPr>
      <t xml:space="preserve"> (112 acil sağlık hizmetleri, sosyal güvenlik kurumu, il sağlık müdürlüğü, aile sağlığı merkezi, tedarikçi, belediye, sosyal hizmet sunucusu v.b.) </t>
    </r>
    <r>
      <rPr>
        <b/>
        <sz val="10"/>
        <rFont val="Tahoma"/>
        <family val="2"/>
        <charset val="162"/>
      </rPr>
      <t xml:space="preserve">iletişim süreçlerine yönelik riskler </t>
    </r>
    <r>
      <rPr>
        <sz val="10"/>
        <rFont val="Tahoma"/>
        <family val="2"/>
        <charset val="162"/>
      </rPr>
      <t xml:space="preserve">
• </t>
    </r>
    <r>
      <rPr>
        <b/>
        <sz val="10"/>
        <rFont val="Tahoma"/>
        <family val="2"/>
        <charset val="162"/>
      </rPr>
      <t xml:space="preserve">Bilgi yönetimi süreci riskleri </t>
    </r>
    <r>
      <rPr>
        <sz val="10"/>
        <rFont val="Tahoma"/>
        <family val="2"/>
        <charset val="162"/>
      </rPr>
      <t>(kişisel verilerin güvenliğinin ihlal edilerek, hasta sonucunun uygunsuz şekilde verilmesi v.b.)</t>
    </r>
  </si>
  <si>
    <t>• Hava kirliliği oluşturabilecek unsurlar
• Atıkların çevreye zarar vermesi
• Çevreden hastaneye gelecek zararlar
• Tehlikeli atıklardan oluşabilecek zararlar</t>
  </si>
  <si>
    <r>
      <t xml:space="preserve">• </t>
    </r>
    <r>
      <rPr>
        <b/>
        <sz val="10"/>
        <rFont val="Tahoma"/>
        <family val="2"/>
        <charset val="162"/>
      </rPr>
      <t xml:space="preserve">Hava kirliliği oluşturabilecek unsurlar: </t>
    </r>
    <r>
      <rPr>
        <sz val="10"/>
        <rFont val="Tahoma"/>
        <family val="2"/>
        <charset val="162"/>
      </rPr>
      <t xml:space="preserve">Radyoaktif atıklardan kaynaklanan çevre zararı v.b.
• </t>
    </r>
    <r>
      <rPr>
        <b/>
        <sz val="10"/>
        <rFont val="Tahoma"/>
        <family val="2"/>
        <charset val="162"/>
      </rPr>
      <t xml:space="preserve">Atıkların çevreye zarar vermesi: </t>
    </r>
    <r>
      <rPr>
        <sz val="10"/>
        <rFont val="Tahoma"/>
        <family val="2"/>
        <charset val="162"/>
      </rPr>
      <t xml:space="preserve">Uygunsuz depolama v.b.
• </t>
    </r>
    <r>
      <rPr>
        <b/>
        <sz val="10"/>
        <rFont val="Tahoma"/>
        <family val="2"/>
        <charset val="162"/>
      </rPr>
      <t>Çevreden hastaneye gelecek zararlar:</t>
    </r>
    <r>
      <rPr>
        <sz val="10"/>
        <rFont val="Tahoma"/>
        <family val="2"/>
        <charset val="162"/>
      </rPr>
      <t xml:space="preserve"> Hastane yakınında kirli su kaynağı, hava kirliliği veya gürültüye sebep olan iş yeri v.b.
• </t>
    </r>
    <r>
      <rPr>
        <b/>
        <sz val="10"/>
        <rFont val="Tahoma"/>
        <family val="2"/>
        <charset val="162"/>
      </rPr>
      <t>Tehlikeli atıklardan oluşabilecek zararlar:</t>
    </r>
    <r>
      <rPr>
        <sz val="10"/>
        <rFont val="Tahoma"/>
        <family val="2"/>
        <charset val="162"/>
      </rPr>
      <t xml:space="preserve"> Kimyasal atıkların oluşturduğu maruziyet v.b.</t>
    </r>
  </si>
  <si>
    <t>Kategori</t>
  </si>
  <si>
    <t>Risk Kategorisi</t>
  </si>
  <si>
    <t>Alt Risk Kategorisi</t>
  </si>
  <si>
    <t>Risk Kategorileri</t>
  </si>
  <si>
    <t>Hizmete erişim ile ilgili riskler</t>
  </si>
  <si>
    <t>Hasta kabul süreci ile ilgili riskler</t>
  </si>
  <si>
    <t>Tanı süreci ile ilgili riskler</t>
  </si>
  <si>
    <t>Tedavi ve rehabilitasyon süreci ile ilgili riskler</t>
  </si>
  <si>
    <t>Takip ve taburculuk süreci ile ilgili riskler</t>
  </si>
  <si>
    <t>Tıbbi kayıt ve arşiv süreci ile ilgili riskler</t>
  </si>
  <si>
    <t>İdari süreçler ile ilgili riskler</t>
  </si>
  <si>
    <t>Finansal süreçler ile ilgili riskler</t>
  </si>
  <si>
    <t>İtibar yönetimi</t>
  </si>
  <si>
    <t>Bilgi yönetimi süreçleri ile ilgili riskler</t>
  </si>
  <si>
    <t xml:space="preserve">Paydaşlarla iletişim süreçlerine yönelik riskler </t>
  </si>
  <si>
    <t>Hava kirliliği oluşturabilecek unsurlar</t>
  </si>
  <si>
    <t>Atıkların çevreye zarar vermesi</t>
  </si>
  <si>
    <t>Çevreden hastaneye gelecek zararlar</t>
  </si>
  <si>
    <t>Tehlikeli atıklardan oluşabilecek zararlar</t>
  </si>
  <si>
    <t xml:space="preserve">Değerlendirilen Birim / Bölüm  </t>
  </si>
  <si>
    <r>
      <t xml:space="preserve">• </t>
    </r>
    <r>
      <rPr>
        <b/>
        <sz val="10"/>
        <rFont val="Tahoma"/>
        <family val="2"/>
        <charset val="162"/>
      </rPr>
      <t xml:space="preserve">Tesis ile ilgili riskler: </t>
    </r>
    <r>
      <rPr>
        <sz val="10"/>
        <rFont val="Tahoma"/>
        <family val="2"/>
        <charset val="162"/>
      </rPr>
      <t xml:space="preserve">Tesis kaynaklı düşme olaylarına yönelik önlem alınmaması, acil çıkışlara yönelik yapılmayan düzenlemeler, asansörlerin tescil ve bakım sürecindeki aksaklıklar, acil çıkış kapısı veya yangın çıkışının önünde engel bulunması v.b. 
• </t>
    </r>
    <r>
      <rPr>
        <b/>
        <sz val="10"/>
        <rFont val="Tahoma"/>
        <family val="2"/>
        <charset val="162"/>
      </rPr>
      <t>Atık yönetimi sürecindeki riskler:</t>
    </r>
    <r>
      <rPr>
        <sz val="10"/>
        <rFont val="Tahoma"/>
        <family val="2"/>
        <charset val="162"/>
      </rPr>
      <t xml:space="preserve"> Uygunsuz toplama, taşıma v.b. 
• </t>
    </r>
    <r>
      <rPr>
        <b/>
        <sz val="10"/>
        <rFont val="Tahoma"/>
        <family val="2"/>
        <charset val="162"/>
      </rPr>
      <t>Tıbbi cihaz ve malzeme yönetimi süreci riskleri:</t>
    </r>
    <r>
      <rPr>
        <sz val="10"/>
        <rFont val="Tahoma"/>
        <family val="2"/>
        <charset val="162"/>
      </rPr>
      <t xml:space="preserve"> Bakım ve kalibrasyon eksikliğinden kaynaklanan hatalar, yetersiz malzeme riski, cihaz arızası kaynaklı hasta mağduriyeti, hemşire çağrı zili çalışmaması v.b. </t>
    </r>
    <r>
      <rPr>
        <sz val="10"/>
        <color rgb="FFFF0000"/>
        <rFont val="Tahoma"/>
        <family val="2"/>
        <charset val="162"/>
      </rPr>
      <t>(Lazer ve optik radyasyon yayan cihazları dahil)</t>
    </r>
    <r>
      <rPr>
        <sz val="10"/>
        <rFont val="Tahoma"/>
        <family val="2"/>
        <charset val="162"/>
      </rPr>
      <t xml:space="preserve">
• </t>
    </r>
    <r>
      <rPr>
        <b/>
        <sz val="10"/>
        <rFont val="Tahoma"/>
        <family val="2"/>
        <charset val="162"/>
      </rPr>
      <t xml:space="preserve">Diğer cihaz ve malzemelerin yönetim süreci riskleri: </t>
    </r>
    <r>
      <rPr>
        <sz val="10"/>
        <rFont val="Tahoma"/>
        <family val="2"/>
        <charset val="162"/>
      </rPr>
      <t xml:space="preserve">Düzenli yapılması gereken bakım-onarımlarda aksaklıklar, pencerelerin yarı açılabilir özellikte olmaması, prizlerde çocuk koruyucu bulunmaması sonucu elektrik çarpması, hasta odalarındaki malzeme ve cihazların arızası v.b.
</t>
    </r>
    <r>
      <rPr>
        <sz val="10"/>
        <color rgb="FFFF0000"/>
        <rFont val="Tahoma"/>
        <family val="2"/>
        <charset val="162"/>
      </rPr>
      <t xml:space="preserve">• </t>
    </r>
    <r>
      <rPr>
        <b/>
        <sz val="10"/>
        <color rgb="FFFF0000"/>
        <rFont val="Tahoma"/>
        <family val="2"/>
        <charset val="162"/>
      </rPr>
      <t>Yangın güvenliği ile ilgili riskler:</t>
    </r>
    <r>
      <rPr>
        <sz val="10"/>
        <color rgb="FFFF0000"/>
        <rFont val="Tahoma"/>
        <family val="2"/>
        <charset val="162"/>
      </rPr>
      <t xml:space="preserve"> Hastanede aşağıda belirtilen konuları da kapsayan ve süreklilik arz eden bir yangın güvenliği risk değerlendirmesi gerçekleştirilmelidir.
</t>
    </r>
    <r>
      <rPr>
        <b/>
        <sz val="10"/>
        <color rgb="FFFF0000"/>
        <rFont val="Tahoma"/>
        <family val="2"/>
        <charset val="162"/>
      </rPr>
      <t>a)</t>
    </r>
    <r>
      <rPr>
        <sz val="10"/>
        <color rgb="FFFF0000"/>
        <rFont val="Tahoma"/>
        <family val="2"/>
        <charset val="162"/>
      </rPr>
      <t xml:space="preserve"> Yangın bölmelendirmeleri
</t>
    </r>
    <r>
      <rPr>
        <b/>
        <sz val="10"/>
        <color rgb="FFFF0000"/>
        <rFont val="Tahoma"/>
        <family val="2"/>
        <charset val="162"/>
      </rPr>
      <t xml:space="preserve">b) </t>
    </r>
    <r>
      <rPr>
        <sz val="10"/>
        <color rgb="FFFF0000"/>
        <rFont val="Tahoma"/>
        <family val="2"/>
        <charset val="162"/>
      </rPr>
      <t xml:space="preserve">Duman bölmelendirmeleri
</t>
    </r>
    <r>
      <rPr>
        <b/>
        <sz val="10"/>
        <color rgb="FFFF0000"/>
        <rFont val="Tahoma"/>
        <family val="2"/>
        <charset val="162"/>
      </rPr>
      <t>c)</t>
    </r>
    <r>
      <rPr>
        <sz val="10"/>
        <color rgb="FFFF0000"/>
        <rFont val="Tahoma"/>
        <family val="2"/>
        <charset val="162"/>
      </rPr>
      <t xml:space="preserve"> Örneğin kirli çamaşır odaları, çöp toplama odaları ve oksijen depolama odaları gibi tehlikeli alanlar (ve bu alanların tavanlarının üzerindeki boşluklar)
</t>
    </r>
    <r>
      <rPr>
        <b/>
        <sz val="10"/>
        <color rgb="FFFF0000"/>
        <rFont val="Tahoma"/>
        <family val="2"/>
        <charset val="162"/>
      </rPr>
      <t xml:space="preserve">d) </t>
    </r>
    <r>
      <rPr>
        <sz val="10"/>
        <color rgb="FFFF0000"/>
        <rFont val="Tahoma"/>
        <family val="2"/>
        <charset val="162"/>
      </rPr>
      <t xml:space="preserve">Yangın çıkışları
</t>
    </r>
    <r>
      <rPr>
        <b/>
        <sz val="10"/>
        <color rgb="FFFF0000"/>
        <rFont val="Tahoma"/>
        <family val="2"/>
        <charset val="162"/>
      </rPr>
      <t>e)</t>
    </r>
    <r>
      <rPr>
        <sz val="10"/>
        <color rgb="FFFF0000"/>
        <rFont val="Tahoma"/>
        <family val="2"/>
        <charset val="162"/>
      </rPr>
      <t xml:space="preserve"> Mutfakta yağlanmaya neden olan yemek pişirme araçları
</t>
    </r>
    <r>
      <rPr>
        <b/>
        <sz val="10"/>
        <color rgb="FFFF0000"/>
        <rFont val="Tahoma"/>
        <family val="2"/>
        <charset val="162"/>
      </rPr>
      <t>f)</t>
    </r>
    <r>
      <rPr>
        <sz val="10"/>
        <color rgb="FFFF0000"/>
        <rFont val="Tahoma"/>
        <family val="2"/>
        <charset val="162"/>
      </rPr>
      <t xml:space="preserve"> Çamaşır ve çöp şutları (şaftları)
</t>
    </r>
    <r>
      <rPr>
        <b/>
        <sz val="10"/>
        <color rgb="FFFF0000"/>
        <rFont val="Tahoma"/>
        <family val="2"/>
        <charset val="162"/>
      </rPr>
      <t xml:space="preserve">g) </t>
    </r>
    <r>
      <rPr>
        <sz val="10"/>
        <color rgb="FFFF0000"/>
        <rFont val="Tahoma"/>
        <family val="2"/>
        <charset val="162"/>
      </rPr>
      <t xml:space="preserve">Acil durum için güç sistemleri (jeneratörler) ve ekipmanlar
</t>
    </r>
    <r>
      <rPr>
        <b/>
        <sz val="10"/>
        <color rgb="FFFF0000"/>
        <rFont val="Tahoma"/>
        <family val="2"/>
        <charset val="162"/>
      </rPr>
      <t xml:space="preserve">h) </t>
    </r>
    <r>
      <rPr>
        <sz val="10"/>
        <color rgb="FFFF0000"/>
        <rFont val="Tahoma"/>
        <family val="2"/>
        <charset val="162"/>
      </rPr>
      <t xml:space="preserve">Tıbbi gaz ve vakum sisteminin parçaları
</t>
    </r>
    <r>
      <rPr>
        <b/>
        <sz val="10"/>
        <color rgb="FFFF0000"/>
        <rFont val="Tahoma"/>
        <family val="2"/>
        <charset val="162"/>
      </rPr>
      <t>i)</t>
    </r>
    <r>
      <rPr>
        <sz val="10"/>
        <color rgb="FFFF0000"/>
        <rFont val="Tahoma"/>
        <family val="2"/>
        <charset val="162"/>
      </rPr>
      <t xml:space="preserve"> Yanabilecek malzemelerin depolanması ve kullanımı (örneğin yanıcı sıvılar, yanıcı gazlar ve oksijen ve nitröz oksit gibi oksitleyici tıbbi gazlar)
</t>
    </r>
    <r>
      <rPr>
        <b/>
        <sz val="10"/>
        <color rgb="FFFF0000"/>
        <rFont val="Tahoma"/>
        <family val="2"/>
        <charset val="162"/>
      </rPr>
      <t>j)</t>
    </r>
    <r>
      <rPr>
        <sz val="10"/>
        <color rgb="FFFF0000"/>
        <rFont val="Tahoma"/>
        <family val="2"/>
        <charset val="162"/>
      </rPr>
      <t xml:space="preserve"> Cerrahi yangınların önlenmesine ve yönetilmesine prosedürler ve önlemler
</t>
    </r>
    <r>
      <rPr>
        <b/>
        <sz val="10"/>
        <color rgb="FFFF0000"/>
        <rFont val="Tahoma"/>
        <family val="2"/>
        <charset val="162"/>
      </rPr>
      <t xml:space="preserve">k) </t>
    </r>
    <r>
      <rPr>
        <sz val="10"/>
        <color rgb="FFFF0000"/>
        <rFont val="Tahoma"/>
        <family val="2"/>
        <charset val="162"/>
      </rPr>
      <t>İnşaat, renovasyon veya yıkım projeleriyle ilişkili yangın tehlikeleri
•</t>
    </r>
    <r>
      <rPr>
        <b/>
        <sz val="10"/>
        <color rgb="FFFF0000"/>
        <rFont val="Tahoma"/>
        <family val="2"/>
        <charset val="162"/>
      </rPr>
      <t xml:space="preserve"> Altyapı sistemleri ile ilgili riskler:</t>
    </r>
    <r>
      <rPr>
        <sz val="10"/>
        <color rgb="FFFF0000"/>
        <rFont val="Tahoma"/>
        <family val="2"/>
        <charset val="162"/>
      </rPr>
      <t xml:space="preserve"> Elektrik dağıtımı, güç; sıhhi tesisat; kazan/buhar; ısıtma, havalandırma ve iklimlendirme (HVAC); tıbbi gazlar; tıbbi/cerrahi vakum; atık yönetimi, iletişim ve veri sistemleri v.b. olacak şekilde güvenli sağlık bakımı verilebilmesi için hayati önem taşıyan hizmetleri destekleyen sistem ve ekipmanlardan kaynaklanan riskler.
•</t>
    </r>
    <r>
      <rPr>
        <b/>
        <sz val="10"/>
        <color rgb="FFFF0000"/>
        <rFont val="Tahoma"/>
        <family val="2"/>
        <charset val="162"/>
      </rPr>
      <t xml:space="preserve"> İnşaat ve Renovasyon ile ilgili riskler:</t>
    </r>
    <r>
      <rPr>
        <sz val="10"/>
        <color rgb="FFFF0000"/>
        <rFont val="Tahoma"/>
        <family val="2"/>
        <charset val="162"/>
      </rPr>
      <t xml:space="preserve"> sistemleri ile ilgili riskler: İnşaat, renovasyon veya yıkım projeleriyle veya bir bakım çalışmasıyla ilişkili risklerin değerlendirilmesini kapsar (Örneğin inşaattan kaynaklanan gürültü ve titreşim konfor düzeylerini etkileyebildiği gibi inşaattan gelen toz ve kokular hava kalitesini bozabilir ve hastanın solunum fonksiyonları açısından risk oluşturabilir. Hastalara, çalışanlara, ziyaretçilere, bağımsız ticari işletmelere ve hastanedeki diğer kişilere yönelik risk, inşaat, renovasyon, yıkım ve bakım çalışmalarının kapsamına ve hasta bakımı, altyapı ve altyapı sistemleri üzerindeki etkisine göre değişiklik gösterebilir. Örnek olarak tıbbi gazlar üzerinde gerçekleştirilen bakım çalışmaları hasta bakımını etkileyebilir; ancak personel otoparkında yapılacak asfaltlama çalışmasının hastalara verilen bakım üzerinde bir etkisi olmayacaktır).
• </t>
    </r>
    <r>
      <rPr>
        <b/>
        <sz val="10"/>
        <color rgb="FFFF0000"/>
        <rFont val="Tahoma"/>
        <family val="2"/>
        <charset val="162"/>
      </rPr>
      <t>Emniyet ile ilgili riskler:</t>
    </r>
    <r>
      <rPr>
        <sz val="10"/>
        <color rgb="FFFF0000"/>
        <rFont val="Tahoma"/>
        <family val="2"/>
        <charset val="162"/>
      </rPr>
      <t xml:space="preserve"> Kuruluşun mallarının ve hasta, hasta yakınları, ziyaretçiler ve personelin zarara veya kayba karşı korunması anlamına gelmektedir. Örn: İş yerinde şiddet, bebek kaçırma, hırsızlık ve hastanedeki kısıtlı alanlara kilitsiz/emniyetsiz erişimdir.</t>
    </r>
  </si>
  <si>
    <t>Risk Değerlendirme Kategorileri Kapsam ve Açıklamaları</t>
  </si>
  <si>
    <t>Açıklama / İlgili Mevzuat-Doküman</t>
  </si>
  <si>
    <t>Kategoriler</t>
  </si>
  <si>
    <r>
      <t xml:space="preserve">Mevcut Durum Görseli
</t>
    </r>
    <r>
      <rPr>
        <b/>
        <sz val="10"/>
        <rFont val="Tahoma"/>
        <family val="2"/>
        <charset val="162"/>
      </rPr>
      <t>(Varsa tespit edilen riske ilişkin görsel)</t>
    </r>
  </si>
  <si>
    <r>
      <t xml:space="preserve">Mevcut Durum Açıklaması
</t>
    </r>
    <r>
      <rPr>
        <b/>
        <sz val="10"/>
        <rFont val="Tahoma"/>
        <family val="2"/>
        <charset val="162"/>
      </rPr>
      <t>(Tespit edilen riske ilişkin mevcut önlemler)</t>
    </r>
  </si>
  <si>
    <t>Tespit Tarihi</t>
  </si>
  <si>
    <t>İyileştirme Planı</t>
  </si>
  <si>
    <r>
      <t xml:space="preserve">İyileştirme Açıklaması
</t>
    </r>
    <r>
      <rPr>
        <b/>
        <sz val="10"/>
        <rFont val="Tahoma"/>
        <family val="2"/>
        <charset val="162"/>
      </rPr>
      <t>(Tespit edilen riske ilişkin yapılan iyileştirmeler)</t>
    </r>
  </si>
  <si>
    <t>İyileştirme Tamamlanma Tarihi</t>
  </si>
  <si>
    <r>
      <t xml:space="preserve">İyileştirme Sonrası Görseli
</t>
    </r>
    <r>
      <rPr>
        <b/>
        <sz val="10"/>
        <rFont val="Tahoma"/>
        <family val="2"/>
        <charset val="162"/>
      </rPr>
      <t>(Yapılan iyileştirme sonrasını gösteren görsel)</t>
    </r>
  </si>
  <si>
    <t>İyileştirme Etkinlik Ölçümü</t>
  </si>
  <si>
    <t>Etkinlik Ölçüm Yöntemi</t>
  </si>
  <si>
    <t>Gösterge Takibi</t>
  </si>
  <si>
    <t>Güvenlik - Fiziksel Risk Etmenleri</t>
  </si>
  <si>
    <t>Güvenlik - Biyolojik Risk Etmenleri</t>
  </si>
  <si>
    <t>Güvenlik - Psikososyal Risk Etmenleri</t>
  </si>
  <si>
    <t>Güvenlik - Ergonomik Risk Etmenler</t>
  </si>
  <si>
    <t>İlgili Mevzuat</t>
  </si>
  <si>
    <r>
      <t xml:space="preserve">• Atık yönetimi sürecindeki riskler
• Tıbbi cihaz ve malzeme yönetimi süreci riskleri
• Diğer cihaz ve malzemelerin yönetim süreci riskleri
</t>
    </r>
    <r>
      <rPr>
        <sz val="10"/>
        <color rgb="FFFF0000"/>
        <rFont val="Tahoma"/>
        <family val="2"/>
        <charset val="162"/>
      </rPr>
      <t>• Yangın Güvenliği ile ilgili riskler
• Altyapı Sistemleri ile ilgili riskler
• İnşaat ve Renovasyon ile ilgili riskler
• Acil Durum ve Afet Yönetimi ile ilgili riskler
• Emniyet ile ilgili riskler</t>
    </r>
  </si>
  <si>
    <t>Atık Yönetimi</t>
  </si>
  <si>
    <t>Tıbbi Cihaz ve Malzeme Yönetimi</t>
  </si>
  <si>
    <t>Diğer Cihaz ve Malzemelerin Yönetimi</t>
  </si>
  <si>
    <r>
      <t xml:space="preserve">• </t>
    </r>
    <r>
      <rPr>
        <b/>
        <sz val="10"/>
        <rFont val="Tahoma"/>
        <family val="2"/>
        <charset val="162"/>
      </rPr>
      <t>Fiziksel risk etmenleri:</t>
    </r>
    <r>
      <rPr>
        <sz val="10"/>
        <rFont val="Tahoma"/>
        <family val="2"/>
        <charset val="162"/>
      </rPr>
      <t xml:space="preserve"> Gürültü, titreşim, termal konfor şartları (aydınlatma, havalandırma, nem v.b.), ışık, radyasyon, basınç farklılıkları, toz gibi etkenlere maruziyet v.b.
• </t>
    </r>
    <r>
      <rPr>
        <b/>
        <sz val="10"/>
        <rFont val="Tahoma"/>
        <family val="2"/>
        <charset val="162"/>
      </rPr>
      <t xml:space="preserve">Tehlikeli Maddeler / Kimyasal Risk Etmenleri: </t>
    </r>
    <r>
      <rPr>
        <sz val="10"/>
        <rFont val="Tahoma"/>
        <family val="2"/>
        <charset val="162"/>
      </rPr>
      <t xml:space="preserve">Çözücüler (solventler), metaller, gazlar, asit ve alkaliler, pestisidler gibi etkenlere maruziyet v.b. </t>
    </r>
    <r>
      <rPr>
        <sz val="10"/>
        <color rgb="FFFF0000"/>
        <rFont val="Tahoma"/>
        <family val="2"/>
        <charset val="162"/>
      </rPr>
      <t>ile diğer tüm tehlikeli maddelere yönelik kullanım, temas, depolama ve bertaraf süreclerine ait riskler.</t>
    </r>
    <r>
      <rPr>
        <sz val="10"/>
        <rFont val="Tahoma"/>
        <family val="2"/>
        <charset val="162"/>
      </rPr>
      <t xml:space="preserve">
• </t>
    </r>
    <r>
      <rPr>
        <b/>
        <sz val="10"/>
        <rFont val="Tahoma"/>
        <family val="2"/>
        <charset val="162"/>
      </rPr>
      <t xml:space="preserve">Biyolojik risk etmenleri: </t>
    </r>
    <r>
      <rPr>
        <sz val="10"/>
        <rFont val="Tahoma"/>
        <family val="2"/>
        <charset val="162"/>
      </rPr>
      <t xml:space="preserve">Bakteriler, virüsler, mantarlar, parazitler, böcekler gibi etkenlere ve bunlarla temas etmiş enfekte materyale maruziyet v.b.
• </t>
    </r>
    <r>
      <rPr>
        <b/>
        <sz val="10"/>
        <rFont val="Tahoma"/>
        <family val="2"/>
        <charset val="162"/>
      </rPr>
      <t>Psikososyal risk etmenleri:</t>
    </r>
    <r>
      <rPr>
        <sz val="10"/>
        <rFont val="Tahoma"/>
        <family val="2"/>
        <charset val="162"/>
      </rPr>
      <t xml:space="preserve"> Mobbing, şiddet, tükenmişlik, stres, yoğun çalışma v.b.
• </t>
    </r>
    <r>
      <rPr>
        <b/>
        <sz val="10"/>
        <rFont val="Tahoma"/>
        <family val="2"/>
        <charset val="162"/>
      </rPr>
      <t>Ergonomik risk etmenleri:</t>
    </r>
    <r>
      <rPr>
        <sz val="10"/>
        <rFont val="Tahoma"/>
        <family val="2"/>
        <charset val="162"/>
      </rPr>
      <t xml:space="preserve"> Uzun süreli ayakta veya oturarak çalışma, bilgisayar, monitör, çalışma koltuğu gibi cihaz/eşyaların postüre uygun özellik ve pozisyonda olmaması, ağır yük taşıma, eğilerek çalışma v.b.
</t>
    </r>
    <r>
      <rPr>
        <sz val="10"/>
        <color rgb="FFFF0000"/>
        <rFont val="Tahoma"/>
        <family val="2"/>
        <charset val="162"/>
      </rPr>
      <t>•</t>
    </r>
    <r>
      <rPr>
        <b/>
        <sz val="10"/>
        <color rgb="FFFF0000"/>
        <rFont val="Tahoma"/>
        <family val="2"/>
        <charset val="162"/>
      </rPr>
      <t xml:space="preserve"> Güvenlik ile ilgili riskler:</t>
    </r>
    <r>
      <rPr>
        <b/>
        <sz val="10"/>
        <rFont val="Tahoma"/>
        <family val="2"/>
        <charset val="162"/>
      </rPr>
      <t xml:space="preserve"> </t>
    </r>
    <r>
      <rPr>
        <sz val="10"/>
        <color rgb="FFFF0000"/>
        <rFont val="Tahoma"/>
        <family val="2"/>
        <charset val="162"/>
      </rPr>
      <t>Binanın, arazinin, tıbbi teknolojinin ve bilgi teknolojisinin, ekipmanların ve sistemlerin hastalar, hasta yakınları, çalışanlar ve ziyaretçiler açısından fiziksel bir risk teşkil etmesinin önlenmesi anlamına gelmektedir. Örnek olarak keskin ve kırık mobilyalar, kırık pencerelere, akan tavanlar, ergonomik riskler (örneğin hastaları veya ağır objeleri taşırken personelin maruz kaldığı riskler) ve (örneğin engebeli veya kaygan zemin veya tırabzan olmaması nedeniyle) düşme riski sayılabilir.</t>
    </r>
  </si>
  <si>
    <t>Sınav / Değerlendirme</t>
  </si>
  <si>
    <t>Diğer</t>
  </si>
  <si>
    <t>Belgelendirme (Rapor, Tatbikat, Kayıt vb.)</t>
  </si>
  <si>
    <t>İşyeri Unvan / Adres</t>
  </si>
  <si>
    <t>Florya VM - Beşyol Mah. Akasya Sok. No: 4 Küçükçekmece / İstanbul</t>
  </si>
  <si>
    <t>İSÜ Bahçeşehir Liv - Aşık Veysel Mah. Süleyman Demirel Cad. No:1 Esenyurt / İstanbul</t>
  </si>
  <si>
    <t>İSÜ Gaziosmanpaşa MP - Merkez Mahallesi Çukurçeşme Cad. No: 57-59 Gaziosmanpaşa / İstanbul</t>
  </si>
  <si>
    <t>Ankara MP - Kent Koop Mah. 1868. Sok. No:15 Batıkent - Yenimahalle/Ankara</t>
  </si>
  <si>
    <t>Antalya MP - Fener Mah. Tekelioğlu Cad. No:7 Lara / Antalya</t>
  </si>
  <si>
    <t>Bahçelievler MP - Kültür Sok. No:1 E5 Yolu Bahçelievler Metro Durağı Üstü, Metrobüs Hastaneler Durağı 34160 Bahçelievler / İstanbul</t>
  </si>
  <si>
    <t>Çanakkale MP - Barbaros Mahallesi Troya Caddesi No:10 Merkez / Çanakkale</t>
  </si>
  <si>
    <t>Gebze MP - Kavak Cad. No: 5 Belediye Yanı Gebze / Kocaeli</t>
  </si>
  <si>
    <t>Göztepe MP - E5 Üzeri Nisan Sok. No: 23 Merdivenköy Kadıköy / İstanbul</t>
  </si>
  <si>
    <t>Trabzon Karadeniz MP - İnönü Mahallesi Yavuz Selim Bulvarı No:190 - Trabzon</t>
  </si>
  <si>
    <t>Adana MP - Atatürk Caddesi Büyükşehir Belediye Karşısı No:23 - Adana</t>
  </si>
  <si>
    <t>Ordu MP - Akyazı Mah. Gaffar Okkan Cad. No: 9 - Ordu</t>
  </si>
  <si>
    <t>Seyhan MP - Mustafa Kemal Paşa Bulvarı No: 15 Seyhan / Adana</t>
  </si>
  <si>
    <t>Tokat MP - Yeşilırmak Mah. Vali Zekai Gümüşdiş Cad. No:29 - Tokat</t>
  </si>
  <si>
    <t>Trabzon Yıldızlı MP - Yıldızlı Beldesi, Merkez Mahallesi, Devlet Sahil Yolu Caddesi, No:46, Akçaabat / Trabzon</t>
  </si>
  <si>
    <t>Ankara VM - Gazel Sk, Kalaba, 06120 Keçiören /Ankara</t>
  </si>
  <si>
    <t>Bursa VM - Fevzi Çakmak Caddesi Kırcaali Mahallesi No: 76 Osmangazi / Bursa</t>
  </si>
  <si>
    <t>Kocaeli VM - Ovacık Mahallesi, D-100 Karayolu Üstü, No:34, Symbol AVM Yanı, 41140, Başiskele / Kocaeli</t>
  </si>
  <si>
    <t>Maltepe VM - Cevizli, Bağdat Cd. No:547, 34846 Maltepe / İstanbul</t>
  </si>
  <si>
    <t>Mersin VM - Gazi Mustafa Kemal Bulvarı. No: 676 Mezitli / Mersin</t>
  </si>
  <si>
    <t>Pendik VM - Fevzi Çakmak Mah. Cemal Gürsel cad. D100 karayolu No:9 34899 Pendik / İstanbul</t>
  </si>
  <si>
    <t>Samsun VM - Mimar Sinan Mah. Alparslan Bulvarı, No: 17 Atakum / Samsun</t>
  </si>
  <si>
    <t>Ulus Liv - Ulus Ahmet Adnan Saygun cad, Canan Sk., 34340 - Beşiktaş</t>
  </si>
  <si>
    <t>Vadi Liv - Ayazağa Mahallesi, Kemerburgaz Caddesi, Vadistanbul Park Etabı, 34396 Sarıyer / İstanbul</t>
  </si>
  <si>
    <t>Samsun Liv - Hançerli, Fatih Sultan Mehmet Cd No:155, 55020 İlkadım / Samsun</t>
  </si>
  <si>
    <t>Gaziantep Liv - Seyrantepe, Abdulkadir Konukoğlu Cd No:1, 27080 Şehitkamil / Gaziantep</t>
  </si>
  <si>
    <t>Ankara Liv - Kavaklıdere, Bestekar Cd No:8, 06680 Çankaya / Ankara</t>
  </si>
  <si>
    <t>MLPCARE Merkez Ofis - Flatofis Haliç, Defterdar, Otakçılar Caddesi No:78, 34050 Eyüp / İstanbul</t>
  </si>
  <si>
    <t>MLPCARE Ar-Ge - Flatofis Haliç, Defterdar, Otakçılar Caddesi No:78, 34050 Eyüp / İstanbul</t>
  </si>
  <si>
    <t>Risk değerlendirme çalışmaları aşağıda ifade edilen beş ana kategoride değenlendirilmektedir. Her kategori kendi içinde alt başlıkları kapsamaktadır. Değerlendirme sırasında açıklamalara uygun şekilde risklerin kategorize edilmesi gerekir.</t>
  </si>
  <si>
    <t>Tehlikeli Madde Yönetimi / Kimyasal Risk Etmenleri</t>
  </si>
  <si>
    <t>• Güvenlik - Fiziksel Risk Etmenleri
• Güvenlik - Biyolojik Risk Etmenleri
• Güvenlik - Psikososyal Risk Etmenleri
• Güvenlik- Ergonomik Risk Etmenleri
• Tehlikeli Madde Yönetimi / Kimyasal Risk Etmenleri</t>
  </si>
  <si>
    <t>İyileştirme Çalışması Planlanan Tespit Sayısı</t>
  </si>
  <si>
    <t>İYİLEŞTİRME ÇALIŞMALARI</t>
  </si>
  <si>
    <t>İyileştirme Çalışması Tamamlanan Tespit Sayısı</t>
  </si>
  <si>
    <t>İyileştirme Çalışması Devam Eden Tespit Sayısı</t>
  </si>
  <si>
    <t>Teknik Hizmetler Müdürlüğü</t>
  </si>
  <si>
    <t>Otelcilik ve Destek Hizmetleri Müdürlüğü</t>
  </si>
  <si>
    <t>Başhekimlik</t>
  </si>
  <si>
    <t>Misafir Hizmetleri Müdürlüğü</t>
  </si>
  <si>
    <t>Biyomedikal Müdürlüğü</t>
  </si>
  <si>
    <t>Hasta Bakım Hizmetleri Müdürlüğü</t>
  </si>
  <si>
    <t>Kalite Müdürlüğü</t>
  </si>
  <si>
    <t>Tamamlanan İyileştirmeler</t>
  </si>
  <si>
    <t>Devam Eden İyileştirmeler</t>
  </si>
  <si>
    <t>Bilgi Sistemleri Müdürlüğü</t>
  </si>
  <si>
    <t>KATEGORİ BAZLI RİSK DÜZEYİ DAĞILIMI</t>
  </si>
  <si>
    <t>Satınalma Müdürlüğü</t>
  </si>
  <si>
    <t>İnsan Kaynakları Müdürlüğü</t>
  </si>
  <si>
    <t>Birim / Bölüm</t>
  </si>
  <si>
    <t>Hastane (Konsolide)</t>
  </si>
  <si>
    <t>Genel ve Ortak Alanlar</t>
  </si>
  <si>
    <t>Temiz Depo</t>
  </si>
  <si>
    <t>Kirli Oda</t>
  </si>
  <si>
    <t>Doktor Dinlenme</t>
  </si>
  <si>
    <t>Personel Dinlenme</t>
  </si>
  <si>
    <t>Poliklinikler</t>
  </si>
  <si>
    <t>Atık Alanları</t>
  </si>
  <si>
    <t>Yatan Hasta Katı</t>
  </si>
  <si>
    <t>RİSK DEĞERLENDİRME EKİBİ</t>
  </si>
  <si>
    <t>İşveren / İşveren Vekili</t>
  </si>
  <si>
    <t>İş Güvenliği Uzmanları</t>
  </si>
  <si>
    <t>İşyeri Hekimi</t>
  </si>
  <si>
    <t>Baş Çalışan Temsilcisi</t>
  </si>
  <si>
    <t>Destek Elemanı</t>
  </si>
  <si>
    <t>İlgili Birim Sorumlusu</t>
  </si>
  <si>
    <t>İlgili Birim Yöneticisi</t>
  </si>
  <si>
    <t>Diğer Katılımcılar (Adı Soyadı, Görevi, Tarih, İmza)</t>
  </si>
  <si>
    <t>Hasta, Hasta Yakını, Çalışanlar, Ziyaretçiler</t>
  </si>
  <si>
    <t>Görsel bulunmamaktadır.</t>
  </si>
  <si>
    <t>Tesis Güvenliği Komitesi</t>
  </si>
  <si>
    <t>Çalışanlar</t>
  </si>
  <si>
    <t>Yaralanma</t>
  </si>
  <si>
    <t>*İşyeri Bina ve Eklentilerinde Alınacak Sağlık ve Güvenlik Önlemleri Hakkında Yönetmelik</t>
  </si>
  <si>
    <t>Sürekli</t>
  </si>
  <si>
    <t>Herhangi bir kaza/ramak kala olay, olay bildirim yaşanmamıştır.</t>
  </si>
  <si>
    <t>Enfeksiyon</t>
  </si>
  <si>
    <t>MR</t>
  </si>
  <si>
    <t>Çekim</t>
  </si>
  <si>
    <t>Manyetik alanlara manyetik malzeme ile giriş</t>
  </si>
  <si>
    <t>MR alanının girişinde kontrollü geçiş sistemi bulunmakta olup yalnızca tanımlı kişilerin girişi sağlanabilmektedir. Cihazın olduğu alana hasta alınmadan önce metal dedektör ile taraması yapılarak manyetik ekipmanlarla giriş engellenmektedir.
Alan girişininde uyarı işaretlemeleri mevcuttur.</t>
  </si>
  <si>
    <t>Her hasta kontrol sonrası cihaz alanına alınmaya devam edilmelidir.</t>
  </si>
  <si>
    <t>Beyaz kod</t>
  </si>
  <si>
    <t>Ajite hasta</t>
  </si>
  <si>
    <t>Yaralanma, buhran</t>
  </si>
  <si>
    <t>Çalışana saldırı, şiddet, psikososyal risk</t>
  </si>
  <si>
    <t>Hastaların bekleme süresi, cihaz arızası vb. sorunlar çözümlenerek hasta memnuniyeti sağlanmalıdır.</t>
  </si>
  <si>
    <t>Beyaz kod bildirimleri takip edilmektedir.</t>
  </si>
  <si>
    <t xml:space="preserve">Kazaya Sebep Olabilecek Durumların Tespiti </t>
  </si>
  <si>
    <t xml:space="preserve">Zemindeki deformasyonlar </t>
  </si>
  <si>
    <t xml:space="preserve">Yaralanmalar / Enfeksiyon </t>
  </si>
  <si>
    <t xml:space="preserve">Hastalar / Hasta Yakınları / Çalışanlar / Ziyaretçiler </t>
  </si>
  <si>
    <t>Zemindeki deformasyonlar üzerinden tespiti halinde tasviye yapılmaktır.</t>
  </si>
  <si>
    <t>Tespit edilen tehlikeye dair görsel bulunmamaktadır.</t>
  </si>
  <si>
    <t>Mevcut önlem devam ettirilmelidir.</t>
  </si>
  <si>
    <t xml:space="preserve">Sürekli </t>
  </si>
  <si>
    <t xml:space="preserve">Zemindeki hasarlı pvc malzemeleri kaldırılmış olup yeni kaplama ile değiştirilmiştir. </t>
  </si>
  <si>
    <t>Tespit edilen iyileştirmeye dair görsel bulunmamaktadır.</t>
  </si>
  <si>
    <t>Yapılan saha denetimlerinde herangi bir uygunsuzluk tespit edilmemiştir.</t>
  </si>
  <si>
    <t>İşyeri Bina ve Eklentilerinde Alınacak Sağlık ve Güvenlik Önlemlerine İlişkin Yönetmelik</t>
  </si>
  <si>
    <t xml:space="preserve">Oda girişlerindeki ve içindeki kot farkları, zemin farklılıkları </t>
  </si>
  <si>
    <t>Takılma / Düşme / Çarpma</t>
  </si>
  <si>
    <t xml:space="preserve">Yaralanmalar  </t>
  </si>
  <si>
    <t>Zemindeki kot farklılıklarını kapatmak için dolgu yapılmaktadır ve/veya farkındalık oluşturması için farklı renklendirme yapılmaktadır.</t>
  </si>
  <si>
    <t>Alınacak önlemler uygulandığı takdirde, var olan tehlike kontrol altına alınacaktır.</t>
  </si>
  <si>
    <t xml:space="preserve">Zeminde temizlik sonrası kayganlık oluşması </t>
  </si>
  <si>
    <t>Kayma / Düşme</t>
  </si>
  <si>
    <t xml:space="preserve"> Çalışma esnasında ön ve arka tarafa iki taraflı alanda farkındalık olacak şekilde uyarı tabelalarının yerleştirilmektedir. </t>
  </si>
  <si>
    <t>Personelin konu hakkında eğitiminin tamamlaması ve alınacak önlemler uygulandığı takdirde var olan tehlike kontrol altına alınacaktır.</t>
  </si>
  <si>
    <t xml:space="preserve"> Yüzyüze yapılan soru-cevapla yapılan değerlendirmelerde uygunsuzluk tespit edilmemiştir.</t>
  </si>
  <si>
    <t>Zemine, duvara sabitlenmemiş yüksek eşyalar ve/veya ağır eşyaların olması</t>
  </si>
  <si>
    <t>Eşyaların montaj yerinden gevşemesi veya çıkması sonucu düşmesi-devrilmesi</t>
  </si>
  <si>
    <t>Yaralanmalar</t>
  </si>
  <si>
    <t>Sabitlenmemiş dolap,raf,çerçeve vb. eşyaların tespit edilerek montajları yapılmıştır.</t>
  </si>
  <si>
    <t>Tedavi Tepsileri ve Sharp-boxların Kullanımı</t>
  </si>
  <si>
    <t xml:space="preserve">Sharp-box Tepsilerinin kırık olması </t>
  </si>
  <si>
    <t xml:space="preserve">Tepsilerin tutulma esnasında keskin taraflarının ele batması </t>
  </si>
  <si>
    <t xml:space="preserve"> Çalışanlar </t>
  </si>
  <si>
    <t>Kullanan kişiler tarafından tespit edilmesi halinde kullanımının bırakılmaktadır ve yenisi ile değiştirilmektedir.</t>
  </si>
  <si>
    <t>2 ay</t>
  </si>
  <si>
    <t xml:space="preserve">İşyeri Ekipmanlarının Güvenli Kullanılması Hakkında Yönetmelik </t>
  </si>
  <si>
    <t xml:space="preserve">Tıbbi Cihazların Kat İçinde Konumlandırılması </t>
  </si>
  <si>
    <t xml:space="preserve">Tıbbi cihaz park alanın bulunmaması </t>
  </si>
  <si>
    <t xml:space="preserve">Koridor, geçiş alanlarına yapılan gelişigüzel bırakılan cihazlara çarpma, takılma, düşme </t>
  </si>
  <si>
    <t xml:space="preserve">Yaralanmalar </t>
  </si>
  <si>
    <t>Serbest Çalışma Alanının Belirlenmesi</t>
  </si>
  <si>
    <t>Malzemelerin ağırlık  sırasına göre yerleştririlmemesi</t>
  </si>
  <si>
    <t xml:space="preserve">Dolap ve raflarda malzeme ve/veya ürünün ağırlıklarına göre istifleme yapılmakta ve kontrolü sağlanmaktadır.  Yanıcı malzeme mevcut ise kullanılan raf veya dolapta en alt kademeye konumlandırılmaktadır. </t>
  </si>
  <si>
    <t>Kişisel Koruyucu Donanımların Kullanımı</t>
  </si>
  <si>
    <t xml:space="preserve">Kişisek koruyucu ekipmaların hasarlı olması </t>
  </si>
  <si>
    <t>Koruyucu ekipmanların işlevini yerine getirememesi</t>
  </si>
  <si>
    <t xml:space="preserve">Ramak kala olay / İş kazası </t>
  </si>
  <si>
    <t>Personellere Kişisel Koruyucu Donanım kullanımının zorunluluğu hakkında eğitim verilmektedir.  Hasarlı kişisel koruyucu ekipmanların kullanım dışı bırakılmakta olup yenisi ile değiştirmektedir.</t>
  </si>
  <si>
    <t>Kişisel Koruyucu Donanımların İşyerlerinde Kullanılması Hakkında Yönetmelik</t>
  </si>
  <si>
    <t xml:space="preserve">Personel ve hastaların yeterli istifleme alanı bulunmaması </t>
  </si>
  <si>
    <t xml:space="preserve">Yüksek alanlara malzeme istiflenmesi / eşya bırakılması </t>
  </si>
  <si>
    <t>Yeterli sayıda eşya ve ekipman dolabı bulunmaktadır. Dolap ve rafların amacının dışında kullanımı engellenmiştir.</t>
  </si>
  <si>
    <t xml:space="preserve">Kişisel Koruyucu Donanımların Kullanımı </t>
  </si>
  <si>
    <t xml:space="preserve">Lateks/Nitril Eldiven Kullanımı </t>
  </si>
  <si>
    <t xml:space="preserve">Cildin alerjik reaksiyonlar göstermesi </t>
  </si>
  <si>
    <t xml:space="preserve">Cilt tahrişi /Cilt hastalıkları </t>
  </si>
  <si>
    <t xml:space="preserve">Alerji öyküleri olan personellere farklı KKD temin edilmektedir. </t>
  </si>
  <si>
    <t xml:space="preserve">Alınacak önlemler uygulandığı takdirde var olan tehlike kontrol altına alınacaktır. </t>
  </si>
  <si>
    <t>Çalışan Güvenliği Programı / İş Ekipmanlarının Kullanımında Sağlık ve Güvenlik Yönetmeliği</t>
  </si>
  <si>
    <t xml:space="preserve">Hasta Bakım ve Tedavi Uygulamaları </t>
  </si>
  <si>
    <t xml:space="preserve">İşYeri Bina ve Eklentilernde Alınacak Sağlık ve Güvenlik Önlemleri Hakkında Yönetmelik </t>
  </si>
  <si>
    <t xml:space="preserve">Enfeksiyon </t>
  </si>
  <si>
    <t>Yapılan saha denetimlerinde herangi bir uygunsuzluk veya geri bildirim tespit edilmemiştir.</t>
  </si>
  <si>
    <t xml:space="preserve">Kas-iskelet sistemi hastalıkları </t>
  </si>
  <si>
    <t xml:space="preserve">Hastalar / Çalışanlar </t>
  </si>
  <si>
    <t xml:space="preserve">Takılma / Düşme / Çarpma </t>
  </si>
  <si>
    <t xml:space="preserve">Hastalar /  Çalışanlar </t>
  </si>
  <si>
    <t xml:space="preserve">Kritik ve incinebilir hastalar </t>
  </si>
  <si>
    <t xml:space="preserve">Hastalarının izolasyonunun sağlanamaması </t>
  </si>
  <si>
    <t xml:space="preserve">Bağışıklığı zayıf hastaların enfeksiyon riski ile karşılaşması </t>
  </si>
  <si>
    <t xml:space="preserve">Enfeksiyon / Kritik durumun kötüleşmesi </t>
  </si>
  <si>
    <t xml:space="preserve">Biyolojik Etkenlere Maruziyet Risklerinin Önlenmesi Hakkında Yönetmelik </t>
  </si>
  <si>
    <t xml:space="preserve">Hasta başı yatak panellerinin kullanımı </t>
  </si>
  <si>
    <t>Panelin ve bağlantılı cihazların düzenli temizlenmemesi</t>
  </si>
  <si>
    <t>Bakteri, mikroorganizma birikimi</t>
  </si>
  <si>
    <t xml:space="preserve">Tespiti yapılamayan izolasyon gerektiren hastalar </t>
  </si>
  <si>
    <t xml:space="preserve">CPR uygulamaları sırasında kan,tükürük vb. vücut sıvıları bulaşması / sıçraması </t>
  </si>
  <si>
    <t>Personellere sürekli kullanmaları için kişisel koruyucu ekipmanlar temin edilmiştir. Personellere düzenli aralıklarla enfeksiyon kontrol eğitimi verilmektedir. Personellerin bağışıklık durumları işe giriş tetkiklerinde ve yılda en az bir defa olmak üzere izlenmektedir.</t>
  </si>
  <si>
    <t xml:space="preserve">Enfeksiyon Kontrol Komitesi </t>
  </si>
  <si>
    <t>Analiz sonuçlarında herhangi bir olumsuzluk tespit edilmemiştir.</t>
  </si>
  <si>
    <t>Kesici-delici aletlerle temas edilmesi</t>
  </si>
  <si>
    <t>Kesici-delici alet batmaları</t>
  </si>
  <si>
    <t xml:space="preserve">Yaralanmalar / Enfeksiyon / İş kazası </t>
  </si>
  <si>
    <t>İş başlangıç eğitimlerinde ve düzenli aralıklarda personellere bilgilendirme yapılmaktadır. Personellere kişisel koruyucu ekipman temin edilmiştir ve kullanımı zorunlu tutulmuştur. Aylık olarak gerçekleşen ilgili iş kazalarının analizi yapılmakta olup nedenlerine göre anlık aksiyon alınmaktadır.</t>
  </si>
  <si>
    <t>Sharp-boxların doluluğunun gereğinden fazla olmas/değişiminin yapılmaması</t>
  </si>
  <si>
    <t xml:space="preserve">Yaralanmalar / İğne batması / Enfeksiyon </t>
  </si>
  <si>
    <t xml:space="preserve">Sharp-boxların 3/4 doluluk oranına ulaştığında anında değitirilmesi husunda işe giriş eğitimlerinde ve düzenli aralıklarla personellere bilgilendirme yapılmaktadır. </t>
  </si>
  <si>
    <t xml:space="preserve">Tıbbi Atıkların Bertaraf Edilmesi </t>
  </si>
  <si>
    <t>Kullanımı bitmiş enjektör, vacutailer vb. aletlerin shorp-box kutusu haricindeki alanlara atılması</t>
  </si>
  <si>
    <t xml:space="preserve">Tedavi tepsilerinde iğne unutulması </t>
  </si>
  <si>
    <t xml:space="preserve">Yaralanma / İğne batması / Enfeksiyon </t>
  </si>
  <si>
    <t>Tedavi tepsileri için katlara temin edilen sharp-boxların kullanılmaktır.</t>
  </si>
  <si>
    <t>Biyolojik Etkenlere Maruziyetten Korunma  (Solunum Yolu ile)</t>
  </si>
  <si>
    <t>Enfeksiyon etkenleri Grup 3 biyolojik etkenler (tüberküloz vb. )</t>
  </si>
  <si>
    <t>Solunum yoluyla maruziyet</t>
  </si>
  <si>
    <t>Personellere kişisel koruyucu donanım (eldiven,gözlük,maske, koruyucu giysi) temin edilmektedir. Hastanın müracatı halinde izolasyon protokolleri başaltılmaktadır. Koruyucu donanımların kullanım zorunluluğu ve el hijyeni eğitimleri işe giriş oryantasyon katılımlarında verilmektedir.</t>
  </si>
  <si>
    <t>Biyolojik etkenlere maruziyetten korunma  (temas,sıçrama,deri yolu ile)</t>
  </si>
  <si>
    <t>Enfeksiyon etkenleri Grup 3 biyolojik etkenler (hepatit b vb. )</t>
  </si>
  <si>
    <t>Kan ve vücut sıvıları ile temas etme</t>
  </si>
  <si>
    <t>Biyolojik Etkenlere Maruziyetten Korunma (Temas,Sıçrama,Deri Yolu ile)</t>
  </si>
  <si>
    <t>Enfeksiyon etkenleri Grup 3 biyolojik etkenler        (Hepatit B-Hepatit C vb. )</t>
  </si>
  <si>
    <t>Tıbbi atıklar ile temas etme</t>
  </si>
  <si>
    <t>Biyolojik Etkenlere Maruziyetten Korunma  (Temas,Sıçrama,Deri Yolu ile)</t>
  </si>
  <si>
    <t>Enfeksiyon etkenleri Grup 3 biyolojik etkenler               (Hepatit B-Hepatit C vb.)</t>
  </si>
  <si>
    <t>İğne batması</t>
  </si>
  <si>
    <t>Enfeksiyon etkenleri Grup 4 biyolojik etkenler           (Kırım Kongo Kanamalı Ateş, Ebola vb. )</t>
  </si>
  <si>
    <t xml:space="preserve">Aktif Akciğer TF Hasta </t>
  </si>
  <si>
    <t>Bulaışıcı Hastalık</t>
  </si>
  <si>
    <t>Herhangi bir yayılım tespit edilmemiştir.</t>
  </si>
  <si>
    <t xml:space="preserve">Kızamık-Kızamıkcık / Kabakulak Hasta </t>
  </si>
  <si>
    <t xml:space="preserve">İnfuluenza Hasta </t>
  </si>
  <si>
    <t>Solunum yoluyla maruziyet / Kan ve temas yoluyla maruziyet</t>
  </si>
  <si>
    <t>Covid-19 (Yeni varyant) Hasta</t>
  </si>
  <si>
    <t>Maymun Çiçeği</t>
  </si>
  <si>
    <t xml:space="preserve">Pest kontolleri </t>
  </si>
  <si>
    <t xml:space="preserve">Kemirgen,böcek,haşere vb. bulunması </t>
  </si>
  <si>
    <t xml:space="preserve">Ekipmanlarla temas etmesi nedeniyle kontaminasyon </t>
  </si>
  <si>
    <t xml:space="preserve">Enfeksiyon / İşlemlerin aksaması / İmaj zedelenmesi </t>
  </si>
  <si>
    <t>Düzenli (ayda en az br defa) kontrol uygulamalarının (ilaçlama vb.) yapılmaktadır. Yiyecek ve içeceklerin alanda yasaklanmıştır. Çalışma alanlarının temizliğigünlük olarak vardiya değişim aralarında yapılmaktadır.</t>
  </si>
  <si>
    <t xml:space="preserve">CPR Uygulamaları </t>
  </si>
  <si>
    <t xml:space="preserve">Hasta kaybı, zamanla yarış ve yoğun çalışma </t>
  </si>
  <si>
    <t>Tükenmişlik sendromi</t>
  </si>
  <si>
    <t xml:space="preserve">Stres / Yorgunluk </t>
  </si>
  <si>
    <t>Nöbet süreleri çalışanın dinlenmesine müsaade edecek şekilde düzenlenmektedir ve programa alınmaktadır.</t>
  </si>
  <si>
    <t>İş Sağlığı ve Güvenliği Risk Değerlendirmesi Yönetmeliği</t>
  </si>
  <si>
    <t xml:space="preserve">İş Planı Oluşturulması </t>
  </si>
  <si>
    <t>Çalışanlara görev ve harici sorumluluk verilmesi</t>
  </si>
  <si>
    <t>Stres / Mobbing</t>
  </si>
  <si>
    <t xml:space="preserve">Strese bağlı gelişen meslek hastalıkları </t>
  </si>
  <si>
    <t>Birim bazında uygun iş planlamaları yapılmıştır. Rötasyon-devriyeler aralıklarla gözden geçirilip düzenlenmektedir. Çalışanlara ilk iki ay sonunda ve düzenli olarak değerlendirme anketi sunulup geri bildirimleri alınmaktadır.</t>
  </si>
  <si>
    <t>Herhangi bir meslek hastalağı yaşanmamaştır.</t>
  </si>
  <si>
    <t>İletişim</t>
  </si>
  <si>
    <t xml:space="preserve">Hasta ve çalışan arasında sözlü veya fiziksel tartışma </t>
  </si>
  <si>
    <t>Yaralanmalar / Memnuniyetsizlik / Prestij kaybı</t>
  </si>
  <si>
    <t>Hastalar / Hasta yakınları / Çalışanlar / Ziyaretçiler</t>
  </si>
  <si>
    <t xml:space="preserve">İşe giriş eğitimlerinde acil kod durum eğitimleri verilmekte olup özellikle "Beyaz Kod" bilgilendirilmesi yapılmaktadır. Olası yaşanan beyaz kod durum sonrasında çalışanlar için talep doğrultusunda bölüm sorumluları veya ilgili uzman tarafıdan psikolojik destek hizmetleri sağlanmaktadır. </t>
  </si>
  <si>
    <t xml:space="preserve">Molalar / Ara dinlenmeler </t>
  </si>
  <si>
    <t xml:space="preserve">Yüksek stres altında çalışma </t>
  </si>
  <si>
    <t xml:space="preserve">Nöbet sürelerinin dinlenmeye müsaade edecek şekilde düzenlenmiştir ve bölüm içinde programa alınmıştır. </t>
  </si>
  <si>
    <t xml:space="preserve">Nöbet kayıt sistemi kullanılmaktadır. </t>
  </si>
  <si>
    <t>Çalışanların Psikososyal Durumları</t>
  </si>
  <si>
    <t xml:space="preserve">Travmatik vaka olayları </t>
  </si>
  <si>
    <t xml:space="preserve">Direkt müdahale ve/veya şahit olunması sonrası depresif durumlar </t>
  </si>
  <si>
    <t xml:space="preserve">Stres / Ruhsal hastlıklar </t>
  </si>
  <si>
    <t xml:space="preserve">Çalışanlar </t>
  </si>
  <si>
    <t xml:space="preserve">Görev, sorumluluklar alan çalışanları arasında paylaştırılmıştır. Travmatik olay sonrası stres bozukluğunun yönetilmesi alan sorumlusu veya talep doğrultusunda uzman personel tarafından psikolojik destek sağlanmaktadır. Özellikle yeni işe başlayan personellerin adaptasyon süreçlerinin takibi bölüm sorumluları ve ilgili alan tarafından yapılarak performans ölçümleri kayıt altına alınmaktadır. </t>
  </si>
  <si>
    <t>Olay bildirimleri takip edilmektedir.</t>
  </si>
  <si>
    <t xml:space="preserve">Psikososyal Koruma, Önleme ve Krize Müdahale Hizmetleri Yönergesi </t>
  </si>
  <si>
    <t xml:space="preserve">Yoğun çalışma </t>
  </si>
  <si>
    <t xml:space="preserve">Yanlış tedavi / İlaç hatası / Dalgınlık </t>
  </si>
  <si>
    <t xml:space="preserve">Hastaların Psikososyal Durumları </t>
  </si>
  <si>
    <t xml:space="preserve">Tedavi sürecinde yaşanan korku ve endişe </t>
  </si>
  <si>
    <t xml:space="preserve">Tedaviye uyumsuzluk </t>
  </si>
  <si>
    <t xml:space="preserve">Tedavide başarısızlık oranlarının yükselmesi </t>
  </si>
  <si>
    <t>Hasta ve yakınlarına yönelik tedavi öncesi bilgilendirme ve eğitim verilmektedir. Hasta hakları bölümünün tedavi süreçler sonrası değerlendirmelere dahil edilmektedir. Etkili iletişim ile ilgili çalışanlara eğitimler verilmektedir.</t>
  </si>
  <si>
    <t>Eğitim etkinlik sonuçları yapılan anketlerle takip edilmektedir.</t>
  </si>
  <si>
    <t xml:space="preserve">Hastalık ve tedaviyle ilgili bilgi eksikliği </t>
  </si>
  <si>
    <t xml:space="preserve">Psikolojik rahatsızlık gelişimi </t>
  </si>
  <si>
    <t>Hasta güvenliğinin tehlikeye girmesi</t>
  </si>
  <si>
    <t>Hastaların yakınlarıyla iletişimde kopukluk</t>
  </si>
  <si>
    <t xml:space="preserve">Hasta memnuniyetsizliğinin artması </t>
  </si>
  <si>
    <t xml:space="preserve">Kurum imajının zedelenmesi </t>
  </si>
  <si>
    <t xml:space="preserve">Hasta Yakınlarının Psikososyal Durumları </t>
  </si>
  <si>
    <t>Uzun süreli bekleme ve belirsizlik durumu</t>
  </si>
  <si>
    <t xml:space="preserve">Duygusal yıpranma nedeniyle çalışanlara yönelik şiddetin artması </t>
  </si>
  <si>
    <t>Süreçlerin anlaşılmasında yaşanan zorluklar</t>
  </si>
  <si>
    <t xml:space="preserve">Kas-iskelet sistemi rahatsızlıkları/ Yaralanma </t>
  </si>
  <si>
    <t>Hasta taşıma esnasında roll-bourd( minder) kullanılmaktadır.  Ağır yük kaldırma-taşıma kurallarına riayet edilmektedir.</t>
  </si>
  <si>
    <t>Elle Taşıma İşleri Yönetmeliği</t>
  </si>
  <si>
    <t xml:space="preserve">Masabaşı çalışmaları </t>
  </si>
  <si>
    <t>Ekranlı araç kullanımı</t>
  </si>
  <si>
    <t>Uzun süreli kullanımı / Yanlış kullanımı</t>
  </si>
  <si>
    <t>Göz hastalıkları /  Kas-iskelet sistemi hastalıkları</t>
  </si>
  <si>
    <t xml:space="preserve"> Ekranlı araç kullanımına dair alınması gereken önlemlerin eğitimlerde bahsedilmektedir. Monitörler personel uygunluğuna göre mesafe ve hizada ayarlanmaktadır.</t>
  </si>
  <si>
    <t>Ekranlı Araçlarla Çalışmalarda Sağlık ve Güvenlik Önlemleri Yönetmeliği</t>
  </si>
  <si>
    <t xml:space="preserve">Yanlış çalışma pozisyonları </t>
  </si>
  <si>
    <t xml:space="preserve">Uzun süre ayakta çalışma / Uzun süre oturarak çalışma </t>
  </si>
  <si>
    <t xml:space="preserve">Kas-iskelet sistemi rahatsızlıkları / Kronik ağrlar </t>
  </si>
  <si>
    <t xml:space="preserve">Personellere ergonomik koşullara uygun sandalye ve dinlenme alanı temin edilmiştir. Aralıklı molalar hakkında personellerin bilgilendirilmiştir. İşe giriş eğitimlerinde ergonomik çalışma koşulları hakkında bilgilendirme yapılmıştır. </t>
  </si>
  <si>
    <t xml:space="preserve">Dezenfeksiyon </t>
  </si>
  <si>
    <t xml:space="preserve">Kimyasalların ısıyla etkileşimi sonucu yanması / yanıcı madde ile etkileşimi sonucu yanması </t>
  </si>
  <si>
    <t xml:space="preserve">Yangın / Zehirlenme </t>
  </si>
  <si>
    <t xml:space="preserve"> Alanlarda kimyasal madde envanter listesi, depolama matrisi ve güvenlik bilgi formları bulunmaktadır.  Personele kullanacağı kimyasallara uygun kişisel koruyucu ekipman temin edilmiştir. Alanda döküntü-saçılma kitleri bulunmaktadır. </t>
  </si>
  <si>
    <t xml:space="preserve">Kimyasal Maddelerle Çalışmalarda Sağlık ve gÜvenlik Önlemleri Hakkında Yönetmelik </t>
  </si>
  <si>
    <t>Göz ve vücut bölgelerine sıçraması, bulaşması</t>
  </si>
  <si>
    <t xml:space="preserve">Göz ve deri tahrişleri </t>
  </si>
  <si>
    <t>Temizlik kimyasalların yanlış kullanımı</t>
  </si>
  <si>
    <t xml:space="preserve">Aşırı dozda kullanımı nedeniyle cilt tahrişleri / solunum yolu tahrişleri </t>
  </si>
  <si>
    <t>Kimyasal yanıklar / İrritasyon</t>
  </si>
  <si>
    <t xml:space="preserve">Kimyasal Envanterin Yönetilmesi </t>
  </si>
  <si>
    <t xml:space="preserve">Tehlikeli kimyasalların eksik veya yanlış yönetimi </t>
  </si>
  <si>
    <t xml:space="preserve">Yanlış kimyasalların kullanımı nedeniyle toksik reaksiyonlar </t>
  </si>
  <si>
    <t xml:space="preserve">Hasta ve çalışan sağlığının tehlikeye girmesi / İş kazaları </t>
  </si>
  <si>
    <t>Kimyasalların güncel envantelerinin kontrol edilmekte ve alanda bulunmaktadır. Kimyasalların güvenlik bilgi formlarının (MSDS) firmalardan alınıp arşivlenmektedir.</t>
  </si>
  <si>
    <t>Personellerin eğitim ve bilgilendirme eksikliği</t>
  </si>
  <si>
    <t xml:space="preserve">Yanlış kimyasalların kullanımı / Kimyasala maruziyetin artması </t>
  </si>
  <si>
    <t xml:space="preserve">Ciddi sağlık sorunları / Acil durumlarda etkisiz müdahale </t>
  </si>
  <si>
    <t xml:space="preserve">Kimyasalların alanda bulunan matrikse (uyumluluk tablosu) göre sıralanıp muhafaza edilmektedir. Depolama yerine kullanım ve tükeim hızı ihtiyacına göre stoklama yapılmaktadı. Stok yapılan alanlar için sıcaklık,nem ölçer cihazları ile kontrol sağlanmaktadır. Kimyasalların bulunduğu alanda etiketlemeler yapılmaktadır. </t>
  </si>
  <si>
    <t>Eğitim katılım ftomları kayıt altına alınmaktadır.</t>
  </si>
  <si>
    <t xml:space="preserve">Tehlikeli kimyasalların yanlış depolanması </t>
  </si>
  <si>
    <t xml:space="preserve">Fiziksel hasar / Zehirlenme / Yangın / Depolama alan güvenliğinin tehlikeye girmesi </t>
  </si>
  <si>
    <t xml:space="preserve">Hasta ve çalışan sağlığının tehlikeye girmesi / Alan tesis işletiminin aksaması / Maddi hasar </t>
  </si>
  <si>
    <t xml:space="preserve">Stoklama </t>
  </si>
  <si>
    <t xml:space="preserve">İlaç stok ve kontrol takibin yapılamaması </t>
  </si>
  <si>
    <t xml:space="preserve">Yanlış ilaç uygulamaları / ilaç stok yetersizliği  </t>
  </si>
  <si>
    <t xml:space="preserve">İlaçların bozulması /  Hastanın rahatsızlığa dair reaksion göstermesi  / Menuniyetsizlik </t>
  </si>
  <si>
    <t>İlaç stoklarının ve takvimlerinin kontrolünün gözle ve sitem üzerinde izlem ve takibi yapılmaktadır.</t>
  </si>
  <si>
    <t xml:space="preserve">Kovaların dolum oranının aşması </t>
  </si>
  <si>
    <t>Tıbbi atık kovalarının kapaklarının açık olması</t>
  </si>
  <si>
    <t xml:space="preserve">Enfeksiyon / Yaralanma </t>
  </si>
  <si>
    <t>Tıbbi atık kovalarının dolum oranlarına ulaştığında ve günlük olarak toplanmaktadır.</t>
  </si>
  <si>
    <t>Tıbbi atıklar düzenli olarak bertaraf edilmektedir.</t>
  </si>
  <si>
    <t xml:space="preserve">Atık Yönetimi Yönetmeliği / JCI FMS 6.1 Standart </t>
  </si>
  <si>
    <t xml:space="preserve">Tıbbi atık kovalarında tehlikeli madde bulunması </t>
  </si>
  <si>
    <t xml:space="preserve">Anestezik veya yüksek riskli ilaç vb. ilaçların erişime açık olması </t>
  </si>
  <si>
    <t xml:space="preserve">Amaç dışı kullanılması / İş kazası / Adli olay </t>
  </si>
  <si>
    <t>Kullanım sonrası ilaçların tehlikeli madde variline sıkılmakta ve imha edilmektedir.</t>
  </si>
  <si>
    <t>Tehlikeli maddeler için atık beratarf süreci prosedürlere uygun devam etmektedir.</t>
  </si>
  <si>
    <t>Tıbbi atıklar kovalarına atılmış iğne,kesici alet bulunması ve atık poşetinin hasar alması</t>
  </si>
  <si>
    <t xml:space="preserve">Kesici-delici alet yaralanmaları </t>
  </si>
  <si>
    <t>Tıbbi atık toplayıcılarının eğitimli ve yetkin kişilerdir. Toplayıcılara koruyucu ekipman (turuncu kıyafet, eldiven, gözlük,bone) temin edilmektedir. Tıbbi atık kovalarına Tıbbi atık personeli hariç müdahale edilmemektedir. Tıbbi atık poşetleri standarda uygun yırtılmaz malzemeden temin edilmiştir.</t>
  </si>
  <si>
    <t>Atık bertaraf süreci prosedürlere uygun devam etmektedir.</t>
  </si>
  <si>
    <t>Tıbbi atık kovalarının temizlik planlamasının yapılmaması</t>
  </si>
  <si>
    <t>Tıbbi atık kovalarındaki atıkların uzun süre bekletilmesi</t>
  </si>
  <si>
    <t>Gün içinde yapılan iş planı ve dolum oranları da göz önünde bulundurularak temizlik programı düzenlenmektedir ve yapılan denetimlerde kontrol formlarının doluluğu gözlemlenmektedir.</t>
  </si>
  <si>
    <t xml:space="preserve">Tıbbi atıkların yanlış sınıflandırılması </t>
  </si>
  <si>
    <t xml:space="preserve">Biyolojik atıkların veya evsel atıkların tehlikeli atıklarla karışması </t>
  </si>
  <si>
    <t>Tıbbi atıkların doğru sınıflandırılması için net prosedürler oluşturmuştur.
(OHZ-T05 Tıbbi Atıkların Taşınması ve Son. Asansör ve Geçici Tıbbi Atık Dep. Alanı Tem. referans alınmıştır.) Personellerin yetkiledirilmiş firma tarafından istihdamı sağlanmaktadır ve işe başlangıç eğitimlerinde tıbbi atık sınıflandırma konularında bilgilendirilmektedir. Tıbbi atıkların etiketlenmekte olup toplama süreci yapıaln ayrıma göre sürdürülmektedir.</t>
  </si>
  <si>
    <t xml:space="preserve">Tıbbi atıkların yanlış depolanması </t>
  </si>
  <si>
    <t>Atıkların çeveye sızması veya enfeksiyonlu atıkların yayılmasın</t>
  </si>
  <si>
    <t>Tıbbi atıkların depolanacağı atık depolarının oluşturulmutur. Depolama alanlarının yapılan planlamalar dorultusunda temizliği yapılmaktadır. Sızdırmaz ve kapalı konteynır kullanılmaktadır.</t>
  </si>
  <si>
    <t xml:space="preserve"> Atıkların Bertaraf Edilmesi </t>
  </si>
  <si>
    <t xml:space="preserve">Atıkların sağlık çalışanı / tıbbi atıkçı tarafından yanlış imha edilmesi </t>
  </si>
  <si>
    <t xml:space="preserve">Tıbbi atıkların hızlı ve yoğun çalışma ortamından kaynaklı yanlış şekilde el ile işleme tabi tutulması </t>
  </si>
  <si>
    <t xml:space="preserve">Sağlık personeli ve tıbbi atıkçıların işe giriş eğitimlerinde tıbbi atık yönetimi konuları hakkında bilgilendirilmiştir. Tıbbi atıkların imhası sırasında temin edilen kişisel koruyucucu donanımların kullanılmaktadır. Tıbbi atıkların atılması için otomotik güvenli sistemlerin kullanılmaktadır.( pedal vb.) </t>
  </si>
  <si>
    <t>Sharp-boxların kapağının açık tutulması</t>
  </si>
  <si>
    <t>Sharp-boxların kullanımı hususunda personellere bilgilendirme eğitimi verilmiştir. Tepsilerde uyarıcı/hatırlatıcı etiketlemelerin bulunmaktadır.</t>
  </si>
  <si>
    <t xml:space="preserve">Tıbbi atık kovalarına koruyucu ekipmansız müdahale </t>
  </si>
  <si>
    <t xml:space="preserve">Atık taşıma sürecinde konteynerlerin devrilmesi veya sızdırması </t>
  </si>
  <si>
    <t xml:space="preserve">Çevre ve çalışan sağlığının bozulması </t>
  </si>
  <si>
    <t>Taşıma konteyner, kova, varillerin; sızdırmaz, kapaklı ve dayanıklı malzemeden tercih edilmiştir.  Taşıma süresi boyunca konteynerlerin fren sistemi ile sabitlenmektedir. Kat ve alanda atık toplayacak personelin kişisel koruyucu ekipmanlarını kullanması zorunlu tutulmuştur.</t>
  </si>
  <si>
    <t xml:space="preserve">Atıkların belirlenen alan yerine rastgele depolanması </t>
  </si>
  <si>
    <t xml:space="preserve">Koku, haşerat ve mikroorganizma oluşumu </t>
  </si>
  <si>
    <t xml:space="preserve">Geçici atık depolama alanlarının bulunmaktadır. Günlük olarak alandan toplanan atıklar burada depolanmakta ve günlük bertaraf edilmektedir. Depolama alanları 4'C sıcaklıkta tutulmakta olup yapılan planlama doğrultusunda düzenli olarak dezenfekte edilmektedir ve havalandırma sistemleri aktif çalışmaktadır. </t>
  </si>
  <si>
    <t xml:space="preserve">Kimyasal Atıkların Bertaraf Edilmesi </t>
  </si>
  <si>
    <t xml:space="preserve">Acil durumlar için hazırlıklı olamama </t>
  </si>
  <si>
    <t xml:space="preserve">Dökülme, sızıntı ve kazalar gibi acil durumlarda yetersiz yanıt </t>
  </si>
  <si>
    <t xml:space="preserve">Atıklara maruziyetin artması / Enfeksiyon / Maddi hasar </t>
  </si>
  <si>
    <t xml:space="preserve">Tıbbi Cihazların Test, Kontrol ve Kalibrasyonu Hakkında Yönetmelik </t>
  </si>
  <si>
    <t>Tespit edilen tehlikeye dair görsel bulunmamaktadır</t>
  </si>
  <si>
    <t xml:space="preserve">Yanlış müdahale </t>
  </si>
  <si>
    <t>Hasta yatak başı ünite elementelerinde elektrik kaçağı</t>
  </si>
  <si>
    <t xml:space="preserve">Elektrik kaçağının farkedilmemesi/gözle görülmemesi </t>
  </si>
  <si>
    <t xml:space="preserve">Yangın / Elektrik ile çarpılma </t>
  </si>
  <si>
    <t xml:space="preserve">Hastabaşı pendatlarının düzenli olarak Teknik Hizmetler Müdürlüğü takibinde kontrol edilmekte olup teknik denetim etiketlemeleri yapılmıştır. Arızalı elektrik veya oksijen prizleri vb. parçaların tespiti halinde onarımları veya değişimleri sağlanmaktadır. Panelde sabit olmayan veya montajı sağlam yapılmayan ekipman bulunmamaktadır. </t>
  </si>
  <si>
    <t>Firma ve ekip denetimlerinde herhangi bir olumsuzluk tespit edilmemiştir.</t>
  </si>
  <si>
    <t>Binaların Yangından Korunması Hakkında Yönetmelik / NFPA</t>
  </si>
  <si>
    <t>02 Tedariği (Tüp)</t>
  </si>
  <si>
    <t>02  tüpünün taşınması ve basıncı</t>
  </si>
  <si>
    <t xml:space="preserve">El / Kol gücüyle taşınmaya çalışılması nedeniyle tüpün düşmesi / Yangın / Patlama </t>
  </si>
  <si>
    <t xml:space="preserve"> Yaralanmalar / Solunum yolu hastalıkları / Ölüm</t>
  </si>
  <si>
    <t xml:space="preserve">Kontrollü taşımaya yönelik eğitimler personellere verilmektedir. Taşıma sırasında hasarlı,yıpranmış olmayan uygun tüp taşıma araçlarının kullanılmaktadır. Devrilme/düşmeyi önleyeci kordonlar tüp taşıma aracının üzerinde bulunmaktadır. </t>
  </si>
  <si>
    <t>O2 Tedariği (Tüp)</t>
  </si>
  <si>
    <t>O2 sızıntısı</t>
  </si>
  <si>
    <t>Sızıntının geç farkedilmesi / Yangın</t>
  </si>
  <si>
    <t>/ Yaralanmalar / Solunum yolu hastalıkları / Ölüm</t>
  </si>
  <si>
    <t xml:space="preserve">Elektrikli cihazların durumu </t>
  </si>
  <si>
    <t xml:space="preserve">Alan genelinde prizlerin duvara sabit olmaması </t>
  </si>
  <si>
    <t>Sabit olmayan prize elektrikli cihaz takılması / Yangın</t>
  </si>
  <si>
    <t>Elektrik çarpması / Kalp krizi / Yaralanmalar</t>
  </si>
  <si>
    <t>Alan prizleri ölü boşluk, çıkımtı kalmayacak şekilde montajları yapılmıştır. Sabit olmayan prizi bulunmamaktadır.</t>
  </si>
  <si>
    <t xml:space="preserve">Tıbbi cihaz ve UPS prizlerinin ayırt edilmemesi </t>
  </si>
  <si>
    <t>Tıbbi cihaz ve UPS prizlerinin amacı dışında kullanılması</t>
  </si>
  <si>
    <t>Aşırı yük / Elektrik çarpması / Kalp krizi / Yaralanmalar</t>
  </si>
  <si>
    <t>Alanda tıbbi cihazların kullanım ihtiyacına yönelik yeterli sayıda ups prizi mevcuttur. Prizlere amacına yönelik kullanımı için ups bağlıntı prizi olduğuna dair etiketlemeler yapılmıştır. Tüm cihazların bu prizlerlerle bağlantısı sağlanmaktadır.</t>
  </si>
  <si>
    <t>Elektrikli ekipman kullanımı (priz,anahtar vb.)</t>
  </si>
  <si>
    <t xml:space="preserve">Hasarlı,yıpranmış veya açıkta elektrikli ekipman kablolarının bulunması </t>
  </si>
  <si>
    <t xml:space="preserve">Kablo dmarları ile temas edilmesi / Elektrik çarması / Yangın </t>
  </si>
  <si>
    <t xml:space="preserve">Müdahale güçlüğü / Yaralanmalar </t>
  </si>
  <si>
    <t xml:space="preserve">Tespit edilen kabloların bulunduğu ekipmanlar teknik hizmetler ekibi adına arıza kaydı açıldıkta sonra kullanım dışı bırakılmaktadır. </t>
  </si>
  <si>
    <t xml:space="preserve">Alan içindeki elektrik pano odası ve/veya pano kapakların açık bırakılması </t>
  </si>
  <si>
    <t xml:space="preserve">Yekisiz müdahale / Elektrik çarpması / Yangın </t>
  </si>
  <si>
    <t xml:space="preserve">Kalp krizi / Yaralanmalar </t>
  </si>
  <si>
    <t>Pano odalarına kartlı erişim sistemi ile giriş çıkışlar sağlanmaktadır. Oda için kalmayan panoların kapaklarına kilit montajı yapılmıştır ve anahtaraları sadece yetkili personele teslim edilmiştir. Farkındalığı arttıracak ve panoyu belirtecek etiketlemeler pano kapakları üzerine asılmıştır.</t>
  </si>
  <si>
    <t xml:space="preserve">Yangın söndürme sistemlerinin durumu </t>
  </si>
  <si>
    <t xml:space="preserve">Yangın söndürme tüpü tedariği aksaklığı </t>
  </si>
  <si>
    <t xml:space="preserve">Yangın söndürme tüpü eksikliği / yetersiziği nedeniyle yangına müdahale edilememesi </t>
  </si>
  <si>
    <t xml:space="preserve"> Müdahale güçlüğü / Ciddi maddi hasar / Yaralanmalar </t>
  </si>
  <si>
    <t>Yapılan planlamalar doğrultusunda (en az 6 ayda bir kez) bakım ve kontrolleri yapılmaktadır. Kullanım sonrası tüplerin (köpük söndürücü) alandan alınmakta olup stokta olan tüplerden veya yeni temin edilen tüp tedariği sağlanmaktadır.</t>
  </si>
  <si>
    <t>Yangın söndürme tüpünün boş olması</t>
  </si>
  <si>
    <t>Boş yangın tüplerinin tespit edilememesi</t>
  </si>
  <si>
    <t xml:space="preserve">Yangın / Müdahale güçlüğü </t>
  </si>
  <si>
    <t xml:space="preserve">Yangın söndürme dolabının üzerinde / içinde kontrol kullanım talimatı vb. formların bulunmaması </t>
  </si>
  <si>
    <t xml:space="preserve">Arıza durumu / 
Acil durumlarda müdahale güçlüğü </t>
  </si>
  <si>
    <t xml:space="preserve">Büyüyen yangın / Yaralanmalar </t>
  </si>
  <si>
    <t>Olası bir arıza veya değişim olması durumda veya planlama doğrultusunda düzenli yapılan kontrollerin sağlandığına dair formlar ve bakım etiketleri dolaplar üzerinde bulunmktadır. Kullanım talimatları oluşturulmuş olup görsel desteklemesi ile birlikte dolaplara asılmıştır.</t>
  </si>
  <si>
    <t>Yangın yükü</t>
  </si>
  <si>
    <t>Malzeme istifleme alanlarının belirlenmemesi</t>
  </si>
  <si>
    <t>Yangın dolabı ve/veya yangın söndürme tüplerinin önüne malzeme istiflenmesi</t>
  </si>
  <si>
    <t>Büyüyen yangın / Zehirlenme / Yaralanmalar</t>
  </si>
  <si>
    <t>Kat içinde cihaz park alanları işaretlenmiştir. Kirli-temiz odaları ve banko arka bölümlerinde malzeme,dosya,eşya yerleştirmek için yaterli alan bulunmaktadır. Yemek arabaları, temizlik arabaları park alanları da geçiş yolu olmayan bir alan üzerinde belirlenmiştir.</t>
  </si>
  <si>
    <t>Molalar / Ara Dinlenmeler</t>
  </si>
  <si>
    <t>Dinlenme odasında bulunan elektrikli ısıtıcılar, 
kettle vb. elektrikli 
aletlerin 
bulundurulması</t>
  </si>
  <si>
    <t xml:space="preserve">Elktrikli cihazların çalışır durumda unutulması </t>
  </si>
  <si>
    <t>Yangın / Yaralanmalar</t>
  </si>
  <si>
    <t xml:space="preserve">Yangın riskine karşı tüm elektrikli ısıtıcıların 
toplanmış ve alandan çıkarılmıştır. Uyarıcı işaretleme ve talimatlar genel saha içerisnde mevcuttur. </t>
  </si>
  <si>
    <t xml:space="preserve">O2 gaz kaçakları / sızıntıları </t>
  </si>
  <si>
    <t xml:space="preserve">Gaz sistemlerinin işlevsiz hale gelmesi </t>
  </si>
  <si>
    <t xml:space="preserve">Müdahale güçlüğü / Yangın </t>
  </si>
  <si>
    <t>Kullanılan medikal gaz sistemleri ve oksijen tüpleri iç ve dış kontroller olarak periyodik bakım ve kontrolleri yapılmaktadır. Özellikle gaz sistemlerinde periyodik olarak kaçak,sızıntı testleri yapılmaktadır. Yapılacak periyodik bakımların tesis yıllık bakım planında programlanmış olup kayıt altına alınmaktadır.</t>
  </si>
  <si>
    <t xml:space="preserve">Firma tarafından yapılan kontrollerde herhangi bir olumsuzluk tespit edilmemiştir. </t>
  </si>
  <si>
    <t xml:space="preserve">Yangın Bölmelendirmeleri </t>
  </si>
  <si>
    <t>Yangın bölmelendirme yetersizliği</t>
  </si>
  <si>
    <t xml:space="preserve">Yangının bina içinde hızlı yayılması </t>
  </si>
  <si>
    <t xml:space="preserve">Can kaybı / Malzeme ve ekipman kaybı / Operasyonların kesitiye uğraması </t>
  </si>
  <si>
    <t>Yangına dayanımlı duvar, tavan malzmeleri ve kapılar kullanılmakatdır. Yangın dayanımlılığının test edilmesi içi yıl içinde yapılan planlamalar doğrltusunda kontol ve gerekirse bakımları yapılmıştır.</t>
  </si>
  <si>
    <t xml:space="preserve">Yangın kapılarının çalışmaması </t>
  </si>
  <si>
    <t xml:space="preserve">Yangın kapılarının kapanmaması ile beraber dumanın yayılması </t>
  </si>
  <si>
    <t xml:space="preserve">Yangının diğer alanlara sıçraması / Kaçış yollarının etkisiz hale gelmesi </t>
  </si>
  <si>
    <t>Otomatik kapı kapanma mekanizmalarının çalışır durumdadır. Yangın kapılarının düzenli olarak bakım ve testlerinin yapılmakta olup kayıt altına alınmaktadır.</t>
  </si>
  <si>
    <t xml:space="preserve">Havalandırma ve klima sistemlerinin yangın sırasında kapanmaması </t>
  </si>
  <si>
    <t>Dumanın hızlı yayılması</t>
  </si>
  <si>
    <t xml:space="preserve">Kaçış yollarına duman yayılması / Zehirlenme / Panik </t>
  </si>
  <si>
    <t>Yangın durumunda otomatik devre dışı kalan havalandırma sistemlerinin kurulmuştur.  Duman kontrol sistemleri saha algılama ve diğer sitsemlerle entegere olaması için planlama doğrultusunda testlere tabii tutulmaktadır.</t>
  </si>
  <si>
    <t xml:space="preserve">Yangın bölmelerinde açılan deliklerin kapatılmaması </t>
  </si>
  <si>
    <t xml:space="preserve">Yangının tüm binaya yayılması / Müdahale güçlüğü </t>
  </si>
  <si>
    <t xml:space="preserve">Tahliye yollarının ayrılmaması </t>
  </si>
  <si>
    <t xml:space="preserve">Tahliye sırasında duman ve alevin kaçış yollarını etkisiz hale getirmesi </t>
  </si>
  <si>
    <t xml:space="preserve">Kaos / Yaralanmalar </t>
  </si>
  <si>
    <t>Tahliye yollarının yangın bölmeleri (yangın holü) tasarımları ile korunmakatdır. Kaçış yollarında duman tahliye sistemlerinin (menfez vb.) bulunmaktadır.</t>
  </si>
  <si>
    <t>Yangın Söndürme Sistemlerinin Durumu</t>
  </si>
  <si>
    <t>Yangın dolabı kapaklarının gevşek olması</t>
  </si>
  <si>
    <t>Kullanım veya kontrol istemi esnasında kapağın yerinden çıkması ve düşmesi</t>
  </si>
  <si>
    <t>Tüm yangın dolaplarının ilgili kişiler tarafından yılda en az bir kez kontrollerinin sağlanmaktadır.</t>
  </si>
  <si>
    <t xml:space="preserve">Acil Durum ve Afet Yönetmeliği / NFPA </t>
  </si>
  <si>
    <t>Acil durum butonlarının cam malzeme ile korunması</t>
  </si>
  <si>
    <t>Müdahale anında buton vuruş hızını ayarlayamama nedeniyle elde kesi oluşması</t>
  </si>
  <si>
    <t xml:space="preserve">Yaralanmalar / Müdahale zorluğu </t>
  </si>
  <si>
    <t>Kullanımının gerektiği durumlar için kırma aparatının cam yerine kırılması kolay ve yaralanmaya sebebiyet vermeyecek malzeme ile değiştirilmiştir.</t>
  </si>
  <si>
    <t>Yangın Yükü</t>
  </si>
  <si>
    <t xml:space="preserve">Acil çıkış kapılarının önüne malzeme istiflenmesi / sedye bırakılması </t>
  </si>
  <si>
    <t>Olası acil durumda kaçış isteğiin gerçekleştirilememesi</t>
  </si>
  <si>
    <t>Zehirlenme / Yaralanmalar / Ölüm</t>
  </si>
  <si>
    <t>İşe giriş eğitimlerinde Acil Durum ve Afet Yönetimi eğitimi verilmektedir. Konu hakkında tespiti sonrası uyarı ve bilgilendirme yapılmakatdır. Sedyelerin yerleşimi için park alanı oluşturulmuş olup sınırlandırmanın kırmızı çizgi ile belirtilmiştir.</t>
  </si>
  <si>
    <t>Kimyasal Gazların Çevreye Yayılması</t>
  </si>
  <si>
    <t>Acil çıkış kapılarının tam kapanmaması / açık tutulması</t>
  </si>
  <si>
    <t>Olası yangın sırasında çıkan dumanın yangın kaçış merdivenlerine yayılması</t>
  </si>
  <si>
    <t>Zehirlenme</t>
  </si>
  <si>
    <t>Olası yangın durumunda kapıların açık bırakılma ihtimalini önlemek amacıyla kapılarda pnömatik sistemlerin kullanılmakrtadır.  İşe giriş eğitimlerinde Acil Durum ve Afet Yönetimi eğitimi verilmeketdir. Konu hakkında tespiti sonrası uyarı ve bilgilendirme yapılmakatdır.</t>
  </si>
  <si>
    <t>Acil Durum Uygulamaları</t>
  </si>
  <si>
    <t>Acil durumlarda ekiplerin koordine olamaması</t>
  </si>
  <si>
    <t>Kurtarma ve müdahale prosedürlerini gerçekleştirememe</t>
  </si>
  <si>
    <t>İşe giriş eğitimlerinde Acil Durum ve Afet Yönetimi eğitimi verilmektedir. Acil durum ekipleri ilgili kurum tarafından ortak düzenmiş eğitim sonrasında alan bazlı belirlenmiş kişilerinin bilgilerini içeren olup formları alana asılmıştır. Yıl içinde yangın söndürme ekipleri ile birlikte tatbikatlar düzenlenmektedir.</t>
  </si>
  <si>
    <t>Acil kaçış aydınlatmalarının yanmaması veya eksik yanması</t>
  </si>
  <si>
    <t>Acil kaçış yönlendirmelerinin yetersiz kalması / Acil kaçış eylemini gerçekleştirememe</t>
  </si>
  <si>
    <t>Aydınlatma planlarının güncellenmiştir ve yeterli sayıya çıkarılmıştır. Işıklandırma için kör nokta alanda bulunmamaktadır.</t>
  </si>
  <si>
    <t>Acil durum planlarının kat içinde bulunmaması</t>
  </si>
  <si>
    <t xml:space="preserve">Acil durum olayında kargaşa </t>
  </si>
  <si>
    <t>Müdahale güçlüğü / Ölüm</t>
  </si>
  <si>
    <t>İşe girişte Acil Durum ve Afet Yönetimi eğitimi verilmektedir. Acil durum planların en az yılda bir kez revize edilmekte ve alanda görünür kısımlara (genellikle asansör yanı) asılmıştır. Alan bazlı ve bütünsel tatbikatlar yıl içinde ekiplerle birlikte yapılmaktadır.</t>
  </si>
  <si>
    <t>Acil Durum ve Afet Yönetimi Eğitim eksikliği</t>
  </si>
  <si>
    <t>Acil durumlarda müdahale edilme durumda bilgi ve yetenek eksikliği</t>
  </si>
  <si>
    <t>Acil durum olayında kargaşa / Müdahale güçlüğü / Ölüm</t>
  </si>
  <si>
    <t>İlkyardımcı eğitim sertifikalı personel bulunmaması</t>
  </si>
  <si>
    <t>Acil durumlarda müdahale güçlüğü</t>
  </si>
  <si>
    <t>İlgili birimlerle yapılan organizasyonlar kapsamında ( en az üç yılda bir kez)  eğitimlerin yenilenmektedir.</t>
  </si>
  <si>
    <t>Yangın söndürme eğitimli perosnel bulunmaması</t>
  </si>
  <si>
    <t xml:space="preserve">Eğitim verilmemesi </t>
  </si>
  <si>
    <t>Yangın olaylarında müdahale güçlüğü</t>
  </si>
  <si>
    <t>İlgili birimlerle yapılan organizasyonlar kapsamında ( en az yılda bir kez)  eğitimlerin yenilenmektedir.</t>
  </si>
  <si>
    <t xml:space="preserve">Ortam Güvenliğinin Sağlanması </t>
  </si>
  <si>
    <t xml:space="preserve">Elektrik kesintisi veya cihaz arızaları </t>
  </si>
  <si>
    <t xml:space="preserve">Acil durumlarda hızlı müdahale edilememesi </t>
  </si>
  <si>
    <t xml:space="preserve">Hizmet aksaması </t>
  </si>
  <si>
    <t>Yedek sistemler (UPS,Jenaratör) sağlanmaktadır. Yedek enerji kaynaklarının yılda en az dört kez ve aylık olmak üzere bakım ve kontrolleri yapılmaktadır.</t>
  </si>
  <si>
    <t xml:space="preserve">Afet </t>
  </si>
  <si>
    <t xml:space="preserve">Deprem </t>
  </si>
  <si>
    <t>Binanın yıkılması veya hasar görmesi, ekipmanların devrilmes</t>
  </si>
  <si>
    <t xml:space="preserve">Hizmet aksaması / Can kaybı / Yaralanmalar </t>
  </si>
  <si>
    <t>Binanın deprem dayanıklılığı arttırılması ve daynakılılık raporlarının tutulmaktadır. Ağır tıbbi cihaz ve dolap,raf vb. ekipmanların sabitlenmektedir. Deprem tahliye tatbikatlarının yılda en az iki kez yapılmaktadır.Acil durum malzemeleri yedeklenmektedir (jeneratör, yedek su tankı, ilaç vb.).</t>
  </si>
  <si>
    <t xml:space="preserve">Sel / Su baskını </t>
  </si>
  <si>
    <t xml:space="preserve">Su baskını nedeniyle altyapıların zarar görmesi / Elektrik kesintisi / Tıbbi cihazların hasarı </t>
  </si>
  <si>
    <t xml:space="preserve">Hastane işeyişinin durması / Kritik hastaların tahliye edilememesi </t>
  </si>
  <si>
    <t xml:space="preserve">Kritik cihazlar ve elektrik panoları için yükseltilmiş alanlar oluşturulmuştur. Tahliye yollarının planlanması ve işaretlenmiştir. Su tahliye sistemlerinin planlamalar doğrultusunda bakım ve kontrolleri yapılmaktadır. </t>
  </si>
  <si>
    <t xml:space="preserve">Epidemik ve Pandemik Tehditler </t>
  </si>
  <si>
    <t xml:space="preserve">Salgın / Pandemi </t>
  </si>
  <si>
    <t xml:space="preserve">Hasta yoğunluğunun artması / Personel yetersizliği / Bulaşıcı hasralıklarının yayılması </t>
  </si>
  <si>
    <t xml:space="preserve">Hasta ve çalışan güvenliğinin tehlikeye girmesi / Hizmet kapasitesinin aşılması </t>
  </si>
  <si>
    <t xml:space="preserve">İzolasyon alanlarının oluşturulmuştur. Olası durumlarda kişisel koruyucu ekipmanların stokları arttırılmaktadır. Sağlık personellerine enfeksiyon kontrol eğitimlerinin verilmektedir. Pandemi kriz yönetim planları komiteler toplanması ile oluşturulmaktadır.  </t>
  </si>
  <si>
    <t>Hazırlık planları mevcuttur.</t>
  </si>
  <si>
    <t xml:space="preserve">Yangın </t>
  </si>
  <si>
    <t xml:space="preserve">Ekipmanların hasar görmesi / Hasta ve personel için tehlike oluşturması </t>
  </si>
  <si>
    <t xml:space="preserve">Can kaybı / Maddi zarar / Hizmet kesintisi </t>
  </si>
  <si>
    <t xml:space="preserve">Yangın algılama ve söndürme sistemlerinin planlamalar doğrultusunda aylık iç kontrol ve yılda en az iki kez dış kontrollerinin ve bakımlarının yapılması / Yangın tatbikatlarının yılda en az iki kez yapılması / Yangın riskini azaltmak için uygun depolama ve kablolama sistemlerinin kullanılması </t>
  </si>
  <si>
    <t xml:space="preserve">Malzeme ve Lojistik </t>
  </si>
  <si>
    <t xml:space="preserve">Stok yönetimindeki yetersizlikler </t>
  </si>
  <si>
    <t xml:space="preserve">İlaç, ve tıbbi malzeme veya gıda yetersizliği </t>
  </si>
  <si>
    <t xml:space="preserve">Hasta bakımının aksaması / Çalışanların tükenmesi </t>
  </si>
  <si>
    <t>Kritik malzemeler için minimum-maksimum stok seviyesinin belirlenmektedir. Stok seviyerlerinin düzenli kontrol edilmekte ihtiyaç halinde stoklar yenilenmektedir. Acil durumlar için tedarik zinciri alternatiflerinin altyapısı oluşturulmaktadır.</t>
  </si>
  <si>
    <t xml:space="preserve">Medikal Gaz Kullanımı </t>
  </si>
  <si>
    <t xml:space="preserve">Medikal gaz kesintisi </t>
  </si>
  <si>
    <t xml:space="preserve">Oksijen kesintisi nedeniyle hastalarda solunum yetmezliği </t>
  </si>
  <si>
    <t xml:space="preserve">Kritik hastaların kaybı </t>
  </si>
  <si>
    <t>Yedek medikal gaz tüplerinin yeterli sayıda stoklaması yapılmıştır. Otomatik gaz kesintisi algılama sitemleri alanda bulunmaktadır. Taşınabilir oksijen konsantratörlerin stoklanması yapılmıştır. Kesinti durumunda kullanılabilecek manuel ekipmanlar alanlarda mevcuttur ve kullanıcılara eğitimleri verilmiştir. Sistemlerinin yapılan planlama doğrultusunda haftalık iç kontrol ve yılda en az iki defa dış kontrollerinin yapılması sağlanmaktadır</t>
  </si>
  <si>
    <t>Firma tarafından yapılan konrollerde herhangi bir olumsuzluk tespit edilmemiştir.</t>
  </si>
  <si>
    <t xml:space="preserve">Cerrahi işlem aksaması </t>
  </si>
  <si>
    <t xml:space="preserve">Ameliyatların, operasyonların durması ve komplikasyonların gelişmesi </t>
  </si>
  <si>
    <t xml:space="preserve">Mekanik ventilatörlerin çalışmaması nedeniyle stabilizasyonun sağlanamaması </t>
  </si>
  <si>
    <t>Panik ve kaos</t>
  </si>
  <si>
    <t xml:space="preserve">Hasta, hasta yakını ve çalışanlarda stres / İletişim problemleri </t>
  </si>
  <si>
    <t xml:space="preserve">Anestezi ve diğer mediakl cihazların işlevsiz hale gelmesi </t>
  </si>
  <si>
    <t xml:space="preserve">İlaç ve cihaz bağımlılığı problemleri </t>
  </si>
  <si>
    <t xml:space="preserve">Alarm Sistemleri </t>
  </si>
  <si>
    <t xml:space="preserve">Personel alarm sistemlerinin (hemşire çağrı zili vb.) arızalanması </t>
  </si>
  <si>
    <t>Acil durumların personel tarafından fark edilmemesi</t>
  </si>
  <si>
    <t xml:space="preserve">Hasta ve çalışan sağlığının tehlikeye girmesi </t>
  </si>
  <si>
    <t>Alarm sistemlerinin belirlenen planlama doğrultusunda (aylık iç kontol ve yılda en az bir defa dış kontrol) testlerinin yapılmaktadır.</t>
  </si>
  <si>
    <t xml:space="preserve">Aydınlatma Sistemleri </t>
  </si>
  <si>
    <t xml:space="preserve">Yetersiz Aydınlatma </t>
  </si>
  <si>
    <t xml:space="preserve">Cerrahi alanın / Alanın yeterince aydınlatılamaması nedeniyle yanlış müdahale /  İşlemde zorluk yaşanması </t>
  </si>
  <si>
    <t>Yaralanmalar / Hasta kaybı</t>
  </si>
  <si>
    <t>Aydınlatma sistemlerinin düzenl kontrolleri ve testleri yapılmaktadır. Yedek aydınlatma planlarının devreye alınmaktadır.</t>
  </si>
  <si>
    <t xml:space="preserve">Ani aydınlatma kesintileri </t>
  </si>
  <si>
    <t>Operasyonun karanlıkta kalması</t>
  </si>
  <si>
    <t>Acil durum ışıklandırma sistemlerinin çalışır durumdadır.</t>
  </si>
  <si>
    <t xml:space="preserve">Doğal afetler </t>
  </si>
  <si>
    <t xml:space="preserve">Sağlık hizmetlerine erişim kısıtlanması / Müdahale güçlüğü </t>
  </si>
  <si>
    <t>Acil servis fiziksel donanımlarının olası doğal afetlere göre düzenlenmiştir. (mobilya yerleşimi vb.) Doğal afetler için Hap planları oluşturulmuştur ve tatbikatları yılda en az bir kez olacak şekilde yapılmaktadır. İşe girişlerde afet ve acil durumlar hakkında eğitim verilmektedir.</t>
  </si>
  <si>
    <t>Tatibat raporları kayıt altına alınmaktadır.</t>
  </si>
  <si>
    <t xml:space="preserve">Elektrik Sistemi </t>
  </si>
  <si>
    <t xml:space="preserve">Elektrik kesintisi </t>
  </si>
  <si>
    <t xml:space="preserve"> Hasta kaybı / Cihaz hasarı </t>
  </si>
  <si>
    <t>Kesintisiz güç kaynaklarının (UPS) ve jeneratörler kullanılmakatdır. Güç kaynaklarının planlamalar doğrultusunda iç ve dış bakım ve kontrollerinin yapılması sağlanmatadır.</t>
  </si>
  <si>
    <t xml:space="preserve">Elektrik kaçakları   </t>
  </si>
  <si>
    <t>Cihazlarda elektrik kaçağı</t>
  </si>
  <si>
    <t xml:space="preserve">Elektrik çarpması / Cihaz arızası </t>
  </si>
  <si>
    <t>Topraklama sistemlerinin planlamalar doğrultusunda kontrol edilmektedir. Periyodik elektrik devreye alma testleri yapılmaktadır.</t>
  </si>
  <si>
    <t xml:space="preserve">Aşırı yüklenme </t>
  </si>
  <si>
    <t xml:space="preserve">Elektrik sisteminin aşırı yüklenmesi nedeniyle devrelerin yanması </t>
  </si>
  <si>
    <t>Cihaz arızası / Yangın</t>
  </si>
  <si>
    <t xml:space="preserve">Elektrik sistemi kapasitelerinin yapılan iç ve dış kontroller ve firma kontrolleri ile belirlenmiştir. </t>
  </si>
  <si>
    <t xml:space="preserve">Gaz Sistemleri </t>
  </si>
  <si>
    <t xml:space="preserve">O2 Sızıntısı </t>
  </si>
  <si>
    <t xml:space="preserve">Yanıcı gazların oksijenle birleşmesi sonucu patlama </t>
  </si>
  <si>
    <t xml:space="preserve">Yangın / Patlama </t>
  </si>
  <si>
    <t>Gaz kaçağı algılama dedektörlerinin kullanılmaktadır. Gaz sistemlerinin (medikal gaz vb) firma talimatalrı doğrultusunda ve gerek görüldüğü durumlarda bakım ve kontrollerin yapaılmktadır.</t>
  </si>
  <si>
    <t xml:space="preserve">Anestezi gaz sızıntısı </t>
  </si>
  <si>
    <t xml:space="preserve">Çalışanların toksik gazlara maruz kalması </t>
  </si>
  <si>
    <t xml:space="preserve">Kronik sağlık sorunları / Zehirlenme </t>
  </si>
  <si>
    <t>Sızıntı monitörlerinin kullanılmaktadır. Hepafiltre vb. havalandırma sistemlerinin yılda en az bir kez değişimleri yapılmaktadır.</t>
  </si>
  <si>
    <t xml:space="preserve">Havalandırma ve İklimlendirme Sistemleri </t>
  </si>
  <si>
    <t xml:space="preserve">Havalandırma arızası </t>
  </si>
  <si>
    <t xml:space="preserve">Negatif veya pozitif basınçlı ortamının bozulması </t>
  </si>
  <si>
    <t xml:space="preserve">Steril alanın kontaminasyonu / Enfeskiyon </t>
  </si>
  <si>
    <t>Havalandırma sistemlerinin planlamalar doğrultusunda ve gereke görüldüğü durumlarda bakım ve kontrolleri yapılmaktadır.</t>
  </si>
  <si>
    <t xml:space="preserve">Filtrelerin tıkanması </t>
  </si>
  <si>
    <t xml:space="preserve">Partiküllerin steril alana ulaşması </t>
  </si>
  <si>
    <t xml:space="preserve">Hasta enfesksiyonları </t>
  </si>
  <si>
    <t>Hepa filtrelerin belirlenen aralıklarla periyodik bakım ve kontrolleri yapılmaktadır. Gerek duyulursa değişimleri sağlanmaktadır.</t>
  </si>
  <si>
    <t xml:space="preserve">Yetersiz havalandırma </t>
  </si>
  <si>
    <t xml:space="preserve">Enfeksiyon kontrol protokollerinin ihlali </t>
  </si>
  <si>
    <t>Hasta ve çalışan sağlığının bozulması</t>
  </si>
  <si>
    <t>Havalandırma sistemlerinin aktif çalışır durumdadır.</t>
  </si>
  <si>
    <t>Yapılan saha denetimlerinde herhangi bir uygunsuzluk tespit edilmemiştir.</t>
  </si>
  <si>
    <t xml:space="preserve">Su Sistemleri </t>
  </si>
  <si>
    <t xml:space="preserve">Su kesintisi </t>
  </si>
  <si>
    <t xml:space="preserve">Cihaz, ekipmanlarının ve malzemelerin temizlenememesi veya sterilizasyonunun aksaması </t>
  </si>
  <si>
    <t xml:space="preserve">Enfeksiyon / İşlemlerin aksaması </t>
  </si>
  <si>
    <t>Yedek su tanklarının bulundurulmakta ve su basıncının düzenli olarak kontrolleri yapılmaktadır. Su kalite testleri planlamalar doğrultusunda (yılda en az bir defa)  tekralanmakta ve kayıt altına alınmaktadır.</t>
  </si>
  <si>
    <t xml:space="preserve">Su kontaminasyonu </t>
  </si>
  <si>
    <t>Temiz su ihtiyacının karşılanamaması / Enfeskiyon yayılımı</t>
  </si>
  <si>
    <t xml:space="preserve">Hijyen sorunları </t>
  </si>
  <si>
    <t xml:space="preserve">Veri Sistemleri </t>
  </si>
  <si>
    <t xml:space="preserve">Hasta ve verilerinin kaybı veya erişilememesi </t>
  </si>
  <si>
    <t xml:space="preserve">Tedavi süreçlerinin aksaması / Hukuki sorunlar </t>
  </si>
  <si>
    <t xml:space="preserve">Yedekli veri sistemleri kullanılmaktadır. </t>
  </si>
  <si>
    <t>Otomasyon sistemi üzerinden gelen kayıtlar yedeklenmektedir.</t>
  </si>
  <si>
    <t xml:space="preserve">Yangın Söndürme Sistemleri </t>
  </si>
  <si>
    <t xml:space="preserve">Yangın algılama sistemi arızası </t>
  </si>
  <si>
    <t xml:space="preserve">Yangının erken tespit edilememesi </t>
  </si>
  <si>
    <t xml:space="preserve">Yangının büyümes / Hasta ve çalışan güvenliğinin tehlikeye girmesi </t>
  </si>
  <si>
    <t>Yangın dedektörlerinin diğer yangın algılama sistemleri ile birlikte kontrol ve testleri yapılmaktadır. Yangın senaryo tatbikatları yapılıp kayırt altına alınmaktadır.</t>
  </si>
  <si>
    <t xml:space="preserve">Söndürme sistemi arızası </t>
  </si>
  <si>
    <t xml:space="preserve">Yangına müdahale edilememesi </t>
  </si>
  <si>
    <t xml:space="preserve">Yangının kontrol altına alınamaması </t>
  </si>
  <si>
    <t>Sulu söndürme sistemleri dahil yangın tesisaatının planlamalar doğrultusunda (yılda en az bir kez)  periyodik kontrollerinin yapılması sonucu bakım-onarımlarının tamamlanmıştır.</t>
  </si>
  <si>
    <t xml:space="preserve">Hırsızlık ve Malzeme Güvenliği </t>
  </si>
  <si>
    <t xml:space="preserve">Hasta eşyalarının  çalınması </t>
  </si>
  <si>
    <t xml:space="preserve">Hasta ve yakınlarının güven kaybı / İtibar zedelenmesi </t>
  </si>
  <si>
    <t xml:space="preserve">Maddi zarar / Hasta endişesi </t>
  </si>
  <si>
    <t>Standartlara uygun, özellikle giriş ve çıkışların kör noktası olmayacak şekilde görüntülü izleme sistemi kurulmuştur. Dışarıdan içeriye girişlerde butonla giriş yerine kartlı erişim sisteminin kullanılmaya başlanmıştır.</t>
  </si>
  <si>
    <t xml:space="preserve">Tıbbi cihazların kötü niyete çalınması veya sabote edilmesi </t>
  </si>
  <si>
    <t xml:space="preserve">Hayati cihaz eksikliği / Hasta güvenliğinin tehlikeye girmesi </t>
  </si>
  <si>
    <t xml:space="preserve">Cihazların işlev dışı kalamsı / Tedavinin aksaması </t>
  </si>
  <si>
    <t>Envanter yönetimi, yazılımı ve takibi yapılmakatdır. (Lighthouse) / Tıbbi cihazların kullanım dışı kalmaları durumunda kartlı erişim sistemi bulunan güvenli depoda muhafaz edilmekte ve yetkisiz kişilerin bu alana erişiminin engellenmektedir</t>
  </si>
  <si>
    <t>Herhangi bir olay bildirimi yapılmamıştır.</t>
  </si>
  <si>
    <t xml:space="preserve">İş Yerinde Şiddet </t>
  </si>
  <si>
    <t xml:space="preserve">Hasta yakınları veya hastane çalışanları arasında fiziksel veya sözlü şiddet, olumsuzluklar </t>
  </si>
  <si>
    <t xml:space="preserve">Çalışan güvenliğine motivasyonun olumsuz etkilenmesi </t>
  </si>
  <si>
    <t xml:space="preserve">İş kazaları / Tükenmişlik sendromu / Hasta güvenliğin tehlikeye girmesi </t>
  </si>
  <si>
    <t>Standartlara uygun, özellikle giriş ve çıkışların kör noktası olmayacak şekilde görüntülü izleme sistemi kurulmuştur. Hastane girişlerinde güvenlik personeli her saat bulunmaktadır.  Personellere düzenli olarak kriz yönetimi ve iletişim becerileri eğitimleri verilmektedir.</t>
  </si>
  <si>
    <t>Sağlıkta Şiddetle Mücadele Yönergesi</t>
  </si>
  <si>
    <t xml:space="preserve">Kısıtlı Alanlara Erişim </t>
  </si>
  <si>
    <t xml:space="preserve">Yanlış ilaç kullanımı / Sabotaj ve çalınma </t>
  </si>
  <si>
    <t xml:space="preserve">Tedavi süreçlerinin aksaması </t>
  </si>
  <si>
    <t>Dolaplara erişimin sadaece yetkili personel tarafından yapılması için tüm dolapların kilitlilidir. Düzenli olarak alanda bulunan envanter kontrolleri yapılmaktadır.</t>
  </si>
  <si>
    <t xml:space="preserve">Hasta Gizliliği ve Verilerin Güvenliği </t>
  </si>
  <si>
    <t xml:space="preserve">Hasta verilerinin yetkisiz kişisel tarafından erişilmesi </t>
  </si>
  <si>
    <t xml:space="preserve">Hasta mahremiyetinin ihlali </t>
  </si>
  <si>
    <t xml:space="preserve">Hastane itibarı zedelenmesi / Hukuki sorunlar </t>
  </si>
  <si>
    <t>BİS-P10  Bilgi Sistemleri Bilgi Güvenliği Prosedürü</t>
  </si>
  <si>
    <t xml:space="preserve">İlaç Uygulamaları </t>
  </si>
  <si>
    <t>Yanlış ilaç hazırlanması</t>
  </si>
  <si>
    <t xml:space="preserve">Hatalı ilaç seçimi ve doz ayarlanması </t>
  </si>
  <si>
    <t>Yan etkiler / Toksisite veya tedavi etkinliği azalması / Yaralanma / Enfeskiyon</t>
  </si>
  <si>
    <t>Çift kontrol mekanizması oluşturulmuş ve kullanımı sağlanmaktadır. E-order sistemi kullanılmakta ve takip edilmektedir.</t>
  </si>
  <si>
    <t>Kayıtlar otomasyon sistem üzerinden yedeklenmekte ve manuel arşivlenmektedir.</t>
  </si>
  <si>
    <t>HEM-P01- Hasta Bakım Hizmetleri Hizmetleri Yönetimi Prosedürü</t>
  </si>
  <si>
    <t>Sterilizasyon eskikliği</t>
  </si>
  <si>
    <t xml:space="preserve">İlaç hazırlamalarında aseptik tekniklere uyulmaması </t>
  </si>
  <si>
    <t>Yapılan alan denetimlerinde herhangi bir uygunsuzluk tespit edilmemiştir.</t>
  </si>
  <si>
    <t xml:space="preserve">Konsültasyon süreçleri </t>
  </si>
  <si>
    <t xml:space="preserve">Uzman doktorun geç ulaşması veya bulunamaması </t>
  </si>
  <si>
    <t xml:space="preserve">Konsültasyonun yapılamaması veya gecikmesi </t>
  </si>
  <si>
    <t>Geç kalınmış tedavi / Güven kaybı</t>
  </si>
  <si>
    <t>Değerlendirme toplantılaraında herhangi bir olumsuzluk belirtilmemiştir.</t>
  </si>
  <si>
    <t>BHK-T05 Konsültasyon Talimatı.</t>
  </si>
  <si>
    <t>İletişim eksikliği</t>
  </si>
  <si>
    <t xml:space="preserve">Konsültasyon sırasında hasta bilgilerinin eksik iletilmesi </t>
  </si>
  <si>
    <t xml:space="preserve">Yanlış tedavi / Yanlış değerlendirme </t>
  </si>
  <si>
    <t xml:space="preserve"> Çalışanlar</t>
  </si>
  <si>
    <t xml:space="preserve">Devrilme / Düşme </t>
  </si>
  <si>
    <t>Yapılan alan denetimlerinde herangi bir uygunsuzluk tespit edilmemiştir.</t>
  </si>
  <si>
    <t xml:space="preserve">Mevcut önlem devam ettirilmesi </t>
  </si>
  <si>
    <t>Hastalar /  Çalışanlar</t>
  </si>
  <si>
    <t>Enfeksiyon bulaş riski bulunan hastalar için diğer müdahale odalarından ayrı izolasyon odası oluşturulmuş ve işaretlenmiştir.</t>
  </si>
  <si>
    <t xml:space="preserve">CPR  Uygulamaları </t>
  </si>
  <si>
    <t>Operasyon sırasında cihazların hatalı kullanımı / hatalı işlemler, uygulamalar</t>
  </si>
  <si>
    <t xml:space="preserve">Cerrahi başarısızlık / Operasyon süresinin uzaması / Hasta memnuniyetsizliği / Stres </t>
  </si>
  <si>
    <t>Hastalar / Hasta Yakınları / Çalışanlar</t>
  </si>
  <si>
    <t xml:space="preserve">Kimyasallar İçin Acil Durum Hazırlığı </t>
  </si>
  <si>
    <t xml:space="preserve">Dökülme-saçılma durumlarında müdahale eksikliği / aksaklığı </t>
  </si>
  <si>
    <t xml:space="preserve">Hastaların ve sağlık çalışanlarının maruziyet sürelerinin artışı </t>
  </si>
  <si>
    <t xml:space="preserve">Ciddi sağlık sorunları / Çalışma alanının uzun süre kullanım dışı kalması </t>
  </si>
  <si>
    <t>Tehlikeli ve sık kullanılan kimyasallar için dökülme-saçılma müdahale planı oluşturulmuştur. Göz yıkama duşu/solüsyon kiti, dökülme-saçılma kiti kolayca ulaşılabilir alanda mevcuttur.</t>
  </si>
  <si>
    <t>Dökülme-saçılma gibi acil durumlar için planlamaların yapılmış olup ve personellere eğitim verilmiştir. Personellerin eğitim ve prosedürlere MLPCare Akademi portalından erişebilmesi sağlanmıştır. Dökülme-saçılma kitlerinin ekipmanları eksiksiz şekilde alanda hazır bulundurulmaktadır.</t>
  </si>
  <si>
    <t>Eğitim katılım formları kayıt altına alınmaktadır.</t>
  </si>
  <si>
    <t xml:space="preserve">Yoğun bakım ünitelerinde felç durumu </t>
  </si>
  <si>
    <t xml:space="preserve">Negatif-Pozitif Basınçlı Alanlar </t>
  </si>
  <si>
    <t xml:space="preserve">Basınç kontrol sistemlerinin arızası </t>
  </si>
  <si>
    <t>Negatif ve pozitif basınçlı alanların işlevini yitirmesi / Enfeksiyon yayılımı</t>
  </si>
  <si>
    <t>Hasta sağlığının tehlikeye girmesi / Enfeksiyon artışı</t>
  </si>
  <si>
    <t>Otomatik hızlı kapama özellikli kapıların kullanılmaktadır. Giriş - çıkışların minimuma indirilmesi için sadece yetkili personellerin alana girmekte ve kartlı erişim sistemi kullanılmaktadır.</t>
  </si>
  <si>
    <t xml:space="preserve">Hava filtrasyon sistemindeki sorunlar </t>
  </si>
  <si>
    <t xml:space="preserve">Filtrelerin tıkanması ve çalışmaması / Kontamine hava sirkülasyonu </t>
  </si>
  <si>
    <t xml:space="preserve">Çapraz enfeksiyonlar ve kontaminasyon </t>
  </si>
  <si>
    <t xml:space="preserve">Kapıların sık açılıp kapanması </t>
  </si>
  <si>
    <t>Basınç dengesinin bozulması / Oda sterilitesinin kaybı</t>
  </si>
  <si>
    <t xml:space="preserve">Hava sirkülasyonun etkilenmesi / Enfeksiyon artışı </t>
  </si>
  <si>
    <t xml:space="preserve">Hasta taşımaları sırasında prosedür hataları </t>
  </si>
  <si>
    <t xml:space="preserve">Hastaların negarif veya pozitif basınçlı alanlardan dışarıya taşınması sırasında basınç koruma sistemlerinin devre dışı kalması </t>
  </si>
  <si>
    <t xml:space="preserve">Çverdeki hastaların veya sağlık çalışanlarında enfeksiyon </t>
  </si>
  <si>
    <t xml:space="preserve">Hasta taşıma esnasında kişisel koruyucu ekipmanların kullanılmaktadır. Hasta taşıma güzergahında kontamine alanlarda kullanılması için dezenfeksiyon malzemelerin bulundurulmaktadır. </t>
  </si>
  <si>
    <t xml:space="preserve">Bina altyapısının doğal afetlere dayanıklı olmaması </t>
  </si>
  <si>
    <t xml:space="preserve">Alandaki ilaç ve malzeme dolaplarının izinsiz açılması </t>
  </si>
  <si>
    <t>Herhangi bir kaza,olay bildirimi, ramak kala olay , şikayet vb. durum yaşanmamıştır</t>
  </si>
  <si>
    <t xml:space="preserve">Kendini Koruyamayan ve Yardım Çağırma Yetisi Olmayan Hastalar </t>
  </si>
  <si>
    <t>Bilinci kapalı ve hareket kabiliyeti olmayan hastaların düşmesi</t>
  </si>
  <si>
    <t xml:space="preserve">Fiziksel travma / Hastanın durumunun kötüleşmesi </t>
  </si>
  <si>
    <t xml:space="preserve">Tedavi gecikmesi / Hasta maliyetinde artış </t>
  </si>
  <si>
    <t>Hastalar için yatak korkulukları sürekli kapalı tutulmaktadır. Hasta monitörleme sistemleri ile ani durumlar ( düşme, oksijen saturasyonunun düşmesi vb.) otomatik olarak izlenmektedir.</t>
  </si>
  <si>
    <t>Hasta Güvenliği Programı</t>
  </si>
  <si>
    <t xml:space="preserve">Hastaların cilt bakımı ve pozisyon değişikliğini ihmal edilmesi </t>
  </si>
  <si>
    <t xml:space="preserve">Bası yaraları / Enfeksiyon </t>
  </si>
  <si>
    <t xml:space="preserve">Tedavi sürelerinin uzaması </t>
  </si>
  <si>
    <t xml:space="preserve">Cilt bariyer kremleri ve uygun yatak ekipmanları (yastık vb.) kullanılmaktadır. </t>
  </si>
  <si>
    <t>Hasta bilgilerinin yalnızca yetkili personel tarafından görülebileceği dijital sistemler kullanılmaktadır. Bilgisayarlara ve yazılımlara kullanıcı adı-şifre ile erişim sağlanmaktadır.</t>
  </si>
  <si>
    <t>Yetkisiz Erişimlerin Kontrolü</t>
  </si>
  <si>
    <t>Yetkisiz sağlık çalışanlarının girmesi</t>
  </si>
  <si>
    <t>Steril alan prosedürlerinin ihlali</t>
  </si>
  <si>
    <t>Kartlı geçiş sistemlerinin kullanılmaktadır, personel kimlik katı ile tanımlamaların yapılmakatdır.</t>
  </si>
  <si>
    <t>Giriş-çıkış kayıtları otomasyon sistemine kaydedilmektedir.</t>
  </si>
  <si>
    <t>Narkotik ve Psikotrop İlaçlar</t>
  </si>
  <si>
    <t xml:space="preserve">Anestezik Ajanlar </t>
  </si>
  <si>
    <t xml:space="preserve">Personel ve hastaların girişlerinin aynı yerden yapılması, Serbestçe ameliyatheneye girişlerin olması </t>
  </si>
  <si>
    <t xml:space="preserve">Kartlı geçiş sistemlerinin kullanılmaktadır. Personel kimlik katı ile tanımlamaların yapılmıştır. Dış firma personelleri bildirimli içeri alınmakta ve yaka kartı verilmektedir. Personel ve hastalar için ayrı girişlerin mevcuttur. </t>
  </si>
  <si>
    <t>Sadece ameliyathane için steril alan ve ekipman oluşturulmakta ve hastaneden izole edilmektedir. El hijyeni talimatı oluşturulmuştur ve çalışanların görebileceği alanlara (genellikle el yıkama lavabosu yanı) asılmıştır.</t>
  </si>
  <si>
    <t xml:space="preserve">Çift kontrol sisteminin aktif kullanılmaktadır. Süreci tamamlanan hastanın/misafirin ilgili birime aktarılmadan ve aktarıldıktan sonra kendisine veya yakınına hekim değişikliği veya süreçlerin değişikliği konusunda bilgi verilmektedir. </t>
  </si>
  <si>
    <t>Denetimli ve Gözetimli Alanlar</t>
  </si>
  <si>
    <t xml:space="preserve">Duvar,kapı ve pencerelerin radyasyon koruyucu özellikte olmaması </t>
  </si>
  <si>
    <t>Radyasyonun denetimli alanlardan dış çevreye yayılması nedeniyle radyasyon maruziyeti</t>
  </si>
  <si>
    <t xml:space="preserve">Uzun vadede kanser hastalıkları / Alan güvenliği ihlali </t>
  </si>
  <si>
    <t>Denetimli alanların duvar,kapı elemanları kurşun kaplama ve radyasyon geçirmez malzemelerden inşa edilmiştir. Alanlarda olası radyasyon kaçağı tespiti için alan doz ölçümleri yapılmaktadır.</t>
  </si>
  <si>
    <t>Mevcut önlem devam ettirilmesi</t>
  </si>
  <si>
    <t>Radyasyon Güvenliği Komitesi</t>
  </si>
  <si>
    <t xml:space="preserve">Çalışanda bilgi ve eğitim eksikliği </t>
  </si>
  <si>
    <t xml:space="preserve">Çalışanların denetimli ve gözetimli alanın farkını anlamaması </t>
  </si>
  <si>
    <t xml:space="preserve">Uzun vadede kanser hastalıkları / Alan güvenliği ihlali / Hasta güvenliği ihlali </t>
  </si>
  <si>
    <t xml:space="preserve">Çalışanlara radyasyon güvenliği eğitimleri verilmiştir. Eğitimler sonunda çalışanların değerlendirilmesi ve çalışanın başarı oranına göre eğitimler yenilenmektedir. </t>
  </si>
  <si>
    <t>Radyasyon Güvenliği Yönetmeliği / Kişisel Koruyucu Donanımların İşyerlerinde Kullanımı Hakkında Yönetmelik</t>
  </si>
  <si>
    <t xml:space="preserve">Radyasyon maruziyetinin yetersiz izlenmesi </t>
  </si>
  <si>
    <t xml:space="preserve">Denetimli alanlarda çalışan personelin radyasyon dozunun sürekli izlenmemesi </t>
  </si>
  <si>
    <t xml:space="preserve">Çalışan sağlığının tehlikeye girmesi </t>
  </si>
  <si>
    <t>Denetimli alanlarda çalışan personeller için kişisel dozimetre kullanımının zorunlu hale getirilmiştir. Gözetimli alanlardaki radyasyon seviyeleri düzenli ölçülmekted ve kayıt altına alınmaktadır.</t>
  </si>
  <si>
    <t>Ölçüm donuçlarında herhangi bir olumsuz durum tespit edilmemiştir.</t>
  </si>
  <si>
    <t xml:space="preserve">Yüzeylerin Dezenfekte Edilmemesi </t>
  </si>
  <si>
    <t xml:space="preserve">Enfekte yüzeylere temas edilmesi </t>
  </si>
  <si>
    <t xml:space="preserve">Enfeksiyon  </t>
  </si>
  <si>
    <t xml:space="preserve">Tekniker / Teknisyen / Porter / Temizlik Görevllisi / Tıbbi Atık Personeli </t>
  </si>
  <si>
    <t>Temizlik planı doğrultusunda alan temizlik ve dezenfeksiyonu yapılmakatdır.  Çalışanlara el hijyeni eğitimleri verilmekte ve alanlarda el antiseptikleri bulunmaktadır.  Çalışanların hijyenik el yıkama uyumlarının takip edilmekte olup çapraz bulaşmanın önlenmektedir.</t>
  </si>
  <si>
    <t>Enfeksiyon Komitesi</t>
  </si>
  <si>
    <t>Yapılan alan denetimelerinde herhangi bir uygunsuz durum tespit edilmemiştir.</t>
  </si>
  <si>
    <t xml:space="preserve">El hijyeni talimatlarının alanda bulunmaması </t>
  </si>
  <si>
    <t xml:space="preserve">El hijyeni kurallarına uyulmaması / unutulması </t>
  </si>
  <si>
    <t xml:space="preserve">  Tekniker / Teknisyen / Porter / Temizlik Görevllisi / Tıbbi Atık Personeli </t>
  </si>
  <si>
    <t>El yıkama alanına denk gelecek şekilde el hijyeni talimatı asılmıştır. İşe giriş eğitimlerinde Enfeksiyon Sorumlusu tarafından program kapasamında eğitim verilmektedir.</t>
  </si>
  <si>
    <t xml:space="preserve">Tekerlekli araçlarda durdurucu-fren bulunmaması </t>
  </si>
  <si>
    <t xml:space="preserve">Devrilme </t>
  </si>
  <si>
    <t xml:space="preserve">Yaralanma / Maddi hasar </t>
  </si>
  <si>
    <t xml:space="preserve"> Hasta / Tekniker / Teknisyen / Porter / Temizlik Görevllisi / Tıbbi Atık Personeli </t>
  </si>
  <si>
    <t>Pansuman arabası, taşıma arabaları, sedye vb. araçların tekerleklerinde durdurucu bulunmakta ve düzenli aralıklarla görsel olarak kontrol edilmektedir.</t>
  </si>
  <si>
    <t xml:space="preserve">Kişisel Koruyucu Donanımların  Kullanımı </t>
  </si>
  <si>
    <t xml:space="preserve">Kurşun geçirmez yeleklerin askılıklarının dayanımlı olmaması </t>
  </si>
  <si>
    <t>Askılığın yeleklerle birlikte deverilmesi, düşmesi</t>
  </si>
  <si>
    <t>Uygun yük kapasitesine sahip ve nemlenmeler için belli bir süre açık rafta bekletilmektedir.  Yeleklerin geçiş yolu üzerinde ve işlem bitimi odalarda bırakılmaması sağlanmaktadır.</t>
  </si>
  <si>
    <t xml:space="preserve">Yeleklerin her taraftan kapalı, yük kapasitesine uygun taşıyıcısı bulunan raf tasarımı yapılmalıdır. </t>
  </si>
  <si>
    <t xml:space="preserve">Yaralanma /İğne batması / Enfeksiyon </t>
  </si>
  <si>
    <t xml:space="preserve">Hasta / Hekim / Hemşire / Hasta Bakım Personeli / ATT / Paramedik </t>
  </si>
  <si>
    <t xml:space="preserve">Personellere bilgilendirme eğitimi verilmesi </t>
  </si>
  <si>
    <t>Biyoljik Etkenlere Maruziyet Risklerinin Önlenmesi Hakkında Yönetmelik</t>
  </si>
  <si>
    <t>Yapılan alan denetimlerinde herangi bir uygunsuzluk  tespit edilmemiştir.</t>
  </si>
  <si>
    <t xml:space="preserve">Kurşun geçermez yelek kullanımı </t>
  </si>
  <si>
    <t xml:space="preserve">Kurşun geçirmez yeleklerin vücut kütlesine ağır gelmesi / Uzun süre kullanımı  </t>
  </si>
  <si>
    <t xml:space="preserve">Yorgunluk / El-kol koordinasyonsuzluğu / </t>
  </si>
  <si>
    <t>Tekniker / Teknisyen / Porter</t>
  </si>
  <si>
    <t>Çalışma planı ve hasta kabul süreci çalışma süreleri ile hesaplanarak sürdürülmektedir. Ergonomik unsurlara uygun kurşun geçirmez yelek temin edilmeiştir.</t>
  </si>
  <si>
    <t xml:space="preserve">Hasta taşınması </t>
  </si>
  <si>
    <t xml:space="preserve"> Taşıma esnasında ağır yük kaldırma</t>
  </si>
  <si>
    <t xml:space="preserve">Taşıma-kaldırma esnasında düşme / hastanın düşmesi / ergonomik olmayan hareketler </t>
  </si>
  <si>
    <t xml:space="preserve">Panel çalışmaları </t>
  </si>
  <si>
    <t xml:space="preserve">Sandelyelerin ergonomik koşullara uygun olmaması </t>
  </si>
  <si>
    <t>Kronik ağrılar / Yaralanmalar</t>
  </si>
  <si>
    <t xml:space="preserve">Uygun ve sayıca yeterli snadalye temin edilmesi, oturarak çalışmalar konusunda personellerin bilgilendirlmesi </t>
  </si>
  <si>
    <t xml:space="preserve">İşYeri Bina ve Eklentilernde Alınacak Sağlık ve Güvenlik Önlemleri Hakkında Yönetmelik  / Tıbbi Cihazların Test, Kontrol ve Kalibrasyonu Hakkında Yönetmelik </t>
  </si>
  <si>
    <t xml:space="preserve">Muhafaza alanlarında sıcaklık ve nemin uygun olmaması </t>
  </si>
  <si>
    <t xml:space="preserve">İlaçların bozulması </t>
  </si>
  <si>
    <t>Hastanın tedavi sürecinde zarar görmesi / Hukuki sorunlar</t>
  </si>
  <si>
    <t>Depolama alanları sıcaklık, nem ölçerler ile denetim altında tutulmaktadır.</t>
  </si>
  <si>
    <t>ECZ-P06 Yüksek Riskli (Özel Dikkat Gerektiren) İlaçların Yönetimi Prosedürü</t>
  </si>
  <si>
    <t xml:space="preserve">Dozaj hataları / İlaç karışıklıkları </t>
  </si>
  <si>
    <t xml:space="preserve">Hastada yan etkiler / İlaç etkinsizliği </t>
  </si>
  <si>
    <t xml:space="preserve">Enfeksiyon / Hastanın tedavi sürecinde zarar görmesi / Hukuki sorunlar </t>
  </si>
  <si>
    <t>Yapılan ilaç uygulamalarının otomasyon sitem üzerinde kayıt altına alınmaktadır. Çift kontrol sistemi (kimlik doğrulama) aktif olarak uygulanmaktadır.</t>
  </si>
  <si>
    <t>Yapılan kayıtlarda herhangi bir olumsuzluk tespit edilmemiştir.</t>
  </si>
  <si>
    <t xml:space="preserve">Isı ve/veya tutuşma kaynaklı ürünlerle temas etmesi </t>
  </si>
  <si>
    <t xml:space="preserve">Yangın / Parlama / Patlama </t>
  </si>
  <si>
    <t>Yaralanmalar / Maddi hasar</t>
  </si>
  <si>
    <t>Hasta / Hekim / Hemşire/ Hasta Bakım Perosneli/ Temizlik Görevlisi/ Tıbbi Atık Personeli</t>
  </si>
  <si>
    <t>Kullanımı sırasında yanıcı ve tutuşrucu kaynaklardan uzak tutulmaktadır. Uygulamaya özgü uzmanlar tarafından işlem gerçekleştirilmektedir.</t>
  </si>
  <si>
    <t>Yapılan alan denetimlerde herhangi bir uygunsuzluk tespit edilmemiştir.</t>
  </si>
  <si>
    <t xml:space="preserve">Diğer ilaçlar ile karışması </t>
  </si>
  <si>
    <t>Tedavide başarısızlık / Hukuki sorunlar</t>
  </si>
  <si>
    <t>Renk kodlaması ile diğer ilaçlardan ayrıştırılmıştır. Uygulamaya özgü uzmanlar tarafından işlem gerçekleştirilmektedir.</t>
  </si>
  <si>
    <t>Kalibrasyonları yapılmıştır.</t>
  </si>
  <si>
    <t xml:space="preserve">Doz Kalibratörleri Kullanımı </t>
  </si>
  <si>
    <t xml:space="preserve">Hatalı kalibrasyon </t>
  </si>
  <si>
    <t xml:space="preserve">Hastalara gereğinden fazla veya az dozda radyoaktif madde verilmesi </t>
  </si>
  <si>
    <t xml:space="preserve">Uzun vadeli sağlık sorunları / Tedavi süreçlerinin başarısız olması </t>
  </si>
  <si>
    <t>Hasta / Hekim /  Tekniker / Temizlik Görevlisi / Tıbbi Atık Personeli</t>
  </si>
  <si>
    <t xml:space="preserve">Doz kalibratörlerinin uygunluluğunun yapılan planlamalar doğrultusunda (yılda en az bir defa) test ve kontrollerinin yapılmaktadır. Kullanım sırasında çift kontrol prosedürleri uygulanmaktadır. </t>
  </si>
  <si>
    <t xml:space="preserve">Radyasyon Dedektörleri ve Geiger Sayacı Kullanımı </t>
  </si>
  <si>
    <t>Dedektörlerin hatalı ölçüm yapması</t>
  </si>
  <si>
    <t xml:space="preserve">Radyasyon sızıntısının farkedilememesi veya yanlış değerlendirilmesi </t>
  </si>
  <si>
    <t xml:space="preserve">Çalışanların ve çevrenin gereksiz radyasyona maruz kalması </t>
  </si>
  <si>
    <t xml:space="preserve"> Alanın işlevselliğini yitirmesi </t>
  </si>
  <si>
    <t>Hayati cihazların çalışmaması</t>
  </si>
  <si>
    <t xml:space="preserve">Veri sisteminde altyapı sorunları </t>
  </si>
  <si>
    <t>Alan kapılarının yetkililer tarafından kontrol altında olmaması</t>
  </si>
  <si>
    <t xml:space="preserve">Narkotik ilaçların stok kontrolünde eksik bulunması </t>
  </si>
  <si>
    <t xml:space="preserve">Kayıp-çalıntı / Amaç dışı kullanılması </t>
  </si>
  <si>
    <t>Hukuki Sorunlar / Yasal yaptırımlar</t>
  </si>
  <si>
    <t xml:space="preserve">Özel dikkat gerektiren ilaçlar saklanma prosedürüne uygun muhafaza edilmeketedir. </t>
  </si>
  <si>
    <t>Yapılan alan denetimleride herhangi bir uygunsuzluk tespit edilmemiştir.</t>
  </si>
  <si>
    <t>Atık Yönetimi Yönetmeliği</t>
  </si>
  <si>
    <t xml:space="preserve">Hastalar  </t>
  </si>
  <si>
    <t>Radyasyon Maruziyeti</t>
  </si>
  <si>
    <t xml:space="preserve">Çalışanların ve hastaların iyonize radyasyona maruz kalması </t>
  </si>
  <si>
    <t>Kanser / Genetik Bozukluklar / Dokularda Hasar</t>
  </si>
  <si>
    <t xml:space="preserve">Duvarlar ve kapılar kurşun malzeme ile kaplıdır. Personellere kişisel koruyucu ekipan (kurşun önlük, boyun koruyucu vb.) temin edilmiştir. Personellere dozimetre kullanımı zorunlu hale getirilmiştir. </t>
  </si>
  <si>
    <t>Doz ölçümleri kayıt altına alınmaktadır.</t>
  </si>
  <si>
    <t xml:space="preserve">Radyasyon Güvenliği Yönetmeliği </t>
  </si>
  <si>
    <t xml:space="preserve">MR Cihaz Kallanımı </t>
  </si>
  <si>
    <t xml:space="preserve">Güçlü Manyetik Alan </t>
  </si>
  <si>
    <t xml:space="preserve">Metalik eşyaları çekmesi </t>
  </si>
  <si>
    <t xml:space="preserve">Ciddi yaralanmalar / Cihaz hasarı / Hasta güvenliği ihlali </t>
  </si>
  <si>
    <t xml:space="preserve">MR odasına giren kişiselerin metal eşyalarını bırakmaları sağlanmaktadır. Hastalar Mr uyumlu olmayan implantlar hakkında bilgilendirilmektedir. MR Zone alan etiketlemesi yapılmıştır. </t>
  </si>
  <si>
    <t xml:space="preserve">Akustik Gürültü </t>
  </si>
  <si>
    <t>Mr cihazının çalışması sırasında akustik gürültü</t>
  </si>
  <si>
    <t>İşitme kaybı</t>
  </si>
  <si>
    <t>Hastalar için kulak tıkayıcı ve kulaklık gibi kişisel koruyucu ekipmanlar temin edilmiştir.</t>
  </si>
  <si>
    <t>Radyofrekans ısınması</t>
  </si>
  <si>
    <t>Uzun süreli taramalarda hasta cildinde ısınma ve yanıklar</t>
  </si>
  <si>
    <t xml:space="preserve">Cilt hasarı ,/ Hasta konforunun azalması </t>
  </si>
  <si>
    <t>Hastanın cildi ile mr cihaz bobinleri arasına yalıtkan malzeme yerleştirilmektedir.</t>
  </si>
  <si>
    <t xml:space="preserve">Klostrofobi </t>
  </si>
  <si>
    <t xml:space="preserve">Hastanın kapalı alan korkusu </t>
  </si>
  <si>
    <t>Görüntüleme başarısızlığı / Hasta stresinde artış</t>
  </si>
  <si>
    <t>Mr öncesinde hastaya prosedürün detaylı açıklanmaktadır.</t>
  </si>
  <si>
    <t xml:space="preserve">İlaç Yönetim Prosedürü </t>
  </si>
  <si>
    <t xml:space="preserve"> Yüksek Riskli (Özel Dikkat Gerektiren) İlaçların Yönetimi Prosedürü</t>
  </si>
  <si>
    <t xml:space="preserve">Yanıcı kimyasalların bulunması </t>
  </si>
  <si>
    <t xml:space="preserve">Tahriş edici kimyasalların kullanılması  </t>
  </si>
  <si>
    <t>Yıl içerisinde Beyaz kod yaşanmamıştır.</t>
  </si>
  <si>
    <t xml:space="preserve">El Yıkama Talimatı Prosedürü / Dezenfeksiyon talimatı  </t>
  </si>
  <si>
    <t>El Hijyeni-El Yıkama Talimatı</t>
  </si>
  <si>
    <t xml:space="preserve">Atık Yönetimi Yönetmeliği </t>
  </si>
  <si>
    <t>Planlama doğrultusunda üretici firma talimatları doğrultusunda kalibrasyonları yapılmaktadır.</t>
  </si>
  <si>
    <t>Kat içinde geçiş/kaçış yollarına engel olmayacak alanlarda  park alanı oluşturulmuştur.</t>
  </si>
  <si>
    <t xml:space="preserve">Yatak başı panellerinin ve ekipmanlarının yapılan planlamalar doğrultusunda  kontrol, bakım ve dezenfeksiyonları yapılmaktadır. </t>
  </si>
  <si>
    <t xml:space="preserve">Atık kutularının bibirinden ayrıştırılması ve doluluk oranlarının belirlenmesiyle atık toplama süreci oluşturulması </t>
  </si>
  <si>
    <t>Yedek su tanklarının bulundurulmakta ve su basıncının düzenli olarak kontrolleri yapılmaktadır. Su kalite testleri planlamalar doğrultusunda tekralanmakta ve kayıt altına alınmaktadır.</t>
  </si>
  <si>
    <t xml:space="preserve">Alandan istenen konsültasyonlar hastanın aciliyetine göre konsültan hekim tarafından en geç 30 dakika içinde değerlendirmektedir. Bu sürecin takibi ve değerlendirmesi Acil Konsültasyon Ekibi tarafından yapılmaktadır.
</t>
  </si>
  <si>
    <t>Hepa filtrelerin yapılan planlama doğrultusunda periyodik bakım ve kontrolleri gerektiği durumlarda değişimleri yapılmaktadır.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</si>
</sst>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quot;₺&quot;* #,##0.00_-;_-&quot;₺&quot;* &quot;-&quot;??_-;_-@_-"/>
    <numFmt numFmtId="43" formatCode="_-* #,##0.00_-;\-* #,##0.00_-;_-* &quot;-&quot;??_-;_-@_-"/>
    <numFmt numFmtId="164" formatCode="_-* #,##0\ &quot;TL&quot;_-;\-* #,##0\ &quot;TL&quot;_-;_-* &quot;-&quot;\ &quot;TL&quot;_-;_-@_-"/>
    <numFmt numFmtId="165" formatCode="_-* #,##0\ _T_L_-;\-* #,##0\ _T_L_-;_-* &quot;-&quot;\ _T_L_-;_-@_-"/>
    <numFmt numFmtId="166" formatCode="_-* #,##0.00\ &quot;TL&quot;_-;\-* #,##0.00\ &quot;TL&quot;_-;_-* &quot;-&quot;??\ &quot;TL&quot;_-;_-@_-"/>
    <numFmt numFmtId="167" formatCode="_-* #,##0.00\ _T_L_-;\-* #,##0.00\ _T_L_-;_-* &quot;-&quot;??\ _T_L_-;_-@_-"/>
  </numFmts>
  <fonts count="54">
    <font>
      <sz val="11"/>
      <color theme="1"/>
      <name val="Calibri"/>
      <family val="2"/>
      <charset val="162"/>
      <scheme val="minor"/>
    </font>
    <font>
      <sz val="11"/>
      <color theme="1"/>
      <name val="Arial"/>
      <family val="2"/>
      <charset val="162"/>
    </font>
    <font>
      <sz val="11"/>
      <color theme="1"/>
      <name val="Tahoma"/>
      <family val="2"/>
      <charset val="162"/>
    </font>
    <font>
      <sz val="12"/>
      <color theme="1"/>
      <name val="Tahoma"/>
      <family val="2"/>
      <charset val="162"/>
    </font>
    <font>
      <sz val="10"/>
      <name val="Arial"/>
      <family val="2"/>
      <charset val="162"/>
    </font>
    <font>
      <b/>
      <sz val="8"/>
      <color indexed="9"/>
      <name val="Arial"/>
      <family val="2"/>
      <charset val="162"/>
    </font>
    <font>
      <b/>
      <sz val="11"/>
      <color theme="1"/>
      <name val="Tahoma"/>
      <family val="2"/>
      <charset val="162"/>
    </font>
    <font>
      <sz val="12"/>
      <color theme="1"/>
      <name val="Arial"/>
      <family val="2"/>
      <charset val="162"/>
    </font>
    <font>
      <sz val="12"/>
      <color indexed="8"/>
      <name val="Tahoma"/>
      <family val="2"/>
      <charset val="162"/>
    </font>
    <font>
      <b/>
      <sz val="12"/>
      <color theme="1"/>
      <name val="Tahoma"/>
      <family val="2"/>
      <charset val="162"/>
    </font>
    <font>
      <b/>
      <strike/>
      <sz val="12"/>
      <name val="Tahoma"/>
      <family val="2"/>
      <charset val="162"/>
    </font>
    <font>
      <b/>
      <sz val="11"/>
      <name val="Calibri"/>
      <family val="2"/>
      <charset val="162"/>
      <scheme val="minor"/>
    </font>
    <font>
      <sz val="11"/>
      <name val="Calibri"/>
      <family val="2"/>
      <charset val="162"/>
      <scheme val="minor"/>
    </font>
    <font>
      <b/>
      <sz val="12"/>
      <name val="Tahoma"/>
      <family val="2"/>
      <charset val="162"/>
    </font>
    <font>
      <b/>
      <sz val="10"/>
      <name val="Tahoma"/>
      <family val="2"/>
      <charset val="162"/>
    </font>
    <font>
      <b/>
      <sz val="20"/>
      <color theme="1"/>
      <name val="Tahoma"/>
      <family val="2"/>
      <charset val="162"/>
    </font>
    <font>
      <sz val="10"/>
      <name val="Arial"/>
      <family val="2"/>
    </font>
    <font>
      <sz val="11"/>
      <color indexed="8"/>
      <name val="Calibri"/>
      <family val="2"/>
      <charset val="162"/>
    </font>
    <font>
      <sz val="10"/>
      <name val="Arial Tur"/>
      <charset val="162"/>
    </font>
    <font>
      <sz val="8"/>
      <name val="Arial"/>
      <family val="2"/>
      <charset val="162"/>
    </font>
    <font>
      <b/>
      <sz val="25"/>
      <color theme="1"/>
      <name val="Tahoma"/>
      <family val="2"/>
      <charset val="162"/>
    </font>
    <font>
      <b/>
      <sz val="15"/>
      <color theme="1"/>
      <name val="Tahoma"/>
      <family val="2"/>
      <charset val="162"/>
    </font>
    <font>
      <b/>
      <sz val="12"/>
      <color indexed="8"/>
      <name val="Tahoma"/>
      <family val="2"/>
      <charset val="162"/>
    </font>
    <font>
      <b/>
      <u/>
      <sz val="12"/>
      <color indexed="8"/>
      <name val="Tahoma"/>
      <family val="2"/>
      <charset val="162"/>
    </font>
    <font>
      <sz val="11"/>
      <color theme="1"/>
      <name val="Calibri"/>
      <family val="2"/>
      <charset val="162"/>
      <scheme val="minor"/>
    </font>
    <font>
      <b/>
      <sz val="12"/>
      <color theme="1"/>
      <name val="Tahoma"/>
      <family val="2"/>
    </font>
    <font>
      <sz val="10"/>
      <color theme="1"/>
      <name val="Tahoma"/>
      <family val="2"/>
    </font>
    <font>
      <sz val="12"/>
      <name val="Tahoma"/>
      <family val="2"/>
      <charset val="162"/>
    </font>
    <font>
      <sz val="11"/>
      <name val="Tahoma"/>
      <family val="2"/>
      <charset val="162"/>
    </font>
    <font>
      <sz val="11"/>
      <color theme="0"/>
      <name val="Tahoma"/>
      <family val="2"/>
      <charset val="162"/>
    </font>
    <font>
      <b/>
      <sz val="11"/>
      <color theme="0"/>
      <name val="Tahoma"/>
      <family val="2"/>
      <charset val="162"/>
    </font>
    <font>
      <sz val="11"/>
      <color rgb="FF00B050"/>
      <name val="Tahoma"/>
      <family val="2"/>
      <charset val="162"/>
    </font>
    <font>
      <sz val="11"/>
      <color rgb="FFFF0000"/>
      <name val="Tahoma"/>
      <family val="2"/>
      <charset val="162"/>
    </font>
    <font>
      <b/>
      <sz val="11"/>
      <color rgb="FFFF0000"/>
      <name val="Tahoma"/>
      <family val="2"/>
      <charset val="162"/>
    </font>
    <font>
      <b/>
      <sz val="11"/>
      <color rgb="FFC00000"/>
      <name val="Tahoma"/>
      <family val="2"/>
      <charset val="162"/>
    </font>
    <font>
      <b/>
      <sz val="11"/>
      <color theme="9"/>
      <name val="Tahoma"/>
      <family val="2"/>
      <charset val="162"/>
    </font>
    <font>
      <b/>
      <sz val="11"/>
      <color rgb="FFFFFF00"/>
      <name val="Tahoma"/>
      <family val="2"/>
      <charset val="162"/>
    </font>
    <font>
      <b/>
      <sz val="11"/>
      <color rgb="FF00B050"/>
      <name val="Tahoma"/>
      <family val="2"/>
      <charset val="162"/>
    </font>
    <font>
      <sz val="10"/>
      <name val="Tahoma"/>
      <family val="2"/>
      <charset val="162"/>
    </font>
    <font>
      <sz val="10"/>
      <color theme="1"/>
      <name val="Tahoma"/>
      <family val="2"/>
      <charset val="162"/>
    </font>
    <font>
      <b/>
      <sz val="10"/>
      <color theme="1"/>
      <name val="Tahoma"/>
      <family val="2"/>
      <charset val="162"/>
    </font>
    <font>
      <sz val="11"/>
      <color theme="1"/>
      <name val="Calibri"/>
      <family val="2"/>
      <scheme val="minor"/>
    </font>
    <font>
      <b/>
      <sz val="10"/>
      <color theme="0"/>
      <name val="Tahoma"/>
      <family val="2"/>
      <charset val="162"/>
    </font>
    <font>
      <sz val="10"/>
      <color rgb="FFFF0000"/>
      <name val="Tahoma"/>
      <family val="2"/>
      <charset val="162"/>
    </font>
    <font>
      <b/>
      <sz val="10"/>
      <color rgb="FFFF0000"/>
      <name val="Tahoma"/>
      <family val="2"/>
      <charset val="162"/>
    </font>
    <font>
      <b/>
      <sz val="15"/>
      <color theme="3"/>
      <name val="Calibri"/>
      <family val="2"/>
      <charset val="162"/>
      <scheme val="minor"/>
    </font>
    <font>
      <sz val="11"/>
      <color indexed="8"/>
      <name val="Tahoma"/>
      <family val="2"/>
      <charset val="162"/>
    </font>
    <font>
      <b/>
      <sz val="9"/>
      <color theme="1" tint="0.499984740745262"/>
      <name val="Tahoma"/>
      <family val="2"/>
      <charset val="162"/>
    </font>
    <font>
      <b/>
      <sz val="9"/>
      <color theme="0"/>
      <name val="Tahoma"/>
      <family val="2"/>
      <charset val="162"/>
    </font>
    <font>
      <sz val="9"/>
      <color theme="0"/>
      <name val="Tahoma"/>
      <family val="2"/>
      <charset val="162"/>
    </font>
    <font>
      <sz val="9"/>
      <color theme="1" tint="0.499984740745262"/>
      <name val="Tahoma"/>
      <family val="2"/>
      <charset val="162"/>
    </font>
    <font>
      <b/>
      <sz val="10"/>
      <color theme="1" tint="0.34998626667073579"/>
      <name val="Tahoma"/>
      <family val="2"/>
      <charset val="162"/>
    </font>
    <font>
      <b/>
      <sz val="9"/>
      <color theme="1" tint="0.34998626667073579"/>
      <name val="Tahoma"/>
      <family val="2"/>
      <charset val="162"/>
    </font>
    <font>
      <sz val="8"/>
      <name val="Calibri"/>
      <family val="2"/>
      <charset val="162"/>
      <scheme val="minor"/>
    </font>
  </fonts>
  <fills count="39">
    <fill>
      <patternFill patternType="none"/>
    </fill>
    <fill>
      <patternFill patternType="gray125"/>
    </fill>
    <fill>
      <patternFill patternType="solid">
        <fgColor indexed="52"/>
        <bgColor indexed="64"/>
      </patternFill>
    </fill>
    <fill>
      <patternFill patternType="solid">
        <fgColor indexed="57"/>
        <bgColor indexed="64"/>
      </patternFill>
    </fill>
    <fill>
      <patternFill patternType="solid">
        <fgColor indexed="48"/>
        <bgColor indexed="64"/>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indexed="9"/>
        <bgColor indexed="64"/>
      </patternFill>
    </fill>
    <fill>
      <patternFill patternType="solid">
        <fgColor rgb="FF00B050"/>
        <bgColor indexed="64"/>
      </patternFill>
    </fill>
    <fill>
      <patternFill patternType="solid">
        <fgColor theme="4"/>
        <bgColor indexed="64"/>
      </patternFill>
    </fill>
    <fill>
      <patternFill patternType="solid">
        <fgColor theme="3"/>
        <bgColor indexed="64"/>
      </patternFill>
    </fill>
    <fill>
      <patternFill patternType="solid">
        <fgColor theme="3" tint="-0.249977111117893"/>
        <bgColor indexed="64"/>
      </patternFill>
    </fill>
    <fill>
      <patternFill patternType="solid">
        <fgColor theme="9"/>
        <bgColor indexed="64"/>
      </patternFill>
    </fill>
    <fill>
      <patternFill patternType="solid">
        <fgColor theme="0" tint="-0.499984740745262"/>
        <bgColor indexed="64"/>
      </patternFill>
    </fill>
    <fill>
      <patternFill patternType="solid">
        <fgColor theme="8" tint="0.59999389629810485"/>
        <bgColor indexed="64"/>
      </patternFill>
    </fill>
    <fill>
      <patternFill patternType="solid">
        <fgColor theme="5"/>
        <bgColor indexed="64"/>
      </patternFill>
    </fill>
    <fill>
      <patternFill patternType="solid">
        <fgColor rgb="FFFF0000"/>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rgb="FFFFFFC5"/>
        <bgColor indexed="64"/>
      </patternFill>
    </fill>
    <fill>
      <patternFill patternType="solid">
        <fgColor rgb="FFFFDDDD"/>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2" tint="-9.9978637043366805E-2"/>
        <bgColor indexed="64"/>
      </patternFill>
    </fill>
    <fill>
      <patternFill patternType="solid">
        <fgColor theme="6" tint="0.39997558519241921"/>
        <bgColor indexed="64"/>
      </patternFill>
    </fill>
    <fill>
      <patternFill patternType="solid">
        <fgColor theme="8"/>
        <bgColor indexed="64"/>
      </patternFill>
    </fill>
    <fill>
      <patternFill patternType="solid">
        <fgColor theme="7"/>
        <bgColor indexed="64"/>
      </patternFill>
    </fill>
    <fill>
      <patternFill patternType="solid">
        <fgColor theme="6"/>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6" tint="0.59999389629810485"/>
        <bgColor indexed="64"/>
      </patternFill>
    </fill>
    <fill>
      <patternFill patternType="solid">
        <fgColor theme="2" tint="-0.249977111117893"/>
        <bgColor indexed="64"/>
      </patternFill>
    </fill>
  </fills>
  <borders count="72">
    <border>
      <left/>
      <right/>
      <top/>
      <bottom/>
      <diagonal/>
    </border>
    <border>
      <left style="thin">
        <color indexed="64"/>
      </left>
      <right style="thin">
        <color indexed="64"/>
      </right>
      <top style="thin">
        <color indexed="64"/>
      </top>
      <bottom style="thin">
        <color indexed="64"/>
      </bottom>
      <diagonal/>
    </border>
    <border>
      <left style="hair">
        <color indexed="64"/>
      </left>
      <right style="thin">
        <color indexed="64"/>
      </right>
      <top/>
      <bottom style="thin">
        <color indexed="64"/>
      </bottom>
      <diagonal/>
    </border>
    <border>
      <left style="hair">
        <color indexed="64"/>
      </left>
      <right style="hair">
        <color indexed="64"/>
      </right>
      <top/>
      <bottom style="thin">
        <color indexed="64"/>
      </bottom>
      <diagonal/>
    </border>
    <border>
      <left/>
      <right style="hair">
        <color indexed="64"/>
      </right>
      <top/>
      <bottom style="thin">
        <color indexed="64"/>
      </bottom>
      <diagonal/>
    </border>
    <border>
      <left/>
      <right/>
      <top/>
      <bottom style="thin">
        <color indexed="64"/>
      </bottom>
      <diagonal/>
    </border>
    <border>
      <left style="hair">
        <color indexed="64"/>
      </left>
      <right/>
      <top/>
      <bottom style="thin">
        <color indexed="64"/>
      </bottom>
      <diagonal/>
    </border>
    <border>
      <left style="thin">
        <color indexed="64"/>
      </left>
      <right/>
      <top/>
      <bottom style="thin">
        <color indexed="64"/>
      </bottom>
      <diagonal/>
    </border>
    <border>
      <left style="hair">
        <color indexed="64"/>
      </left>
      <right style="thin">
        <color indexed="64"/>
      </right>
      <top style="hair">
        <color indexed="64"/>
      </top>
      <bottom/>
      <diagonal/>
    </border>
    <border>
      <left style="hair">
        <color indexed="64"/>
      </left>
      <right style="hair">
        <color indexed="64"/>
      </right>
      <top style="hair">
        <color indexed="64"/>
      </top>
      <bottom/>
      <diagonal/>
    </border>
    <border>
      <left/>
      <right style="hair">
        <color indexed="64"/>
      </right>
      <top style="hair">
        <color indexed="64"/>
      </top>
      <bottom/>
      <diagonal/>
    </border>
    <border>
      <left/>
      <right/>
      <top style="hair">
        <color indexed="64"/>
      </top>
      <bottom/>
      <diagonal/>
    </border>
    <border>
      <left style="hair">
        <color indexed="64"/>
      </left>
      <right/>
      <top style="hair">
        <color indexed="64"/>
      </top>
      <bottom/>
      <diagonal/>
    </border>
    <border>
      <left style="thin">
        <color indexed="64"/>
      </left>
      <right/>
      <top style="hair">
        <color indexed="64"/>
      </top>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indexed="64"/>
      </left>
      <right style="thin">
        <color indexed="64"/>
      </right>
      <top/>
      <bottom/>
      <diagonal/>
    </border>
    <border>
      <left/>
      <right/>
      <top/>
      <bottom style="thick">
        <color theme="4"/>
      </bottom>
      <diagonal/>
    </border>
    <border>
      <left/>
      <right style="thick">
        <color theme="0"/>
      </right>
      <top style="thick">
        <color theme="0"/>
      </top>
      <bottom style="thick">
        <color theme="0"/>
      </bottom>
      <diagonal/>
    </border>
    <border>
      <left/>
      <right style="thick">
        <color theme="0"/>
      </right>
      <top style="medium">
        <color theme="5"/>
      </top>
      <bottom/>
      <diagonal/>
    </border>
    <border>
      <left style="thick">
        <color theme="0"/>
      </left>
      <right style="thick">
        <color theme="0"/>
      </right>
      <top style="medium">
        <color theme="6"/>
      </top>
      <bottom/>
      <diagonal/>
    </border>
    <border>
      <left style="thick">
        <color theme="0"/>
      </left>
      <right style="thick">
        <color theme="0"/>
      </right>
      <top/>
      <bottom style="thin">
        <color theme="6"/>
      </bottom>
      <diagonal/>
    </border>
    <border>
      <left style="thick">
        <color theme="0"/>
      </left>
      <right style="thick">
        <color theme="0"/>
      </right>
      <top/>
      <bottom/>
      <diagonal/>
    </border>
    <border>
      <left/>
      <right style="thick">
        <color theme="0"/>
      </right>
      <top style="medium">
        <color theme="0" tint="-0.499984740745262"/>
      </top>
      <bottom style="thick">
        <color theme="0"/>
      </bottom>
      <diagonal/>
    </border>
    <border>
      <left style="thick">
        <color theme="0"/>
      </left>
      <right style="thick">
        <color theme="0"/>
      </right>
      <top/>
      <bottom style="medium">
        <color theme="6"/>
      </bottom>
      <diagonal/>
    </border>
    <border>
      <left/>
      <right/>
      <top/>
      <bottom style="medium">
        <color theme="0" tint="-0.499984740745262"/>
      </bottom>
      <diagonal/>
    </border>
    <border>
      <left style="thick">
        <color theme="0"/>
      </left>
      <right style="thick">
        <color theme="0"/>
      </right>
      <top style="medium">
        <color theme="1" tint="0.499984740745262"/>
      </top>
      <bottom/>
      <diagonal/>
    </border>
    <border>
      <left style="thick">
        <color theme="0"/>
      </left>
      <right/>
      <top/>
      <bottom style="thin">
        <color theme="6"/>
      </bottom>
      <diagonal/>
    </border>
    <border>
      <left style="thick">
        <color theme="0"/>
      </left>
      <right/>
      <top style="medium">
        <color theme="6"/>
      </top>
      <bottom/>
      <diagonal/>
    </border>
    <border>
      <left style="thick">
        <color theme="0"/>
      </left>
      <right/>
      <top style="medium">
        <color theme="1" tint="0.499984740745262"/>
      </top>
      <bottom/>
      <diagonal/>
    </border>
    <border>
      <left/>
      <right style="thick">
        <color theme="0"/>
      </right>
      <top/>
      <bottom style="medium">
        <color theme="6"/>
      </bottom>
      <diagonal/>
    </border>
    <border>
      <left/>
      <right style="thick">
        <color theme="0"/>
      </right>
      <top style="medium">
        <color theme="6"/>
      </top>
      <bottom/>
      <diagonal/>
    </border>
    <border>
      <left/>
      <right style="thick">
        <color theme="0"/>
      </right>
      <top style="medium">
        <color theme="1" tint="0.499984740745262"/>
      </top>
      <bottom/>
      <diagonal/>
    </border>
    <border>
      <left/>
      <right/>
      <top style="thick">
        <color theme="0"/>
      </top>
      <bottom style="thick">
        <color theme="0"/>
      </bottom>
      <diagonal/>
    </border>
    <border>
      <left/>
      <right/>
      <top/>
      <bottom style="thick">
        <color theme="0"/>
      </bottom>
      <diagonal/>
    </border>
    <border>
      <left/>
      <right/>
      <top/>
      <bottom style="medium">
        <color theme="5"/>
      </bottom>
      <diagonal/>
    </border>
    <border>
      <left style="thick">
        <color theme="0"/>
      </left>
      <right style="thick">
        <color theme="0"/>
      </right>
      <top style="medium">
        <color theme="5"/>
      </top>
      <bottom/>
      <diagonal/>
    </border>
    <border>
      <left style="thick">
        <color theme="0"/>
      </left>
      <right/>
      <top/>
      <bottom style="medium">
        <color theme="7"/>
      </bottom>
      <diagonal/>
    </border>
    <border>
      <left style="thick">
        <color theme="0"/>
      </left>
      <right style="thick">
        <color theme="0"/>
      </right>
      <top style="medium">
        <color theme="7"/>
      </top>
      <bottom/>
      <diagonal/>
    </border>
    <border>
      <left/>
      <right/>
      <top/>
      <bottom style="medium">
        <color theme="7"/>
      </bottom>
      <diagonal/>
    </border>
    <border>
      <left style="thick">
        <color theme="0"/>
      </left>
      <right style="thick">
        <color theme="0"/>
      </right>
      <top style="medium">
        <color theme="8"/>
      </top>
      <bottom/>
      <diagonal/>
    </border>
    <border>
      <left/>
      <right/>
      <top/>
      <bottom style="medium">
        <color theme="8"/>
      </bottom>
      <diagonal/>
    </border>
    <border>
      <left style="thick">
        <color theme="0"/>
      </left>
      <right/>
      <top/>
      <bottom style="medium">
        <color theme="9"/>
      </bottom>
      <diagonal/>
    </border>
    <border>
      <left/>
      <right/>
      <top/>
      <bottom style="medium">
        <color theme="9"/>
      </bottom>
      <diagonal/>
    </border>
    <border>
      <left style="thick">
        <color theme="0"/>
      </left>
      <right style="thick">
        <color theme="0"/>
      </right>
      <top style="medium">
        <color theme="9"/>
      </top>
      <bottom/>
      <diagonal/>
    </border>
    <border>
      <left/>
      <right style="thick">
        <color theme="0"/>
      </right>
      <top/>
      <bottom style="thick">
        <color theme="0"/>
      </bottom>
      <diagonal/>
    </border>
    <border>
      <left style="thick">
        <color theme="0"/>
      </left>
      <right/>
      <top/>
      <bottom style="thick">
        <color theme="0"/>
      </bottom>
      <diagonal/>
    </border>
    <border>
      <left/>
      <right style="thick">
        <color theme="0"/>
      </right>
      <top style="medium">
        <color theme="7"/>
      </top>
      <bottom/>
      <diagonal/>
    </border>
    <border>
      <left/>
      <right style="thick">
        <color theme="0"/>
      </right>
      <top/>
      <bottom/>
      <diagonal/>
    </border>
    <border>
      <left/>
      <right style="thick">
        <color theme="0"/>
      </right>
      <top style="medium">
        <color theme="9"/>
      </top>
      <bottom/>
      <diagonal/>
    </border>
    <border>
      <left/>
      <right style="medium">
        <color theme="0" tint="-0.34998626667073579"/>
      </right>
      <top/>
      <bottom style="medium">
        <color theme="0" tint="-0.499984740745262"/>
      </bottom>
      <diagonal/>
    </border>
    <border>
      <left style="thick">
        <color theme="0"/>
      </left>
      <right style="medium">
        <color theme="0" tint="-0.34998626667073579"/>
      </right>
      <top style="medium">
        <color theme="0" tint="-0.499984740745262"/>
      </top>
      <bottom style="medium">
        <color theme="6"/>
      </bottom>
      <diagonal/>
    </border>
    <border>
      <left/>
      <right style="medium">
        <color theme="0" tint="-0.34998626667073579"/>
      </right>
      <top style="medium">
        <color theme="6"/>
      </top>
      <bottom/>
      <diagonal/>
    </border>
    <border>
      <left/>
      <right style="medium">
        <color theme="0" tint="-0.34998626667073579"/>
      </right>
      <top/>
      <bottom/>
      <diagonal/>
    </border>
    <border>
      <left/>
      <right style="medium">
        <color theme="0" tint="-0.34998626667073579"/>
      </right>
      <top/>
      <bottom style="medium">
        <color theme="5"/>
      </bottom>
      <diagonal/>
    </border>
    <border>
      <left style="thick">
        <color theme="0"/>
      </left>
      <right style="medium">
        <color theme="0" tint="-0.34998626667073579"/>
      </right>
      <top style="medium">
        <color theme="5"/>
      </top>
      <bottom/>
      <diagonal/>
    </border>
    <border>
      <left style="thick">
        <color theme="0"/>
      </left>
      <right style="medium">
        <color theme="0" tint="-0.34998626667073579"/>
      </right>
      <top style="medium">
        <color theme="7"/>
      </top>
      <bottom/>
      <diagonal/>
    </border>
    <border>
      <left style="thick">
        <color theme="0"/>
      </left>
      <right style="medium">
        <color theme="0" tint="-0.34998626667073579"/>
      </right>
      <top style="medium">
        <color theme="8"/>
      </top>
      <bottom/>
      <diagonal/>
    </border>
    <border>
      <left style="thick">
        <color theme="0"/>
      </left>
      <right style="medium">
        <color theme="0" tint="-0.34998626667073579"/>
      </right>
      <top style="medium">
        <color theme="9"/>
      </top>
      <bottom/>
      <diagonal/>
    </border>
    <border>
      <left style="thick">
        <color theme="0"/>
      </left>
      <right style="medium">
        <color theme="0" tint="-0.34998626667073579"/>
      </right>
      <top style="medium">
        <color theme="1" tint="0.499984740745262"/>
      </top>
      <bottom/>
      <diagonal/>
    </border>
  </borders>
  <cellStyleXfs count="20">
    <xf numFmtId="0" fontId="0" fillId="0" borderId="0"/>
    <xf numFmtId="0" fontId="4" fillId="0" borderId="0"/>
    <xf numFmtId="167" fontId="16" fillId="0" borderId="0" applyFont="0" applyFill="0" applyBorder="0" applyAlignment="0" applyProtection="0">
      <alignment vertical="center"/>
    </xf>
    <xf numFmtId="165" fontId="16" fillId="0" borderId="0" applyFont="0" applyFill="0" applyBorder="0" applyAlignment="0" applyProtection="0">
      <alignment vertical="center"/>
    </xf>
    <xf numFmtId="166" fontId="16" fillId="0" borderId="0" applyFont="0" applyFill="0" applyBorder="0" applyAlignment="0" applyProtection="0">
      <alignment vertical="center"/>
    </xf>
    <xf numFmtId="164" fontId="16" fillId="0" borderId="0" applyFont="0" applyFill="0" applyBorder="0" applyAlignment="0" applyProtection="0">
      <alignment vertical="center"/>
    </xf>
    <xf numFmtId="0" fontId="17" fillId="0" borderId="0"/>
    <xf numFmtId="0" fontId="4" fillId="0" borderId="0"/>
    <xf numFmtId="0" fontId="4" fillId="0" borderId="0"/>
    <xf numFmtId="0" fontId="4" fillId="0" borderId="0"/>
    <xf numFmtId="0" fontId="4" fillId="0" borderId="0"/>
    <xf numFmtId="0" fontId="18" fillId="0" borderId="0"/>
    <xf numFmtId="0" fontId="19" fillId="0" borderId="0"/>
    <xf numFmtId="9" fontId="16" fillId="0" borderId="0" applyFont="0" applyFill="0" applyBorder="0" applyAlignment="0" applyProtection="0">
      <alignment vertical="center"/>
    </xf>
    <xf numFmtId="9" fontId="4" fillId="0" borderId="0" applyFont="0" applyFill="0" applyBorder="0" applyAlignment="0" applyProtection="0"/>
    <xf numFmtId="44" fontId="24" fillId="0" borderId="0" applyFont="0" applyFill="0" applyBorder="0" applyAlignment="0" applyProtection="0"/>
    <xf numFmtId="43" fontId="24" fillId="0" borderId="0" applyFont="0" applyFill="0" applyBorder="0" applyAlignment="0" applyProtection="0"/>
    <xf numFmtId="0" fontId="24" fillId="0" borderId="0"/>
    <xf numFmtId="0" fontId="41" fillId="0" borderId="0"/>
    <xf numFmtId="0" fontId="45" fillId="0" borderId="29" applyNumberFormat="0" applyFill="0" applyAlignment="0" applyProtection="0"/>
  </cellStyleXfs>
  <cellXfs count="414">
    <xf numFmtId="0" fontId="0" fillId="0" borderId="0" xfId="0"/>
    <xf numFmtId="0" fontId="1" fillId="0" borderId="0" xfId="0" applyFont="1"/>
    <xf numFmtId="0" fontId="2" fillId="0" borderId="0" xfId="0" applyFont="1"/>
    <xf numFmtId="0" fontId="3" fillId="0" borderId="0" xfId="0" applyFont="1" applyAlignment="1">
      <alignment horizontal="left" vertical="center" wrapText="1"/>
    </xf>
    <xf numFmtId="0" fontId="1" fillId="0" borderId="0" xfId="0" applyFont="1" applyAlignment="1">
      <alignment horizontal="center" vertical="center"/>
    </xf>
    <xf numFmtId="0" fontId="5" fillId="2" borderId="1" xfId="1" applyFont="1" applyFill="1" applyBorder="1" applyAlignment="1">
      <alignment horizontal="center" vertical="center"/>
    </xf>
    <xf numFmtId="0" fontId="5" fillId="3" borderId="1" xfId="1" applyFont="1" applyFill="1" applyBorder="1" applyAlignment="1">
      <alignment horizontal="center" vertical="center"/>
    </xf>
    <xf numFmtId="0" fontId="5" fillId="4" borderId="1" xfId="1" applyFont="1" applyFill="1" applyBorder="1" applyAlignment="1">
      <alignment horizontal="center" vertical="center"/>
    </xf>
    <xf numFmtId="0" fontId="3" fillId="0" borderId="1" xfId="0" applyFont="1" applyBorder="1" applyAlignment="1">
      <alignment horizontal="center" vertical="center" wrapText="1"/>
    </xf>
    <xf numFmtId="0" fontId="7" fillId="7" borderId="1" xfId="0" applyFont="1" applyFill="1" applyBorder="1" applyAlignment="1">
      <alignment horizontal="center" vertical="center" wrapText="1"/>
    </xf>
    <xf numFmtId="14" fontId="3" fillId="0" borderId="1" xfId="0" applyNumberFormat="1" applyFont="1" applyBorder="1" applyAlignment="1">
      <alignment horizontal="center" vertical="center" wrapText="1"/>
    </xf>
    <xf numFmtId="0" fontId="8" fillId="0" borderId="1" xfId="0" applyFont="1" applyBorder="1" applyAlignment="1">
      <alignment horizontal="center" vertical="center" wrapText="1"/>
    </xf>
    <xf numFmtId="0" fontId="3" fillId="0" borderId="19" xfId="0" applyFont="1" applyBorder="1" applyAlignment="1">
      <alignment horizontal="center" vertical="center" wrapText="1"/>
    </xf>
    <xf numFmtId="0" fontId="3" fillId="0" borderId="20" xfId="0" applyFont="1" applyBorder="1" applyAlignment="1">
      <alignment horizontal="center" vertical="center" wrapText="1"/>
    </xf>
    <xf numFmtId="0" fontId="8" fillId="8" borderId="1" xfId="0" applyFont="1" applyFill="1" applyBorder="1" applyAlignment="1">
      <alignment horizontal="center" vertical="center" wrapText="1"/>
    </xf>
    <xf numFmtId="0" fontId="3" fillId="5" borderId="1" xfId="0" applyFont="1" applyFill="1" applyBorder="1" applyAlignment="1">
      <alignment horizontal="center" vertical="center"/>
    </xf>
    <xf numFmtId="0" fontId="7" fillId="0" borderId="1" xfId="0" applyFont="1" applyBorder="1" applyAlignment="1">
      <alignment horizontal="center" vertical="center"/>
    </xf>
    <xf numFmtId="0" fontId="7" fillId="0" borderId="1" xfId="0" applyFont="1" applyBorder="1" applyAlignment="1">
      <alignment horizontal="center" vertical="center" wrapText="1"/>
    </xf>
    <xf numFmtId="14" fontId="3" fillId="0" borderId="21" xfId="0" applyNumberFormat="1" applyFont="1" applyBorder="1" applyAlignment="1">
      <alignment horizontal="center" vertical="center" wrapText="1"/>
    </xf>
    <xf numFmtId="0" fontId="3" fillId="0" borderId="22" xfId="0" applyFont="1" applyBorder="1" applyAlignment="1">
      <alignment horizontal="center" vertical="center" wrapText="1"/>
    </xf>
    <xf numFmtId="0" fontId="3" fillId="6" borderId="20" xfId="0" applyFont="1" applyFill="1" applyBorder="1" applyAlignment="1">
      <alignment horizontal="center" vertical="center" wrapText="1"/>
    </xf>
    <xf numFmtId="0" fontId="3" fillId="0" borderId="19" xfId="0" applyFont="1" applyBorder="1" applyAlignment="1">
      <alignment vertical="center" wrapText="1"/>
    </xf>
    <xf numFmtId="0" fontId="3" fillId="0" borderId="1" xfId="0" applyFont="1" applyBorder="1" applyAlignment="1">
      <alignment horizontal="center" vertical="center"/>
    </xf>
    <xf numFmtId="0" fontId="3" fillId="6" borderId="1" xfId="0" applyFont="1" applyFill="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9" fillId="5" borderId="22" xfId="0" applyFont="1" applyFill="1" applyBorder="1" applyAlignment="1">
      <alignment horizontal="center" vertical="center" wrapText="1"/>
    </xf>
    <xf numFmtId="0" fontId="9" fillId="5" borderId="1" xfId="0" applyFont="1" applyFill="1" applyBorder="1" applyAlignment="1">
      <alignment horizontal="center" vertical="center" textRotation="90" wrapText="1"/>
    </xf>
    <xf numFmtId="0" fontId="9" fillId="5" borderId="1" xfId="0" applyFont="1" applyFill="1" applyBorder="1" applyAlignment="1">
      <alignment horizontal="center" vertical="center" textRotation="90"/>
    </xf>
    <xf numFmtId="0" fontId="9" fillId="5" borderId="20" xfId="0" applyFont="1" applyFill="1" applyBorder="1" applyAlignment="1">
      <alignment vertical="center"/>
    </xf>
    <xf numFmtId="14" fontId="9" fillId="0" borderId="20" xfId="0" applyNumberFormat="1" applyFont="1" applyBorder="1" applyAlignment="1">
      <alignment horizontal="left" vertical="center"/>
    </xf>
    <xf numFmtId="0" fontId="9" fillId="5" borderId="20" xfId="0" applyFont="1" applyFill="1" applyBorder="1" applyAlignment="1">
      <alignment horizontal="center" vertical="center"/>
    </xf>
    <xf numFmtId="0" fontId="3" fillId="0" borderId="0" xfId="0" applyFont="1" applyAlignment="1">
      <alignment wrapText="1"/>
    </xf>
    <xf numFmtId="0" fontId="4" fillId="0" borderId="0" xfId="7"/>
    <xf numFmtId="0" fontId="25" fillId="5" borderId="1" xfId="0" applyFont="1" applyFill="1" applyBorder="1" applyAlignment="1">
      <alignment horizontal="center" vertical="center" textRotation="90"/>
    </xf>
    <xf numFmtId="0" fontId="26" fillId="0" borderId="0" xfId="0" applyFont="1"/>
    <xf numFmtId="0" fontId="26" fillId="0" borderId="0" xfId="0" applyFont="1" applyAlignment="1">
      <alignment horizontal="left"/>
    </xf>
    <xf numFmtId="0" fontId="0" fillId="0" borderId="1" xfId="0" applyBorder="1"/>
    <xf numFmtId="0" fontId="27" fillId="6"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9" fillId="6" borderId="1" xfId="0" applyFont="1" applyFill="1" applyBorder="1" applyAlignment="1">
      <alignment horizontal="center" vertical="center" textRotation="90"/>
    </xf>
    <xf numFmtId="0" fontId="3" fillId="0" borderId="26" xfId="0" applyFont="1" applyBorder="1" applyAlignment="1">
      <alignment vertical="center"/>
    </xf>
    <xf numFmtId="0" fontId="3" fillId="0" borderId="0" xfId="0" applyFont="1" applyAlignment="1">
      <alignment vertical="center"/>
    </xf>
    <xf numFmtId="0" fontId="9" fillId="0" borderId="1" xfId="0" applyFont="1" applyBorder="1" applyAlignment="1">
      <alignment horizontal="center" vertical="center" wrapText="1"/>
    </xf>
    <xf numFmtId="0" fontId="3" fillId="6" borderId="1" xfId="9" applyFont="1" applyFill="1" applyBorder="1" applyAlignment="1">
      <alignment horizontal="center" vertical="center" wrapText="1"/>
    </xf>
    <xf numFmtId="0" fontId="3" fillId="0" borderId="1" xfId="9" applyFont="1" applyBorder="1" applyAlignment="1">
      <alignment horizontal="center" vertical="center" wrapText="1"/>
    </xf>
    <xf numFmtId="0" fontId="3" fillId="6" borderId="1" xfId="17" applyFont="1" applyFill="1" applyBorder="1" applyAlignment="1">
      <alignment horizontal="center" vertical="center" wrapText="1"/>
    </xf>
    <xf numFmtId="0" fontId="26" fillId="0" borderId="0" xfId="0" applyFont="1" applyAlignment="1">
      <alignment horizontal="center" vertical="center"/>
    </xf>
    <xf numFmtId="0" fontId="9" fillId="5" borderId="1" xfId="0" applyFont="1" applyFill="1" applyBorder="1" applyAlignment="1">
      <alignment vertical="center" wrapText="1"/>
    </xf>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vertical="center" wrapText="1"/>
    </xf>
    <xf numFmtId="0" fontId="2" fillId="0" borderId="0" xfId="0" applyFont="1" applyAlignment="1">
      <alignment horizontal="center" vertical="center" wrapText="1"/>
    </xf>
    <xf numFmtId="0" fontId="2" fillId="0" borderId="1" xfId="0" applyFont="1" applyBorder="1" applyAlignment="1">
      <alignment horizontal="center" vertical="center"/>
    </xf>
    <xf numFmtId="0" fontId="30" fillId="10" borderId="1" xfId="0" applyFont="1" applyFill="1" applyBorder="1" applyAlignment="1">
      <alignment horizontal="center" vertical="center" wrapText="1"/>
    </xf>
    <xf numFmtId="0" fontId="30" fillId="10" borderId="1" xfId="0" applyFont="1" applyFill="1" applyBorder="1" applyAlignment="1">
      <alignment horizontal="center" vertical="center"/>
    </xf>
    <xf numFmtId="0" fontId="30" fillId="0" borderId="0" xfId="0" applyFont="1" applyAlignment="1">
      <alignment horizontal="center" vertical="center"/>
    </xf>
    <xf numFmtId="0" fontId="30" fillId="9" borderId="1" xfId="0" applyFont="1" applyFill="1" applyBorder="1" applyAlignment="1">
      <alignment horizontal="center" vertical="center" wrapText="1"/>
    </xf>
    <xf numFmtId="0" fontId="30" fillId="9" borderId="1" xfId="0" applyFont="1" applyFill="1" applyBorder="1" applyAlignment="1">
      <alignment horizontal="center" vertical="center"/>
    </xf>
    <xf numFmtId="0" fontId="2" fillId="0" borderId="1" xfId="0" applyFont="1" applyBorder="1" applyAlignment="1">
      <alignment horizontal="center" vertical="center" wrapText="1"/>
    </xf>
    <xf numFmtId="0" fontId="30" fillId="13" borderId="1" xfId="0" applyFont="1" applyFill="1" applyBorder="1" applyAlignment="1">
      <alignment horizontal="center" vertical="center" wrapText="1"/>
    </xf>
    <xf numFmtId="0" fontId="30" fillId="13" borderId="1" xfId="0" applyFont="1" applyFill="1" applyBorder="1" applyAlignment="1">
      <alignment horizontal="center" vertical="center"/>
    </xf>
    <xf numFmtId="0" fontId="28" fillId="0" borderId="0" xfId="0" applyFont="1" applyAlignment="1">
      <alignment horizontal="center" vertical="center"/>
    </xf>
    <xf numFmtId="0" fontId="28" fillId="0" borderId="0" xfId="0" applyFont="1" applyAlignment="1">
      <alignment vertical="center"/>
    </xf>
    <xf numFmtId="0" fontId="38" fillId="0" borderId="0" xfId="7" applyFont="1"/>
    <xf numFmtId="0" fontId="38" fillId="0" borderId="1" xfId="7" applyFont="1" applyBorder="1" applyAlignment="1">
      <alignment horizontal="center" vertical="center"/>
    </xf>
    <xf numFmtId="0" fontId="39" fillId="0" borderId="0" xfId="0" applyFont="1"/>
    <xf numFmtId="0" fontId="38" fillId="0" borderId="0" xfId="7" applyFont="1" applyAlignment="1">
      <alignment vertical="center"/>
    </xf>
    <xf numFmtId="0" fontId="39" fillId="0" borderId="0" xfId="0" applyFont="1" applyAlignment="1">
      <alignment vertical="center"/>
    </xf>
    <xf numFmtId="0" fontId="14" fillId="0" borderId="0" xfId="7" applyFont="1" applyAlignment="1">
      <alignment horizontal="center" vertical="center"/>
    </xf>
    <xf numFmtId="0" fontId="9" fillId="0" borderId="1" xfId="0" applyFont="1" applyBorder="1" applyAlignment="1">
      <alignment vertical="center"/>
    </xf>
    <xf numFmtId="0" fontId="3" fillId="0" borderId="27" xfId="0" applyFont="1" applyBorder="1" applyAlignment="1">
      <alignment vertical="center"/>
    </xf>
    <xf numFmtId="0" fontId="0" fillId="0" borderId="27" xfId="0" applyBorder="1"/>
    <xf numFmtId="0" fontId="41" fillId="0" borderId="0" xfId="18"/>
    <xf numFmtId="0" fontId="40" fillId="0" borderId="0" xfId="18" applyFont="1" applyAlignment="1">
      <alignment horizontal="center" vertical="center"/>
    </xf>
    <xf numFmtId="0" fontId="39" fillId="0" borderId="0" xfId="18" applyFont="1"/>
    <xf numFmtId="0" fontId="39" fillId="0" borderId="0" xfId="18" applyFont="1" applyAlignment="1">
      <alignment vertical="top" wrapText="1"/>
    </xf>
    <xf numFmtId="0" fontId="41" fillId="0" borderId="0" xfId="18" applyAlignment="1">
      <alignment horizontal="left" vertical="center" wrapText="1"/>
    </xf>
    <xf numFmtId="0" fontId="41" fillId="0" borderId="0" xfId="18" applyAlignment="1">
      <alignment horizontal="center" vertical="center" wrapText="1"/>
    </xf>
    <xf numFmtId="0" fontId="14" fillId="0" borderId="0" xfId="18" applyFont="1" applyAlignment="1">
      <alignment horizontal="center" vertical="center" wrapText="1"/>
    </xf>
    <xf numFmtId="0" fontId="38" fillId="0" borderId="0" xfId="18" applyFont="1" applyAlignment="1">
      <alignment horizontal="left" vertical="center" wrapText="1"/>
    </xf>
    <xf numFmtId="0" fontId="42" fillId="0" borderId="0" xfId="18" applyFont="1" applyAlignment="1">
      <alignment horizontal="center" vertical="center" wrapText="1"/>
    </xf>
    <xf numFmtId="0" fontId="9" fillId="5" borderId="1" xfId="0" applyFont="1" applyFill="1" applyBorder="1" applyAlignment="1">
      <alignment horizontal="center" vertical="center" wrapText="1"/>
    </xf>
    <xf numFmtId="0" fontId="6" fillId="5" borderId="1" xfId="0" applyFont="1" applyFill="1" applyBorder="1" applyAlignment="1">
      <alignment vertical="center"/>
    </xf>
    <xf numFmtId="0" fontId="38" fillId="0" borderId="28" xfId="18" applyFont="1" applyBorder="1" applyAlignment="1">
      <alignment horizontal="left" vertical="center" wrapText="1"/>
    </xf>
    <xf numFmtId="0" fontId="30" fillId="11" borderId="0" xfId="0" applyFont="1" applyFill="1" applyAlignment="1">
      <alignment vertical="center"/>
    </xf>
    <xf numFmtId="0" fontId="30" fillId="0" borderId="0" xfId="0" applyFont="1" applyAlignment="1">
      <alignment horizontal="center" vertical="center" textRotation="90"/>
    </xf>
    <xf numFmtId="0" fontId="40" fillId="0" borderId="0" xfId="18" applyFont="1" applyAlignment="1">
      <alignment horizontal="center" vertical="center" wrapText="1"/>
    </xf>
    <xf numFmtId="0" fontId="2" fillId="21" borderId="1" xfId="0" applyFont="1" applyFill="1" applyBorder="1" applyAlignment="1">
      <alignment vertical="center" wrapText="1"/>
    </xf>
    <xf numFmtId="0" fontId="2" fillId="20" borderId="1" xfId="0" applyFont="1" applyFill="1" applyBorder="1" applyAlignment="1">
      <alignment vertical="center" wrapText="1"/>
    </xf>
    <xf numFmtId="0" fontId="2" fillId="22" borderId="1" xfId="0" applyFont="1" applyFill="1" applyBorder="1" applyAlignment="1">
      <alignment vertical="center" wrapText="1"/>
    </xf>
    <xf numFmtId="0" fontId="2" fillId="19" borderId="1" xfId="0" applyFont="1" applyFill="1" applyBorder="1" applyAlignment="1">
      <alignment vertical="center" wrapText="1"/>
    </xf>
    <xf numFmtId="0" fontId="2" fillId="23" borderId="1" xfId="0" applyFont="1" applyFill="1" applyBorder="1" applyAlignment="1">
      <alignment vertical="center" wrapText="1"/>
    </xf>
    <xf numFmtId="0" fontId="29" fillId="0" borderId="0" xfId="0" applyFont="1" applyAlignment="1">
      <alignment vertical="center"/>
    </xf>
    <xf numFmtId="0" fontId="2" fillId="0" borderId="24" xfId="0" applyFont="1" applyBorder="1" applyAlignment="1">
      <alignment vertical="center"/>
    </xf>
    <xf numFmtId="0" fontId="2" fillId="0" borderId="27" xfId="0" applyFont="1" applyBorder="1" applyAlignment="1">
      <alignment horizontal="center" vertical="center"/>
    </xf>
    <xf numFmtId="0" fontId="30" fillId="13" borderId="0" xfId="0" applyFont="1" applyFill="1" applyAlignment="1">
      <alignment horizontal="center" vertical="center"/>
    </xf>
    <xf numFmtId="0" fontId="30" fillId="13" borderId="27" xfId="0" applyFont="1" applyFill="1" applyBorder="1" applyAlignment="1">
      <alignment horizontal="center" vertical="center"/>
    </xf>
    <xf numFmtId="0" fontId="2" fillId="0" borderId="26" xfId="0" applyFont="1" applyBorder="1" applyAlignment="1">
      <alignment horizontal="center" vertical="center"/>
    </xf>
    <xf numFmtId="0" fontId="2" fillId="0" borderId="27" xfId="0" applyFont="1" applyBorder="1" applyAlignment="1">
      <alignment vertical="center"/>
    </xf>
    <xf numFmtId="0" fontId="2" fillId="18" borderId="0" xfId="0" applyFont="1" applyFill="1" applyAlignment="1">
      <alignment horizontal="center" vertical="center"/>
    </xf>
    <xf numFmtId="0" fontId="2" fillId="15" borderId="0" xfId="0" applyFont="1" applyFill="1" applyAlignment="1">
      <alignment horizontal="center" vertical="center"/>
    </xf>
    <xf numFmtId="0" fontId="2" fillId="15" borderId="27" xfId="0" applyFont="1" applyFill="1" applyBorder="1" applyAlignment="1">
      <alignment horizontal="center" vertical="center"/>
    </xf>
    <xf numFmtId="0" fontId="2" fillId="7" borderId="0" xfId="0" applyFont="1" applyFill="1" applyAlignment="1">
      <alignment horizontal="center" vertical="center"/>
    </xf>
    <xf numFmtId="0" fontId="2" fillId="7" borderId="27" xfId="0" applyFont="1" applyFill="1" applyBorder="1" applyAlignment="1">
      <alignment horizontal="center" vertical="center"/>
    </xf>
    <xf numFmtId="0" fontId="29" fillId="16" borderId="27" xfId="0" applyFont="1" applyFill="1" applyBorder="1" applyAlignment="1">
      <alignment horizontal="center" vertical="center"/>
    </xf>
    <xf numFmtId="0" fontId="29" fillId="16" borderId="0" xfId="0" applyFont="1" applyFill="1" applyAlignment="1">
      <alignment horizontal="center" vertical="center"/>
    </xf>
    <xf numFmtId="0" fontId="30" fillId="0" borderId="5" xfId="0" applyFont="1" applyBorder="1" applyAlignment="1">
      <alignment horizontal="center" vertical="center" textRotation="90"/>
    </xf>
    <xf numFmtId="0" fontId="30" fillId="11" borderId="5" xfId="0" applyFont="1" applyFill="1" applyBorder="1" applyAlignment="1">
      <alignment vertical="center"/>
    </xf>
    <xf numFmtId="0" fontId="2" fillId="0" borderId="5" xfId="0" applyFont="1" applyBorder="1" applyAlignment="1">
      <alignment vertical="center"/>
    </xf>
    <xf numFmtId="0" fontId="2" fillId="15" borderId="5" xfId="0" applyFont="1" applyFill="1" applyBorder="1" applyAlignment="1">
      <alignment horizontal="center" vertical="center"/>
    </xf>
    <xf numFmtId="0" fontId="2" fillId="0" borderId="5" xfId="0" applyFont="1" applyBorder="1" applyAlignment="1">
      <alignment horizontal="center" vertical="center"/>
    </xf>
    <xf numFmtId="0" fontId="2" fillId="7" borderId="5" xfId="0" applyFont="1" applyFill="1" applyBorder="1" applyAlignment="1">
      <alignment horizontal="center" vertical="center"/>
    </xf>
    <xf numFmtId="0" fontId="30" fillId="0" borderId="5" xfId="0" applyFont="1" applyBorder="1" applyAlignment="1">
      <alignment horizontal="center" vertical="center"/>
    </xf>
    <xf numFmtId="0" fontId="29" fillId="16" borderId="5" xfId="0" applyFont="1" applyFill="1" applyBorder="1" applyAlignment="1">
      <alignment horizontal="center" vertical="center"/>
    </xf>
    <xf numFmtId="0" fontId="29" fillId="17" borderId="23" xfId="0" applyFont="1" applyFill="1" applyBorder="1" applyAlignment="1">
      <alignment horizontal="center" vertical="center" wrapText="1"/>
    </xf>
    <xf numFmtId="0" fontId="40" fillId="0" borderId="0" xfId="0" applyFont="1" applyAlignment="1">
      <alignment horizontal="center" vertical="center"/>
    </xf>
    <xf numFmtId="0" fontId="39" fillId="0" borderId="0" xfId="0" applyFont="1" applyAlignment="1">
      <alignment vertical="center" wrapText="1"/>
    </xf>
    <xf numFmtId="0" fontId="14" fillId="24" borderId="1" xfId="7" applyFont="1" applyFill="1" applyBorder="1" applyAlignment="1">
      <alignment horizontal="center" vertical="center"/>
    </xf>
    <xf numFmtId="0" fontId="14" fillId="28" borderId="0" xfId="7" applyFont="1" applyFill="1" applyAlignment="1">
      <alignment horizontal="center" vertical="center"/>
    </xf>
    <xf numFmtId="0" fontId="14" fillId="26" borderId="0" xfId="7" applyFont="1" applyFill="1" applyAlignment="1">
      <alignment horizontal="center" vertical="center"/>
    </xf>
    <xf numFmtId="0" fontId="0" fillId="0" borderId="0" xfId="0" applyAlignment="1">
      <alignment wrapText="1"/>
    </xf>
    <xf numFmtId="0" fontId="14" fillId="37" borderId="0" xfId="7" applyFont="1" applyFill="1" applyAlignment="1">
      <alignment horizontal="center" vertical="center"/>
    </xf>
    <xf numFmtId="0" fontId="14" fillId="38" borderId="0" xfId="7" applyFont="1" applyFill="1" applyAlignment="1">
      <alignment horizontal="center" vertical="center"/>
    </xf>
    <xf numFmtId="0" fontId="38" fillId="0" borderId="0" xfId="7" applyFont="1" applyAlignment="1">
      <alignment horizontal="left" vertical="center"/>
    </xf>
    <xf numFmtId="0" fontId="48" fillId="32" borderId="30" xfId="0" applyFont="1" applyFill="1" applyBorder="1" applyAlignment="1">
      <alignment horizontal="left" vertical="center" indent="1"/>
    </xf>
    <xf numFmtId="0" fontId="47" fillId="0" borderId="32" xfId="19" applyFont="1" applyFill="1" applyBorder="1" applyAlignment="1">
      <alignment horizontal="center" vertical="center" wrapText="1"/>
    </xf>
    <xf numFmtId="0" fontId="49" fillId="29" borderId="30" xfId="0" applyFont="1" applyFill="1" applyBorder="1" applyAlignment="1">
      <alignment horizontal="left" vertical="center" indent="1"/>
    </xf>
    <xf numFmtId="0" fontId="50" fillId="0" borderId="0" xfId="19" applyFont="1" applyFill="1" applyBorder="1" applyAlignment="1">
      <alignment horizontal="center" vertical="center" wrapText="1"/>
    </xf>
    <xf numFmtId="0" fontId="48" fillId="16" borderId="30" xfId="0" applyFont="1" applyFill="1" applyBorder="1" applyAlignment="1">
      <alignment horizontal="left" vertical="center" indent="1"/>
    </xf>
    <xf numFmtId="0" fontId="47" fillId="0" borderId="34" xfId="19" applyFont="1" applyFill="1" applyBorder="1" applyAlignment="1">
      <alignment horizontal="center" vertical="center" wrapText="1"/>
    </xf>
    <xf numFmtId="0" fontId="49" fillId="33" borderId="30" xfId="0" applyFont="1" applyFill="1" applyBorder="1" applyAlignment="1">
      <alignment horizontal="left" vertical="center" indent="1"/>
    </xf>
    <xf numFmtId="0" fontId="48" fillId="31" borderId="30" xfId="0" applyFont="1" applyFill="1" applyBorder="1" applyAlignment="1">
      <alignment horizontal="left" vertical="center" indent="1"/>
    </xf>
    <xf numFmtId="0" fontId="49" fillId="34" borderId="30" xfId="0" applyFont="1" applyFill="1" applyBorder="1" applyAlignment="1">
      <alignment horizontal="left" vertical="center" indent="1"/>
    </xf>
    <xf numFmtId="0" fontId="48" fillId="30" borderId="30" xfId="0" applyFont="1" applyFill="1" applyBorder="1" applyAlignment="1">
      <alignment horizontal="left" vertical="center" indent="1"/>
    </xf>
    <xf numFmtId="0" fontId="49" fillId="35" borderId="30" xfId="0" applyFont="1" applyFill="1" applyBorder="1" applyAlignment="1">
      <alignment horizontal="left" vertical="center" indent="1"/>
    </xf>
    <xf numFmtId="0" fontId="48" fillId="13" borderId="30" xfId="0" applyFont="1" applyFill="1" applyBorder="1" applyAlignment="1">
      <alignment horizontal="left" vertical="center" indent="1"/>
    </xf>
    <xf numFmtId="0" fontId="49" fillId="36" borderId="30" xfId="0" applyFont="1" applyFill="1" applyBorder="1" applyAlignment="1">
      <alignment horizontal="left" vertical="center" indent="1"/>
    </xf>
    <xf numFmtId="0" fontId="47" fillId="0" borderId="40" xfId="19" applyFont="1" applyFill="1" applyBorder="1" applyAlignment="1">
      <alignment horizontal="center" vertical="center" wrapText="1"/>
    </xf>
    <xf numFmtId="0" fontId="47" fillId="0" borderId="43" xfId="19" applyFont="1" applyFill="1" applyBorder="1" applyAlignment="1">
      <alignment horizontal="center" vertical="center" wrapText="1"/>
    </xf>
    <xf numFmtId="0" fontId="47" fillId="0" borderId="0" xfId="19" applyFont="1" applyFill="1" applyBorder="1" applyAlignment="1">
      <alignment horizontal="center" vertical="center" wrapText="1"/>
    </xf>
    <xf numFmtId="0" fontId="48" fillId="16" borderId="45" xfId="0" applyFont="1" applyFill="1" applyBorder="1" applyAlignment="1">
      <alignment horizontal="left" vertical="center" indent="1"/>
    </xf>
    <xf numFmtId="0" fontId="50" fillId="0" borderId="47" xfId="19" applyFont="1" applyFill="1" applyBorder="1" applyAlignment="1">
      <alignment horizontal="center" vertical="center" wrapText="1"/>
    </xf>
    <xf numFmtId="0" fontId="47" fillId="0" borderId="48" xfId="19" applyFont="1" applyFill="1" applyBorder="1" applyAlignment="1">
      <alignment horizontal="center" vertical="center" wrapText="1"/>
    </xf>
    <xf numFmtId="0" fontId="50" fillId="0" borderId="49" xfId="19" applyFont="1" applyFill="1" applyBorder="1" applyAlignment="1">
      <alignment horizontal="center" vertical="center" wrapText="1"/>
    </xf>
    <xf numFmtId="0" fontId="47" fillId="0" borderId="50" xfId="19" applyFont="1" applyFill="1" applyBorder="1" applyAlignment="1">
      <alignment horizontal="center" vertical="center" wrapText="1"/>
    </xf>
    <xf numFmtId="0" fontId="50" fillId="0" borderId="51" xfId="19" applyFont="1" applyFill="1" applyBorder="1" applyAlignment="1">
      <alignment horizontal="center" vertical="center" wrapText="1"/>
    </xf>
    <xf numFmtId="0" fontId="47" fillId="0" borderId="52" xfId="19" applyFont="1" applyFill="1" applyBorder="1" applyAlignment="1">
      <alignment horizontal="center" vertical="center" wrapText="1"/>
    </xf>
    <xf numFmtId="0" fontId="50" fillId="0" borderId="53" xfId="19" applyFont="1" applyFill="1" applyBorder="1" applyAlignment="1">
      <alignment horizontal="center" vertical="center" wrapText="1"/>
    </xf>
    <xf numFmtId="0" fontId="50" fillId="0" borderId="54" xfId="19" applyFont="1" applyFill="1" applyBorder="1" applyAlignment="1">
      <alignment horizontal="center" vertical="center" wrapText="1"/>
    </xf>
    <xf numFmtId="0" fontId="50" fillId="0" borderId="55" xfId="19" applyFont="1" applyFill="1" applyBorder="1" applyAlignment="1">
      <alignment horizontal="center" vertical="center" wrapText="1"/>
    </xf>
    <xf numFmtId="0" fontId="47" fillId="0" borderId="56" xfId="19" applyFont="1" applyFill="1" applyBorder="1" applyAlignment="1">
      <alignment horizontal="center" vertical="center" wrapText="1"/>
    </xf>
    <xf numFmtId="0" fontId="52" fillId="0" borderId="57" xfId="19" applyFont="1" applyFill="1" applyBorder="1" applyAlignment="1">
      <alignment horizontal="center" vertical="center"/>
    </xf>
    <xf numFmtId="0" fontId="48" fillId="14" borderId="45" xfId="0" applyFont="1" applyFill="1" applyBorder="1" applyAlignment="1">
      <alignment horizontal="left" vertical="center" indent="1"/>
    </xf>
    <xf numFmtId="0" fontId="48" fillId="32" borderId="45" xfId="0" applyFont="1" applyFill="1" applyBorder="1" applyAlignment="1">
      <alignment horizontal="left" vertical="center" indent="1"/>
    </xf>
    <xf numFmtId="0" fontId="52" fillId="5" borderId="34" xfId="19" applyFont="1" applyFill="1" applyBorder="1" applyAlignment="1">
      <alignment horizontal="center" vertical="center" wrapText="1"/>
    </xf>
    <xf numFmtId="43" fontId="40" fillId="0" borderId="0" xfId="16" applyFont="1" applyFill="1" applyAlignment="1">
      <alignment horizontal="center" vertical="center"/>
    </xf>
    <xf numFmtId="0" fontId="52" fillId="21" borderId="34" xfId="19" applyFont="1" applyFill="1" applyBorder="1" applyAlignment="1">
      <alignment horizontal="center" vertical="center" wrapText="1"/>
    </xf>
    <xf numFmtId="0" fontId="52" fillId="5" borderId="57" xfId="19" applyFont="1" applyFill="1" applyBorder="1" applyAlignment="1">
      <alignment horizontal="center" vertical="center"/>
    </xf>
    <xf numFmtId="0" fontId="52" fillId="5" borderId="35" xfId="19" applyFont="1" applyFill="1" applyBorder="1" applyAlignment="1">
      <alignment horizontal="center" vertical="center"/>
    </xf>
    <xf numFmtId="0" fontId="52" fillId="5" borderId="36" xfId="19" applyFont="1" applyFill="1" applyBorder="1" applyAlignment="1">
      <alignment horizontal="center" vertical="center" wrapText="1"/>
    </xf>
    <xf numFmtId="0" fontId="52" fillId="5" borderId="33" xfId="19" applyFont="1" applyFill="1" applyBorder="1" applyAlignment="1">
      <alignment horizontal="center" vertical="center" wrapText="1"/>
    </xf>
    <xf numFmtId="0" fontId="52" fillId="5" borderId="39" xfId="19" applyFont="1" applyFill="1" applyBorder="1" applyAlignment="1">
      <alignment horizontal="center" vertical="center" wrapText="1"/>
    </xf>
    <xf numFmtId="0" fontId="52" fillId="5" borderId="42" xfId="19" applyFont="1" applyFill="1" applyBorder="1" applyAlignment="1">
      <alignment horizontal="center" vertical="center" wrapText="1"/>
    </xf>
    <xf numFmtId="1" fontId="47" fillId="5" borderId="38" xfId="0" applyNumberFormat="1" applyFont="1" applyFill="1" applyBorder="1" applyAlignment="1">
      <alignment horizontal="center" vertical="center"/>
    </xf>
    <xf numFmtId="1" fontId="47" fillId="5" borderId="41" xfId="0" applyNumberFormat="1" applyFont="1" applyFill="1" applyBorder="1" applyAlignment="1">
      <alignment horizontal="center" vertical="center"/>
    </xf>
    <xf numFmtId="1" fontId="47" fillId="5" borderId="44" xfId="0" applyNumberFormat="1" applyFont="1" applyFill="1" applyBorder="1" applyAlignment="1">
      <alignment horizontal="center" vertical="center"/>
    </xf>
    <xf numFmtId="0" fontId="47" fillId="5" borderId="31" xfId="0" applyFont="1" applyFill="1" applyBorder="1" applyAlignment="1">
      <alignment horizontal="right" vertical="center"/>
    </xf>
    <xf numFmtId="0" fontId="47" fillId="0" borderId="31" xfId="19" applyFont="1" applyFill="1" applyBorder="1" applyAlignment="1">
      <alignment horizontal="center" vertical="center" wrapText="1"/>
    </xf>
    <xf numFmtId="0" fontId="47" fillId="0" borderId="59" xfId="19" applyFont="1" applyFill="1" applyBorder="1" applyAlignment="1">
      <alignment horizontal="center" vertical="center" wrapText="1"/>
    </xf>
    <xf numFmtId="0" fontId="47" fillId="0" borderId="60" xfId="19" applyFont="1" applyFill="1" applyBorder="1" applyAlignment="1">
      <alignment horizontal="center" vertical="center" wrapText="1"/>
    </xf>
    <xf numFmtId="0" fontId="47" fillId="0" borderId="61" xfId="19" applyFont="1" applyFill="1" applyBorder="1" applyAlignment="1">
      <alignment horizontal="center" vertical="center" wrapText="1"/>
    </xf>
    <xf numFmtId="0" fontId="52" fillId="5" borderId="63" xfId="19" applyFont="1" applyFill="1" applyBorder="1" applyAlignment="1">
      <alignment horizontal="center" vertical="center" wrapText="1"/>
    </xf>
    <xf numFmtId="0" fontId="47" fillId="0" borderId="64" xfId="19" applyFont="1" applyFill="1" applyBorder="1" applyAlignment="1">
      <alignment horizontal="center" vertical="center" wrapText="1"/>
    </xf>
    <xf numFmtId="0" fontId="47" fillId="0" borderId="67" xfId="19" applyFont="1" applyFill="1" applyBorder="1" applyAlignment="1">
      <alignment horizontal="center" vertical="center" wrapText="1"/>
    </xf>
    <xf numFmtId="0" fontId="47" fillId="0" borderId="68" xfId="19" applyFont="1" applyFill="1" applyBorder="1" applyAlignment="1">
      <alignment horizontal="center" vertical="center" wrapText="1"/>
    </xf>
    <xf numFmtId="0" fontId="47" fillId="0" borderId="69" xfId="19" applyFont="1" applyFill="1" applyBorder="1" applyAlignment="1">
      <alignment horizontal="center" vertical="center" wrapText="1"/>
    </xf>
    <xf numFmtId="0" fontId="47" fillId="0" borderId="70" xfId="19" applyFont="1" applyFill="1" applyBorder="1" applyAlignment="1">
      <alignment horizontal="center" vertical="center" wrapText="1"/>
    </xf>
    <xf numFmtId="1" fontId="47" fillId="5" borderId="71" xfId="0" applyNumberFormat="1" applyFont="1" applyFill="1" applyBorder="1" applyAlignment="1">
      <alignment horizontal="center" vertical="center"/>
    </xf>
    <xf numFmtId="0" fontId="47" fillId="0" borderId="65" xfId="19" applyFont="1" applyFill="1" applyBorder="1" applyAlignment="1">
      <alignment horizontal="center" vertical="center" wrapText="1"/>
    </xf>
    <xf numFmtId="0" fontId="47" fillId="0" borderId="66" xfId="19" applyFont="1" applyFill="1" applyBorder="1" applyAlignment="1">
      <alignment horizontal="center" vertical="center" wrapText="1"/>
    </xf>
    <xf numFmtId="0" fontId="0" fillId="0" borderId="0" xfId="0" applyProtection="1">
      <protection locked="0"/>
    </xf>
    <xf numFmtId="0" fontId="9" fillId="6" borderId="18" xfId="0" applyFont="1" applyFill="1" applyBorder="1" applyAlignment="1" applyProtection="1">
      <alignment vertical="center"/>
      <protection locked="0"/>
    </xf>
    <xf numFmtId="0" fontId="9" fillId="6" borderId="21" xfId="0" applyFont="1" applyFill="1" applyBorder="1" applyAlignment="1" applyProtection="1">
      <alignment vertical="center"/>
      <protection locked="0"/>
    </xf>
    <xf numFmtId="0" fontId="9" fillId="21" borderId="18" xfId="0" applyFont="1" applyFill="1" applyBorder="1" applyAlignment="1" applyProtection="1">
      <alignment horizontal="center" vertical="center" wrapText="1"/>
      <protection locked="0"/>
    </xf>
    <xf numFmtId="0" fontId="9" fillId="6" borderId="7" xfId="0" applyFont="1" applyFill="1" applyBorder="1" applyAlignment="1" applyProtection="1">
      <alignment vertical="center"/>
      <protection locked="0"/>
    </xf>
    <xf numFmtId="0" fontId="2" fillId="0" borderId="1" xfId="0" applyFont="1" applyBorder="1" applyAlignment="1" applyProtection="1">
      <alignment horizontal="center" vertical="center"/>
      <protection locked="0"/>
    </xf>
    <xf numFmtId="0" fontId="2" fillId="0" borderId="1" xfId="0" applyFont="1" applyBorder="1" applyAlignment="1" applyProtection="1">
      <alignment horizontal="center" vertical="center" wrapText="1"/>
      <protection locked="0"/>
    </xf>
    <xf numFmtId="0" fontId="6" fillId="0" borderId="1" xfId="0" applyFont="1" applyBorder="1" applyAlignment="1" applyProtection="1">
      <alignment horizontal="center" vertical="center" wrapText="1"/>
      <protection locked="0"/>
    </xf>
    <xf numFmtId="0" fontId="46" fillId="0" borderId="1" xfId="0" applyFont="1" applyBorder="1" applyAlignment="1" applyProtection="1">
      <alignment horizontal="center" vertical="center" wrapText="1"/>
      <protection locked="0"/>
    </xf>
    <xf numFmtId="0" fontId="2" fillId="6" borderId="1" xfId="0" applyFont="1" applyFill="1" applyBorder="1" applyAlignment="1" applyProtection="1">
      <alignment horizontal="center" vertical="center" wrapText="1"/>
      <protection locked="0"/>
    </xf>
    <xf numFmtId="0" fontId="46" fillId="6" borderId="1" xfId="0" applyFont="1" applyFill="1" applyBorder="1" applyAlignment="1" applyProtection="1">
      <alignment horizontal="center" vertical="center" wrapText="1"/>
      <protection locked="0"/>
    </xf>
    <xf numFmtId="14" fontId="2" fillId="0" borderId="1" xfId="0" applyNumberFormat="1" applyFont="1" applyBorder="1" applyAlignment="1" applyProtection="1">
      <alignment horizontal="center" vertical="center"/>
      <protection locked="0"/>
    </xf>
    <xf numFmtId="14" fontId="2" fillId="0" borderId="1" xfId="0" applyNumberFormat="1" applyFont="1" applyBorder="1" applyAlignment="1" applyProtection="1">
      <alignment horizontal="center" vertical="center" wrapText="1"/>
      <protection locked="0"/>
    </xf>
    <xf numFmtId="0" fontId="3" fillId="0" borderId="26" xfId="0" applyFont="1" applyBorder="1" applyAlignment="1" applyProtection="1">
      <alignment vertical="center"/>
      <protection locked="0"/>
    </xf>
    <xf numFmtId="0" fontId="3" fillId="0" borderId="0" xfId="0" applyFont="1" applyAlignment="1" applyProtection="1">
      <alignment vertical="center"/>
      <protection locked="0"/>
    </xf>
    <xf numFmtId="0" fontId="3" fillId="0" borderId="27" xfId="0" applyFont="1" applyBorder="1" applyAlignment="1" applyProtection="1">
      <alignment vertical="center"/>
      <protection locked="0"/>
    </xf>
    <xf numFmtId="0" fontId="0" fillId="0" borderId="27" xfId="0" applyBorder="1" applyProtection="1">
      <protection locked="0"/>
    </xf>
    <xf numFmtId="0" fontId="25" fillId="21" borderId="1" xfId="0" applyFont="1" applyFill="1" applyBorder="1" applyAlignment="1">
      <alignment horizontal="center" vertical="center" textRotation="90"/>
    </xf>
    <xf numFmtId="0" fontId="9" fillId="21" borderId="1" xfId="0" applyFont="1" applyFill="1" applyBorder="1" applyAlignment="1">
      <alignment horizontal="center" vertical="center" textRotation="90" wrapText="1"/>
    </xf>
    <xf numFmtId="0" fontId="9" fillId="21" borderId="1" xfId="0" applyFont="1" applyFill="1" applyBorder="1" applyAlignment="1">
      <alignment horizontal="center" vertical="center" wrapText="1"/>
    </xf>
    <xf numFmtId="0" fontId="9" fillId="21" borderId="1" xfId="0" applyFont="1" applyFill="1" applyBorder="1" applyAlignment="1">
      <alignment horizontal="center" vertical="center" textRotation="90"/>
    </xf>
    <xf numFmtId="0" fontId="9" fillId="21" borderId="18" xfId="0" applyFont="1" applyFill="1" applyBorder="1" applyAlignment="1">
      <alignment horizontal="center" vertical="center" wrapText="1"/>
    </xf>
    <xf numFmtId="0" fontId="9" fillId="6" borderId="18" xfId="0" applyFont="1" applyFill="1" applyBorder="1" applyAlignment="1">
      <alignment vertical="center"/>
    </xf>
    <xf numFmtId="0" fontId="9" fillId="6" borderId="21" xfId="0" applyFont="1" applyFill="1" applyBorder="1" applyAlignment="1">
      <alignment vertical="center"/>
    </xf>
    <xf numFmtId="0" fontId="2" fillId="0" borderId="20" xfId="0" applyFont="1" applyBorder="1" applyAlignment="1">
      <alignment horizontal="center" vertical="center" wrapText="1"/>
    </xf>
    <xf numFmtId="14" fontId="2" fillId="0" borderId="21" xfId="0" applyNumberFormat="1" applyFont="1" applyBorder="1" applyAlignment="1" applyProtection="1">
      <alignment horizontal="center" vertical="center" wrapText="1"/>
      <protection locked="0"/>
    </xf>
    <xf numFmtId="14" fontId="2" fillId="0" borderId="21" xfId="0" applyNumberFormat="1" applyFont="1" applyBorder="1" applyAlignment="1">
      <alignment horizontal="center" vertical="center" wrapText="1"/>
    </xf>
    <xf numFmtId="14" fontId="2" fillId="0" borderId="21" xfId="0" applyNumberFormat="1" applyFont="1" applyBorder="1" applyAlignment="1" applyProtection="1">
      <alignment horizontal="center" vertical="center"/>
      <protection locked="0"/>
    </xf>
    <xf numFmtId="0" fontId="46" fillId="6" borderId="20" xfId="0" applyFont="1" applyFill="1" applyBorder="1" applyAlignment="1" applyProtection="1">
      <alignment horizontal="center" vertical="center" wrapText="1"/>
      <protection locked="0"/>
    </xf>
    <xf numFmtId="14" fontId="2" fillId="0" borderId="1" xfId="0" applyNumberFormat="1" applyFont="1" applyBorder="1" applyAlignment="1">
      <alignment horizontal="center" vertical="center" wrapText="1"/>
    </xf>
    <xf numFmtId="0" fontId="6" fillId="5" borderId="1" xfId="0" applyFont="1" applyFill="1" applyBorder="1" applyAlignment="1" applyProtection="1">
      <alignment horizontal="center" vertical="center" wrapText="1"/>
      <protection locked="0"/>
    </xf>
    <xf numFmtId="0" fontId="39" fillId="0" borderId="18" xfId="0" applyFont="1" applyBorder="1" applyAlignment="1" applyProtection="1">
      <alignment horizontal="center" vertical="top"/>
      <protection locked="0"/>
    </xf>
    <xf numFmtId="0" fontId="13" fillId="21" borderId="1" xfId="0" applyFont="1" applyFill="1" applyBorder="1" applyAlignment="1">
      <alignment horizontal="center" vertical="center" wrapText="1"/>
    </xf>
    <xf numFmtId="0" fontId="9" fillId="6" borderId="5" xfId="0" applyFont="1" applyFill="1" applyBorder="1" applyAlignment="1" applyProtection="1">
      <alignment vertical="center"/>
      <protection locked="0"/>
    </xf>
    <xf numFmtId="43" fontId="40" fillId="18" borderId="0" xfId="16" applyFont="1" applyFill="1" applyAlignment="1">
      <alignment horizontal="center" vertical="center"/>
    </xf>
    <xf numFmtId="0" fontId="52" fillId="5" borderId="58" xfId="19" applyFont="1" applyFill="1" applyBorder="1" applyAlignment="1">
      <alignment horizontal="center" vertical="center"/>
    </xf>
    <xf numFmtId="0" fontId="52" fillId="5" borderId="46" xfId="19" applyFont="1" applyFill="1" applyBorder="1" applyAlignment="1">
      <alignment horizontal="center" vertical="center"/>
    </xf>
    <xf numFmtId="0" fontId="52" fillId="5" borderId="57" xfId="19" applyFont="1" applyFill="1" applyBorder="1" applyAlignment="1">
      <alignment horizontal="center" vertical="center"/>
    </xf>
    <xf numFmtId="0" fontId="51" fillId="5" borderId="37" xfId="0" applyFont="1" applyFill="1" applyBorder="1" applyAlignment="1">
      <alignment horizontal="center" vertical="center"/>
    </xf>
    <xf numFmtId="0" fontId="51" fillId="5" borderId="62" xfId="0" applyFont="1" applyFill="1" applyBorder="1" applyAlignment="1">
      <alignment horizontal="center" vertical="center"/>
    </xf>
    <xf numFmtId="0" fontId="8" fillId="0" borderId="0" xfId="0" applyFont="1" applyAlignment="1">
      <alignment horizontal="justify" vertical="top" wrapText="1"/>
    </xf>
    <xf numFmtId="0" fontId="3" fillId="0" borderId="0" xfId="0" applyFont="1" applyAlignment="1">
      <alignment horizontal="justify" vertical="top" wrapText="1"/>
    </xf>
    <xf numFmtId="49" fontId="21" fillId="0" borderId="0" xfId="0" applyNumberFormat="1" applyFont="1" applyAlignment="1">
      <alignment horizontal="center" wrapText="1"/>
    </xf>
    <xf numFmtId="0" fontId="20" fillId="0" borderId="0" xfId="0" applyFont="1" applyAlignment="1">
      <alignment horizontal="right" vertical="top" wrapText="1"/>
    </xf>
    <xf numFmtId="0" fontId="9" fillId="5" borderId="1" xfId="0" applyFont="1" applyFill="1" applyBorder="1" applyAlignment="1">
      <alignment horizontal="center" vertical="center" wrapText="1"/>
    </xf>
    <xf numFmtId="0" fontId="0" fillId="0" borderId="1" xfId="0" applyBorder="1" applyAlignment="1">
      <alignment vertical="center"/>
    </xf>
    <xf numFmtId="0" fontId="6" fillId="5" borderId="16" xfId="0" applyFont="1" applyFill="1" applyBorder="1" applyAlignment="1">
      <alignment horizontal="center" vertical="center" wrapText="1"/>
    </xf>
    <xf numFmtId="0" fontId="6" fillId="5" borderId="15" xfId="0" applyFont="1" applyFill="1" applyBorder="1" applyAlignment="1">
      <alignment horizontal="center" vertical="center" wrapText="1"/>
    </xf>
    <xf numFmtId="0" fontId="6" fillId="5" borderId="14" xfId="0" applyFont="1" applyFill="1" applyBorder="1" applyAlignment="1">
      <alignment horizontal="center" vertical="center" wrapText="1"/>
    </xf>
    <xf numFmtId="0" fontId="6" fillId="5" borderId="13" xfId="0" applyFont="1" applyFill="1" applyBorder="1" applyAlignment="1">
      <alignment vertical="center"/>
    </xf>
    <xf numFmtId="0" fontId="6" fillId="5" borderId="10" xfId="0" applyFont="1" applyFill="1" applyBorder="1" applyAlignment="1">
      <alignment vertical="center"/>
    </xf>
    <xf numFmtId="0" fontId="2" fillId="0" borderId="9" xfId="0" applyFont="1" applyBorder="1" applyAlignment="1">
      <alignment horizontal="center" vertical="top"/>
    </xf>
    <xf numFmtId="0" fontId="2" fillId="0" borderId="3" xfId="0" applyFont="1" applyBorder="1" applyAlignment="1">
      <alignment horizontal="center" vertical="top"/>
    </xf>
    <xf numFmtId="0" fontId="2" fillId="0" borderId="12" xfId="0" applyFont="1" applyBorder="1" applyAlignment="1">
      <alignment horizontal="center" vertical="top"/>
    </xf>
    <xf numFmtId="0" fontId="2" fillId="0" borderId="11" xfId="0" applyFont="1" applyBorder="1" applyAlignment="1">
      <alignment horizontal="center" vertical="top"/>
    </xf>
    <xf numFmtId="0" fontId="2" fillId="0" borderId="10" xfId="0" applyFont="1" applyBorder="1" applyAlignment="1">
      <alignment horizontal="center" vertical="top"/>
    </xf>
    <xf numFmtId="0" fontId="2" fillId="0" borderId="6" xfId="0" applyFont="1" applyBorder="1" applyAlignment="1">
      <alignment horizontal="center" vertical="top"/>
    </xf>
    <xf numFmtId="0" fontId="2" fillId="0" borderId="5" xfId="0" applyFont="1" applyBorder="1" applyAlignment="1">
      <alignment horizontal="center" vertical="top"/>
    </xf>
    <xf numFmtId="0" fontId="2" fillId="0" borderId="4" xfId="0" applyFont="1" applyBorder="1" applyAlignment="1">
      <alignment horizontal="center" vertical="top"/>
    </xf>
    <xf numFmtId="0" fontId="2" fillId="0" borderId="9" xfId="0" applyFont="1" applyBorder="1" applyAlignment="1">
      <alignment horizontal="center"/>
    </xf>
    <xf numFmtId="0" fontId="2" fillId="0" borderId="12" xfId="0" applyFont="1" applyBorder="1" applyAlignment="1">
      <alignment horizontal="center"/>
    </xf>
    <xf numFmtId="0" fontId="2" fillId="0" borderId="8" xfId="0" applyFont="1" applyBorder="1" applyAlignment="1">
      <alignment horizontal="center"/>
    </xf>
    <xf numFmtId="0" fontId="2" fillId="0" borderId="3" xfId="0" applyFont="1" applyBorder="1" applyAlignment="1">
      <alignment horizontal="center"/>
    </xf>
    <xf numFmtId="0" fontId="2" fillId="0" borderId="6" xfId="0" applyFont="1" applyBorder="1" applyAlignment="1">
      <alignment horizontal="center"/>
    </xf>
    <xf numFmtId="0" fontId="2" fillId="0" borderId="2" xfId="0" applyFont="1" applyBorder="1" applyAlignment="1">
      <alignment horizontal="center"/>
    </xf>
    <xf numFmtId="0" fontId="6" fillId="5" borderId="7" xfId="0" applyFont="1" applyFill="1" applyBorder="1" applyAlignment="1">
      <alignment vertical="center"/>
    </xf>
    <xf numFmtId="0" fontId="6" fillId="5" borderId="4" xfId="0" applyFont="1" applyFill="1" applyBorder="1" applyAlignment="1">
      <alignment vertical="center"/>
    </xf>
    <xf numFmtId="0" fontId="9" fillId="5" borderId="16" xfId="0" applyFont="1" applyFill="1" applyBorder="1" applyAlignment="1">
      <alignment horizontal="center" vertical="center"/>
    </xf>
    <xf numFmtId="0" fontId="9" fillId="5" borderId="15" xfId="0" applyFont="1" applyFill="1" applyBorder="1" applyAlignment="1">
      <alignment horizontal="center" vertical="center"/>
    </xf>
    <xf numFmtId="0" fontId="9" fillId="5" borderId="14" xfId="0" applyFont="1" applyFill="1" applyBorder="1" applyAlignment="1">
      <alignment horizontal="center" vertical="center"/>
    </xf>
    <xf numFmtId="0" fontId="9" fillId="5" borderId="20" xfId="0" applyFont="1" applyFill="1" applyBorder="1" applyAlignment="1">
      <alignment horizontal="left" vertical="center"/>
    </xf>
    <xf numFmtId="0" fontId="9" fillId="5" borderId="18" xfId="0" applyFont="1" applyFill="1" applyBorder="1" applyAlignment="1">
      <alignment horizontal="left" vertical="center"/>
    </xf>
    <xf numFmtId="0" fontId="9" fillId="5" borderId="21" xfId="0" applyFont="1" applyFill="1" applyBorder="1" applyAlignment="1">
      <alignment horizontal="left" vertical="center"/>
    </xf>
    <xf numFmtId="0" fontId="9" fillId="6" borderId="20" xfId="0" applyFont="1" applyFill="1" applyBorder="1" applyAlignment="1">
      <alignment horizontal="left" vertical="center"/>
    </xf>
    <xf numFmtId="0" fontId="9" fillId="6" borderId="18" xfId="0" applyFont="1" applyFill="1" applyBorder="1" applyAlignment="1">
      <alignment horizontal="left" vertical="center"/>
    </xf>
    <xf numFmtId="0" fontId="9" fillId="6" borderId="21" xfId="0" applyFont="1" applyFill="1" applyBorder="1" applyAlignment="1">
      <alignment horizontal="left" vertical="center"/>
    </xf>
    <xf numFmtId="0" fontId="9" fillId="0" borderId="20" xfId="0" applyFont="1" applyBorder="1" applyAlignment="1">
      <alignment horizontal="left" vertical="center"/>
    </xf>
    <xf numFmtId="0" fontId="9" fillId="0" borderId="18" xfId="0" applyFont="1" applyBorder="1" applyAlignment="1">
      <alignment horizontal="left" vertical="center"/>
    </xf>
    <xf numFmtId="0" fontId="9" fillId="0" borderId="21" xfId="0" applyFont="1" applyBorder="1" applyAlignment="1">
      <alignment horizontal="left" vertical="center"/>
    </xf>
    <xf numFmtId="0" fontId="9" fillId="5" borderId="1" xfId="0" applyFont="1" applyFill="1" applyBorder="1" applyAlignment="1">
      <alignment vertical="center"/>
    </xf>
    <xf numFmtId="0" fontId="13" fillId="5" borderId="17" xfId="0" applyFont="1" applyFill="1" applyBorder="1" applyAlignment="1">
      <alignment horizontal="center" vertical="center" wrapText="1"/>
    </xf>
    <xf numFmtId="0" fontId="12" fillId="0" borderId="7" xfId="0" applyFont="1" applyBorder="1" applyAlignment="1">
      <alignment vertical="center" wrapText="1"/>
    </xf>
    <xf numFmtId="0" fontId="9" fillId="5" borderId="1" xfId="0" applyFont="1" applyFill="1" applyBorder="1" applyAlignment="1">
      <alignment horizontal="center" vertical="center"/>
    </xf>
    <xf numFmtId="0" fontId="13" fillId="5" borderId="19" xfId="0" applyFont="1" applyFill="1" applyBorder="1" applyAlignment="1">
      <alignment horizontal="center" vertical="center" wrapText="1"/>
    </xf>
    <xf numFmtId="0" fontId="11" fillId="0" borderId="22" xfId="0" applyFont="1" applyBorder="1" applyAlignment="1">
      <alignment vertical="center" wrapText="1"/>
    </xf>
    <xf numFmtId="0" fontId="9" fillId="5" borderId="20" xfId="0" applyFont="1" applyFill="1" applyBorder="1" applyAlignment="1">
      <alignment horizontal="center" vertical="center"/>
    </xf>
    <xf numFmtId="0" fontId="9" fillId="5" borderId="18" xfId="0" applyFont="1" applyFill="1" applyBorder="1" applyAlignment="1">
      <alignment horizontal="center" vertical="center"/>
    </xf>
    <xf numFmtId="0" fontId="0" fillId="0" borderId="18" xfId="0" applyBorder="1"/>
    <xf numFmtId="0" fontId="0" fillId="0" borderId="21" xfId="0" applyBorder="1"/>
    <xf numFmtId="0" fontId="10" fillId="5" borderId="19" xfId="0" applyFont="1" applyFill="1" applyBorder="1" applyAlignment="1">
      <alignment horizontal="center" vertical="center" wrapText="1"/>
    </xf>
    <xf numFmtId="0" fontId="10" fillId="5" borderId="22" xfId="0" applyFont="1" applyFill="1" applyBorder="1" applyAlignment="1">
      <alignment horizontal="center" vertical="center" wrapText="1"/>
    </xf>
    <xf numFmtId="0" fontId="13" fillId="5" borderId="20" xfId="0" applyFont="1" applyFill="1" applyBorder="1" applyAlignment="1">
      <alignment horizontal="center" vertical="center" wrapText="1"/>
    </xf>
    <xf numFmtId="0" fontId="13" fillId="5" borderId="18" xfId="0" applyFont="1" applyFill="1" applyBorder="1" applyAlignment="1">
      <alignment horizontal="center" vertical="center" wrapText="1"/>
    </xf>
    <xf numFmtId="0" fontId="13" fillId="5" borderId="21" xfId="0" applyFont="1" applyFill="1" applyBorder="1" applyAlignment="1">
      <alignment horizontal="center" vertical="center" wrapText="1"/>
    </xf>
    <xf numFmtId="0" fontId="15" fillId="0" borderId="0" xfId="0" applyFont="1" applyAlignment="1">
      <alignment horizontal="center" vertical="center"/>
    </xf>
    <xf numFmtId="0" fontId="9" fillId="5" borderId="20" xfId="0" applyFont="1" applyFill="1" applyBorder="1" applyAlignment="1">
      <alignment horizontal="left" vertical="center" wrapText="1"/>
    </xf>
    <xf numFmtId="0" fontId="9" fillId="5" borderId="18" xfId="0" applyFont="1" applyFill="1" applyBorder="1" applyAlignment="1">
      <alignment horizontal="left" vertical="center" wrapText="1"/>
    </xf>
    <xf numFmtId="0" fontId="9" fillId="5" borderId="21" xfId="0" applyFont="1" applyFill="1" applyBorder="1" applyAlignment="1">
      <alignment horizontal="left" vertical="center" wrapText="1"/>
    </xf>
    <xf numFmtId="14" fontId="9" fillId="0" borderId="20" xfId="0" applyNumberFormat="1" applyFont="1" applyBorder="1" applyAlignment="1">
      <alignment horizontal="left" vertical="center"/>
    </xf>
    <xf numFmtId="14" fontId="9" fillId="0" borderId="18" xfId="0" applyNumberFormat="1" applyFont="1" applyBorder="1" applyAlignment="1">
      <alignment horizontal="left" vertical="center"/>
    </xf>
    <xf numFmtId="14" fontId="9" fillId="0" borderId="21" xfId="0" applyNumberFormat="1" applyFont="1" applyBorder="1" applyAlignment="1">
      <alignment horizontal="left" vertical="center"/>
    </xf>
    <xf numFmtId="0" fontId="3" fillId="6" borderId="7" xfId="0" applyFont="1" applyFill="1" applyBorder="1" applyAlignment="1">
      <alignment horizontal="center" vertical="center"/>
    </xf>
    <xf numFmtId="0" fontId="3" fillId="6" borderId="5" xfId="0" applyFont="1" applyFill="1" applyBorder="1" applyAlignment="1">
      <alignment horizontal="center" vertical="center"/>
    </xf>
    <xf numFmtId="0" fontId="3" fillId="6" borderId="23" xfId="0" applyFont="1" applyFill="1" applyBorder="1" applyAlignment="1">
      <alignment horizontal="center" vertical="center"/>
    </xf>
    <xf numFmtId="0" fontId="9" fillId="5" borderId="0" xfId="18" applyFont="1" applyFill="1" applyAlignment="1">
      <alignment horizontal="center" vertical="center" wrapText="1"/>
    </xf>
    <xf numFmtId="0" fontId="39" fillId="5" borderId="0" xfId="18" applyFont="1" applyFill="1" applyAlignment="1">
      <alignment vertical="center" wrapText="1"/>
    </xf>
    <xf numFmtId="0" fontId="30" fillId="14" borderId="0" xfId="0" applyFont="1" applyFill="1" applyAlignment="1">
      <alignment horizontal="center" vertical="center" wrapText="1"/>
    </xf>
    <xf numFmtId="0" fontId="30" fillId="14" borderId="0" xfId="0" applyFont="1" applyFill="1" applyAlignment="1">
      <alignment horizontal="center" vertical="center"/>
    </xf>
    <xf numFmtId="0" fontId="30" fillId="11" borderId="26" xfId="0" applyFont="1" applyFill="1" applyBorder="1" applyAlignment="1">
      <alignment horizontal="center" vertical="center"/>
    </xf>
    <xf numFmtId="0" fontId="30" fillId="11" borderId="0" xfId="0" applyFont="1" applyFill="1" applyAlignment="1">
      <alignment horizontal="center" vertical="center"/>
    </xf>
    <xf numFmtId="0" fontId="30" fillId="11" borderId="27" xfId="0" applyFont="1" applyFill="1" applyBorder="1" applyAlignment="1">
      <alignment horizontal="center" vertical="center"/>
    </xf>
    <xf numFmtId="0" fontId="28" fillId="0" borderId="1" xfId="0" applyFont="1" applyBorder="1" applyAlignment="1">
      <alignment horizontal="center" vertical="center" wrapText="1"/>
    </xf>
    <xf numFmtId="0" fontId="28" fillId="0" borderId="1" xfId="0" applyFont="1" applyBorder="1" applyAlignment="1">
      <alignment horizontal="center" vertical="center"/>
    </xf>
    <xf numFmtId="0" fontId="30" fillId="12" borderId="0" xfId="0" applyFont="1" applyFill="1" applyAlignment="1">
      <alignment horizontal="center" vertical="center"/>
    </xf>
    <xf numFmtId="0" fontId="6" fillId="5" borderId="1" xfId="0" applyFont="1" applyFill="1" applyBorder="1" applyAlignment="1" applyProtection="1">
      <alignment horizontal="center" vertical="center" wrapText="1"/>
      <protection locked="0"/>
    </xf>
    <xf numFmtId="0" fontId="9" fillId="0" borderId="1" xfId="0" applyFont="1" applyBorder="1" applyAlignment="1" applyProtection="1">
      <alignment horizontal="center" vertical="center" wrapText="1"/>
      <protection locked="0"/>
    </xf>
    <xf numFmtId="0" fontId="6" fillId="5" borderId="20" xfId="0" applyFont="1" applyFill="1" applyBorder="1" applyAlignment="1" applyProtection="1">
      <alignment horizontal="center" vertical="center" wrapText="1"/>
      <protection locked="0"/>
    </xf>
    <xf numFmtId="0" fontId="6" fillId="5" borderId="18" xfId="0" applyFont="1" applyFill="1" applyBorder="1" applyAlignment="1" applyProtection="1">
      <alignment horizontal="center" vertical="center" wrapText="1"/>
      <protection locked="0"/>
    </xf>
    <xf numFmtId="0" fontId="6" fillId="5" borderId="21" xfId="0" applyFont="1" applyFill="1" applyBorder="1" applyAlignment="1" applyProtection="1">
      <alignment horizontal="center" vertical="center" wrapText="1"/>
      <protection locked="0"/>
    </xf>
    <xf numFmtId="0" fontId="6" fillId="0" borderId="20" xfId="0" applyFont="1" applyBorder="1" applyAlignment="1" applyProtection="1">
      <alignment horizontal="center" vertical="center"/>
      <protection locked="0"/>
    </xf>
    <xf numFmtId="0" fontId="6" fillId="0" borderId="18" xfId="0" applyFont="1" applyBorder="1" applyAlignment="1" applyProtection="1">
      <alignment horizontal="center" vertical="center"/>
      <protection locked="0"/>
    </xf>
    <xf numFmtId="0" fontId="6" fillId="0" borderId="21" xfId="0" applyFont="1" applyBorder="1" applyAlignment="1" applyProtection="1">
      <alignment horizontal="center" vertical="center"/>
      <protection locked="0"/>
    </xf>
    <xf numFmtId="0" fontId="39" fillId="0" borderId="20" xfId="0" applyFont="1" applyBorder="1" applyAlignment="1" applyProtection="1">
      <alignment horizontal="center" vertical="top"/>
      <protection locked="0"/>
    </xf>
    <xf numFmtId="0" fontId="39" fillId="0" borderId="18" xfId="0" applyFont="1" applyBorder="1" applyAlignment="1" applyProtection="1">
      <alignment horizontal="center" vertical="top"/>
      <protection locked="0"/>
    </xf>
    <xf numFmtId="0" fontId="39" fillId="0" borderId="21" xfId="0" applyFont="1" applyBorder="1" applyAlignment="1" applyProtection="1">
      <alignment horizontal="center" vertical="top"/>
      <protection locked="0"/>
    </xf>
    <xf numFmtId="0" fontId="9" fillId="0" borderId="20" xfId="0" applyFont="1" applyBorder="1" applyAlignment="1" applyProtection="1">
      <alignment horizontal="center" vertical="center" wrapText="1"/>
      <protection locked="0"/>
    </xf>
    <xf numFmtId="0" fontId="9" fillId="0" borderId="18" xfId="0" applyFont="1" applyBorder="1" applyAlignment="1" applyProtection="1">
      <alignment horizontal="center" vertical="center" wrapText="1"/>
      <protection locked="0"/>
    </xf>
    <xf numFmtId="0" fontId="9" fillId="0" borderId="21" xfId="0" applyFont="1" applyBorder="1" applyAlignment="1" applyProtection="1">
      <alignment horizontal="center" vertical="center" wrapText="1"/>
      <protection locked="0"/>
    </xf>
    <xf numFmtId="0" fontId="15" fillId="0" borderId="1" xfId="0" applyFont="1" applyBorder="1" applyAlignment="1">
      <alignment horizontal="center" vertical="center"/>
    </xf>
    <xf numFmtId="0" fontId="9" fillId="21" borderId="1" xfId="0" applyFont="1" applyFill="1" applyBorder="1" applyAlignment="1">
      <alignment horizontal="center" vertical="center"/>
    </xf>
    <xf numFmtId="0" fontId="9" fillId="21" borderId="1" xfId="0" applyFont="1" applyFill="1" applyBorder="1" applyAlignment="1">
      <alignment horizontal="center" vertical="center" wrapText="1"/>
    </xf>
    <xf numFmtId="0" fontId="13" fillId="21" borderId="1" xfId="0" applyFont="1" applyFill="1" applyBorder="1" applyAlignment="1">
      <alignment horizontal="center" vertical="center" wrapText="1"/>
    </xf>
    <xf numFmtId="0" fontId="9" fillId="0" borderId="20" xfId="0" applyFont="1" applyBorder="1" applyAlignment="1">
      <alignment horizontal="center" vertical="center"/>
    </xf>
    <xf numFmtId="0" fontId="9" fillId="0" borderId="18" xfId="0" applyFont="1" applyBorder="1" applyAlignment="1">
      <alignment horizontal="center" vertical="center"/>
    </xf>
    <xf numFmtId="0" fontId="9" fillId="0" borderId="24" xfId="0" applyFont="1" applyBorder="1" applyAlignment="1">
      <alignment horizontal="center" vertical="center"/>
    </xf>
    <xf numFmtId="0" fontId="9" fillId="0" borderId="21" xfId="0" applyFont="1" applyBorder="1" applyAlignment="1">
      <alignment horizontal="center" vertical="center"/>
    </xf>
    <xf numFmtId="0" fontId="9" fillId="21" borderId="20" xfId="0" applyFont="1" applyFill="1" applyBorder="1" applyAlignment="1">
      <alignment horizontal="center" vertical="center"/>
    </xf>
    <xf numFmtId="0" fontId="9" fillId="21" borderId="21" xfId="0" applyFont="1" applyFill="1" applyBorder="1" applyAlignment="1">
      <alignment horizontal="center" vertical="center"/>
    </xf>
    <xf numFmtId="14" fontId="9" fillId="0" borderId="20" xfId="0" quotePrefix="1" applyNumberFormat="1" applyFont="1" applyBorder="1" applyAlignment="1" applyProtection="1">
      <alignment horizontal="left" vertical="center"/>
      <protection locked="0"/>
    </xf>
    <xf numFmtId="14" fontId="9" fillId="0" borderId="18" xfId="0" quotePrefix="1" applyNumberFormat="1" applyFont="1" applyBorder="1" applyAlignment="1" applyProtection="1">
      <alignment horizontal="left" vertical="center"/>
      <protection locked="0"/>
    </xf>
    <xf numFmtId="14" fontId="9" fillId="0" borderId="21" xfId="0" quotePrefix="1" applyNumberFormat="1" applyFont="1" applyBorder="1" applyAlignment="1" applyProtection="1">
      <alignment horizontal="left" vertical="center"/>
      <protection locked="0"/>
    </xf>
    <xf numFmtId="14" fontId="9" fillId="0" borderId="20" xfId="0" applyNumberFormat="1" applyFont="1" applyBorder="1" applyAlignment="1" applyProtection="1">
      <alignment horizontal="left" vertical="center"/>
      <protection locked="0"/>
    </xf>
    <xf numFmtId="14" fontId="9" fillId="0" borderId="18" xfId="0" applyNumberFormat="1" applyFont="1" applyBorder="1" applyAlignment="1" applyProtection="1">
      <alignment horizontal="left" vertical="center"/>
      <protection locked="0"/>
    </xf>
    <xf numFmtId="14" fontId="9" fillId="0" borderId="21" xfId="0" applyNumberFormat="1" applyFont="1" applyBorder="1" applyAlignment="1" applyProtection="1">
      <alignment horizontal="left" vertical="center"/>
      <protection locked="0"/>
    </xf>
    <xf numFmtId="0" fontId="9" fillId="0" borderId="20" xfId="0" applyFont="1" applyBorder="1" applyAlignment="1" applyProtection="1">
      <alignment horizontal="center" vertical="center"/>
      <protection locked="0"/>
    </xf>
    <xf numFmtId="0" fontId="9" fillId="0" borderId="18" xfId="0" applyFont="1" applyBorder="1" applyAlignment="1" applyProtection="1">
      <alignment horizontal="center" vertical="center"/>
      <protection locked="0"/>
    </xf>
    <xf numFmtId="0" fontId="9" fillId="0" borderId="21" xfId="0" applyFont="1" applyBorder="1" applyAlignment="1" applyProtection="1">
      <alignment horizontal="center" vertical="center"/>
      <protection locked="0"/>
    </xf>
    <xf numFmtId="0" fontId="9" fillId="21" borderId="20" xfId="0" applyFont="1" applyFill="1" applyBorder="1" applyAlignment="1" applyProtection="1">
      <alignment horizontal="center" vertical="center"/>
      <protection locked="0"/>
    </xf>
    <xf numFmtId="0" fontId="9" fillId="21" borderId="18" xfId="0" applyFont="1" applyFill="1" applyBorder="1" applyAlignment="1" applyProtection="1">
      <alignment horizontal="center" vertical="center"/>
      <protection locked="0"/>
    </xf>
    <xf numFmtId="0" fontId="9" fillId="21" borderId="21" xfId="0" applyFont="1" applyFill="1" applyBorder="1" applyAlignment="1" applyProtection="1">
      <alignment horizontal="center" vertical="center"/>
      <protection locked="0"/>
    </xf>
    <xf numFmtId="0" fontId="9" fillId="21" borderId="19" xfId="0" applyFont="1" applyFill="1" applyBorder="1" applyAlignment="1">
      <alignment horizontal="center" vertical="center" wrapText="1"/>
    </xf>
    <xf numFmtId="0" fontId="9" fillId="21" borderId="22" xfId="0" applyFont="1" applyFill="1" applyBorder="1" applyAlignment="1">
      <alignment horizontal="center" vertical="center" wrapText="1"/>
    </xf>
    <xf numFmtId="0" fontId="9" fillId="21" borderId="20" xfId="0" applyFont="1" applyFill="1" applyBorder="1" applyAlignment="1">
      <alignment horizontal="center" vertical="center" wrapText="1"/>
    </xf>
    <xf numFmtId="0" fontId="9" fillId="21" borderId="18" xfId="0" applyFont="1" applyFill="1" applyBorder="1" applyAlignment="1">
      <alignment horizontal="center" vertical="center" wrapText="1"/>
    </xf>
    <xf numFmtId="0" fontId="9" fillId="21" borderId="21" xfId="0" applyFont="1" applyFill="1" applyBorder="1" applyAlignment="1">
      <alignment horizontal="center" vertical="center" wrapText="1"/>
    </xf>
    <xf numFmtId="0" fontId="9" fillId="21" borderId="25" xfId="0" applyFont="1" applyFill="1" applyBorder="1" applyAlignment="1">
      <alignment horizontal="center" vertical="center" wrapText="1"/>
    </xf>
    <xf numFmtId="0" fontId="9" fillId="21" borderId="23" xfId="0" applyFont="1" applyFill="1" applyBorder="1" applyAlignment="1">
      <alignment horizontal="center" vertical="center" wrapText="1"/>
    </xf>
    <xf numFmtId="0" fontId="9" fillId="0" borderId="20" xfId="0" applyFont="1" applyBorder="1" applyAlignment="1" applyProtection="1">
      <alignment vertical="center"/>
      <protection locked="0"/>
    </xf>
    <xf numFmtId="0" fontId="9" fillId="0" borderId="18" xfId="0" applyFont="1" applyBorder="1" applyAlignment="1" applyProtection="1">
      <alignment vertical="center"/>
      <protection locked="0"/>
    </xf>
    <xf numFmtId="0" fontId="9" fillId="0" borderId="21" xfId="0" applyFont="1" applyBorder="1" applyAlignment="1" applyProtection="1">
      <alignment vertical="center"/>
      <protection locked="0"/>
    </xf>
    <xf numFmtId="0" fontId="9" fillId="21" borderId="20" xfId="0" applyFont="1" applyFill="1" applyBorder="1" applyAlignment="1">
      <alignment vertical="center"/>
    </xf>
    <xf numFmtId="0" fontId="9" fillId="21" borderId="18" xfId="0" applyFont="1" applyFill="1" applyBorder="1" applyAlignment="1">
      <alignment vertical="center"/>
    </xf>
    <xf numFmtId="0" fontId="9" fillId="21" borderId="21" xfId="0" applyFont="1" applyFill="1" applyBorder="1" applyAlignment="1">
      <alignment vertical="center"/>
    </xf>
    <xf numFmtId="0" fontId="9" fillId="6" borderId="20" xfId="0" applyFont="1" applyFill="1" applyBorder="1" applyAlignment="1" applyProtection="1">
      <alignment vertical="center"/>
      <protection locked="0"/>
    </xf>
    <xf numFmtId="0" fontId="9" fillId="6" borderId="18" xfId="0" applyFont="1" applyFill="1" applyBorder="1" applyAlignment="1" applyProtection="1">
      <alignment vertical="center"/>
      <protection locked="0"/>
    </xf>
    <xf numFmtId="0" fontId="15" fillId="0" borderId="20" xfId="0" applyFont="1" applyBorder="1" applyAlignment="1">
      <alignment horizontal="center" vertical="center"/>
    </xf>
    <xf numFmtId="0" fontId="15" fillId="0" borderId="18" xfId="0" applyFont="1" applyBorder="1" applyAlignment="1">
      <alignment horizontal="center" vertical="center"/>
    </xf>
    <xf numFmtId="0" fontId="15" fillId="0" borderId="21" xfId="0" applyFont="1" applyBorder="1" applyAlignment="1">
      <alignment horizontal="center" vertical="center"/>
    </xf>
    <xf numFmtId="0" fontId="9" fillId="6" borderId="20" xfId="0" applyFont="1" applyFill="1" applyBorder="1" applyAlignment="1">
      <alignment vertical="center"/>
    </xf>
    <xf numFmtId="0" fontId="9" fillId="6" borderId="18" xfId="0" applyFont="1" applyFill="1" applyBorder="1" applyAlignment="1">
      <alignment vertical="center"/>
    </xf>
    <xf numFmtId="0" fontId="13" fillId="21" borderId="19" xfId="0" applyFont="1" applyFill="1" applyBorder="1" applyAlignment="1">
      <alignment horizontal="center" vertical="center" wrapText="1"/>
    </xf>
    <xf numFmtId="0" fontId="13" fillId="21" borderId="22" xfId="0" applyFont="1" applyFill="1" applyBorder="1" applyAlignment="1">
      <alignment horizontal="center" vertical="center" wrapText="1"/>
    </xf>
    <xf numFmtId="0" fontId="30" fillId="10" borderId="0" xfId="0" applyFont="1" applyFill="1" applyAlignment="1">
      <alignment horizontal="center" vertical="center" wrapText="1"/>
    </xf>
    <xf numFmtId="0" fontId="30" fillId="10" borderId="27" xfId="0" applyFont="1" applyFill="1" applyBorder="1" applyAlignment="1">
      <alignment horizontal="center" vertical="center" wrapText="1"/>
    </xf>
    <xf numFmtId="0" fontId="2" fillId="0" borderId="20" xfId="0" applyFont="1" applyBorder="1" applyAlignment="1">
      <alignment horizontal="center" vertical="center"/>
    </xf>
    <xf numFmtId="0" fontId="2" fillId="0" borderId="18" xfId="0" applyFont="1" applyBorder="1" applyAlignment="1">
      <alignment horizontal="center" vertical="center"/>
    </xf>
    <xf numFmtId="0" fontId="2" fillId="0" borderId="21" xfId="0" applyFont="1" applyBorder="1" applyAlignment="1">
      <alignment horizontal="center" vertical="center"/>
    </xf>
    <xf numFmtId="44" fontId="2" fillId="0" borderId="20" xfId="15" applyFont="1" applyBorder="1" applyAlignment="1">
      <alignment horizontal="center" vertical="center"/>
    </xf>
    <xf numFmtId="44" fontId="2" fillId="0" borderId="18" xfId="15" applyFont="1" applyBorder="1" applyAlignment="1">
      <alignment horizontal="center" vertical="center"/>
    </xf>
    <xf numFmtId="44" fontId="2" fillId="0" borderId="21" xfId="15" applyFont="1" applyBorder="1" applyAlignment="1">
      <alignment horizontal="center" vertical="center"/>
    </xf>
    <xf numFmtId="0" fontId="30" fillId="10" borderId="20" xfId="0" applyFont="1" applyFill="1" applyBorder="1" applyAlignment="1">
      <alignment horizontal="center" vertical="center" wrapText="1"/>
    </xf>
    <xf numFmtId="0" fontId="30" fillId="10" borderId="18" xfId="0" applyFont="1" applyFill="1" applyBorder="1" applyAlignment="1">
      <alignment horizontal="center" vertical="center" wrapText="1"/>
    </xf>
    <xf numFmtId="0" fontId="30" fillId="10" borderId="21" xfId="0" applyFont="1" applyFill="1" applyBorder="1" applyAlignment="1">
      <alignment horizontal="center" vertical="center" wrapText="1"/>
    </xf>
    <xf numFmtId="0" fontId="2" fillId="0" borderId="20" xfId="0" applyFont="1" applyBorder="1" applyAlignment="1">
      <alignment horizontal="center" vertical="center" wrapText="1"/>
    </xf>
    <xf numFmtId="0" fontId="2" fillId="0" borderId="18" xfId="0" applyFont="1" applyBorder="1" applyAlignment="1">
      <alignment horizontal="center" vertical="center" wrapText="1"/>
    </xf>
    <xf numFmtId="0" fontId="2" fillId="0" borderId="21" xfId="0" applyFont="1" applyBorder="1" applyAlignment="1">
      <alignment horizontal="center" vertical="center" wrapText="1"/>
    </xf>
    <xf numFmtId="0" fontId="30" fillId="13" borderId="20" xfId="0" applyFont="1" applyFill="1" applyBorder="1" applyAlignment="1">
      <alignment horizontal="center" vertical="center" wrapText="1"/>
    </xf>
    <xf numFmtId="0" fontId="30" fillId="13" borderId="18" xfId="0" applyFont="1" applyFill="1" applyBorder="1" applyAlignment="1">
      <alignment horizontal="center" vertical="center" wrapText="1"/>
    </xf>
    <xf numFmtId="0" fontId="30" fillId="13" borderId="21" xfId="0" applyFont="1" applyFill="1" applyBorder="1" applyAlignment="1">
      <alignment horizontal="center" vertical="center" wrapText="1"/>
    </xf>
    <xf numFmtId="0" fontId="30" fillId="11" borderId="26" xfId="0" applyFont="1" applyFill="1" applyBorder="1" applyAlignment="1">
      <alignment horizontal="center" vertical="center" textRotation="90"/>
    </xf>
    <xf numFmtId="0" fontId="30" fillId="11" borderId="7" xfId="0" applyFont="1" applyFill="1" applyBorder="1" applyAlignment="1">
      <alignment horizontal="center" vertical="center" textRotation="90"/>
    </xf>
    <xf numFmtId="0" fontId="2" fillId="18" borderId="20" xfId="0" applyFont="1" applyFill="1" applyBorder="1" applyAlignment="1">
      <alignment horizontal="center" vertical="center" wrapText="1"/>
    </xf>
    <xf numFmtId="0" fontId="2" fillId="18" borderId="18" xfId="0" applyFont="1" applyFill="1" applyBorder="1" applyAlignment="1">
      <alignment horizontal="center" vertical="center" wrapText="1"/>
    </xf>
    <xf numFmtId="0" fontId="2" fillId="18" borderId="21" xfId="0" applyFont="1" applyFill="1" applyBorder="1" applyAlignment="1">
      <alignment horizontal="center" vertical="center" wrapText="1"/>
    </xf>
    <xf numFmtId="0" fontId="30" fillId="13" borderId="24" xfId="0" applyFont="1" applyFill="1" applyBorder="1" applyAlignment="1">
      <alignment horizontal="center" vertical="center"/>
    </xf>
    <xf numFmtId="0" fontId="30" fillId="13" borderId="25" xfId="0" applyFont="1" applyFill="1" applyBorder="1" applyAlignment="1">
      <alignment horizontal="center" vertical="center"/>
    </xf>
    <xf numFmtId="0" fontId="30" fillId="12" borderId="17" xfId="0" applyFont="1" applyFill="1" applyBorder="1" applyAlignment="1">
      <alignment horizontal="center" vertical="center"/>
    </xf>
    <xf numFmtId="0" fontId="30" fillId="12" borderId="24" xfId="0" applyFont="1" applyFill="1" applyBorder="1" applyAlignment="1">
      <alignment horizontal="center" vertical="center"/>
    </xf>
    <xf numFmtId="0" fontId="30" fillId="12" borderId="26" xfId="0" applyFont="1" applyFill="1" applyBorder="1" applyAlignment="1">
      <alignment horizontal="center" vertical="center"/>
    </xf>
    <xf numFmtId="0" fontId="29" fillId="17" borderId="20" xfId="0" applyFont="1" applyFill="1" applyBorder="1" applyAlignment="1">
      <alignment horizontal="center" vertical="center" wrapText="1"/>
    </xf>
    <xf numFmtId="0" fontId="29" fillId="17" borderId="18" xfId="0" applyFont="1" applyFill="1" applyBorder="1" applyAlignment="1">
      <alignment horizontal="center" vertical="center" wrapText="1"/>
    </xf>
    <xf numFmtId="0" fontId="29" fillId="17" borderId="21" xfId="0" applyFont="1" applyFill="1" applyBorder="1" applyAlignment="1">
      <alignment horizontal="center" vertical="center" wrapText="1"/>
    </xf>
    <xf numFmtId="0" fontId="29" fillId="16" borderId="20" xfId="0" applyFont="1" applyFill="1" applyBorder="1" applyAlignment="1">
      <alignment horizontal="center" vertical="center" wrapText="1"/>
    </xf>
    <xf numFmtId="0" fontId="29" fillId="16" borderId="18" xfId="0" applyFont="1" applyFill="1" applyBorder="1" applyAlignment="1">
      <alignment horizontal="center" vertical="center" wrapText="1"/>
    </xf>
    <xf numFmtId="0" fontId="29" fillId="16" borderId="21" xfId="0" applyFont="1" applyFill="1" applyBorder="1" applyAlignment="1">
      <alignment horizontal="center" vertical="center" wrapText="1"/>
    </xf>
    <xf numFmtId="0" fontId="2" fillId="7" borderId="20" xfId="0" applyFont="1" applyFill="1" applyBorder="1" applyAlignment="1">
      <alignment horizontal="center" vertical="center" wrapText="1"/>
    </xf>
    <xf numFmtId="0" fontId="2" fillId="7" borderId="18" xfId="0" applyFont="1" applyFill="1" applyBorder="1" applyAlignment="1">
      <alignment horizontal="center" vertical="center" wrapText="1"/>
    </xf>
    <xf numFmtId="0" fontId="2" fillId="7" borderId="21" xfId="0" applyFont="1" applyFill="1" applyBorder="1" applyAlignment="1">
      <alignment horizontal="center" vertical="center" wrapText="1"/>
    </xf>
    <xf numFmtId="0" fontId="2" fillId="15" borderId="20" xfId="0" applyFont="1" applyFill="1" applyBorder="1" applyAlignment="1">
      <alignment horizontal="center" vertical="center" wrapText="1"/>
    </xf>
    <xf numFmtId="0" fontId="2" fillId="15" borderId="18" xfId="0" applyFont="1" applyFill="1" applyBorder="1" applyAlignment="1">
      <alignment horizontal="center" vertical="center" wrapText="1"/>
    </xf>
    <xf numFmtId="0" fontId="2" fillId="15" borderId="21" xfId="0" applyFont="1" applyFill="1" applyBorder="1" applyAlignment="1">
      <alignment horizontal="center" vertical="center" wrapText="1"/>
    </xf>
    <xf numFmtId="0" fontId="9" fillId="5" borderId="20" xfId="0" applyFont="1" applyFill="1" applyBorder="1" applyAlignment="1">
      <alignment horizontal="center" vertical="center" wrapText="1"/>
    </xf>
    <xf numFmtId="0" fontId="9" fillId="5" borderId="21" xfId="0" applyFont="1" applyFill="1" applyBorder="1" applyAlignment="1">
      <alignment horizontal="center" vertical="center" wrapText="1"/>
    </xf>
    <xf numFmtId="14" fontId="9" fillId="0" borderId="20" xfId="0" applyNumberFormat="1" applyFont="1" applyBorder="1" applyAlignment="1">
      <alignment horizontal="center" vertical="center"/>
    </xf>
    <xf numFmtId="14" fontId="9" fillId="0" borderId="18" xfId="0" applyNumberFormat="1" applyFont="1" applyBorder="1" applyAlignment="1">
      <alignment horizontal="center" vertical="center"/>
    </xf>
    <xf numFmtId="14" fontId="9" fillId="0" borderId="21" xfId="0" applyNumberFormat="1" applyFont="1" applyBorder="1" applyAlignment="1">
      <alignment horizontal="center" vertical="center"/>
    </xf>
    <xf numFmtId="0" fontId="9" fillId="5" borderId="21" xfId="0" applyFont="1" applyFill="1" applyBorder="1" applyAlignment="1">
      <alignment horizontal="center" vertical="center"/>
    </xf>
    <xf numFmtId="14" fontId="9" fillId="0" borderId="20" xfId="0" quotePrefix="1" applyNumberFormat="1" applyFont="1" applyBorder="1" applyAlignment="1">
      <alignment horizontal="left" vertical="center"/>
    </xf>
    <xf numFmtId="14" fontId="9" fillId="0" borderId="21" xfId="0" quotePrefix="1" applyNumberFormat="1" applyFont="1" applyBorder="1" applyAlignment="1">
      <alignment horizontal="left" vertical="center"/>
    </xf>
    <xf numFmtId="0" fontId="13" fillId="5" borderId="1" xfId="0" applyFont="1" applyFill="1" applyBorder="1" applyAlignment="1">
      <alignment horizontal="center" vertical="center" wrapText="1"/>
    </xf>
    <xf numFmtId="0" fontId="9" fillId="5" borderId="1" xfId="0" applyFont="1" applyFill="1" applyBorder="1" applyAlignment="1">
      <alignment horizontal="left" vertical="center"/>
    </xf>
    <xf numFmtId="0" fontId="9" fillId="6" borderId="1" xfId="0" applyFont="1" applyFill="1" applyBorder="1" applyAlignment="1">
      <alignment horizontal="left" vertical="center"/>
    </xf>
    <xf numFmtId="0" fontId="6" fillId="5" borderId="1" xfId="0" applyFont="1" applyFill="1" applyBorder="1" applyAlignment="1">
      <alignment horizontal="center" vertical="center" wrapText="1"/>
    </xf>
    <xf numFmtId="0" fontId="9" fillId="6" borderId="1" xfId="0" applyFont="1" applyFill="1" applyBorder="1" applyAlignment="1">
      <alignment horizontal="center" vertical="center"/>
    </xf>
    <xf numFmtId="0" fontId="3" fillId="6" borderId="1" xfId="0" applyFont="1" applyFill="1" applyBorder="1" applyAlignment="1">
      <alignment horizontal="center" vertical="center"/>
    </xf>
    <xf numFmtId="0" fontId="3" fillId="6" borderId="1" xfId="0" applyFont="1" applyFill="1" applyBorder="1" applyAlignment="1">
      <alignment horizontal="center" vertical="center" wrapText="1"/>
    </xf>
    <xf numFmtId="0" fontId="6" fillId="0" borderId="1" xfId="0" applyFont="1" applyBorder="1" applyAlignment="1">
      <alignment horizontal="center" vertical="top" wrapText="1"/>
    </xf>
    <xf numFmtId="0" fontId="6" fillId="5" borderId="1" xfId="0" applyFont="1" applyFill="1" applyBorder="1" applyAlignment="1">
      <alignment vertical="center"/>
    </xf>
    <xf numFmtId="0" fontId="2" fillId="0" borderId="1" xfId="0" applyFont="1" applyBorder="1" applyAlignment="1">
      <alignment horizontal="center" vertical="top" wrapText="1"/>
    </xf>
    <xf numFmtId="0" fontId="14" fillId="27" borderId="0" xfId="7" applyFont="1" applyFill="1" applyAlignment="1">
      <alignment horizontal="center" vertical="center"/>
    </xf>
    <xf numFmtId="0" fontId="14" fillId="38" borderId="0" xfId="7" applyFont="1" applyFill="1" applyAlignment="1">
      <alignment horizontal="center" vertical="center"/>
    </xf>
    <xf numFmtId="0" fontId="38" fillId="0" borderId="0" xfId="7" applyFont="1" applyAlignment="1">
      <alignment horizontal="left" vertical="center"/>
    </xf>
    <xf numFmtId="0" fontId="14" fillId="25" borderId="5" xfId="7" applyFont="1" applyFill="1" applyBorder="1" applyAlignment="1">
      <alignment horizontal="center" vertical="center"/>
    </xf>
  </cellXfs>
  <cellStyles count="20">
    <cellStyle name="Başlık 1" xfId="19" builtinId="16"/>
    <cellStyle name="Comma" xfId="2" xr:uid="{00000000-0005-0000-0000-000001000000}"/>
    <cellStyle name="Comma[0]" xfId="3" xr:uid="{00000000-0005-0000-0000-000002000000}"/>
    <cellStyle name="Currency" xfId="4" xr:uid="{00000000-0005-0000-0000-000003000000}"/>
    <cellStyle name="Currency[0]" xfId="5" xr:uid="{00000000-0005-0000-0000-000004000000}"/>
    <cellStyle name="Excel Built-in Normal" xfId="6" xr:uid="{00000000-0005-0000-0000-000005000000}"/>
    <cellStyle name="Normal" xfId="0" builtinId="0"/>
    <cellStyle name="Normal 2" xfId="7" xr:uid="{00000000-0005-0000-0000-000007000000}"/>
    <cellStyle name="Normal 2 2" xfId="8" xr:uid="{00000000-0005-0000-0000-000008000000}"/>
    <cellStyle name="Normal 2 3" xfId="17" xr:uid="{00000000-0005-0000-0000-000009000000}"/>
    <cellStyle name="Normal 3" xfId="1" xr:uid="{00000000-0005-0000-0000-00000A000000}"/>
    <cellStyle name="Normal 3 2" xfId="9" xr:uid="{00000000-0005-0000-0000-00000B000000}"/>
    <cellStyle name="Normal 4" xfId="10" xr:uid="{00000000-0005-0000-0000-00000C000000}"/>
    <cellStyle name="Normal 5" xfId="11" xr:uid="{00000000-0005-0000-0000-00000D000000}"/>
    <cellStyle name="Normal 6" xfId="12" xr:uid="{00000000-0005-0000-0000-00000E000000}"/>
    <cellStyle name="Normal 7" xfId="18" xr:uid="{00000000-0005-0000-0000-00000F000000}"/>
    <cellStyle name="ParaBirimi" xfId="15" builtinId="4"/>
    <cellStyle name="Percent" xfId="13" xr:uid="{00000000-0005-0000-0000-000011000000}"/>
    <cellStyle name="Virgül" xfId="16" builtinId="3"/>
    <cellStyle name="Yüzde 2" xfId="14" xr:uid="{00000000-0005-0000-0000-000013000000}"/>
  </cellStyles>
  <dxfs count="224">
    <dxf>
      <font>
        <color rgb="FF9C0006"/>
      </font>
      <fill>
        <patternFill>
          <bgColor rgb="FFFFC7CE"/>
        </patternFill>
      </fill>
    </dxf>
    <dxf>
      <font>
        <b/>
        <i val="0"/>
        <color theme="0"/>
      </font>
      <fill>
        <patternFill>
          <bgColor rgb="FF00B050"/>
        </patternFill>
      </fill>
    </dxf>
    <dxf>
      <font>
        <b/>
        <i val="0"/>
        <color theme="0"/>
      </font>
      <fill>
        <patternFill>
          <bgColor theme="0" tint="-0.24994659260841701"/>
        </patternFill>
      </fill>
    </dxf>
    <dxf>
      <font>
        <b/>
        <i val="0"/>
        <color theme="0"/>
      </font>
      <fill>
        <patternFill>
          <bgColor rgb="FFFFC000"/>
        </patternFill>
      </fill>
    </dxf>
    <dxf>
      <font>
        <b/>
        <i val="0"/>
        <color theme="0"/>
      </font>
      <fill>
        <patternFill>
          <bgColor rgb="FFFF0000"/>
        </patternFill>
      </fill>
    </dxf>
    <dxf>
      <font>
        <b/>
        <i val="0"/>
        <color theme="0"/>
      </font>
      <fill>
        <patternFill>
          <bgColor rgb="FFC00000"/>
        </patternFill>
      </fill>
    </dxf>
    <dxf>
      <font>
        <b/>
        <i val="0"/>
        <color theme="0"/>
      </font>
      <fill>
        <patternFill>
          <bgColor rgb="FF00B050"/>
        </patternFill>
      </fill>
    </dxf>
    <dxf>
      <font>
        <b/>
        <i val="0"/>
        <color theme="0"/>
      </font>
      <fill>
        <patternFill>
          <bgColor theme="0" tint="-0.24994659260841701"/>
        </patternFill>
      </fill>
    </dxf>
    <dxf>
      <font>
        <b/>
        <i val="0"/>
        <color theme="0"/>
      </font>
      <fill>
        <patternFill>
          <bgColor rgb="FFFFC000"/>
        </patternFill>
      </fill>
    </dxf>
    <dxf>
      <font>
        <b/>
        <i val="0"/>
        <color theme="0"/>
      </font>
      <fill>
        <patternFill>
          <bgColor rgb="FFFF0000"/>
        </patternFill>
      </fill>
    </dxf>
    <dxf>
      <font>
        <b/>
        <i val="0"/>
        <color theme="0"/>
      </font>
      <fill>
        <patternFill>
          <bgColor rgb="FFC00000"/>
        </patternFill>
      </fill>
    </dxf>
    <dxf>
      <font>
        <b/>
        <i val="0"/>
        <color theme="0"/>
      </font>
      <fill>
        <patternFill>
          <bgColor rgb="FF00B050"/>
        </patternFill>
      </fill>
    </dxf>
    <dxf>
      <font>
        <b/>
        <i val="0"/>
        <color theme="0"/>
      </font>
      <fill>
        <patternFill>
          <bgColor rgb="FFD7D200"/>
        </patternFill>
      </fill>
    </dxf>
    <dxf>
      <font>
        <b/>
        <i val="0"/>
        <color theme="0"/>
      </font>
      <fill>
        <patternFill>
          <bgColor rgb="FFFFC000"/>
        </patternFill>
      </fill>
    </dxf>
    <dxf>
      <font>
        <b/>
        <i val="0"/>
        <color theme="0"/>
      </font>
      <fill>
        <patternFill>
          <bgColor rgb="FFFF0000"/>
        </patternFill>
      </fill>
    </dxf>
    <dxf>
      <font>
        <b/>
        <i val="0"/>
        <color theme="0"/>
      </font>
      <fill>
        <patternFill>
          <bgColor rgb="FFC00000"/>
        </patternFill>
      </fill>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color theme="0"/>
      </font>
      <fill>
        <patternFill>
          <bgColor rgb="FF00B050"/>
        </patternFill>
      </fill>
    </dxf>
    <dxf>
      <font>
        <b/>
        <i val="0"/>
        <color theme="0"/>
      </font>
      <fill>
        <patternFill>
          <bgColor rgb="FFD7D200"/>
        </patternFill>
      </fill>
    </dxf>
    <dxf>
      <font>
        <b/>
        <i val="0"/>
        <color theme="0"/>
      </font>
      <fill>
        <patternFill>
          <bgColor rgb="FFFFC000"/>
        </patternFill>
      </fill>
    </dxf>
    <dxf>
      <font>
        <b/>
        <i val="0"/>
        <color theme="0"/>
      </font>
      <fill>
        <patternFill>
          <bgColor rgb="FFFF0000"/>
        </patternFill>
      </fill>
    </dxf>
    <dxf>
      <font>
        <b/>
        <i val="0"/>
        <color theme="0"/>
      </font>
      <fill>
        <patternFill>
          <bgColor rgb="FFC00000"/>
        </patternFill>
      </fill>
    </dxf>
    <dxf>
      <font>
        <b/>
        <i val="0"/>
        <color theme="0"/>
      </font>
      <fill>
        <patternFill>
          <bgColor rgb="FF00B050"/>
        </patternFill>
      </fill>
    </dxf>
    <dxf>
      <font>
        <b/>
        <i val="0"/>
        <color theme="0"/>
      </font>
      <fill>
        <patternFill>
          <bgColor rgb="FFD7D200"/>
        </patternFill>
      </fill>
    </dxf>
    <dxf>
      <font>
        <b/>
        <i val="0"/>
        <color theme="0"/>
      </font>
      <fill>
        <patternFill>
          <bgColor rgb="FFFFC000"/>
        </patternFill>
      </fill>
    </dxf>
    <dxf>
      <font>
        <b/>
        <i val="0"/>
        <color theme="0"/>
      </font>
      <fill>
        <patternFill>
          <bgColor rgb="FFFF0000"/>
        </patternFill>
      </fill>
    </dxf>
    <dxf>
      <font>
        <b/>
        <i val="0"/>
        <color theme="0"/>
      </font>
      <fill>
        <patternFill>
          <bgColor rgb="FFC00000"/>
        </patternFill>
      </fill>
    </dxf>
    <dxf>
      <font>
        <b/>
        <i val="0"/>
      </font>
      <fill>
        <patternFill>
          <bgColor theme="0" tint="-0.14996795556505021"/>
        </patternFill>
      </fill>
      <border>
        <left style="thin">
          <color auto="1"/>
        </left>
        <right style="thin">
          <color auto="1"/>
        </right>
        <top style="thin">
          <color auto="1"/>
        </top>
        <bottom style="thin">
          <color auto="1"/>
        </bottom>
        <vertical/>
        <horizontal/>
      </border>
    </dxf>
    <dxf>
      <fill>
        <patternFill>
          <bgColor rgb="FFC00000"/>
        </patternFill>
      </fill>
    </dxf>
    <dxf>
      <fill>
        <patternFill>
          <bgColor rgb="FFFF0000"/>
        </patternFill>
      </fill>
    </dxf>
    <dxf>
      <fill>
        <patternFill>
          <bgColor rgb="FFFFFF00"/>
        </patternFill>
      </fill>
    </dxf>
    <dxf>
      <font>
        <condense val="0"/>
        <extend val="0"/>
        <color rgb="FF006100"/>
      </font>
      <fill>
        <patternFill>
          <bgColor rgb="FFC6EFCE"/>
        </patternFill>
      </fill>
    </dxf>
    <dxf>
      <fill>
        <patternFill>
          <bgColor rgb="FF00B050"/>
        </patternFill>
      </fill>
    </dxf>
    <dxf>
      <font>
        <color auto="1"/>
      </font>
      <fill>
        <patternFill>
          <bgColor rgb="FF99FF33"/>
        </patternFill>
      </fill>
    </dxf>
    <dxf>
      <font>
        <color auto="1"/>
      </font>
      <fill>
        <patternFill>
          <bgColor rgb="FF00B050"/>
        </patternFill>
      </fill>
    </dxf>
    <dxf>
      <fill>
        <patternFill>
          <bgColor rgb="FF00B050"/>
        </patternFill>
      </fill>
    </dxf>
    <dxf>
      <fill>
        <patternFill>
          <bgColor rgb="FFFF0000"/>
        </patternFill>
      </fill>
    </dxf>
    <dxf>
      <font>
        <color auto="1"/>
      </font>
      <fill>
        <patternFill>
          <bgColor rgb="FFFFFF00"/>
        </patternFill>
      </fill>
    </dxf>
    <dxf>
      <font>
        <color auto="1"/>
      </font>
      <fill>
        <patternFill>
          <bgColor rgb="FFFFFF00"/>
        </patternFill>
      </fill>
    </dxf>
    <dxf>
      <fill>
        <patternFill>
          <bgColor rgb="FFFF0000"/>
        </patternFill>
      </fill>
    </dxf>
    <dxf>
      <fill>
        <patternFill>
          <bgColor rgb="FF00B050"/>
        </patternFill>
      </fill>
    </dxf>
    <dxf>
      <font>
        <color auto="1"/>
      </font>
      <fill>
        <patternFill>
          <bgColor rgb="FF00B050"/>
        </patternFill>
      </fill>
    </dxf>
    <dxf>
      <font>
        <color auto="1"/>
      </font>
      <fill>
        <patternFill>
          <bgColor rgb="FF99FF33"/>
        </patternFill>
      </fill>
    </dxf>
    <dxf>
      <fill>
        <patternFill>
          <bgColor rgb="FF00B050"/>
        </patternFill>
      </fill>
    </dxf>
    <dxf>
      <fill>
        <patternFill>
          <bgColor rgb="FFFFFF00"/>
        </patternFill>
      </fill>
    </dxf>
    <dxf>
      <fill>
        <patternFill>
          <bgColor rgb="FFFF0000"/>
        </patternFill>
      </fill>
    </dxf>
    <dxf>
      <fill>
        <patternFill>
          <bgColor rgb="FFC00000"/>
        </patternFill>
      </fill>
    </dxf>
    <dxf>
      <font>
        <condense val="0"/>
        <extend val="0"/>
        <color rgb="FF006100"/>
      </font>
      <fill>
        <patternFill>
          <bgColor rgb="FFC6EFCE"/>
        </patternFill>
      </fill>
    </dxf>
    <dxf>
      <fill>
        <patternFill>
          <bgColor rgb="FFFF0000"/>
        </patternFill>
      </fill>
    </dxf>
    <dxf>
      <fill>
        <patternFill>
          <bgColor rgb="FFFFC000"/>
        </patternFill>
      </fill>
    </dxf>
    <dxf>
      <font>
        <color auto="1"/>
      </font>
      <fill>
        <patternFill>
          <bgColor rgb="FFC00000"/>
        </patternFill>
      </fill>
    </dxf>
    <dxf>
      <fill>
        <patternFill>
          <bgColor rgb="FFFFFF00"/>
        </patternFill>
      </fill>
    </dxf>
    <dxf>
      <font>
        <color auto="1"/>
      </font>
      <fill>
        <patternFill>
          <bgColor rgb="FF00B050"/>
        </patternFill>
      </fill>
    </dxf>
    <dxf>
      <fill>
        <patternFill>
          <bgColor rgb="FFC00000"/>
        </patternFill>
      </fill>
    </dxf>
    <dxf>
      <font>
        <condense val="0"/>
        <extend val="0"/>
        <color rgb="FF006100"/>
      </font>
      <fill>
        <patternFill>
          <bgColor rgb="FFC6EFCE"/>
        </patternFill>
      </fill>
    </dxf>
    <dxf>
      <font>
        <color auto="1"/>
      </font>
      <fill>
        <patternFill>
          <bgColor rgb="FFFFFF00"/>
        </patternFill>
      </fill>
    </dxf>
    <dxf>
      <fill>
        <patternFill>
          <bgColor rgb="FFFF0000"/>
        </patternFill>
      </fill>
    </dxf>
    <dxf>
      <fill>
        <patternFill>
          <bgColor rgb="FF00B050"/>
        </patternFill>
      </fill>
    </dxf>
    <dxf>
      <font>
        <color auto="1"/>
      </font>
      <fill>
        <patternFill>
          <bgColor rgb="FF00B050"/>
        </patternFill>
      </fill>
    </dxf>
    <dxf>
      <font>
        <color auto="1"/>
      </font>
      <fill>
        <patternFill>
          <bgColor rgb="FF99FF33"/>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C00000"/>
        </patternFill>
      </fill>
    </dxf>
    <dxf>
      <fill>
        <patternFill>
          <bgColor rgb="FFFF0000"/>
        </patternFill>
      </fill>
    </dxf>
    <dxf>
      <fill>
        <patternFill>
          <bgColor rgb="FFFFFF00"/>
        </patternFill>
      </fill>
    </dxf>
    <dxf>
      <fill>
        <patternFill>
          <bgColor rgb="FF00B050"/>
        </patternFill>
      </fill>
    </dxf>
    <dxf>
      <font>
        <color auto="1"/>
      </font>
      <fill>
        <patternFill>
          <bgColor rgb="FF99FF33"/>
        </patternFill>
      </fill>
    </dxf>
    <dxf>
      <font>
        <color auto="1"/>
      </font>
      <fill>
        <patternFill>
          <bgColor rgb="FF00B050"/>
        </patternFill>
      </fill>
    </dxf>
    <dxf>
      <font>
        <condense val="0"/>
        <extend val="0"/>
        <color rgb="FF006100"/>
      </font>
      <fill>
        <patternFill>
          <bgColor rgb="FFC6EFCE"/>
        </patternFill>
      </fill>
    </dxf>
    <dxf>
      <font>
        <color auto="1"/>
      </font>
      <fill>
        <patternFill>
          <bgColor rgb="FFFFFF00"/>
        </patternFill>
      </fill>
    </dxf>
    <dxf>
      <fill>
        <patternFill>
          <bgColor rgb="FFFF0000"/>
        </patternFill>
      </fill>
    </dxf>
    <dxf>
      <fill>
        <patternFill>
          <bgColor rgb="FF00B050"/>
        </patternFill>
      </fill>
    </dxf>
    <dxf>
      <font>
        <color auto="1"/>
      </font>
      <fill>
        <patternFill>
          <bgColor rgb="FF00B050"/>
        </patternFill>
      </fill>
    </dxf>
    <dxf>
      <font>
        <color auto="1"/>
      </font>
      <fill>
        <patternFill>
          <bgColor rgb="FFFFFF00"/>
        </patternFill>
      </fill>
    </dxf>
    <dxf>
      <font>
        <condense val="0"/>
        <extend val="0"/>
        <color rgb="FF006100"/>
      </font>
      <fill>
        <patternFill>
          <bgColor rgb="FFC6EFCE"/>
        </patternFill>
      </fill>
    </dxf>
    <dxf>
      <fill>
        <patternFill>
          <bgColor rgb="FFFFFF00"/>
        </patternFill>
      </fill>
    </dxf>
    <dxf>
      <fill>
        <patternFill>
          <bgColor rgb="FFFF0000"/>
        </patternFill>
      </fill>
    </dxf>
    <dxf>
      <fill>
        <patternFill>
          <bgColor rgb="FFFFFF00"/>
        </patternFill>
      </fill>
    </dxf>
    <dxf>
      <font>
        <color auto="1"/>
      </font>
      <fill>
        <patternFill>
          <bgColor rgb="FF00B050"/>
        </patternFill>
      </fill>
    </dxf>
    <dxf>
      <fill>
        <patternFill>
          <bgColor rgb="FFC00000"/>
        </patternFill>
      </fill>
    </dxf>
    <dxf>
      <font>
        <color auto="1"/>
      </font>
      <fill>
        <patternFill>
          <bgColor rgb="FF99FF33"/>
        </patternFill>
      </fill>
    </dxf>
    <dxf>
      <fill>
        <patternFill>
          <bgColor rgb="FF00B050"/>
        </patternFill>
      </fill>
    </dxf>
    <dxf>
      <fill>
        <patternFill>
          <bgColor rgb="FFFF0000"/>
        </patternFill>
      </fill>
    </dxf>
    <dxf>
      <fill>
        <patternFill>
          <bgColor rgb="FFFFC000"/>
        </patternFill>
      </fill>
    </dxf>
    <dxf>
      <fill>
        <patternFill>
          <bgColor rgb="FFFF0000"/>
        </patternFill>
      </fill>
    </dxf>
    <dxf>
      <font>
        <color auto="1"/>
      </font>
      <fill>
        <patternFill>
          <bgColor rgb="FF00B050"/>
        </patternFill>
      </fill>
    </dxf>
    <dxf>
      <fill>
        <patternFill>
          <bgColor rgb="FFFFFF00"/>
        </patternFill>
      </fill>
    </dxf>
    <dxf>
      <fill>
        <patternFill>
          <bgColor rgb="FFFFC000"/>
        </patternFill>
      </fill>
    </dxf>
    <dxf>
      <font>
        <condense val="0"/>
        <extend val="0"/>
        <color rgb="FF006100"/>
      </font>
      <fill>
        <patternFill>
          <bgColor rgb="FFC6EFCE"/>
        </patternFill>
      </fill>
    </dxf>
    <dxf>
      <font>
        <color auto="1"/>
      </font>
      <fill>
        <patternFill>
          <bgColor rgb="FFFFFF00"/>
        </patternFill>
      </fill>
    </dxf>
    <dxf>
      <fill>
        <patternFill>
          <bgColor rgb="FFFF0000"/>
        </patternFill>
      </fill>
    </dxf>
    <dxf>
      <fill>
        <patternFill>
          <bgColor rgb="FF00B050"/>
        </patternFill>
      </fill>
    </dxf>
    <dxf>
      <font>
        <color auto="1"/>
      </font>
      <fill>
        <patternFill>
          <bgColor rgb="FF00B050"/>
        </patternFill>
      </fill>
    </dxf>
    <dxf>
      <font>
        <color auto="1"/>
      </font>
      <fill>
        <patternFill>
          <bgColor rgb="FF99FF33"/>
        </patternFill>
      </fill>
    </dxf>
    <dxf>
      <fill>
        <patternFill>
          <bgColor rgb="FF00B050"/>
        </patternFill>
      </fill>
    </dxf>
    <dxf>
      <fill>
        <patternFill>
          <bgColor rgb="FFFFFF00"/>
        </patternFill>
      </fill>
    </dxf>
    <dxf>
      <fill>
        <patternFill>
          <bgColor rgb="FFC00000"/>
        </patternFill>
      </fill>
    </dxf>
    <dxf>
      <fill>
        <patternFill>
          <bgColor rgb="FFFF0000"/>
        </patternFill>
      </fill>
    </dxf>
    <dxf>
      <fill>
        <patternFill>
          <bgColor rgb="FFFFFF00"/>
        </patternFill>
      </fill>
    </dxf>
    <dxf>
      <fill>
        <patternFill>
          <bgColor rgb="FFFF0000"/>
        </patternFill>
      </fill>
    </dxf>
    <dxf>
      <font>
        <color auto="1"/>
      </font>
      <fill>
        <patternFill>
          <bgColor rgb="FFFFFF00"/>
        </patternFill>
      </fill>
    </dxf>
    <dxf>
      <fill>
        <patternFill>
          <bgColor rgb="FF00B050"/>
        </patternFill>
      </fill>
    </dxf>
    <dxf>
      <font>
        <color auto="1"/>
      </font>
      <fill>
        <patternFill>
          <bgColor rgb="FF00B050"/>
        </patternFill>
      </fill>
    </dxf>
    <dxf>
      <font>
        <color auto="1"/>
      </font>
      <fill>
        <patternFill>
          <bgColor rgb="FF99FF33"/>
        </patternFill>
      </fill>
    </dxf>
    <dxf>
      <fill>
        <patternFill>
          <bgColor rgb="FF00B050"/>
        </patternFill>
      </fill>
    </dxf>
    <dxf>
      <fill>
        <patternFill>
          <bgColor rgb="FFFFFF00"/>
        </patternFill>
      </fill>
    </dxf>
    <dxf>
      <fill>
        <patternFill>
          <bgColor rgb="FFFF0000"/>
        </patternFill>
      </fill>
    </dxf>
    <dxf>
      <fill>
        <patternFill>
          <bgColor rgb="FFC00000"/>
        </patternFill>
      </fill>
    </dxf>
    <dxf>
      <font>
        <color auto="1"/>
      </font>
      <fill>
        <patternFill>
          <bgColor rgb="FF00B050"/>
        </patternFill>
      </fill>
    </dxf>
    <dxf>
      <fill>
        <patternFill>
          <bgColor rgb="FFFFC000"/>
        </patternFill>
      </fill>
    </dxf>
    <dxf>
      <font>
        <condense val="0"/>
        <extend val="0"/>
        <color rgb="FF006100"/>
      </font>
      <fill>
        <patternFill>
          <bgColor rgb="FFC6EFCE"/>
        </patternFill>
      </fill>
    </dxf>
    <dxf>
      <fill>
        <patternFill>
          <bgColor rgb="FFFFFF00"/>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auto="1"/>
      </font>
      <fill>
        <patternFill>
          <bgColor rgb="FF00B050"/>
        </patternFill>
      </fill>
    </dxf>
    <dxf>
      <font>
        <color auto="1"/>
      </font>
      <fill>
        <patternFill>
          <bgColor rgb="FF99FF33"/>
        </patternFill>
      </fill>
    </dxf>
    <dxf>
      <fill>
        <patternFill>
          <bgColor rgb="FF00B050"/>
        </patternFill>
      </fill>
    </dxf>
    <dxf>
      <font>
        <color auto="1"/>
      </font>
      <fill>
        <patternFill>
          <bgColor rgb="FF00B050"/>
        </patternFill>
      </fill>
    </dxf>
    <dxf>
      <fill>
        <patternFill>
          <bgColor rgb="FFC00000"/>
        </patternFill>
      </fill>
    </dxf>
    <dxf>
      <font>
        <condense val="0"/>
        <extend val="0"/>
        <color rgb="FF006100"/>
      </font>
      <fill>
        <patternFill>
          <bgColor rgb="FFC6EFCE"/>
        </patternFill>
      </fill>
    </dxf>
    <dxf>
      <font>
        <color auto="1"/>
      </font>
      <fill>
        <patternFill>
          <bgColor rgb="FFFFFF00"/>
        </patternFill>
      </fill>
    </dxf>
    <dxf>
      <fill>
        <patternFill>
          <bgColor rgb="FFFF0000"/>
        </patternFill>
      </fill>
    </dxf>
    <dxf>
      <fill>
        <patternFill>
          <bgColor rgb="FFFFFF00"/>
        </patternFill>
      </fill>
    </dxf>
    <dxf>
      <fill>
        <patternFill>
          <bgColor rgb="FFC00000"/>
        </patternFill>
      </fill>
    </dxf>
    <dxf>
      <font>
        <color auto="1"/>
      </font>
      <fill>
        <patternFill>
          <bgColor rgb="FF00B050"/>
        </patternFill>
      </fill>
    </dxf>
    <dxf>
      <fill>
        <patternFill>
          <bgColor rgb="FFFFFF00"/>
        </patternFill>
      </fill>
    </dxf>
    <dxf>
      <fill>
        <patternFill>
          <bgColor rgb="FFFFC000"/>
        </patternFill>
      </fill>
    </dxf>
    <dxf>
      <font>
        <condense val="0"/>
        <extend val="0"/>
        <color rgb="FF006100"/>
      </font>
      <fill>
        <patternFill>
          <bgColor rgb="FFC6EFCE"/>
        </patternFill>
      </fill>
    </dxf>
    <dxf>
      <font>
        <color auto="1"/>
      </font>
      <fill>
        <patternFill>
          <bgColor rgb="FF99FF33"/>
        </patternFill>
      </fill>
    </dxf>
    <dxf>
      <font>
        <color auto="1"/>
      </font>
      <fill>
        <patternFill>
          <bgColor rgb="FF00B050"/>
        </patternFill>
      </fill>
    </dxf>
    <dxf>
      <fill>
        <patternFill>
          <bgColor rgb="FF00B050"/>
        </patternFill>
      </fill>
    </dxf>
    <dxf>
      <fill>
        <patternFill>
          <bgColor rgb="FFFF0000"/>
        </patternFill>
      </fill>
    </dxf>
    <dxf>
      <font>
        <color auto="1"/>
      </font>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ont>
        <color auto="1"/>
      </font>
      <fill>
        <patternFill>
          <bgColor rgb="FF00B050"/>
        </patternFill>
      </fill>
    </dxf>
    <dxf>
      <font>
        <color auto="1"/>
      </font>
      <fill>
        <patternFill>
          <bgColor rgb="FF99FF33"/>
        </patternFill>
      </fill>
    </dxf>
    <dxf>
      <fill>
        <patternFill>
          <bgColor rgb="FF00B050"/>
        </patternFill>
      </fill>
    </dxf>
    <dxf>
      <fill>
        <patternFill>
          <bgColor rgb="FFFFFF00"/>
        </patternFill>
      </fill>
    </dxf>
    <dxf>
      <fill>
        <patternFill>
          <bgColor rgb="FFC000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ont>
        <color auto="1"/>
      </font>
      <fill>
        <patternFill>
          <bgColor rgb="FFFFFF00"/>
        </patternFill>
      </fill>
    </dxf>
    <dxf>
      <font>
        <condense val="0"/>
        <extend val="0"/>
        <color rgb="FF006100"/>
      </font>
      <fill>
        <patternFill>
          <bgColor rgb="FFC6EFCE"/>
        </patternFill>
      </fill>
    </dxf>
    <dxf>
      <fill>
        <patternFill>
          <bgColor rgb="FFFF0000"/>
        </patternFill>
      </fill>
    </dxf>
    <dxf>
      <fill>
        <patternFill>
          <bgColor rgb="FFFFFF00"/>
        </patternFill>
      </fill>
    </dxf>
    <dxf>
      <fill>
        <patternFill>
          <bgColor rgb="FFC00000"/>
        </patternFill>
      </fill>
    </dxf>
    <dxf>
      <font>
        <color auto="1"/>
      </font>
      <fill>
        <patternFill>
          <bgColor rgb="FF00B050"/>
        </patternFill>
      </fill>
    </dxf>
    <dxf>
      <fill>
        <patternFill>
          <bgColor rgb="FFFFFF00"/>
        </patternFill>
      </fill>
    </dxf>
    <dxf>
      <fill>
        <patternFill>
          <bgColor rgb="FFFFC000"/>
        </patternFill>
      </fill>
    </dxf>
    <dxf>
      <fill>
        <patternFill>
          <bgColor rgb="FF00B050"/>
        </patternFill>
      </fill>
    </dxf>
    <dxf>
      <font>
        <color auto="1"/>
      </font>
      <fill>
        <patternFill>
          <bgColor rgb="FF99FF33"/>
        </patternFill>
      </fill>
    </dxf>
    <dxf>
      <font>
        <color auto="1"/>
      </font>
      <fill>
        <patternFill>
          <bgColor rgb="FF00B050"/>
        </patternFill>
      </fill>
    </dxf>
    <dxf>
      <fill>
        <patternFill>
          <bgColor rgb="FF00B050"/>
        </patternFill>
      </fill>
    </dxf>
    <dxf>
      <fill>
        <patternFill>
          <bgColor rgb="FFFF0000"/>
        </patternFill>
      </fill>
    </dxf>
    <dxf>
      <font>
        <color auto="1"/>
      </font>
      <fill>
        <patternFill>
          <bgColor rgb="FFFFFF00"/>
        </patternFill>
      </fill>
    </dxf>
    <dxf>
      <font>
        <condense val="0"/>
        <extend val="0"/>
        <color rgb="FF006100"/>
      </font>
      <fill>
        <patternFill>
          <bgColor rgb="FFC6EFCE"/>
        </patternFill>
      </fill>
    </dxf>
    <dxf>
      <fill>
        <patternFill>
          <bgColor rgb="FFFF0000"/>
        </patternFill>
      </fill>
    </dxf>
    <dxf>
      <fill>
        <patternFill>
          <bgColor rgb="FFFFFF00"/>
        </patternFill>
      </fill>
    </dxf>
    <dxf>
      <font>
        <color auto="1"/>
      </font>
      <fill>
        <patternFill>
          <bgColor rgb="FF00B050"/>
        </patternFill>
      </fill>
    </dxf>
    <dxf>
      <fill>
        <patternFill>
          <bgColor rgb="FFC00000"/>
        </patternFill>
      </fill>
    </dxf>
    <dxf>
      <fill>
        <patternFill>
          <bgColor rgb="FFFFFF00"/>
        </patternFill>
      </fill>
    </dxf>
    <dxf>
      <fill>
        <patternFill>
          <bgColor rgb="FF00B050"/>
        </patternFill>
      </fill>
    </dxf>
    <dxf>
      <font>
        <color auto="1"/>
      </font>
      <fill>
        <patternFill>
          <bgColor rgb="FF99FF33"/>
        </patternFill>
      </fill>
    </dxf>
    <dxf>
      <font>
        <color auto="1"/>
      </font>
      <fill>
        <patternFill>
          <bgColor rgb="FF00B050"/>
        </patternFill>
      </fill>
    </dxf>
    <dxf>
      <fill>
        <patternFill>
          <bgColor rgb="FF00B050"/>
        </patternFill>
      </fill>
    </dxf>
    <dxf>
      <fill>
        <patternFill>
          <bgColor rgb="FFFF0000"/>
        </patternFill>
      </fill>
    </dxf>
    <dxf>
      <font>
        <color auto="1"/>
      </font>
      <fill>
        <patternFill>
          <bgColor rgb="FFFFFF00"/>
        </patternFill>
      </fill>
    </dxf>
    <dxf>
      <font>
        <condense val="0"/>
        <extend val="0"/>
        <color rgb="FF006100"/>
      </font>
      <fill>
        <patternFill>
          <bgColor rgb="FFC6EFCE"/>
        </patternFill>
      </fill>
    </dxf>
    <dxf>
      <fill>
        <patternFill>
          <bgColor rgb="FFFFC000"/>
        </patternFill>
      </fill>
    </dxf>
    <dxf>
      <fill>
        <patternFill>
          <bgColor rgb="FFFF0000"/>
        </patternFill>
      </fill>
    </dxf>
    <dxf>
      <font>
        <color auto="1"/>
      </font>
      <fill>
        <patternFill>
          <bgColor rgb="FF00B050"/>
        </patternFill>
      </fill>
    </dxf>
    <dxf>
      <font>
        <color auto="1"/>
      </font>
      <fill>
        <patternFill>
          <bgColor rgb="FF99FF33"/>
        </patternFill>
      </fill>
    </dxf>
    <dxf>
      <fill>
        <patternFill>
          <bgColor rgb="FF00B050"/>
        </patternFill>
      </fill>
    </dxf>
    <dxf>
      <fill>
        <patternFill>
          <bgColor rgb="FFFFFF00"/>
        </patternFill>
      </fill>
    </dxf>
    <dxf>
      <fill>
        <patternFill>
          <bgColor rgb="FFC00000"/>
        </patternFill>
      </fill>
    </dxf>
    <dxf>
      <fill>
        <patternFill>
          <bgColor rgb="FF00B050"/>
        </patternFill>
      </fill>
    </dxf>
    <dxf>
      <fill>
        <patternFill>
          <bgColor rgb="FFFF0000"/>
        </patternFill>
      </fill>
    </dxf>
    <dxf>
      <font>
        <color auto="1"/>
      </font>
      <fill>
        <patternFill>
          <bgColor rgb="FFFFFF00"/>
        </patternFill>
      </fill>
    </dxf>
    <dxf>
      <font>
        <condense val="0"/>
        <extend val="0"/>
        <color rgb="FF006100"/>
      </font>
      <fill>
        <patternFill>
          <bgColor rgb="FFC6EFCE"/>
        </patternFill>
      </fill>
    </dxf>
    <dxf>
      <fill>
        <patternFill>
          <bgColor rgb="FFFFFF00"/>
        </patternFill>
      </fill>
    </dxf>
    <dxf>
      <font>
        <color auto="1"/>
      </font>
      <fill>
        <patternFill>
          <bgColor rgb="FF00B050"/>
        </patternFill>
      </fill>
    </dxf>
    <dxf>
      <fill>
        <patternFill>
          <bgColor rgb="FFFF0000"/>
        </patternFill>
      </fill>
    </dxf>
    <dxf>
      <font>
        <color auto="1"/>
      </font>
      <fill>
        <patternFill>
          <bgColor rgb="FF00B050"/>
        </patternFill>
      </fill>
    </dxf>
    <dxf>
      <fill>
        <patternFill>
          <bgColor rgb="FFC00000"/>
        </patternFill>
      </fill>
    </dxf>
    <dxf>
      <fill>
        <patternFill>
          <bgColor rgb="FFFF0000"/>
        </patternFill>
      </fill>
    </dxf>
    <dxf>
      <fill>
        <patternFill>
          <bgColor rgb="FFFFFF00"/>
        </patternFill>
      </fill>
    </dxf>
    <dxf>
      <fill>
        <patternFill>
          <bgColor rgb="FFFFC000"/>
        </patternFill>
      </fill>
    </dxf>
    <dxf>
      <font>
        <condense val="0"/>
        <extend val="0"/>
        <color rgb="FF006100"/>
      </font>
      <fill>
        <patternFill>
          <bgColor rgb="FFC6EFCE"/>
        </patternFill>
      </fill>
    </dxf>
    <dxf>
      <font>
        <color auto="1"/>
      </font>
      <fill>
        <patternFill>
          <bgColor rgb="FFFFFF00"/>
        </patternFill>
      </fill>
    </dxf>
    <dxf>
      <fill>
        <patternFill>
          <bgColor rgb="FFFF0000"/>
        </patternFill>
      </fill>
    </dxf>
    <dxf>
      <fill>
        <patternFill>
          <bgColor rgb="FF00B050"/>
        </patternFill>
      </fill>
    </dxf>
    <dxf>
      <font>
        <color auto="1"/>
      </font>
      <fill>
        <patternFill>
          <bgColor rgb="FF00B050"/>
        </patternFill>
      </fill>
    </dxf>
    <dxf>
      <font>
        <color auto="1"/>
      </font>
      <fill>
        <patternFill>
          <bgColor rgb="FF99FF33"/>
        </patternFill>
      </fill>
    </dxf>
    <dxf>
      <fill>
        <patternFill>
          <bgColor rgb="FF00B050"/>
        </patternFill>
      </fill>
    </dxf>
    <dxf>
      <fill>
        <patternFill>
          <bgColor rgb="FFFFFF00"/>
        </patternFill>
      </fill>
    </dxf>
    <dxf>
      <font>
        <color auto="1"/>
      </font>
      <fill>
        <patternFill>
          <bgColor rgb="FFC00000"/>
        </patternFill>
      </fill>
    </dxf>
    <dxf>
      <fill>
        <patternFill>
          <bgColor rgb="FFFF0000"/>
        </patternFill>
      </fill>
    </dxf>
    <dxf>
      <font>
        <color auto="1"/>
      </font>
      <fill>
        <patternFill>
          <bgColor rgb="FFFFFF00"/>
        </patternFill>
      </fill>
    </dxf>
    <dxf>
      <font>
        <condense val="0"/>
        <extend val="0"/>
        <color rgb="FF006100"/>
      </font>
      <fill>
        <patternFill>
          <bgColor rgb="FFC6EFCE"/>
        </patternFill>
      </fill>
    </dxf>
    <dxf>
      <font>
        <color auto="1"/>
      </font>
      <fill>
        <patternFill>
          <bgColor rgb="FF99FF33"/>
        </patternFill>
      </fill>
    </dxf>
    <dxf>
      <fill>
        <patternFill>
          <bgColor rgb="FFFFFF00"/>
        </patternFill>
      </fill>
    </dxf>
    <dxf>
      <fill>
        <patternFill>
          <bgColor rgb="FFFF0000"/>
        </patternFill>
      </fill>
    </dxf>
    <dxf>
      <fill>
        <patternFill>
          <bgColor rgb="FFC000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ont>
        <color auto="1"/>
      </font>
      <fill>
        <patternFill>
          <bgColor rgb="FF00B050"/>
        </patternFill>
      </fill>
    </dxf>
    <dxf>
      <fill>
        <patternFill>
          <bgColor rgb="FF00B050"/>
        </patternFill>
      </fill>
    </dxf>
    <dxf>
      <fill>
        <patternFill>
          <bgColor rgb="FF00B050"/>
        </patternFill>
      </fill>
    </dxf>
    <dxf>
      <font>
        <b val="0"/>
        <i val="0"/>
        <strike val="0"/>
        <condense val="0"/>
        <extend val="0"/>
        <outline val="0"/>
        <shadow val="0"/>
        <u val="none"/>
        <vertAlign val="baseline"/>
        <sz val="10"/>
        <color auto="1"/>
        <name val="Tahoma"/>
        <scheme val="none"/>
      </font>
      <fill>
        <patternFill patternType="none">
          <fgColor indexed="64"/>
          <bgColor indexed="65"/>
        </patternFill>
      </fill>
      <alignment horizontal="left" vertical="center" textRotation="0" wrapText="1" indent="0" justifyLastLine="0" shrinkToFit="0" readingOrder="0"/>
    </dxf>
    <dxf>
      <font>
        <b/>
        <i val="0"/>
        <strike val="0"/>
        <condense val="0"/>
        <extend val="0"/>
        <outline val="0"/>
        <shadow val="0"/>
        <u val="none"/>
        <vertAlign val="baseline"/>
        <sz val="10"/>
        <color auto="1"/>
        <name val="Tahoma"/>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bottom/>
        <vertical/>
        <horizontal/>
      </border>
    </dxf>
    <dxf>
      <font>
        <b/>
        <i val="0"/>
        <strike val="0"/>
        <condense val="0"/>
        <extend val="0"/>
        <outline val="0"/>
        <shadow val="0"/>
        <u val="none"/>
        <vertAlign val="baseline"/>
        <sz val="10"/>
        <color auto="1"/>
        <name val="Tahoma"/>
        <scheme val="none"/>
      </font>
      <fill>
        <patternFill patternType="none">
          <fgColor indexed="64"/>
          <bgColor indexed="65"/>
        </patternFill>
      </fill>
      <alignment horizontal="center" vertical="center" textRotation="0" wrapText="1" indent="0" justifyLastLine="0" shrinkToFit="0" readingOrder="0"/>
    </dxf>
  </dxfs>
  <tableStyles count="0" defaultTableStyle="TableStyleMedium2" defaultPivotStyle="PivotStyleLight16"/>
  <colors>
    <mruColors>
      <color rgb="FFFFDDDD"/>
      <color rgb="FFFFFFC5"/>
      <color rgb="FFFFFF00"/>
      <color rgb="FFD7D200"/>
      <color rgb="FFCCCC00"/>
      <color rgb="FFDDDDDD"/>
      <color rgb="FF42637E"/>
      <color rgb="FF59D5C0"/>
      <color rgb="FF934BC9"/>
      <color rgb="FF1CE2A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r>
              <a:rPr lang="tr-TR" b="1">
                <a:solidFill>
                  <a:sysClr val="windowText" lastClr="000000"/>
                </a:solidFill>
                <a:latin typeface="Tahoma" panose="020B0604030504040204" pitchFamily="34" charset="0"/>
                <a:ea typeface="Tahoma" panose="020B0604030504040204" pitchFamily="34" charset="0"/>
                <a:cs typeface="Tahoma" panose="020B0604030504040204" pitchFamily="34" charset="0"/>
              </a:rPr>
              <a:t>Mevcut Durumda Alt</a:t>
            </a:r>
            <a:r>
              <a:rPr lang="tr-TR" b="1"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rPr>
              <a:t> Risk Kategorilerine Göre Risk Düzey Dağılımı</a:t>
            </a:r>
            <a:endParaRPr lang="en-US"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c:rich>
      </c:tx>
      <c:layout>
        <c:manualLayout>
          <c:xMode val="edge"/>
          <c:yMode val="edge"/>
          <c:x val="0.27363344862158362"/>
          <c:y val="5.69812325554166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en-US"/>
        </a:p>
      </c:txPr>
    </c:title>
    <c:autoTitleDeleted val="0"/>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col"/>
        <c:grouping val="clustered"/>
        <c:varyColors val="0"/>
        <c:ser>
          <c:idx val="0"/>
          <c:order val="0"/>
          <c:tx>
            <c:strRef>
              <c:f>'Analiz (Birim Bazlı)'!$C$6</c:f>
              <c:strCache>
                <c:ptCount val="1"/>
                <c:pt idx="0">
                  <c:v>Düşük Risk</c:v>
                </c:pt>
              </c:strCache>
            </c:strRef>
          </c:tx>
          <c:spPr>
            <a:solidFill>
              <a:srgbClr val="00B05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'Analiz (Birim Bazlı)'!$B$7:$B$39</c15:sqref>
                  </c15:fullRef>
                </c:ext>
              </c:extLst>
              <c:f>('Analiz (Birim Bazlı)'!$B$13:$B$17,'Analiz (Birim Bazlı)'!$B$19:$B$26)</c:f>
              <c:strCache>
                <c:ptCount val="13"/>
                <c:pt idx="0">
                  <c:v>Güvenlik - Fiziksel Risk Etmenleri</c:v>
                </c:pt>
                <c:pt idx="1">
                  <c:v>Güvenlik - Biyolojik Risk Etmenleri</c:v>
                </c:pt>
                <c:pt idx="2">
                  <c:v>Güvenlik - Psikososyal Risk Etmenleri</c:v>
                </c:pt>
                <c:pt idx="3">
                  <c:v>Güvenlik - Ergonomik Risk Etmenler</c:v>
                </c:pt>
                <c:pt idx="4">
                  <c:v>Tehlikeli Madde Yönetimi / Kimyasal Risk Etmenleri</c:v>
                </c:pt>
                <c:pt idx="5">
                  <c:v>Atık Yönetimi</c:v>
                </c:pt>
                <c:pt idx="6">
                  <c:v>Tıbbi Cihaz ve Malzeme Yönetimi</c:v>
                </c:pt>
                <c:pt idx="7">
                  <c:v>Diğer Cihaz ve Malzemelerin Yönetimi</c:v>
                </c:pt>
                <c:pt idx="8">
                  <c:v>Yangın Güvenliği</c:v>
                </c:pt>
                <c:pt idx="9">
                  <c:v>Altyapı Sistemleri</c:v>
                </c:pt>
                <c:pt idx="10">
                  <c:v>İnşaat ve Renovasyon</c:v>
                </c:pt>
                <c:pt idx="11">
                  <c:v>Acil Durum ve Afet Yönetimi</c:v>
                </c:pt>
                <c:pt idx="12">
                  <c:v>Emniyet</c:v>
                </c:pt>
              </c:strCache>
            </c:strRef>
          </c:cat>
          <c:val>
            <c:numRef>
              <c:extLst>
                <c:ext xmlns:c15="http://schemas.microsoft.com/office/drawing/2012/chart" uri="{02D57815-91ED-43cb-92C2-25804820EDAC}">
                  <c15:fullRef>
                    <c15:sqref>'Analiz (Birim Bazlı)'!$C$7:$C$39</c15:sqref>
                  </c15:fullRef>
                </c:ext>
              </c:extLst>
              <c:f>('Analiz (Birim Bazlı)'!$C$13:$C$17,'Analiz (Birim Bazlı)'!$C$19:$C$26)</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5="http://schemas.microsoft.com/office/drawing/2012/chart" uri="{02D57815-91ED-43cb-92C2-25804820EDAC}">
              <c15:categoryFilterExceptions>
                <c15:categoryFilterException>
                  <c15:sqref>'Analiz (Birim Bazlı)'!$C$7</c15:sqref>
                  <c15:dLbl>
                    <c:idx val="-1"/>
                    <c:tx>
                      <c:rich>
                        <a:bodyPr/>
                        <a:lstStyle/>
                        <a:p>
                          <a:fld id="{FD4E13AC-907C-48CD-A4A1-0B57A6A465B4}" type="VALUE">
                            <a:rPr lang="en-US"/>
                            <a:pPr/>
                            <a:t>[DEĞER]</a:t>
                          </a:fld>
                          <a:endParaRPr lang="tr-TR"/>
                        </a:p>
                      </c:rich>
                    </c:tx>
                    <c:showLegendKey val="0"/>
                    <c:showVal val="1"/>
                    <c:showCatName val="0"/>
                    <c:showSerName val="0"/>
                    <c:showPercent val="0"/>
                    <c:showBubbleSize val="0"/>
                    <c:extLst xmlns:c16="http://schemas.microsoft.com/office/drawing/2014/chart">
                      <c:ext uri="{CE6537A1-D6FC-4f65-9D91-7224C49458BB}">
                        <c15:dlblFieldTable/>
                        <c15:showDataLabelsRange val="0"/>
                      </c:ext>
                      <c:ext xmlns:c16="http://schemas.microsoft.com/office/drawing/2014/chart" uri="{C3380CC4-5D6E-409C-BE32-E72D297353CC}">
                        <c16:uniqueId val="{00000000-6656-B04B-AD86-47C686407561}"/>
                      </c:ext>
                    </c:extLst>
                  </c15:dLbl>
                </c15:categoryFilterException>
              </c15:categoryFilterExceptions>
            </c:ext>
            <c:ext xmlns:c16="http://schemas.microsoft.com/office/drawing/2014/chart" uri="{C3380CC4-5D6E-409C-BE32-E72D297353CC}">
              <c16:uniqueId val="{00000000-B338-4A3E-8204-5EC172F25CFA}"/>
            </c:ext>
          </c:extLst>
        </c:ser>
        <c:ser>
          <c:idx val="1"/>
          <c:order val="1"/>
          <c:tx>
            <c:strRef>
              <c:f>'Analiz (Birim Bazlı)'!$D$6</c:f>
              <c:strCache>
                <c:ptCount val="1"/>
                <c:pt idx="0">
                  <c:v>Olası Risk</c:v>
                </c:pt>
              </c:strCache>
            </c:strRef>
          </c:tx>
          <c:spPr>
            <a:solidFill>
              <a:srgbClr val="FFFF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'Analiz (Birim Bazlı)'!$B$7:$B$39</c15:sqref>
                  </c15:fullRef>
                </c:ext>
              </c:extLst>
              <c:f>('Analiz (Birim Bazlı)'!$B$13:$B$17,'Analiz (Birim Bazlı)'!$B$19:$B$26)</c:f>
              <c:strCache>
                <c:ptCount val="13"/>
                <c:pt idx="0">
                  <c:v>Güvenlik - Fiziksel Risk Etmenleri</c:v>
                </c:pt>
                <c:pt idx="1">
                  <c:v>Güvenlik - Biyolojik Risk Etmenleri</c:v>
                </c:pt>
                <c:pt idx="2">
                  <c:v>Güvenlik - Psikososyal Risk Etmenleri</c:v>
                </c:pt>
                <c:pt idx="3">
                  <c:v>Güvenlik - Ergonomik Risk Etmenler</c:v>
                </c:pt>
                <c:pt idx="4">
                  <c:v>Tehlikeli Madde Yönetimi / Kimyasal Risk Etmenleri</c:v>
                </c:pt>
                <c:pt idx="5">
                  <c:v>Atık Yönetimi</c:v>
                </c:pt>
                <c:pt idx="6">
                  <c:v>Tıbbi Cihaz ve Malzeme Yönetimi</c:v>
                </c:pt>
                <c:pt idx="7">
                  <c:v>Diğer Cihaz ve Malzemelerin Yönetimi</c:v>
                </c:pt>
                <c:pt idx="8">
                  <c:v>Yangın Güvenliği</c:v>
                </c:pt>
                <c:pt idx="9">
                  <c:v>Altyapı Sistemleri</c:v>
                </c:pt>
                <c:pt idx="10">
                  <c:v>İnşaat ve Renovasyon</c:v>
                </c:pt>
                <c:pt idx="11">
                  <c:v>Acil Durum ve Afet Yönetimi</c:v>
                </c:pt>
                <c:pt idx="12">
                  <c:v>Emniyet</c:v>
                </c:pt>
              </c:strCache>
            </c:strRef>
          </c:cat>
          <c:val>
            <c:numRef>
              <c:extLst>
                <c:ext xmlns:c15="http://schemas.microsoft.com/office/drawing/2012/chart" uri="{02D57815-91ED-43cb-92C2-25804820EDAC}">
                  <c15:fullRef>
                    <c15:sqref>'Analiz (Birim Bazlı)'!$D$7:$D$39</c15:sqref>
                  </c15:fullRef>
                </c:ext>
              </c:extLst>
              <c:f>('Analiz (Birim Bazlı)'!$D$13:$D$17,'Analiz (Birim Bazlı)'!$D$19:$D$26)</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1-B338-4A3E-8204-5EC172F25CFA}"/>
            </c:ext>
          </c:extLst>
        </c:ser>
        <c:ser>
          <c:idx val="2"/>
          <c:order val="2"/>
          <c:tx>
            <c:strRef>
              <c:f>'Analiz (Birim Bazlı)'!$E$6</c:f>
              <c:strCache>
                <c:ptCount val="1"/>
                <c:pt idx="0">
                  <c:v>Önemli Risk</c:v>
                </c:pt>
              </c:strCache>
            </c:strRef>
          </c:tx>
          <c:spPr>
            <a:solidFill>
              <a:srgbClr val="FFC0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'Analiz (Birim Bazlı)'!$B$7:$B$39</c15:sqref>
                  </c15:fullRef>
                </c:ext>
              </c:extLst>
              <c:f>('Analiz (Birim Bazlı)'!$B$13:$B$17,'Analiz (Birim Bazlı)'!$B$19:$B$26)</c:f>
              <c:strCache>
                <c:ptCount val="13"/>
                <c:pt idx="0">
                  <c:v>Güvenlik - Fiziksel Risk Etmenleri</c:v>
                </c:pt>
                <c:pt idx="1">
                  <c:v>Güvenlik - Biyolojik Risk Etmenleri</c:v>
                </c:pt>
                <c:pt idx="2">
                  <c:v>Güvenlik - Psikososyal Risk Etmenleri</c:v>
                </c:pt>
                <c:pt idx="3">
                  <c:v>Güvenlik - Ergonomik Risk Etmenler</c:v>
                </c:pt>
                <c:pt idx="4">
                  <c:v>Tehlikeli Madde Yönetimi / Kimyasal Risk Etmenleri</c:v>
                </c:pt>
                <c:pt idx="5">
                  <c:v>Atık Yönetimi</c:v>
                </c:pt>
                <c:pt idx="6">
                  <c:v>Tıbbi Cihaz ve Malzeme Yönetimi</c:v>
                </c:pt>
                <c:pt idx="7">
                  <c:v>Diğer Cihaz ve Malzemelerin Yönetimi</c:v>
                </c:pt>
                <c:pt idx="8">
                  <c:v>Yangın Güvenliği</c:v>
                </c:pt>
                <c:pt idx="9">
                  <c:v>Altyapı Sistemleri</c:v>
                </c:pt>
                <c:pt idx="10">
                  <c:v>İnşaat ve Renovasyon</c:v>
                </c:pt>
                <c:pt idx="11">
                  <c:v>Acil Durum ve Afet Yönetimi</c:v>
                </c:pt>
                <c:pt idx="12">
                  <c:v>Emniyet</c:v>
                </c:pt>
              </c:strCache>
            </c:strRef>
          </c:cat>
          <c:val>
            <c:numRef>
              <c:extLst>
                <c:ext xmlns:c15="http://schemas.microsoft.com/office/drawing/2012/chart" uri="{02D57815-91ED-43cb-92C2-25804820EDAC}">
                  <c15:fullRef>
                    <c15:sqref>'Analiz (Birim Bazlı)'!$E$7:$E$39</c15:sqref>
                  </c15:fullRef>
                </c:ext>
              </c:extLst>
              <c:f>('Analiz (Birim Bazlı)'!$E$13:$E$17,'Analiz (Birim Bazlı)'!$E$19:$E$26)</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2-B338-4A3E-8204-5EC172F25CFA}"/>
            </c:ext>
          </c:extLst>
        </c:ser>
        <c:ser>
          <c:idx val="3"/>
          <c:order val="3"/>
          <c:tx>
            <c:strRef>
              <c:f>'Analiz (Birim Bazlı)'!$F$6</c:f>
              <c:strCache>
                <c:ptCount val="1"/>
                <c:pt idx="0">
                  <c:v>Yüksek Risk</c:v>
                </c:pt>
              </c:strCache>
            </c:strRef>
          </c:tx>
          <c:spPr>
            <a:solidFill>
              <a:srgbClr val="FF00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'Analiz (Birim Bazlı)'!$B$7:$B$39</c15:sqref>
                  </c15:fullRef>
                </c:ext>
              </c:extLst>
              <c:f>('Analiz (Birim Bazlı)'!$B$13:$B$17,'Analiz (Birim Bazlı)'!$B$19:$B$26)</c:f>
              <c:strCache>
                <c:ptCount val="13"/>
                <c:pt idx="0">
                  <c:v>Güvenlik - Fiziksel Risk Etmenleri</c:v>
                </c:pt>
                <c:pt idx="1">
                  <c:v>Güvenlik - Biyolojik Risk Etmenleri</c:v>
                </c:pt>
                <c:pt idx="2">
                  <c:v>Güvenlik - Psikososyal Risk Etmenleri</c:v>
                </c:pt>
                <c:pt idx="3">
                  <c:v>Güvenlik - Ergonomik Risk Etmenler</c:v>
                </c:pt>
                <c:pt idx="4">
                  <c:v>Tehlikeli Madde Yönetimi / Kimyasal Risk Etmenleri</c:v>
                </c:pt>
                <c:pt idx="5">
                  <c:v>Atık Yönetimi</c:v>
                </c:pt>
                <c:pt idx="6">
                  <c:v>Tıbbi Cihaz ve Malzeme Yönetimi</c:v>
                </c:pt>
                <c:pt idx="7">
                  <c:v>Diğer Cihaz ve Malzemelerin Yönetimi</c:v>
                </c:pt>
                <c:pt idx="8">
                  <c:v>Yangın Güvenliği</c:v>
                </c:pt>
                <c:pt idx="9">
                  <c:v>Altyapı Sistemleri</c:v>
                </c:pt>
                <c:pt idx="10">
                  <c:v>İnşaat ve Renovasyon</c:v>
                </c:pt>
                <c:pt idx="11">
                  <c:v>Acil Durum ve Afet Yönetimi</c:v>
                </c:pt>
                <c:pt idx="12">
                  <c:v>Emniyet</c:v>
                </c:pt>
              </c:strCache>
            </c:strRef>
          </c:cat>
          <c:val>
            <c:numRef>
              <c:extLst>
                <c:ext xmlns:c15="http://schemas.microsoft.com/office/drawing/2012/chart" uri="{02D57815-91ED-43cb-92C2-25804820EDAC}">
                  <c15:fullRef>
                    <c15:sqref>'Analiz (Birim Bazlı)'!$F$7:$F$39</c15:sqref>
                  </c15:fullRef>
                </c:ext>
              </c:extLst>
              <c:f>('Analiz (Birim Bazlı)'!$F$13:$F$17,'Analiz (Birim Bazlı)'!$F$19:$F$26)</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3-B338-4A3E-8204-5EC172F25CFA}"/>
            </c:ext>
          </c:extLst>
        </c:ser>
        <c:ser>
          <c:idx val="4"/>
          <c:order val="4"/>
          <c:tx>
            <c:strRef>
              <c:f>'Analiz (Birim Bazlı)'!$G$6</c:f>
              <c:strCache>
                <c:ptCount val="1"/>
                <c:pt idx="0">
                  <c:v>Kabul Edilemez Risk</c:v>
                </c:pt>
              </c:strCache>
            </c:strRef>
          </c:tx>
          <c:spPr>
            <a:solidFill>
              <a:srgbClr val="C000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'Analiz (Birim Bazlı)'!$B$7:$B$39</c15:sqref>
                  </c15:fullRef>
                </c:ext>
              </c:extLst>
              <c:f>('Analiz (Birim Bazlı)'!$B$13:$B$17,'Analiz (Birim Bazlı)'!$B$19:$B$26)</c:f>
              <c:strCache>
                <c:ptCount val="13"/>
                <c:pt idx="0">
                  <c:v>Güvenlik - Fiziksel Risk Etmenleri</c:v>
                </c:pt>
                <c:pt idx="1">
                  <c:v>Güvenlik - Biyolojik Risk Etmenleri</c:v>
                </c:pt>
                <c:pt idx="2">
                  <c:v>Güvenlik - Psikososyal Risk Etmenleri</c:v>
                </c:pt>
                <c:pt idx="3">
                  <c:v>Güvenlik - Ergonomik Risk Etmenler</c:v>
                </c:pt>
                <c:pt idx="4">
                  <c:v>Tehlikeli Madde Yönetimi / Kimyasal Risk Etmenleri</c:v>
                </c:pt>
                <c:pt idx="5">
                  <c:v>Atık Yönetimi</c:v>
                </c:pt>
                <c:pt idx="6">
                  <c:v>Tıbbi Cihaz ve Malzeme Yönetimi</c:v>
                </c:pt>
                <c:pt idx="7">
                  <c:v>Diğer Cihaz ve Malzemelerin Yönetimi</c:v>
                </c:pt>
                <c:pt idx="8">
                  <c:v>Yangın Güvenliği</c:v>
                </c:pt>
                <c:pt idx="9">
                  <c:v>Altyapı Sistemleri</c:v>
                </c:pt>
                <c:pt idx="10">
                  <c:v>İnşaat ve Renovasyon</c:v>
                </c:pt>
                <c:pt idx="11">
                  <c:v>Acil Durum ve Afet Yönetimi</c:v>
                </c:pt>
                <c:pt idx="12">
                  <c:v>Emniyet</c:v>
                </c:pt>
              </c:strCache>
            </c:strRef>
          </c:cat>
          <c:val>
            <c:numRef>
              <c:extLst>
                <c:ext xmlns:c15="http://schemas.microsoft.com/office/drawing/2012/chart" uri="{02D57815-91ED-43cb-92C2-25804820EDAC}">
                  <c15:fullRef>
                    <c15:sqref>'Analiz (Birim Bazlı)'!$G$7:$G$39</c15:sqref>
                  </c15:fullRef>
                </c:ext>
              </c:extLst>
              <c:f>('Analiz (Birim Bazlı)'!$G$13:$G$17,'Analiz (Birim Bazlı)'!$G$19:$G$26)</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4-B338-4A3E-8204-5EC172F25CFA}"/>
            </c:ext>
          </c:extLst>
        </c:ser>
        <c:dLbls>
          <c:showLegendKey val="0"/>
          <c:showVal val="1"/>
          <c:showCatName val="0"/>
          <c:showSerName val="0"/>
          <c:showPercent val="0"/>
          <c:showBubbleSize val="0"/>
        </c:dLbls>
        <c:gapWidth val="150"/>
        <c:shape val="box"/>
        <c:axId val="-1467924080"/>
        <c:axId val="-1467930064"/>
        <c:axId val="0"/>
      </c:bar3DChart>
      <c:catAx>
        <c:axId val="-14679240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crossAx val="-1467930064"/>
        <c:crosses val="autoZero"/>
        <c:auto val="1"/>
        <c:lblAlgn val="ctr"/>
        <c:lblOffset val="100"/>
        <c:noMultiLvlLbl val="0"/>
      </c:catAx>
      <c:valAx>
        <c:axId val="-1467930064"/>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4679240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noFill/>
      <a:round/>
    </a:ln>
    <a:effectLst/>
  </c:spPr>
  <c:txPr>
    <a:bodyPr/>
    <a:lstStyle/>
    <a:p>
      <a:pPr>
        <a:defRPr/>
      </a:pPr>
      <a:endParaRPr lang="tr-T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r>
              <a:rPr lang="tr-TR" b="1">
                <a:solidFill>
                  <a:sysClr val="windowText" lastClr="000000"/>
                </a:solidFill>
                <a:latin typeface="Tahoma" panose="020B0604030504040204" pitchFamily="34" charset="0"/>
                <a:ea typeface="Tahoma" panose="020B0604030504040204" pitchFamily="34" charset="0"/>
                <a:cs typeface="Tahoma" panose="020B0604030504040204" pitchFamily="34" charset="0"/>
              </a:rPr>
              <a:t>İyileştirme Sonrası </a:t>
            </a:r>
            <a:r>
              <a:rPr lang="tr-TR" sz="1400" b="1" i="0" u="none" strike="noStrike" baseline="0">
                <a:effectLst/>
              </a:rPr>
              <a:t>Alt Risk Kategorilerine Göre </a:t>
            </a:r>
            <a:r>
              <a:rPr lang="tr-TR" b="1">
                <a:solidFill>
                  <a:sysClr val="windowText" lastClr="000000"/>
                </a:solidFill>
                <a:latin typeface="Tahoma" panose="020B0604030504040204" pitchFamily="34" charset="0"/>
                <a:ea typeface="Tahoma" panose="020B0604030504040204" pitchFamily="34" charset="0"/>
                <a:cs typeface="Tahoma" panose="020B0604030504040204" pitchFamily="34" charset="0"/>
              </a:rPr>
              <a:t>Risk</a:t>
            </a:r>
            <a:r>
              <a:rPr lang="tr-TR" b="1"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rPr>
              <a:t> Düzey Dağılımı</a:t>
            </a:r>
            <a:endParaRPr lang="en-US"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c:rich>
      </c:tx>
      <c:layout>
        <c:manualLayout>
          <c:xMode val="edge"/>
          <c:yMode val="edge"/>
          <c:x val="0.27288871092127898"/>
          <c:y val="5.593305649930791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'Analiz (Birim Bazlı)'!$I$6</c:f>
              <c:strCache>
                <c:ptCount val="1"/>
                <c:pt idx="0">
                  <c:v>Düşük Risk</c:v>
                </c:pt>
              </c:strCache>
            </c:strRef>
          </c:tx>
          <c:spPr>
            <a:solidFill>
              <a:srgbClr val="00B05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'Analiz (Birim Bazlı)'!$B$7:$B$39</c15:sqref>
                  </c15:fullRef>
                </c:ext>
              </c:extLst>
              <c:f>('Analiz (Birim Bazlı)'!$B$9:$B$13,'Analiz (Birim Bazlı)'!$B$15:$B$22)</c:f>
              <c:strCache>
                <c:ptCount val="13"/>
                <c:pt idx="0">
                  <c:v>Güvenlik - Fiziksel Risk Etmenleri</c:v>
                </c:pt>
                <c:pt idx="1">
                  <c:v>Güvenlik - Biyolojik Risk Etmenleri</c:v>
                </c:pt>
                <c:pt idx="2">
                  <c:v>Güvenlik - Psikososyal Risk Etmenleri</c:v>
                </c:pt>
                <c:pt idx="3">
                  <c:v>Güvenlik - Ergonomik Risk Etmenler</c:v>
                </c:pt>
                <c:pt idx="4">
                  <c:v>Tehlikeli Madde Yönetimi / Kimyasal Risk Etmenleri</c:v>
                </c:pt>
                <c:pt idx="5">
                  <c:v>Atık Yönetimi</c:v>
                </c:pt>
                <c:pt idx="6">
                  <c:v>Tıbbi Cihaz ve Malzeme Yönetimi</c:v>
                </c:pt>
                <c:pt idx="7">
                  <c:v>Diğer Cihaz ve Malzemelerin Yönetimi</c:v>
                </c:pt>
                <c:pt idx="8">
                  <c:v>Yangın Güvenliği</c:v>
                </c:pt>
                <c:pt idx="9">
                  <c:v>Altyapı Sistemleri</c:v>
                </c:pt>
                <c:pt idx="10">
                  <c:v>İnşaat ve Renovasyon</c:v>
                </c:pt>
                <c:pt idx="11">
                  <c:v>Acil Durum ve Afet Yönetimi</c:v>
                </c:pt>
                <c:pt idx="12">
                  <c:v>Emniyet</c:v>
                </c:pt>
              </c:strCache>
            </c:strRef>
          </c:cat>
          <c:val>
            <c:numRef>
              <c:extLst>
                <c:ext xmlns:c15="http://schemas.microsoft.com/office/drawing/2012/chart" uri="{02D57815-91ED-43cb-92C2-25804820EDAC}">
                  <c15:fullRef>
                    <c15:sqref>'Analiz (Birim Bazlı)'!$I$7:$I$39</c15:sqref>
                  </c15:fullRef>
                </c:ext>
              </c:extLst>
              <c:f>('Analiz (Birim Bazlı)'!$I$9:$I$13,'Analiz (Birim Bazlı)'!$I$15:$I$22)</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0-20EE-4604-83A3-CCBAADE6A997}"/>
            </c:ext>
          </c:extLst>
        </c:ser>
        <c:ser>
          <c:idx val="1"/>
          <c:order val="1"/>
          <c:tx>
            <c:strRef>
              <c:f>'Analiz (Birim Bazlı)'!$J$6</c:f>
              <c:strCache>
                <c:ptCount val="1"/>
                <c:pt idx="0">
                  <c:v>Olası Risk</c:v>
                </c:pt>
              </c:strCache>
            </c:strRef>
          </c:tx>
          <c:spPr>
            <a:solidFill>
              <a:srgbClr val="FFFF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'Analiz (Birim Bazlı)'!$B$7:$B$39</c15:sqref>
                  </c15:fullRef>
                </c:ext>
              </c:extLst>
              <c:f>('Analiz (Birim Bazlı)'!$B$9:$B$13,'Analiz (Birim Bazlı)'!$B$15:$B$22)</c:f>
              <c:strCache>
                <c:ptCount val="13"/>
                <c:pt idx="0">
                  <c:v>Güvenlik - Fiziksel Risk Etmenleri</c:v>
                </c:pt>
                <c:pt idx="1">
                  <c:v>Güvenlik - Biyolojik Risk Etmenleri</c:v>
                </c:pt>
                <c:pt idx="2">
                  <c:v>Güvenlik - Psikososyal Risk Etmenleri</c:v>
                </c:pt>
                <c:pt idx="3">
                  <c:v>Güvenlik - Ergonomik Risk Etmenler</c:v>
                </c:pt>
                <c:pt idx="4">
                  <c:v>Tehlikeli Madde Yönetimi / Kimyasal Risk Etmenleri</c:v>
                </c:pt>
                <c:pt idx="5">
                  <c:v>Atık Yönetimi</c:v>
                </c:pt>
                <c:pt idx="6">
                  <c:v>Tıbbi Cihaz ve Malzeme Yönetimi</c:v>
                </c:pt>
                <c:pt idx="7">
                  <c:v>Diğer Cihaz ve Malzemelerin Yönetimi</c:v>
                </c:pt>
                <c:pt idx="8">
                  <c:v>Yangın Güvenliği</c:v>
                </c:pt>
                <c:pt idx="9">
                  <c:v>Altyapı Sistemleri</c:v>
                </c:pt>
                <c:pt idx="10">
                  <c:v>İnşaat ve Renovasyon</c:v>
                </c:pt>
                <c:pt idx="11">
                  <c:v>Acil Durum ve Afet Yönetimi</c:v>
                </c:pt>
                <c:pt idx="12">
                  <c:v>Emniyet</c:v>
                </c:pt>
              </c:strCache>
            </c:strRef>
          </c:cat>
          <c:val>
            <c:numRef>
              <c:extLst>
                <c:ext xmlns:c15="http://schemas.microsoft.com/office/drawing/2012/chart" uri="{02D57815-91ED-43cb-92C2-25804820EDAC}">
                  <c15:fullRef>
                    <c15:sqref>'Analiz (Birim Bazlı)'!$J$7:$J$39</c15:sqref>
                  </c15:fullRef>
                </c:ext>
              </c:extLst>
              <c:f>('Analiz (Birim Bazlı)'!$J$9:$J$13,'Analiz (Birim Bazlı)'!$J$15:$J$22)</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1-20EE-4604-83A3-CCBAADE6A997}"/>
            </c:ext>
          </c:extLst>
        </c:ser>
        <c:ser>
          <c:idx val="2"/>
          <c:order val="2"/>
          <c:tx>
            <c:strRef>
              <c:f>'Analiz (Birim Bazlı)'!$K$6</c:f>
              <c:strCache>
                <c:ptCount val="1"/>
                <c:pt idx="0">
                  <c:v>Önemli Risk</c:v>
                </c:pt>
              </c:strCache>
            </c:strRef>
          </c:tx>
          <c:spPr>
            <a:solidFill>
              <a:srgbClr val="FFC0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'Analiz (Birim Bazlı)'!$B$7:$B$39</c15:sqref>
                  </c15:fullRef>
                </c:ext>
              </c:extLst>
              <c:f>('Analiz (Birim Bazlı)'!$B$9:$B$13,'Analiz (Birim Bazlı)'!$B$15:$B$22)</c:f>
              <c:strCache>
                <c:ptCount val="13"/>
                <c:pt idx="0">
                  <c:v>Güvenlik - Fiziksel Risk Etmenleri</c:v>
                </c:pt>
                <c:pt idx="1">
                  <c:v>Güvenlik - Biyolojik Risk Etmenleri</c:v>
                </c:pt>
                <c:pt idx="2">
                  <c:v>Güvenlik - Psikososyal Risk Etmenleri</c:v>
                </c:pt>
                <c:pt idx="3">
                  <c:v>Güvenlik - Ergonomik Risk Etmenler</c:v>
                </c:pt>
                <c:pt idx="4">
                  <c:v>Tehlikeli Madde Yönetimi / Kimyasal Risk Etmenleri</c:v>
                </c:pt>
                <c:pt idx="5">
                  <c:v>Atık Yönetimi</c:v>
                </c:pt>
                <c:pt idx="6">
                  <c:v>Tıbbi Cihaz ve Malzeme Yönetimi</c:v>
                </c:pt>
                <c:pt idx="7">
                  <c:v>Diğer Cihaz ve Malzemelerin Yönetimi</c:v>
                </c:pt>
                <c:pt idx="8">
                  <c:v>Yangın Güvenliği</c:v>
                </c:pt>
                <c:pt idx="9">
                  <c:v>Altyapı Sistemleri</c:v>
                </c:pt>
                <c:pt idx="10">
                  <c:v>İnşaat ve Renovasyon</c:v>
                </c:pt>
                <c:pt idx="11">
                  <c:v>Acil Durum ve Afet Yönetimi</c:v>
                </c:pt>
                <c:pt idx="12">
                  <c:v>Emniyet</c:v>
                </c:pt>
              </c:strCache>
            </c:strRef>
          </c:cat>
          <c:val>
            <c:numRef>
              <c:extLst>
                <c:ext xmlns:c15="http://schemas.microsoft.com/office/drawing/2012/chart" uri="{02D57815-91ED-43cb-92C2-25804820EDAC}">
                  <c15:fullRef>
                    <c15:sqref>'Analiz (Birim Bazlı)'!$K$7:$K$39</c15:sqref>
                  </c15:fullRef>
                </c:ext>
              </c:extLst>
              <c:f>('Analiz (Birim Bazlı)'!$K$9:$K$13,'Analiz (Birim Bazlı)'!$K$15:$K$22)</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2-20EE-4604-83A3-CCBAADE6A997}"/>
            </c:ext>
          </c:extLst>
        </c:ser>
        <c:ser>
          <c:idx val="3"/>
          <c:order val="3"/>
          <c:tx>
            <c:strRef>
              <c:f>'Analiz (Birim Bazlı)'!$L$6</c:f>
              <c:strCache>
                <c:ptCount val="1"/>
                <c:pt idx="0">
                  <c:v>Yüksek Risk</c:v>
                </c:pt>
              </c:strCache>
            </c:strRef>
          </c:tx>
          <c:spPr>
            <a:solidFill>
              <a:srgbClr val="FF00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'Analiz (Birim Bazlı)'!$B$7:$B$39</c15:sqref>
                  </c15:fullRef>
                </c:ext>
              </c:extLst>
              <c:f>('Analiz (Birim Bazlı)'!$B$9:$B$13,'Analiz (Birim Bazlı)'!$B$15:$B$22)</c:f>
              <c:strCache>
                <c:ptCount val="13"/>
                <c:pt idx="0">
                  <c:v>Güvenlik - Fiziksel Risk Etmenleri</c:v>
                </c:pt>
                <c:pt idx="1">
                  <c:v>Güvenlik - Biyolojik Risk Etmenleri</c:v>
                </c:pt>
                <c:pt idx="2">
                  <c:v>Güvenlik - Psikososyal Risk Etmenleri</c:v>
                </c:pt>
                <c:pt idx="3">
                  <c:v>Güvenlik - Ergonomik Risk Etmenler</c:v>
                </c:pt>
                <c:pt idx="4">
                  <c:v>Tehlikeli Madde Yönetimi / Kimyasal Risk Etmenleri</c:v>
                </c:pt>
                <c:pt idx="5">
                  <c:v>Atık Yönetimi</c:v>
                </c:pt>
                <c:pt idx="6">
                  <c:v>Tıbbi Cihaz ve Malzeme Yönetimi</c:v>
                </c:pt>
                <c:pt idx="7">
                  <c:v>Diğer Cihaz ve Malzemelerin Yönetimi</c:v>
                </c:pt>
                <c:pt idx="8">
                  <c:v>Yangın Güvenliği</c:v>
                </c:pt>
                <c:pt idx="9">
                  <c:v>Altyapı Sistemleri</c:v>
                </c:pt>
                <c:pt idx="10">
                  <c:v>İnşaat ve Renovasyon</c:v>
                </c:pt>
                <c:pt idx="11">
                  <c:v>Acil Durum ve Afet Yönetimi</c:v>
                </c:pt>
                <c:pt idx="12">
                  <c:v>Emniyet</c:v>
                </c:pt>
              </c:strCache>
            </c:strRef>
          </c:cat>
          <c:val>
            <c:numRef>
              <c:extLst>
                <c:ext xmlns:c15="http://schemas.microsoft.com/office/drawing/2012/chart" uri="{02D57815-91ED-43cb-92C2-25804820EDAC}">
                  <c15:fullRef>
                    <c15:sqref>'Analiz (Birim Bazlı)'!$L$7:$L$39</c15:sqref>
                  </c15:fullRef>
                </c:ext>
              </c:extLst>
              <c:f>('Analiz (Birim Bazlı)'!$L$9:$L$13,'Analiz (Birim Bazlı)'!$L$15:$L$22)</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3-20EE-4604-83A3-CCBAADE6A997}"/>
            </c:ext>
          </c:extLst>
        </c:ser>
        <c:ser>
          <c:idx val="4"/>
          <c:order val="4"/>
          <c:tx>
            <c:strRef>
              <c:f>'Analiz (Birim Bazlı)'!$M$6</c:f>
              <c:strCache>
                <c:ptCount val="1"/>
                <c:pt idx="0">
                  <c:v>Kabul Edilemez Risk</c:v>
                </c:pt>
              </c:strCache>
            </c:strRef>
          </c:tx>
          <c:spPr>
            <a:solidFill>
              <a:srgbClr val="C000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'Analiz (Birim Bazlı)'!$B$7:$B$39</c15:sqref>
                  </c15:fullRef>
                </c:ext>
              </c:extLst>
              <c:f>('Analiz (Birim Bazlı)'!$B$9:$B$13,'Analiz (Birim Bazlı)'!$B$15:$B$22)</c:f>
              <c:strCache>
                <c:ptCount val="13"/>
                <c:pt idx="0">
                  <c:v>Güvenlik - Fiziksel Risk Etmenleri</c:v>
                </c:pt>
                <c:pt idx="1">
                  <c:v>Güvenlik - Biyolojik Risk Etmenleri</c:v>
                </c:pt>
                <c:pt idx="2">
                  <c:v>Güvenlik - Psikososyal Risk Etmenleri</c:v>
                </c:pt>
                <c:pt idx="3">
                  <c:v>Güvenlik - Ergonomik Risk Etmenler</c:v>
                </c:pt>
                <c:pt idx="4">
                  <c:v>Tehlikeli Madde Yönetimi / Kimyasal Risk Etmenleri</c:v>
                </c:pt>
                <c:pt idx="5">
                  <c:v>Atık Yönetimi</c:v>
                </c:pt>
                <c:pt idx="6">
                  <c:v>Tıbbi Cihaz ve Malzeme Yönetimi</c:v>
                </c:pt>
                <c:pt idx="7">
                  <c:v>Diğer Cihaz ve Malzemelerin Yönetimi</c:v>
                </c:pt>
                <c:pt idx="8">
                  <c:v>Yangın Güvenliği</c:v>
                </c:pt>
                <c:pt idx="9">
                  <c:v>Altyapı Sistemleri</c:v>
                </c:pt>
                <c:pt idx="10">
                  <c:v>İnşaat ve Renovasyon</c:v>
                </c:pt>
                <c:pt idx="11">
                  <c:v>Acil Durum ve Afet Yönetimi</c:v>
                </c:pt>
                <c:pt idx="12">
                  <c:v>Emniyet</c:v>
                </c:pt>
              </c:strCache>
            </c:strRef>
          </c:cat>
          <c:val>
            <c:numRef>
              <c:extLst>
                <c:ext xmlns:c15="http://schemas.microsoft.com/office/drawing/2012/chart" uri="{02D57815-91ED-43cb-92C2-25804820EDAC}">
                  <c15:fullRef>
                    <c15:sqref>'Analiz (Birim Bazlı)'!$M$7:$M$39</c15:sqref>
                  </c15:fullRef>
                </c:ext>
              </c:extLst>
              <c:f>('Analiz (Birim Bazlı)'!$M$9:$M$13,'Analiz (Birim Bazlı)'!$M$15:$M$22)</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4-20EE-4604-83A3-CCBAADE6A997}"/>
            </c:ext>
          </c:extLst>
        </c:ser>
        <c:dLbls>
          <c:showLegendKey val="0"/>
          <c:showVal val="1"/>
          <c:showCatName val="0"/>
          <c:showSerName val="0"/>
          <c:showPercent val="0"/>
          <c:showBubbleSize val="0"/>
        </c:dLbls>
        <c:gapWidth val="150"/>
        <c:shape val="box"/>
        <c:axId val="-1467925168"/>
        <c:axId val="-1467921904"/>
        <c:axId val="0"/>
        <c:extLst>
          <c:ext xmlns:c15="http://schemas.microsoft.com/office/drawing/2012/chart" uri="{02D57815-91ED-43cb-92C2-25804820EDAC}">
            <c15:filteredBarSeries>
              <c15:ser>
                <c:idx val="5"/>
                <c:order val="5"/>
                <c:tx>
                  <c:strRef>
                    <c:extLst>
                      <c:ext uri="{02D57815-91ED-43cb-92C2-25804820EDAC}">
                        <c15:formulaRef>
                          <c15:sqref>'Analiz (Birim Bazlı)'!$B$7</c15:sqref>
                        </c15:formulaRef>
                      </c:ext>
                    </c:extLst>
                    <c:strCache>
                      <c:ptCount val="1"/>
                      <c:pt idx="0">
                        <c:v>Çevre Güvenliği</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'Analiz (Birim Bazlı)'!$B$7:$B$39</c15:sqref>
                        </c15:fullRef>
                        <c15:formulaRef>
                          <c15:sqref>('Analiz (Birim Bazlı)'!$B$9:$B$13,'Analiz (Birim Bazlı)'!$B$15:$B$22)</c15:sqref>
                        </c15:formulaRef>
                      </c:ext>
                    </c:extLst>
                    <c:strCache>
                      <c:ptCount val="13"/>
                      <c:pt idx="0">
                        <c:v>İş Sağlığı ve Güvenliği</c:v>
                      </c:pt>
                      <c:pt idx="1">
                        <c:v>Güvenlik - Fiziksel Risk Etmenleri</c:v>
                      </c:pt>
                      <c:pt idx="2">
                        <c:v>Güvenlik - Biyolojik Risk Etmenleri</c:v>
                      </c:pt>
                      <c:pt idx="3">
                        <c:v>Güvenlik - Psikososyal Risk Etmenleri</c:v>
                      </c:pt>
                      <c:pt idx="4">
                        <c:v>Güvenlik - Ergonomik Risk Etmenler</c:v>
                      </c:pt>
                      <c:pt idx="5">
                        <c:v>Tehlikeli Madde Yönetimi / Kimyasal Risk Etmenleri</c:v>
                      </c:pt>
                      <c:pt idx="6">
                        <c:v>Tesis Güvenliği</c:v>
                      </c:pt>
                      <c:pt idx="7">
                        <c:v>Atık Yönetimi</c:v>
                      </c:pt>
                      <c:pt idx="8">
                        <c:v>Tıbbi Cihaz ve Malzeme Yönetimi</c:v>
                      </c:pt>
                      <c:pt idx="9">
                        <c:v>Diğer Cihaz ve Malzemelerin Yönetimi</c:v>
                      </c:pt>
                      <c:pt idx="10">
                        <c:v>Yangın Güvenliği</c:v>
                      </c:pt>
                      <c:pt idx="11">
                        <c:v>Altyapı Sistemleri</c:v>
                      </c:pt>
                      <c:pt idx="12">
                        <c:v>İnşaat ve Renovasyon</c:v>
                      </c:pt>
                      <c:pt idx="13">
                        <c:v>Acil Durum ve Afet Yönetimi</c:v>
                      </c:pt>
                      <c:pt idx="14">
                        <c:v>Emniyet</c:v>
                      </c:pt>
                      <c:pt idx="15">
                        <c:v>Tıbbi Hizmetler</c:v>
                      </c:pt>
                      <c:pt idx="16">
                        <c:v>Yönetsel Hizmetler</c:v>
                      </c:pt>
                    </c:strCache>
                  </c:strRef>
                </c:cat>
                <c:val>
                  <c:numRef>
                    <c:extLst>
                      <c:ext uri="{02D57815-91ED-43cb-92C2-25804820EDAC}">
                        <c15:fullRef>
                          <c15:sqref>'Analiz (Birim Bazlı)'!$B$34:$B$39</c15:sqref>
                        </c15:fullRef>
                        <c15:formulaRef>
                          <c15:sqref>'Analiz (Birim Bazlı)'!$B$36:$B$39</c15:sqref>
                        </c15:formulaRef>
                      </c:ext>
                    </c:extLst>
                    <c:numCache>
                      <c:formatCode>General</c:formatCode>
                      <c:ptCount val="0"/>
                    </c:numCache>
                  </c:numRef>
                </c:val>
                <c:extLst>
                  <c:ext xmlns:c16="http://schemas.microsoft.com/office/drawing/2014/chart" uri="{C3380CC4-5D6E-409C-BE32-E72D297353CC}">
                    <c16:uniqueId val="{00000005-20EE-4604-83A3-CCBAADE6A997}"/>
                  </c:ext>
                </c:extLst>
              </c15:ser>
            </c15:filteredBarSeries>
          </c:ext>
        </c:extLst>
      </c:bar3DChart>
      <c:catAx>
        <c:axId val="-14679251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crossAx val="-1467921904"/>
        <c:crosses val="autoZero"/>
        <c:auto val="1"/>
        <c:lblAlgn val="ctr"/>
        <c:lblOffset val="100"/>
        <c:noMultiLvlLbl val="0"/>
      </c:catAx>
      <c:valAx>
        <c:axId val="-1467921904"/>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467925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noFill/>
      <a:round/>
    </a:ln>
    <a:effectLst/>
  </c:spPr>
  <c:txPr>
    <a:bodyPr/>
    <a:lstStyle/>
    <a:p>
      <a:pPr>
        <a:defRPr/>
      </a:pPr>
      <a:endParaRPr lang="tr-T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r>
              <a:rPr lang="tr-TR"/>
              <a:t>İyileştirme Çalışması Tamalanma Durumu</a:t>
            </a: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1-CE9E-4E3F-9E78-FF82E14226F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812-424C-A551-05F9A1120F15}"/>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'Analiz (Birim Bazlı)'!$B$85:$B$86</c:f>
              <c:strCache>
                <c:ptCount val="2"/>
                <c:pt idx="0">
                  <c:v>İyileştirme Çalışması Tamamlanan Tespit Sayısı</c:v>
                </c:pt>
                <c:pt idx="1">
                  <c:v>İyileştirme Çalışması Devam Eden Tespit Sayısı</c:v>
                </c:pt>
              </c:strCache>
            </c:strRef>
          </c:cat>
          <c:val>
            <c:numRef>
              <c:f>'Analiz (Birim Bazlı)'!$H$85:$H$86</c:f>
              <c:numCache>
                <c:formatCode>General</c:formatCode>
                <c:ptCount val="2"/>
                <c:pt idx="0">
                  <c:v>0</c:v>
                </c:pt>
                <c:pt idx="1">
                  <c:v>0</c:v>
                </c:pt>
              </c:numCache>
            </c:numRef>
          </c:val>
          <c:extLst>
            <c:ext xmlns:c16="http://schemas.microsoft.com/office/drawing/2014/chart" uri="{C3380CC4-5D6E-409C-BE32-E72D297353CC}">
              <c16:uniqueId val="{00000000-CE9E-4E3F-9E78-FF82E14226F7}"/>
            </c:ext>
          </c:extLst>
        </c:ser>
        <c:dLbls>
          <c:dLblPos val="outEnd"/>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900">
          <a:latin typeface="Tahoma" panose="020B0604030504040204" pitchFamily="34" charset="0"/>
          <a:ea typeface="Tahoma" panose="020B0604030504040204" pitchFamily="34" charset="0"/>
          <a:cs typeface="Tahoma" panose="020B0604030504040204" pitchFamily="34" charset="0"/>
        </a:defRPr>
      </a:pPr>
      <a:endParaRPr lang="tr-T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r>
              <a:rPr lang="tr-TR"/>
              <a:t>İyileştirme Çalışması Tamamlanma Durumu Kategori Bazlı</a:t>
            </a: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title>
    <c:autoTitleDeleted val="0"/>
    <c:plotArea>
      <c:layout>
        <c:manualLayout>
          <c:layoutTarget val="inner"/>
          <c:xMode val="edge"/>
          <c:yMode val="edge"/>
          <c:x val="5.3914260717410324E-2"/>
          <c:y val="0.25083333333333335"/>
          <c:w val="0.9155301837270341"/>
          <c:h val="0.42829323417906096"/>
        </c:manualLayout>
      </c:layout>
      <c:barChart>
        <c:barDir val="col"/>
        <c:grouping val="clustered"/>
        <c:varyColors val="0"/>
        <c:ser>
          <c:idx val="0"/>
          <c:order val="0"/>
          <c:tx>
            <c:strRef>
              <c:f>'Analiz (Birim Bazlı)'!$B$84</c:f>
              <c:strCache>
                <c:ptCount val="1"/>
                <c:pt idx="0">
                  <c:v>İyileştirme Çalışması Planlanan Tespit Sayısı</c:v>
                </c:pt>
              </c:strCache>
            </c:strRef>
          </c:tx>
          <c:spPr>
            <a:solidFill>
              <a:schemeClr val="tx1">
                <a:lumMod val="50000"/>
                <a:lumOff val="5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'Analiz (Birim Bazlı)'!$C$83:$G$83</c:f>
              <c:strCache>
                <c:ptCount val="5"/>
                <c:pt idx="0">
                  <c:v>Düşük Risk</c:v>
                </c:pt>
                <c:pt idx="1">
                  <c:v>Olası Risk</c:v>
                </c:pt>
                <c:pt idx="2">
                  <c:v>Önemli Risk</c:v>
                </c:pt>
                <c:pt idx="3">
                  <c:v>Yüksek Risk</c:v>
                </c:pt>
                <c:pt idx="4">
                  <c:v>Kabul Edilemez Risk</c:v>
                </c:pt>
              </c:strCache>
            </c:strRef>
          </c:cat>
          <c:val>
            <c:numRef>
              <c:f>'Analiz (Birim Bazlı)'!$C$84:$G$84</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0-1527-4CC5-9A48-5ED0296CDC74}"/>
            </c:ext>
          </c:extLst>
        </c:ser>
        <c:ser>
          <c:idx val="1"/>
          <c:order val="1"/>
          <c:tx>
            <c:strRef>
              <c:f>'Analiz (Birim Bazlı)'!$B$85</c:f>
              <c:strCache>
                <c:ptCount val="1"/>
                <c:pt idx="0">
                  <c:v>İyileştirme Çalışması Tamamlanan Tespit Sayısı</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'Analiz (Birim Bazlı)'!$C$83:$G$83</c:f>
              <c:strCache>
                <c:ptCount val="5"/>
                <c:pt idx="0">
                  <c:v>Düşük Risk</c:v>
                </c:pt>
                <c:pt idx="1">
                  <c:v>Olası Risk</c:v>
                </c:pt>
                <c:pt idx="2">
                  <c:v>Önemli Risk</c:v>
                </c:pt>
                <c:pt idx="3">
                  <c:v>Yüksek Risk</c:v>
                </c:pt>
                <c:pt idx="4">
                  <c:v>Kabul Edilemez Risk</c:v>
                </c:pt>
              </c:strCache>
            </c:strRef>
          </c:cat>
          <c:val>
            <c:numRef>
              <c:f>'Analiz (Birim Bazlı)'!$C$85:$G$85</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1-1527-4CC5-9A48-5ED0296CDC74}"/>
            </c:ext>
          </c:extLst>
        </c:ser>
        <c:ser>
          <c:idx val="2"/>
          <c:order val="2"/>
          <c:tx>
            <c:strRef>
              <c:f>'Analiz (Birim Bazlı)'!$B$86</c:f>
              <c:strCache>
                <c:ptCount val="1"/>
                <c:pt idx="0">
                  <c:v>İyileştirme Çalışması Devam Eden Tespit Sayısı</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'Analiz (Birim Bazlı)'!$C$83:$G$83</c:f>
              <c:strCache>
                <c:ptCount val="5"/>
                <c:pt idx="0">
                  <c:v>Düşük Risk</c:v>
                </c:pt>
                <c:pt idx="1">
                  <c:v>Olası Risk</c:v>
                </c:pt>
                <c:pt idx="2">
                  <c:v>Önemli Risk</c:v>
                </c:pt>
                <c:pt idx="3">
                  <c:v>Yüksek Risk</c:v>
                </c:pt>
                <c:pt idx="4">
                  <c:v>Kabul Edilemez Risk</c:v>
                </c:pt>
              </c:strCache>
            </c:strRef>
          </c:cat>
          <c:val>
            <c:numRef>
              <c:f>'Analiz (Birim Bazlı)'!$C$86:$G$86</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2-1527-4CC5-9A48-5ED0296CDC74}"/>
            </c:ext>
          </c:extLst>
        </c:ser>
        <c:dLbls>
          <c:dLblPos val="outEnd"/>
          <c:showLegendKey val="0"/>
          <c:showVal val="1"/>
          <c:showCatName val="0"/>
          <c:showSerName val="0"/>
          <c:showPercent val="0"/>
          <c:showBubbleSize val="0"/>
        </c:dLbls>
        <c:gapWidth val="182"/>
        <c:axId val="-1467928432"/>
        <c:axId val="-1467929520"/>
      </c:barChart>
      <c:catAx>
        <c:axId val="-1467928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crossAx val="-1467929520"/>
        <c:crosses val="autoZero"/>
        <c:auto val="1"/>
        <c:lblAlgn val="ctr"/>
        <c:lblOffset val="100"/>
        <c:noMultiLvlLbl val="0"/>
      </c:catAx>
      <c:valAx>
        <c:axId val="-1467929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crossAx val="-1467928432"/>
        <c:crosses val="autoZero"/>
        <c:crossBetween val="between"/>
        <c:majorUnit val="1"/>
      </c:valAx>
      <c:spPr>
        <a:noFill/>
        <a:ln>
          <a:noFill/>
        </a:ln>
        <a:effectLst/>
      </c:spPr>
    </c:plotArea>
    <c:legend>
      <c:legendPos val="b"/>
      <c:layout>
        <c:manualLayout>
          <c:xMode val="edge"/>
          <c:yMode val="edge"/>
          <c:x val="2.8146325459317584E-2"/>
          <c:y val="0.81828594342373873"/>
          <c:w val="0.97185367454068239"/>
          <c:h val="0.163195538057742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900">
          <a:latin typeface="Tahoma" panose="020B0604030504040204" pitchFamily="34" charset="0"/>
          <a:ea typeface="Tahoma" panose="020B0604030504040204" pitchFamily="34" charset="0"/>
          <a:cs typeface="Tahoma" panose="020B0604030504040204" pitchFamily="34" charset="0"/>
        </a:defRPr>
      </a:pPr>
      <a:endParaRPr lang="tr-T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r>
              <a:rPr lang="tr-TR"/>
              <a:t>Tamamlanan İyileştirmelerin Departman Bazlı Dağılımı</a:t>
            </a: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title>
    <c:autoTitleDeleted val="0"/>
    <c:plotArea>
      <c:layout/>
      <c:barChart>
        <c:barDir val="col"/>
        <c:grouping val="clustered"/>
        <c:varyColors val="0"/>
        <c:ser>
          <c:idx val="0"/>
          <c:order val="0"/>
          <c:tx>
            <c:strRef>
              <c:f>'Analiz (Birim Bazlı)'!$C$104</c:f>
              <c:strCache>
                <c:ptCount val="1"/>
                <c:pt idx="0">
                  <c:v>Düşük Risk</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'Analiz (Birim Bazlı)'!$B$105:$B$117</c:f>
              <c:strCache>
                <c:ptCount val="13"/>
                <c:pt idx="0">
                  <c:v>Başhekimlik</c:v>
                </c:pt>
                <c:pt idx="1">
                  <c:v>Bilgi Sistemleri Müdürlüğü</c:v>
                </c:pt>
                <c:pt idx="2">
                  <c:v>Biyomedikal Müdürlüğü</c:v>
                </c:pt>
                <c:pt idx="3">
                  <c:v>Hasta Bakım Hizmetleri Müdürlüğü</c:v>
                </c:pt>
                <c:pt idx="4">
                  <c:v>İnsan Kaynakları Müdürlüğü</c:v>
                </c:pt>
                <c:pt idx="5">
                  <c:v>İş Sağlığı ve Güvenliği</c:v>
                </c:pt>
                <c:pt idx="6">
                  <c:v>Kalite Müdürlüğü</c:v>
                </c:pt>
                <c:pt idx="7">
                  <c:v>Misafir Hizmetleri Müdürlüğü</c:v>
                </c:pt>
                <c:pt idx="8">
                  <c:v>Otelcilik ve Destek Hizmetleri Müdürlüğü</c:v>
                </c:pt>
                <c:pt idx="9">
                  <c:v>Teknik Hizmetler Müdürlüğü</c:v>
                </c:pt>
                <c:pt idx="10">
                  <c:v>Satınalma Müdürlüğü</c:v>
                </c:pt>
                <c:pt idx="11">
                  <c:v>Üst Yönetim</c:v>
                </c:pt>
                <c:pt idx="12">
                  <c:v>Diğer</c:v>
                </c:pt>
              </c:strCache>
            </c:strRef>
          </c:cat>
          <c:val>
            <c:numRef>
              <c:f>'Analiz (Birim Bazlı)'!$C$105:$C$117</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0-D581-404D-8C3E-6CC34E347BFD}"/>
            </c:ext>
          </c:extLst>
        </c:ser>
        <c:ser>
          <c:idx val="1"/>
          <c:order val="1"/>
          <c:tx>
            <c:strRef>
              <c:f>'Analiz (Birim Bazlı)'!$D$104</c:f>
              <c:strCache>
                <c:ptCount val="1"/>
                <c:pt idx="0">
                  <c:v>Olası Risk</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'Analiz (Birim Bazlı)'!$B$105:$B$117</c:f>
              <c:strCache>
                <c:ptCount val="13"/>
                <c:pt idx="0">
                  <c:v>Başhekimlik</c:v>
                </c:pt>
                <c:pt idx="1">
                  <c:v>Bilgi Sistemleri Müdürlüğü</c:v>
                </c:pt>
                <c:pt idx="2">
                  <c:v>Biyomedikal Müdürlüğü</c:v>
                </c:pt>
                <c:pt idx="3">
                  <c:v>Hasta Bakım Hizmetleri Müdürlüğü</c:v>
                </c:pt>
                <c:pt idx="4">
                  <c:v>İnsan Kaynakları Müdürlüğü</c:v>
                </c:pt>
                <c:pt idx="5">
                  <c:v>İş Sağlığı ve Güvenliği</c:v>
                </c:pt>
                <c:pt idx="6">
                  <c:v>Kalite Müdürlüğü</c:v>
                </c:pt>
                <c:pt idx="7">
                  <c:v>Misafir Hizmetleri Müdürlüğü</c:v>
                </c:pt>
                <c:pt idx="8">
                  <c:v>Otelcilik ve Destek Hizmetleri Müdürlüğü</c:v>
                </c:pt>
                <c:pt idx="9">
                  <c:v>Teknik Hizmetler Müdürlüğü</c:v>
                </c:pt>
                <c:pt idx="10">
                  <c:v>Satınalma Müdürlüğü</c:v>
                </c:pt>
                <c:pt idx="11">
                  <c:v>Üst Yönetim</c:v>
                </c:pt>
                <c:pt idx="12">
                  <c:v>Diğer</c:v>
                </c:pt>
              </c:strCache>
            </c:strRef>
          </c:cat>
          <c:val>
            <c:numRef>
              <c:f>'Analiz (Birim Bazlı)'!$D$105:$D$117</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1-D581-404D-8C3E-6CC34E347BFD}"/>
            </c:ext>
          </c:extLst>
        </c:ser>
        <c:ser>
          <c:idx val="2"/>
          <c:order val="2"/>
          <c:tx>
            <c:strRef>
              <c:f>'Analiz (Birim Bazlı)'!$E$104</c:f>
              <c:strCache>
                <c:ptCount val="1"/>
                <c:pt idx="0">
                  <c:v>Önemli Risk</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'Analiz (Birim Bazlı)'!$B$105:$B$117</c:f>
              <c:strCache>
                <c:ptCount val="13"/>
                <c:pt idx="0">
                  <c:v>Başhekimlik</c:v>
                </c:pt>
                <c:pt idx="1">
                  <c:v>Bilgi Sistemleri Müdürlüğü</c:v>
                </c:pt>
                <c:pt idx="2">
                  <c:v>Biyomedikal Müdürlüğü</c:v>
                </c:pt>
                <c:pt idx="3">
                  <c:v>Hasta Bakım Hizmetleri Müdürlüğü</c:v>
                </c:pt>
                <c:pt idx="4">
                  <c:v>İnsan Kaynakları Müdürlüğü</c:v>
                </c:pt>
                <c:pt idx="5">
                  <c:v>İş Sağlığı ve Güvenliği</c:v>
                </c:pt>
                <c:pt idx="6">
                  <c:v>Kalite Müdürlüğü</c:v>
                </c:pt>
                <c:pt idx="7">
                  <c:v>Misafir Hizmetleri Müdürlüğü</c:v>
                </c:pt>
                <c:pt idx="8">
                  <c:v>Otelcilik ve Destek Hizmetleri Müdürlüğü</c:v>
                </c:pt>
                <c:pt idx="9">
                  <c:v>Teknik Hizmetler Müdürlüğü</c:v>
                </c:pt>
                <c:pt idx="10">
                  <c:v>Satınalma Müdürlüğü</c:v>
                </c:pt>
                <c:pt idx="11">
                  <c:v>Üst Yönetim</c:v>
                </c:pt>
                <c:pt idx="12">
                  <c:v>Diğer</c:v>
                </c:pt>
              </c:strCache>
            </c:strRef>
          </c:cat>
          <c:val>
            <c:numRef>
              <c:f>'Analiz (Birim Bazlı)'!$E$105:$E$117</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2-D581-404D-8C3E-6CC34E347BFD}"/>
            </c:ext>
          </c:extLst>
        </c:ser>
        <c:ser>
          <c:idx val="3"/>
          <c:order val="3"/>
          <c:tx>
            <c:strRef>
              <c:f>'Analiz (Birim Bazlı)'!$F$104</c:f>
              <c:strCache>
                <c:ptCount val="1"/>
                <c:pt idx="0">
                  <c:v>Yüksek Risk</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'Analiz (Birim Bazlı)'!$B$105:$B$117</c:f>
              <c:strCache>
                <c:ptCount val="13"/>
                <c:pt idx="0">
                  <c:v>Başhekimlik</c:v>
                </c:pt>
                <c:pt idx="1">
                  <c:v>Bilgi Sistemleri Müdürlüğü</c:v>
                </c:pt>
                <c:pt idx="2">
                  <c:v>Biyomedikal Müdürlüğü</c:v>
                </c:pt>
                <c:pt idx="3">
                  <c:v>Hasta Bakım Hizmetleri Müdürlüğü</c:v>
                </c:pt>
                <c:pt idx="4">
                  <c:v>İnsan Kaynakları Müdürlüğü</c:v>
                </c:pt>
                <c:pt idx="5">
                  <c:v>İş Sağlığı ve Güvenliği</c:v>
                </c:pt>
                <c:pt idx="6">
                  <c:v>Kalite Müdürlüğü</c:v>
                </c:pt>
                <c:pt idx="7">
                  <c:v>Misafir Hizmetleri Müdürlüğü</c:v>
                </c:pt>
                <c:pt idx="8">
                  <c:v>Otelcilik ve Destek Hizmetleri Müdürlüğü</c:v>
                </c:pt>
                <c:pt idx="9">
                  <c:v>Teknik Hizmetler Müdürlüğü</c:v>
                </c:pt>
                <c:pt idx="10">
                  <c:v>Satınalma Müdürlüğü</c:v>
                </c:pt>
                <c:pt idx="11">
                  <c:v>Üst Yönetim</c:v>
                </c:pt>
                <c:pt idx="12">
                  <c:v>Diğer</c:v>
                </c:pt>
              </c:strCache>
            </c:strRef>
          </c:cat>
          <c:val>
            <c:numRef>
              <c:f>'Analiz (Birim Bazlı)'!$F$105:$F$117</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3-D581-404D-8C3E-6CC34E347BFD}"/>
            </c:ext>
          </c:extLst>
        </c:ser>
        <c:ser>
          <c:idx val="4"/>
          <c:order val="4"/>
          <c:tx>
            <c:strRef>
              <c:f>'Analiz (Birim Bazlı)'!$G$104</c:f>
              <c:strCache>
                <c:ptCount val="1"/>
                <c:pt idx="0">
                  <c:v>Kabul Edilemez Risk</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'Analiz (Birim Bazlı)'!$B$105:$B$117</c:f>
              <c:strCache>
                <c:ptCount val="13"/>
                <c:pt idx="0">
                  <c:v>Başhekimlik</c:v>
                </c:pt>
                <c:pt idx="1">
                  <c:v>Bilgi Sistemleri Müdürlüğü</c:v>
                </c:pt>
                <c:pt idx="2">
                  <c:v>Biyomedikal Müdürlüğü</c:v>
                </c:pt>
                <c:pt idx="3">
                  <c:v>Hasta Bakım Hizmetleri Müdürlüğü</c:v>
                </c:pt>
                <c:pt idx="4">
                  <c:v>İnsan Kaynakları Müdürlüğü</c:v>
                </c:pt>
                <c:pt idx="5">
                  <c:v>İş Sağlığı ve Güvenliği</c:v>
                </c:pt>
                <c:pt idx="6">
                  <c:v>Kalite Müdürlüğü</c:v>
                </c:pt>
                <c:pt idx="7">
                  <c:v>Misafir Hizmetleri Müdürlüğü</c:v>
                </c:pt>
                <c:pt idx="8">
                  <c:v>Otelcilik ve Destek Hizmetleri Müdürlüğü</c:v>
                </c:pt>
                <c:pt idx="9">
                  <c:v>Teknik Hizmetler Müdürlüğü</c:v>
                </c:pt>
                <c:pt idx="10">
                  <c:v>Satınalma Müdürlüğü</c:v>
                </c:pt>
                <c:pt idx="11">
                  <c:v>Üst Yönetim</c:v>
                </c:pt>
                <c:pt idx="12">
                  <c:v>Diğer</c:v>
                </c:pt>
              </c:strCache>
            </c:strRef>
          </c:cat>
          <c:val>
            <c:numRef>
              <c:f>'Analiz (Birim Bazlı)'!$G$105:$G$117</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4-D581-404D-8C3E-6CC34E347BFD}"/>
            </c:ext>
          </c:extLst>
        </c:ser>
        <c:dLbls>
          <c:dLblPos val="outEnd"/>
          <c:showLegendKey val="0"/>
          <c:showVal val="1"/>
          <c:showCatName val="0"/>
          <c:showSerName val="0"/>
          <c:showPercent val="0"/>
          <c:showBubbleSize val="0"/>
        </c:dLbls>
        <c:gapWidth val="219"/>
        <c:overlap val="-27"/>
        <c:axId val="-1467922448"/>
        <c:axId val="-1467932240"/>
      </c:barChart>
      <c:catAx>
        <c:axId val="-1467922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crossAx val="-1467932240"/>
        <c:crosses val="autoZero"/>
        <c:auto val="1"/>
        <c:lblAlgn val="ctr"/>
        <c:lblOffset val="100"/>
        <c:noMultiLvlLbl val="0"/>
      </c:catAx>
      <c:valAx>
        <c:axId val="-1467932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crossAx val="-14679224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900">
          <a:latin typeface="Tahoma" panose="020B0604030504040204" pitchFamily="34" charset="0"/>
          <a:ea typeface="Tahoma" panose="020B0604030504040204" pitchFamily="34" charset="0"/>
          <a:cs typeface="Tahoma" panose="020B0604030504040204" pitchFamily="34" charset="0"/>
        </a:defRPr>
      </a:pPr>
      <a:endParaRPr lang="tr-T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r>
              <a:rPr lang="tr-TR"/>
              <a:t>Devam Eden İyileştirmelerin Departman Bazlı Dağılımı</a:t>
            </a: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title>
    <c:autoTitleDeleted val="0"/>
    <c:plotArea>
      <c:layout/>
      <c:barChart>
        <c:barDir val="col"/>
        <c:grouping val="clustered"/>
        <c:varyColors val="0"/>
        <c:ser>
          <c:idx val="0"/>
          <c:order val="0"/>
          <c:tx>
            <c:strRef>
              <c:f>'Analiz (Birim Bazlı)'!$I$104</c:f>
              <c:strCache>
                <c:ptCount val="1"/>
                <c:pt idx="0">
                  <c:v>Düşük Risk</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'Analiz (Birim Bazlı)'!$B$105:$B$117</c:f>
              <c:strCache>
                <c:ptCount val="13"/>
                <c:pt idx="0">
                  <c:v>Başhekimlik</c:v>
                </c:pt>
                <c:pt idx="1">
                  <c:v>Bilgi Sistemleri Müdürlüğü</c:v>
                </c:pt>
                <c:pt idx="2">
                  <c:v>Biyomedikal Müdürlüğü</c:v>
                </c:pt>
                <c:pt idx="3">
                  <c:v>Hasta Bakım Hizmetleri Müdürlüğü</c:v>
                </c:pt>
                <c:pt idx="4">
                  <c:v>İnsan Kaynakları Müdürlüğü</c:v>
                </c:pt>
                <c:pt idx="5">
                  <c:v>İş Sağlığı ve Güvenliği</c:v>
                </c:pt>
                <c:pt idx="6">
                  <c:v>Kalite Müdürlüğü</c:v>
                </c:pt>
                <c:pt idx="7">
                  <c:v>Misafir Hizmetleri Müdürlüğü</c:v>
                </c:pt>
                <c:pt idx="8">
                  <c:v>Otelcilik ve Destek Hizmetleri Müdürlüğü</c:v>
                </c:pt>
                <c:pt idx="9">
                  <c:v>Teknik Hizmetler Müdürlüğü</c:v>
                </c:pt>
                <c:pt idx="10">
                  <c:v>Satınalma Müdürlüğü</c:v>
                </c:pt>
                <c:pt idx="11">
                  <c:v>Üst Yönetim</c:v>
                </c:pt>
                <c:pt idx="12">
                  <c:v>Diğer</c:v>
                </c:pt>
              </c:strCache>
            </c:strRef>
          </c:cat>
          <c:val>
            <c:numRef>
              <c:f>'Analiz (Birim Bazlı)'!$I$105:$I$117</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0-D581-404D-8C3E-6CC34E347BFD}"/>
            </c:ext>
          </c:extLst>
        </c:ser>
        <c:ser>
          <c:idx val="1"/>
          <c:order val="1"/>
          <c:tx>
            <c:strRef>
              <c:f>'Analiz (Birim Bazlı)'!$J$104</c:f>
              <c:strCache>
                <c:ptCount val="1"/>
                <c:pt idx="0">
                  <c:v>Olası Risk</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'Analiz (Birim Bazlı)'!$B$105:$B$117</c:f>
              <c:strCache>
                <c:ptCount val="13"/>
                <c:pt idx="0">
                  <c:v>Başhekimlik</c:v>
                </c:pt>
                <c:pt idx="1">
                  <c:v>Bilgi Sistemleri Müdürlüğü</c:v>
                </c:pt>
                <c:pt idx="2">
                  <c:v>Biyomedikal Müdürlüğü</c:v>
                </c:pt>
                <c:pt idx="3">
                  <c:v>Hasta Bakım Hizmetleri Müdürlüğü</c:v>
                </c:pt>
                <c:pt idx="4">
                  <c:v>İnsan Kaynakları Müdürlüğü</c:v>
                </c:pt>
                <c:pt idx="5">
                  <c:v>İş Sağlığı ve Güvenliği</c:v>
                </c:pt>
                <c:pt idx="6">
                  <c:v>Kalite Müdürlüğü</c:v>
                </c:pt>
                <c:pt idx="7">
                  <c:v>Misafir Hizmetleri Müdürlüğü</c:v>
                </c:pt>
                <c:pt idx="8">
                  <c:v>Otelcilik ve Destek Hizmetleri Müdürlüğü</c:v>
                </c:pt>
                <c:pt idx="9">
                  <c:v>Teknik Hizmetler Müdürlüğü</c:v>
                </c:pt>
                <c:pt idx="10">
                  <c:v>Satınalma Müdürlüğü</c:v>
                </c:pt>
                <c:pt idx="11">
                  <c:v>Üst Yönetim</c:v>
                </c:pt>
                <c:pt idx="12">
                  <c:v>Diğer</c:v>
                </c:pt>
              </c:strCache>
            </c:strRef>
          </c:cat>
          <c:val>
            <c:numRef>
              <c:f>'Analiz (Birim Bazlı)'!$J$105:$J$117</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1-D581-404D-8C3E-6CC34E347BFD}"/>
            </c:ext>
          </c:extLst>
        </c:ser>
        <c:ser>
          <c:idx val="2"/>
          <c:order val="2"/>
          <c:tx>
            <c:strRef>
              <c:f>'Analiz (Birim Bazlı)'!$K$104</c:f>
              <c:strCache>
                <c:ptCount val="1"/>
                <c:pt idx="0">
                  <c:v>Önemli Risk</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'Analiz (Birim Bazlı)'!$B$105:$B$117</c:f>
              <c:strCache>
                <c:ptCount val="13"/>
                <c:pt idx="0">
                  <c:v>Başhekimlik</c:v>
                </c:pt>
                <c:pt idx="1">
                  <c:v>Bilgi Sistemleri Müdürlüğü</c:v>
                </c:pt>
                <c:pt idx="2">
                  <c:v>Biyomedikal Müdürlüğü</c:v>
                </c:pt>
                <c:pt idx="3">
                  <c:v>Hasta Bakım Hizmetleri Müdürlüğü</c:v>
                </c:pt>
                <c:pt idx="4">
                  <c:v>İnsan Kaynakları Müdürlüğü</c:v>
                </c:pt>
                <c:pt idx="5">
                  <c:v>İş Sağlığı ve Güvenliği</c:v>
                </c:pt>
                <c:pt idx="6">
                  <c:v>Kalite Müdürlüğü</c:v>
                </c:pt>
                <c:pt idx="7">
                  <c:v>Misafir Hizmetleri Müdürlüğü</c:v>
                </c:pt>
                <c:pt idx="8">
                  <c:v>Otelcilik ve Destek Hizmetleri Müdürlüğü</c:v>
                </c:pt>
                <c:pt idx="9">
                  <c:v>Teknik Hizmetler Müdürlüğü</c:v>
                </c:pt>
                <c:pt idx="10">
                  <c:v>Satınalma Müdürlüğü</c:v>
                </c:pt>
                <c:pt idx="11">
                  <c:v>Üst Yönetim</c:v>
                </c:pt>
                <c:pt idx="12">
                  <c:v>Diğer</c:v>
                </c:pt>
              </c:strCache>
            </c:strRef>
          </c:cat>
          <c:val>
            <c:numRef>
              <c:f>'Analiz (Birim Bazlı)'!$K$105:$K$117</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2-D581-404D-8C3E-6CC34E347BFD}"/>
            </c:ext>
          </c:extLst>
        </c:ser>
        <c:ser>
          <c:idx val="3"/>
          <c:order val="3"/>
          <c:tx>
            <c:strRef>
              <c:f>'Analiz (Birim Bazlı)'!$L$104</c:f>
              <c:strCache>
                <c:ptCount val="1"/>
                <c:pt idx="0">
                  <c:v>Yüksek Risk</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'Analiz (Birim Bazlı)'!$B$105:$B$117</c:f>
              <c:strCache>
                <c:ptCount val="13"/>
                <c:pt idx="0">
                  <c:v>Başhekimlik</c:v>
                </c:pt>
                <c:pt idx="1">
                  <c:v>Bilgi Sistemleri Müdürlüğü</c:v>
                </c:pt>
                <c:pt idx="2">
                  <c:v>Biyomedikal Müdürlüğü</c:v>
                </c:pt>
                <c:pt idx="3">
                  <c:v>Hasta Bakım Hizmetleri Müdürlüğü</c:v>
                </c:pt>
                <c:pt idx="4">
                  <c:v>İnsan Kaynakları Müdürlüğü</c:v>
                </c:pt>
                <c:pt idx="5">
                  <c:v>İş Sağlığı ve Güvenliği</c:v>
                </c:pt>
                <c:pt idx="6">
                  <c:v>Kalite Müdürlüğü</c:v>
                </c:pt>
                <c:pt idx="7">
                  <c:v>Misafir Hizmetleri Müdürlüğü</c:v>
                </c:pt>
                <c:pt idx="8">
                  <c:v>Otelcilik ve Destek Hizmetleri Müdürlüğü</c:v>
                </c:pt>
                <c:pt idx="9">
                  <c:v>Teknik Hizmetler Müdürlüğü</c:v>
                </c:pt>
                <c:pt idx="10">
                  <c:v>Satınalma Müdürlüğü</c:v>
                </c:pt>
                <c:pt idx="11">
                  <c:v>Üst Yönetim</c:v>
                </c:pt>
                <c:pt idx="12">
                  <c:v>Diğer</c:v>
                </c:pt>
              </c:strCache>
            </c:strRef>
          </c:cat>
          <c:val>
            <c:numRef>
              <c:f>'Analiz (Birim Bazlı)'!$L$105:$L$117</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3-D581-404D-8C3E-6CC34E347BFD}"/>
            </c:ext>
          </c:extLst>
        </c:ser>
        <c:ser>
          <c:idx val="4"/>
          <c:order val="4"/>
          <c:tx>
            <c:strRef>
              <c:f>'Analiz (Birim Bazlı)'!$M$104</c:f>
              <c:strCache>
                <c:ptCount val="1"/>
                <c:pt idx="0">
                  <c:v>Kabul Edilemez Risk</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'Analiz (Birim Bazlı)'!$B$105:$B$117</c:f>
              <c:strCache>
                <c:ptCount val="13"/>
                <c:pt idx="0">
                  <c:v>Başhekimlik</c:v>
                </c:pt>
                <c:pt idx="1">
                  <c:v>Bilgi Sistemleri Müdürlüğü</c:v>
                </c:pt>
                <c:pt idx="2">
                  <c:v>Biyomedikal Müdürlüğü</c:v>
                </c:pt>
                <c:pt idx="3">
                  <c:v>Hasta Bakım Hizmetleri Müdürlüğü</c:v>
                </c:pt>
                <c:pt idx="4">
                  <c:v>İnsan Kaynakları Müdürlüğü</c:v>
                </c:pt>
                <c:pt idx="5">
                  <c:v>İş Sağlığı ve Güvenliği</c:v>
                </c:pt>
                <c:pt idx="6">
                  <c:v>Kalite Müdürlüğü</c:v>
                </c:pt>
                <c:pt idx="7">
                  <c:v>Misafir Hizmetleri Müdürlüğü</c:v>
                </c:pt>
                <c:pt idx="8">
                  <c:v>Otelcilik ve Destek Hizmetleri Müdürlüğü</c:v>
                </c:pt>
                <c:pt idx="9">
                  <c:v>Teknik Hizmetler Müdürlüğü</c:v>
                </c:pt>
                <c:pt idx="10">
                  <c:v>Satınalma Müdürlüğü</c:v>
                </c:pt>
                <c:pt idx="11">
                  <c:v>Üst Yönetim</c:v>
                </c:pt>
                <c:pt idx="12">
                  <c:v>Diğer</c:v>
                </c:pt>
              </c:strCache>
            </c:strRef>
          </c:cat>
          <c:val>
            <c:numRef>
              <c:f>'Analiz (Birim Bazlı)'!$M$105:$M$117</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4-D581-404D-8C3E-6CC34E347BFD}"/>
            </c:ext>
          </c:extLst>
        </c:ser>
        <c:dLbls>
          <c:dLblPos val="outEnd"/>
          <c:showLegendKey val="0"/>
          <c:showVal val="1"/>
          <c:showCatName val="0"/>
          <c:showSerName val="0"/>
          <c:showPercent val="0"/>
          <c:showBubbleSize val="0"/>
        </c:dLbls>
        <c:gapWidth val="219"/>
        <c:overlap val="-27"/>
        <c:axId val="-1467922992"/>
        <c:axId val="-1467931696"/>
      </c:barChart>
      <c:catAx>
        <c:axId val="-1467922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crossAx val="-1467931696"/>
        <c:crosses val="autoZero"/>
        <c:auto val="1"/>
        <c:lblAlgn val="ctr"/>
        <c:lblOffset val="100"/>
        <c:noMultiLvlLbl val="0"/>
      </c:catAx>
      <c:valAx>
        <c:axId val="-1467931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crossAx val="-14679229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900">
          <a:latin typeface="Tahoma" panose="020B0604030504040204" pitchFamily="34" charset="0"/>
          <a:ea typeface="Tahoma" panose="020B0604030504040204" pitchFamily="34" charset="0"/>
          <a:cs typeface="Tahoma" panose="020B0604030504040204" pitchFamily="34" charset="0"/>
        </a:defRPr>
      </a:pPr>
      <a:endParaRPr lang="tr-T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r>
              <a:rPr lang="tr-TR" b="1">
                <a:solidFill>
                  <a:sysClr val="windowText" lastClr="000000"/>
                </a:solidFill>
                <a:latin typeface="Tahoma" panose="020B0604030504040204" pitchFamily="34" charset="0"/>
                <a:ea typeface="Tahoma" panose="020B0604030504040204" pitchFamily="34" charset="0"/>
                <a:cs typeface="Tahoma" panose="020B0604030504040204" pitchFamily="34" charset="0"/>
              </a:rPr>
              <a:t>Mevcut Durumda Alt</a:t>
            </a:r>
            <a:r>
              <a:rPr lang="tr-TR" b="1"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rPr>
              <a:t> Risk Kategorilerine Göre Risk Düzey Dağılımı</a:t>
            </a:r>
            <a:endParaRPr lang="en-US"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c:rich>
      </c:tx>
      <c:layout>
        <c:manualLayout>
          <c:xMode val="edge"/>
          <c:yMode val="edge"/>
          <c:x val="0.27363344862158362"/>
          <c:y val="5.69812325554166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en-US"/>
        </a:p>
      </c:txPr>
    </c:title>
    <c:autoTitleDeleted val="0"/>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col"/>
        <c:grouping val="clustered"/>
        <c:varyColors val="0"/>
        <c:ser>
          <c:idx val="0"/>
          <c:order val="0"/>
          <c:tx>
            <c:strRef>
              <c:f>'Analiz (Konsolide)'!$C$6</c:f>
              <c:strCache>
                <c:ptCount val="1"/>
                <c:pt idx="0">
                  <c:v>Düşük Risk</c:v>
                </c:pt>
              </c:strCache>
            </c:strRef>
          </c:tx>
          <c:spPr>
            <a:solidFill>
              <a:srgbClr val="00B05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'Analiz (Konsolide)'!$B$7:$B$39</c15:sqref>
                  </c15:fullRef>
                </c:ext>
              </c:extLst>
              <c:f>('Analiz (Konsolide)'!$B$13:$B$17,'Analiz (Konsolide)'!$B$19:$B$26)</c:f>
              <c:strCache>
                <c:ptCount val="13"/>
                <c:pt idx="0">
                  <c:v>Güvenlik - Fiziksel Risk Etmenleri</c:v>
                </c:pt>
                <c:pt idx="1">
                  <c:v>Güvenlik - Biyolojik Risk Etmenleri</c:v>
                </c:pt>
                <c:pt idx="2">
                  <c:v>Güvenlik - Psikososyal Risk Etmenleri</c:v>
                </c:pt>
                <c:pt idx="3">
                  <c:v>Güvenlik - Ergonomik Risk Etmenler</c:v>
                </c:pt>
                <c:pt idx="4">
                  <c:v>Tehlikeli Madde Yönetimi / Kimyasal Risk Etmenleri</c:v>
                </c:pt>
                <c:pt idx="5">
                  <c:v>Atık Yönetimi</c:v>
                </c:pt>
                <c:pt idx="6">
                  <c:v>Tıbbi Cihaz ve Malzeme Yönetimi</c:v>
                </c:pt>
                <c:pt idx="7">
                  <c:v>Diğer Cihaz ve Malzemelerin Yönetimi</c:v>
                </c:pt>
                <c:pt idx="8">
                  <c:v>Yangın Güvenliği</c:v>
                </c:pt>
                <c:pt idx="9">
                  <c:v>Altyapı Sistemleri</c:v>
                </c:pt>
                <c:pt idx="10">
                  <c:v>İnşaat ve Renovasyon</c:v>
                </c:pt>
                <c:pt idx="11">
                  <c:v>Acil Durum ve Afet Yönetimi</c:v>
                </c:pt>
                <c:pt idx="12">
                  <c:v>Emniyet</c:v>
                </c:pt>
              </c:strCache>
            </c:strRef>
          </c:cat>
          <c:val>
            <c:numRef>
              <c:extLst>
                <c:ext xmlns:c15="http://schemas.microsoft.com/office/drawing/2012/chart" uri="{02D57815-91ED-43cb-92C2-25804820EDAC}">
                  <c15:fullRef>
                    <c15:sqref>'Analiz (Konsolide)'!$C$7:$C$39</c15:sqref>
                  </c15:fullRef>
                </c:ext>
              </c:extLst>
              <c:f>('Analiz (Konsolide)'!$C$13:$C$17,'Analiz (Konsolide)'!$C$19:$C$26)</c:f>
              <c:numCache>
                <c:formatCode>General</c:formatCode>
                <c:ptCount val="13"/>
                <c:pt idx="0">
                  <c:v>13</c:v>
                </c:pt>
                <c:pt idx="1">
                  <c:v>8</c:v>
                </c:pt>
                <c:pt idx="2">
                  <c:v>9</c:v>
                </c:pt>
                <c:pt idx="3">
                  <c:v>5</c:v>
                </c:pt>
                <c:pt idx="4">
                  <c:v>10</c:v>
                </c:pt>
                <c:pt idx="5">
                  <c:v>10</c:v>
                </c:pt>
                <c:pt idx="6">
                  <c:v>0</c:v>
                </c:pt>
                <c:pt idx="7">
                  <c:v>0</c:v>
                </c:pt>
                <c:pt idx="8">
                  <c:v>5</c:v>
                </c:pt>
                <c:pt idx="9">
                  <c:v>14</c:v>
                </c:pt>
                <c:pt idx="10">
                  <c:v>0</c:v>
                </c:pt>
                <c:pt idx="11">
                  <c:v>4</c:v>
                </c:pt>
                <c:pt idx="12">
                  <c:v>9</c:v>
                </c:pt>
              </c:numCache>
            </c:numRef>
          </c:val>
          <c:extLst>
            <c:ext xmlns:c16="http://schemas.microsoft.com/office/drawing/2014/chart" uri="{C3380CC4-5D6E-409C-BE32-E72D297353CC}">
              <c16:uniqueId val="{00000000-02D6-4E2C-83DC-1FD1CD404F3B}"/>
            </c:ext>
          </c:extLst>
        </c:ser>
        <c:ser>
          <c:idx val="1"/>
          <c:order val="1"/>
          <c:tx>
            <c:strRef>
              <c:f>'Analiz (Konsolide)'!$D$6</c:f>
              <c:strCache>
                <c:ptCount val="1"/>
                <c:pt idx="0">
                  <c:v>Olası Risk</c:v>
                </c:pt>
              </c:strCache>
            </c:strRef>
          </c:tx>
          <c:spPr>
            <a:solidFill>
              <a:srgbClr val="FFFF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'Analiz (Konsolide)'!$B$7:$B$39</c15:sqref>
                  </c15:fullRef>
                </c:ext>
              </c:extLst>
              <c:f>('Analiz (Konsolide)'!$B$13:$B$17,'Analiz (Konsolide)'!$B$19:$B$26)</c:f>
              <c:strCache>
                <c:ptCount val="13"/>
                <c:pt idx="0">
                  <c:v>Güvenlik - Fiziksel Risk Etmenleri</c:v>
                </c:pt>
                <c:pt idx="1">
                  <c:v>Güvenlik - Biyolojik Risk Etmenleri</c:v>
                </c:pt>
                <c:pt idx="2">
                  <c:v>Güvenlik - Psikososyal Risk Etmenleri</c:v>
                </c:pt>
                <c:pt idx="3">
                  <c:v>Güvenlik - Ergonomik Risk Etmenler</c:v>
                </c:pt>
                <c:pt idx="4">
                  <c:v>Tehlikeli Madde Yönetimi / Kimyasal Risk Etmenleri</c:v>
                </c:pt>
                <c:pt idx="5">
                  <c:v>Atık Yönetimi</c:v>
                </c:pt>
                <c:pt idx="6">
                  <c:v>Tıbbi Cihaz ve Malzeme Yönetimi</c:v>
                </c:pt>
                <c:pt idx="7">
                  <c:v>Diğer Cihaz ve Malzemelerin Yönetimi</c:v>
                </c:pt>
                <c:pt idx="8">
                  <c:v>Yangın Güvenliği</c:v>
                </c:pt>
                <c:pt idx="9">
                  <c:v>Altyapı Sistemleri</c:v>
                </c:pt>
                <c:pt idx="10">
                  <c:v>İnşaat ve Renovasyon</c:v>
                </c:pt>
                <c:pt idx="11">
                  <c:v>Acil Durum ve Afet Yönetimi</c:v>
                </c:pt>
                <c:pt idx="12">
                  <c:v>Emniyet</c:v>
                </c:pt>
              </c:strCache>
            </c:strRef>
          </c:cat>
          <c:val>
            <c:numRef>
              <c:extLst>
                <c:ext xmlns:c15="http://schemas.microsoft.com/office/drawing/2012/chart" uri="{02D57815-91ED-43cb-92C2-25804820EDAC}">
                  <c15:fullRef>
                    <c15:sqref>'Analiz (Konsolide)'!$D$7:$D$39</c15:sqref>
                  </c15:fullRef>
                </c:ext>
              </c:extLst>
              <c:f>('Analiz (Konsolide)'!$D$13:$D$17,'Analiz (Konsolide)'!$D$19:$D$26)</c:f>
              <c:numCache>
                <c:formatCode>General</c:formatCode>
                <c:ptCount val="13"/>
                <c:pt idx="0">
                  <c:v>7</c:v>
                </c:pt>
                <c:pt idx="1">
                  <c:v>11</c:v>
                </c:pt>
                <c:pt idx="2">
                  <c:v>2</c:v>
                </c:pt>
                <c:pt idx="3">
                  <c:v>1</c:v>
                </c:pt>
                <c:pt idx="4">
                  <c:v>2</c:v>
                </c:pt>
                <c:pt idx="5">
                  <c:v>2</c:v>
                </c:pt>
                <c:pt idx="6">
                  <c:v>2</c:v>
                </c:pt>
                <c:pt idx="7">
                  <c:v>0</c:v>
                </c:pt>
                <c:pt idx="8">
                  <c:v>10</c:v>
                </c:pt>
                <c:pt idx="9">
                  <c:v>7</c:v>
                </c:pt>
                <c:pt idx="10">
                  <c:v>0</c:v>
                </c:pt>
                <c:pt idx="11">
                  <c:v>13</c:v>
                </c:pt>
                <c:pt idx="12">
                  <c:v>1</c:v>
                </c:pt>
              </c:numCache>
            </c:numRef>
          </c:val>
          <c:extLst>
            <c:ext xmlns:c16="http://schemas.microsoft.com/office/drawing/2014/chart" uri="{C3380CC4-5D6E-409C-BE32-E72D297353CC}">
              <c16:uniqueId val="{00000001-02D6-4E2C-83DC-1FD1CD404F3B}"/>
            </c:ext>
          </c:extLst>
        </c:ser>
        <c:ser>
          <c:idx val="2"/>
          <c:order val="2"/>
          <c:tx>
            <c:strRef>
              <c:f>'Analiz (Konsolide)'!$E$6</c:f>
              <c:strCache>
                <c:ptCount val="1"/>
                <c:pt idx="0">
                  <c:v>Önemli Risk</c:v>
                </c:pt>
              </c:strCache>
            </c:strRef>
          </c:tx>
          <c:spPr>
            <a:solidFill>
              <a:srgbClr val="FFC0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'Analiz (Konsolide)'!$B$7:$B$39</c15:sqref>
                  </c15:fullRef>
                </c:ext>
              </c:extLst>
              <c:f>('Analiz (Konsolide)'!$B$13:$B$17,'Analiz (Konsolide)'!$B$19:$B$26)</c:f>
              <c:strCache>
                <c:ptCount val="13"/>
                <c:pt idx="0">
                  <c:v>Güvenlik - Fiziksel Risk Etmenleri</c:v>
                </c:pt>
                <c:pt idx="1">
                  <c:v>Güvenlik - Biyolojik Risk Etmenleri</c:v>
                </c:pt>
                <c:pt idx="2">
                  <c:v>Güvenlik - Psikososyal Risk Etmenleri</c:v>
                </c:pt>
                <c:pt idx="3">
                  <c:v>Güvenlik - Ergonomik Risk Etmenler</c:v>
                </c:pt>
                <c:pt idx="4">
                  <c:v>Tehlikeli Madde Yönetimi / Kimyasal Risk Etmenleri</c:v>
                </c:pt>
                <c:pt idx="5">
                  <c:v>Atık Yönetimi</c:v>
                </c:pt>
                <c:pt idx="6">
                  <c:v>Tıbbi Cihaz ve Malzeme Yönetimi</c:v>
                </c:pt>
                <c:pt idx="7">
                  <c:v>Diğer Cihaz ve Malzemelerin Yönetimi</c:v>
                </c:pt>
                <c:pt idx="8">
                  <c:v>Yangın Güvenliği</c:v>
                </c:pt>
                <c:pt idx="9">
                  <c:v>Altyapı Sistemleri</c:v>
                </c:pt>
                <c:pt idx="10">
                  <c:v>İnşaat ve Renovasyon</c:v>
                </c:pt>
                <c:pt idx="11">
                  <c:v>Acil Durum ve Afet Yönetimi</c:v>
                </c:pt>
                <c:pt idx="12">
                  <c:v>Emniyet</c:v>
                </c:pt>
              </c:strCache>
            </c:strRef>
          </c:cat>
          <c:val>
            <c:numRef>
              <c:extLst>
                <c:ext xmlns:c15="http://schemas.microsoft.com/office/drawing/2012/chart" uri="{02D57815-91ED-43cb-92C2-25804820EDAC}">
                  <c15:fullRef>
                    <c15:sqref>'Analiz (Konsolide)'!$E$7:$E$39</c15:sqref>
                  </c15:fullRef>
                </c:ext>
              </c:extLst>
              <c:f>('Analiz (Konsolide)'!$E$13:$E$17,'Analiz (Konsolide)'!$E$19:$E$26)</c:f>
              <c:numCache>
                <c:formatCode>General</c:formatCode>
                <c:ptCount val="13"/>
                <c:pt idx="0">
                  <c:v>2</c:v>
                </c:pt>
                <c:pt idx="1">
                  <c:v>2</c:v>
                </c:pt>
                <c:pt idx="2">
                  <c:v>0</c:v>
                </c:pt>
                <c:pt idx="3">
                  <c:v>0</c:v>
                </c:pt>
                <c:pt idx="4">
                  <c:v>0</c:v>
                </c:pt>
                <c:pt idx="5">
                  <c:v>0</c:v>
                </c:pt>
                <c:pt idx="6">
                  <c:v>3</c:v>
                </c:pt>
                <c:pt idx="7">
                  <c:v>0</c:v>
                </c:pt>
                <c:pt idx="8">
                  <c:v>1</c:v>
                </c:pt>
                <c:pt idx="9">
                  <c:v>0</c:v>
                </c:pt>
                <c:pt idx="10">
                  <c:v>0</c:v>
                </c:pt>
                <c:pt idx="11">
                  <c:v>4</c:v>
                </c:pt>
                <c:pt idx="12">
                  <c:v>1</c:v>
                </c:pt>
              </c:numCache>
            </c:numRef>
          </c:val>
          <c:extLst>
            <c:ext xmlns:c16="http://schemas.microsoft.com/office/drawing/2014/chart" uri="{C3380CC4-5D6E-409C-BE32-E72D297353CC}">
              <c16:uniqueId val="{00000002-02D6-4E2C-83DC-1FD1CD404F3B}"/>
            </c:ext>
          </c:extLst>
        </c:ser>
        <c:ser>
          <c:idx val="3"/>
          <c:order val="3"/>
          <c:tx>
            <c:strRef>
              <c:f>'Analiz (Konsolide)'!$F$6</c:f>
              <c:strCache>
                <c:ptCount val="1"/>
                <c:pt idx="0">
                  <c:v>Yüksek Risk</c:v>
                </c:pt>
              </c:strCache>
            </c:strRef>
          </c:tx>
          <c:spPr>
            <a:solidFill>
              <a:srgbClr val="FF00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'Analiz (Konsolide)'!$B$7:$B$39</c15:sqref>
                  </c15:fullRef>
                </c:ext>
              </c:extLst>
              <c:f>('Analiz (Konsolide)'!$B$13:$B$17,'Analiz (Konsolide)'!$B$19:$B$26)</c:f>
              <c:strCache>
                <c:ptCount val="13"/>
                <c:pt idx="0">
                  <c:v>Güvenlik - Fiziksel Risk Etmenleri</c:v>
                </c:pt>
                <c:pt idx="1">
                  <c:v>Güvenlik - Biyolojik Risk Etmenleri</c:v>
                </c:pt>
                <c:pt idx="2">
                  <c:v>Güvenlik - Psikososyal Risk Etmenleri</c:v>
                </c:pt>
                <c:pt idx="3">
                  <c:v>Güvenlik - Ergonomik Risk Etmenler</c:v>
                </c:pt>
                <c:pt idx="4">
                  <c:v>Tehlikeli Madde Yönetimi / Kimyasal Risk Etmenleri</c:v>
                </c:pt>
                <c:pt idx="5">
                  <c:v>Atık Yönetimi</c:v>
                </c:pt>
                <c:pt idx="6">
                  <c:v>Tıbbi Cihaz ve Malzeme Yönetimi</c:v>
                </c:pt>
                <c:pt idx="7">
                  <c:v>Diğer Cihaz ve Malzemelerin Yönetimi</c:v>
                </c:pt>
                <c:pt idx="8">
                  <c:v>Yangın Güvenliği</c:v>
                </c:pt>
                <c:pt idx="9">
                  <c:v>Altyapı Sistemleri</c:v>
                </c:pt>
                <c:pt idx="10">
                  <c:v>İnşaat ve Renovasyon</c:v>
                </c:pt>
                <c:pt idx="11">
                  <c:v>Acil Durum ve Afet Yönetimi</c:v>
                </c:pt>
                <c:pt idx="12">
                  <c:v>Emniyet</c:v>
                </c:pt>
              </c:strCache>
            </c:strRef>
          </c:cat>
          <c:val>
            <c:numRef>
              <c:extLst>
                <c:ext xmlns:c15="http://schemas.microsoft.com/office/drawing/2012/chart" uri="{02D57815-91ED-43cb-92C2-25804820EDAC}">
                  <c15:fullRef>
                    <c15:sqref>'Analiz (Konsolide)'!$F$7:$F$39</c15:sqref>
                  </c15:fullRef>
                </c:ext>
              </c:extLst>
              <c:f>('Analiz (Konsolide)'!$F$13:$F$17,'Analiz (Konsolide)'!$F$19:$F$26)</c:f>
              <c:numCache>
                <c:formatCode>General</c:formatCode>
                <c:ptCount val="13"/>
                <c:pt idx="0">
                  <c:v>0</c:v>
                </c:pt>
                <c:pt idx="1">
                  <c:v>0</c:v>
                </c:pt>
                <c:pt idx="2">
                  <c:v>0</c:v>
                </c:pt>
                <c:pt idx="3">
                  <c:v>0</c:v>
                </c:pt>
                <c:pt idx="4">
                  <c:v>0</c:v>
                </c:pt>
                <c:pt idx="5">
                  <c:v>0</c:v>
                </c:pt>
                <c:pt idx="6">
                  <c:v>0</c:v>
                </c:pt>
                <c:pt idx="7">
                  <c:v>0</c:v>
                </c:pt>
                <c:pt idx="8">
                  <c:v>2</c:v>
                </c:pt>
                <c:pt idx="9">
                  <c:v>0</c:v>
                </c:pt>
                <c:pt idx="10">
                  <c:v>0</c:v>
                </c:pt>
                <c:pt idx="11">
                  <c:v>0</c:v>
                </c:pt>
                <c:pt idx="12">
                  <c:v>0</c:v>
                </c:pt>
              </c:numCache>
            </c:numRef>
          </c:val>
          <c:extLst>
            <c:ext xmlns:c16="http://schemas.microsoft.com/office/drawing/2014/chart" uri="{C3380CC4-5D6E-409C-BE32-E72D297353CC}">
              <c16:uniqueId val="{00000003-02D6-4E2C-83DC-1FD1CD404F3B}"/>
            </c:ext>
          </c:extLst>
        </c:ser>
        <c:ser>
          <c:idx val="4"/>
          <c:order val="4"/>
          <c:tx>
            <c:strRef>
              <c:f>'Analiz (Konsolide)'!$G$6</c:f>
              <c:strCache>
                <c:ptCount val="1"/>
                <c:pt idx="0">
                  <c:v>Kabul Edilemez Risk</c:v>
                </c:pt>
              </c:strCache>
            </c:strRef>
          </c:tx>
          <c:spPr>
            <a:solidFill>
              <a:srgbClr val="C000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'Analiz (Konsolide)'!$B$7:$B$39</c15:sqref>
                  </c15:fullRef>
                </c:ext>
              </c:extLst>
              <c:f>('Analiz (Konsolide)'!$B$13:$B$17,'Analiz (Konsolide)'!$B$19:$B$26)</c:f>
              <c:strCache>
                <c:ptCount val="13"/>
                <c:pt idx="0">
                  <c:v>Güvenlik - Fiziksel Risk Etmenleri</c:v>
                </c:pt>
                <c:pt idx="1">
                  <c:v>Güvenlik - Biyolojik Risk Etmenleri</c:v>
                </c:pt>
                <c:pt idx="2">
                  <c:v>Güvenlik - Psikososyal Risk Etmenleri</c:v>
                </c:pt>
                <c:pt idx="3">
                  <c:v>Güvenlik - Ergonomik Risk Etmenler</c:v>
                </c:pt>
                <c:pt idx="4">
                  <c:v>Tehlikeli Madde Yönetimi / Kimyasal Risk Etmenleri</c:v>
                </c:pt>
                <c:pt idx="5">
                  <c:v>Atık Yönetimi</c:v>
                </c:pt>
                <c:pt idx="6">
                  <c:v>Tıbbi Cihaz ve Malzeme Yönetimi</c:v>
                </c:pt>
                <c:pt idx="7">
                  <c:v>Diğer Cihaz ve Malzemelerin Yönetimi</c:v>
                </c:pt>
                <c:pt idx="8">
                  <c:v>Yangın Güvenliği</c:v>
                </c:pt>
                <c:pt idx="9">
                  <c:v>Altyapı Sistemleri</c:v>
                </c:pt>
                <c:pt idx="10">
                  <c:v>İnşaat ve Renovasyon</c:v>
                </c:pt>
                <c:pt idx="11">
                  <c:v>Acil Durum ve Afet Yönetimi</c:v>
                </c:pt>
                <c:pt idx="12">
                  <c:v>Emniyet</c:v>
                </c:pt>
              </c:strCache>
            </c:strRef>
          </c:cat>
          <c:val>
            <c:numRef>
              <c:extLst>
                <c:ext xmlns:c15="http://schemas.microsoft.com/office/drawing/2012/chart" uri="{02D57815-91ED-43cb-92C2-25804820EDAC}">
                  <c15:fullRef>
                    <c15:sqref>'Analiz (Konsolide)'!$G$7:$G$39</c15:sqref>
                  </c15:fullRef>
                </c:ext>
              </c:extLst>
              <c:f>('Analiz (Konsolide)'!$G$13:$G$17,'Analiz (Konsolide)'!$G$19:$G$26)</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4-02D6-4E2C-83DC-1FD1CD404F3B}"/>
            </c:ext>
          </c:extLst>
        </c:ser>
        <c:dLbls>
          <c:showLegendKey val="0"/>
          <c:showVal val="1"/>
          <c:showCatName val="0"/>
          <c:showSerName val="0"/>
          <c:showPercent val="0"/>
          <c:showBubbleSize val="0"/>
        </c:dLbls>
        <c:gapWidth val="150"/>
        <c:shape val="box"/>
        <c:axId val="-1467927888"/>
        <c:axId val="-1467935504"/>
        <c:axId val="0"/>
      </c:bar3DChart>
      <c:catAx>
        <c:axId val="-14679278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crossAx val="-1467935504"/>
        <c:crosses val="autoZero"/>
        <c:auto val="1"/>
        <c:lblAlgn val="ctr"/>
        <c:lblOffset val="100"/>
        <c:noMultiLvlLbl val="0"/>
      </c:catAx>
      <c:valAx>
        <c:axId val="-1467935504"/>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467927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noFill/>
      <a:round/>
    </a:ln>
    <a:effectLst/>
  </c:spPr>
  <c:txPr>
    <a:bodyPr/>
    <a:lstStyle/>
    <a:p>
      <a:pPr>
        <a:defRPr/>
      </a:pPr>
      <a:endParaRPr lang="tr-T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r>
              <a:rPr lang="tr-TR" b="1">
                <a:solidFill>
                  <a:sysClr val="windowText" lastClr="000000"/>
                </a:solidFill>
                <a:latin typeface="Tahoma" panose="020B0604030504040204" pitchFamily="34" charset="0"/>
                <a:ea typeface="Tahoma" panose="020B0604030504040204" pitchFamily="34" charset="0"/>
                <a:cs typeface="Tahoma" panose="020B0604030504040204" pitchFamily="34" charset="0"/>
              </a:rPr>
              <a:t>İyileştirme Sonrası </a:t>
            </a:r>
            <a:r>
              <a:rPr lang="tr-TR" sz="1400" b="1" i="0" u="none" strike="noStrike" baseline="0">
                <a:effectLst/>
              </a:rPr>
              <a:t>Alt Risk Kategorilerine Göre </a:t>
            </a:r>
            <a:r>
              <a:rPr lang="tr-TR" b="1">
                <a:solidFill>
                  <a:sysClr val="windowText" lastClr="000000"/>
                </a:solidFill>
                <a:latin typeface="Tahoma" panose="020B0604030504040204" pitchFamily="34" charset="0"/>
                <a:ea typeface="Tahoma" panose="020B0604030504040204" pitchFamily="34" charset="0"/>
                <a:cs typeface="Tahoma" panose="020B0604030504040204" pitchFamily="34" charset="0"/>
              </a:rPr>
              <a:t>Risk</a:t>
            </a:r>
            <a:r>
              <a:rPr lang="tr-TR" b="1"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rPr>
              <a:t> Düzey Dağılımı</a:t>
            </a:r>
            <a:endParaRPr lang="en-US"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c:rich>
      </c:tx>
      <c:layout>
        <c:manualLayout>
          <c:xMode val="edge"/>
          <c:yMode val="edge"/>
          <c:x val="0.27288871092127898"/>
          <c:y val="5.593305649930791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'Analiz (Konsolide)'!$I$6</c:f>
              <c:strCache>
                <c:ptCount val="1"/>
                <c:pt idx="0">
                  <c:v>Düşük Risk</c:v>
                </c:pt>
              </c:strCache>
            </c:strRef>
          </c:tx>
          <c:spPr>
            <a:solidFill>
              <a:srgbClr val="00B05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'Analiz (Konsolide)'!$B$7:$B$39</c15:sqref>
                  </c15:fullRef>
                </c:ext>
              </c:extLst>
              <c:f>('Analiz (Konsolide)'!$B$9:$B$13,'Analiz (Konsolide)'!$B$15:$B$22)</c:f>
              <c:strCache>
                <c:ptCount val="13"/>
                <c:pt idx="0">
                  <c:v>Güvenlik - Fiziksel Risk Etmenleri</c:v>
                </c:pt>
                <c:pt idx="1">
                  <c:v>Güvenlik - Biyolojik Risk Etmenleri</c:v>
                </c:pt>
                <c:pt idx="2">
                  <c:v>Güvenlik - Psikososyal Risk Etmenleri</c:v>
                </c:pt>
                <c:pt idx="3">
                  <c:v>Güvenlik - Ergonomik Risk Etmenler</c:v>
                </c:pt>
                <c:pt idx="4">
                  <c:v>Tehlikeli Madde Yönetimi / Kimyasal Risk Etmenleri</c:v>
                </c:pt>
                <c:pt idx="5">
                  <c:v>Atık Yönetimi</c:v>
                </c:pt>
                <c:pt idx="6">
                  <c:v>Tıbbi Cihaz ve Malzeme Yönetimi</c:v>
                </c:pt>
                <c:pt idx="7">
                  <c:v>Diğer Cihaz ve Malzemelerin Yönetimi</c:v>
                </c:pt>
                <c:pt idx="8">
                  <c:v>Yangın Güvenliği</c:v>
                </c:pt>
                <c:pt idx="9">
                  <c:v>Altyapı Sistemleri</c:v>
                </c:pt>
                <c:pt idx="10">
                  <c:v>İnşaat ve Renovasyon</c:v>
                </c:pt>
                <c:pt idx="11">
                  <c:v>Acil Durum ve Afet Yönetimi</c:v>
                </c:pt>
                <c:pt idx="12">
                  <c:v>Emniyet</c:v>
                </c:pt>
              </c:strCache>
            </c:strRef>
          </c:cat>
          <c:val>
            <c:numRef>
              <c:extLst>
                <c:ext xmlns:c15="http://schemas.microsoft.com/office/drawing/2012/chart" uri="{02D57815-91ED-43cb-92C2-25804820EDAC}">
                  <c15:fullRef>
                    <c15:sqref>'Analiz (Konsolide)'!$I$7:$I$39</c15:sqref>
                  </c15:fullRef>
                </c:ext>
              </c:extLst>
              <c:f>('Analiz (Konsolide)'!$I$9:$I$13,'Analiz (Konsolide)'!$I$15:$I$22)</c:f>
              <c:numCache>
                <c:formatCode>General</c:formatCode>
                <c:ptCount val="13"/>
                <c:pt idx="0">
                  <c:v>18</c:v>
                </c:pt>
                <c:pt idx="1">
                  <c:v>19</c:v>
                </c:pt>
                <c:pt idx="2">
                  <c:v>11</c:v>
                </c:pt>
                <c:pt idx="3">
                  <c:v>5</c:v>
                </c:pt>
                <c:pt idx="4">
                  <c:v>11</c:v>
                </c:pt>
                <c:pt idx="5">
                  <c:v>10</c:v>
                </c:pt>
                <c:pt idx="6">
                  <c:v>2</c:v>
                </c:pt>
                <c:pt idx="7">
                  <c:v>0</c:v>
                </c:pt>
                <c:pt idx="8">
                  <c:v>14</c:v>
                </c:pt>
                <c:pt idx="9">
                  <c:v>21</c:v>
                </c:pt>
                <c:pt idx="10">
                  <c:v>0</c:v>
                </c:pt>
                <c:pt idx="11">
                  <c:v>16</c:v>
                </c:pt>
                <c:pt idx="12">
                  <c:v>11</c:v>
                </c:pt>
              </c:numCache>
            </c:numRef>
          </c:val>
          <c:extLst>
            <c:ext xmlns:c16="http://schemas.microsoft.com/office/drawing/2014/chart" uri="{C3380CC4-5D6E-409C-BE32-E72D297353CC}">
              <c16:uniqueId val="{00000000-4DBC-4CD2-95EF-700EEB3214FC}"/>
            </c:ext>
          </c:extLst>
        </c:ser>
        <c:ser>
          <c:idx val="1"/>
          <c:order val="1"/>
          <c:tx>
            <c:strRef>
              <c:f>'Analiz (Konsolide)'!$J$6</c:f>
              <c:strCache>
                <c:ptCount val="1"/>
                <c:pt idx="0">
                  <c:v>Olası Risk</c:v>
                </c:pt>
              </c:strCache>
            </c:strRef>
          </c:tx>
          <c:spPr>
            <a:solidFill>
              <a:srgbClr val="FFFF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'Analiz (Konsolide)'!$B$7:$B$39</c15:sqref>
                  </c15:fullRef>
                </c:ext>
              </c:extLst>
              <c:f>('Analiz (Konsolide)'!$B$9:$B$13,'Analiz (Konsolide)'!$B$15:$B$22)</c:f>
              <c:strCache>
                <c:ptCount val="13"/>
                <c:pt idx="0">
                  <c:v>Güvenlik - Fiziksel Risk Etmenleri</c:v>
                </c:pt>
                <c:pt idx="1">
                  <c:v>Güvenlik - Biyolojik Risk Etmenleri</c:v>
                </c:pt>
                <c:pt idx="2">
                  <c:v>Güvenlik - Psikososyal Risk Etmenleri</c:v>
                </c:pt>
                <c:pt idx="3">
                  <c:v>Güvenlik - Ergonomik Risk Etmenler</c:v>
                </c:pt>
                <c:pt idx="4">
                  <c:v>Tehlikeli Madde Yönetimi / Kimyasal Risk Etmenleri</c:v>
                </c:pt>
                <c:pt idx="5">
                  <c:v>Atık Yönetimi</c:v>
                </c:pt>
                <c:pt idx="6">
                  <c:v>Tıbbi Cihaz ve Malzeme Yönetimi</c:v>
                </c:pt>
                <c:pt idx="7">
                  <c:v>Diğer Cihaz ve Malzemelerin Yönetimi</c:v>
                </c:pt>
                <c:pt idx="8">
                  <c:v>Yangın Güvenliği</c:v>
                </c:pt>
                <c:pt idx="9">
                  <c:v>Altyapı Sistemleri</c:v>
                </c:pt>
                <c:pt idx="10">
                  <c:v>İnşaat ve Renovasyon</c:v>
                </c:pt>
                <c:pt idx="11">
                  <c:v>Acil Durum ve Afet Yönetimi</c:v>
                </c:pt>
                <c:pt idx="12">
                  <c:v>Emniyet</c:v>
                </c:pt>
              </c:strCache>
            </c:strRef>
          </c:cat>
          <c:val>
            <c:numRef>
              <c:extLst>
                <c:ext xmlns:c15="http://schemas.microsoft.com/office/drawing/2012/chart" uri="{02D57815-91ED-43cb-92C2-25804820EDAC}">
                  <c15:fullRef>
                    <c15:sqref>'Analiz (Konsolide)'!$J$7:$J$39</c15:sqref>
                  </c15:fullRef>
                </c:ext>
              </c:extLst>
              <c:f>('Analiz (Konsolide)'!$J$9:$J$13,'Analiz (Konsolide)'!$J$15:$J$22)</c:f>
              <c:numCache>
                <c:formatCode>General</c:formatCode>
                <c:ptCount val="13"/>
                <c:pt idx="0">
                  <c:v>4</c:v>
                </c:pt>
                <c:pt idx="1">
                  <c:v>2</c:v>
                </c:pt>
                <c:pt idx="2">
                  <c:v>0</c:v>
                </c:pt>
                <c:pt idx="3">
                  <c:v>1</c:v>
                </c:pt>
                <c:pt idx="4">
                  <c:v>1</c:v>
                </c:pt>
                <c:pt idx="5">
                  <c:v>2</c:v>
                </c:pt>
                <c:pt idx="6">
                  <c:v>3</c:v>
                </c:pt>
                <c:pt idx="7">
                  <c:v>0</c:v>
                </c:pt>
                <c:pt idx="8">
                  <c:v>4</c:v>
                </c:pt>
                <c:pt idx="9">
                  <c:v>0</c:v>
                </c:pt>
                <c:pt idx="10">
                  <c:v>0</c:v>
                </c:pt>
                <c:pt idx="11">
                  <c:v>5</c:v>
                </c:pt>
                <c:pt idx="12">
                  <c:v>0</c:v>
                </c:pt>
              </c:numCache>
            </c:numRef>
          </c:val>
          <c:extLst>
            <c:ext xmlns:c16="http://schemas.microsoft.com/office/drawing/2014/chart" uri="{C3380CC4-5D6E-409C-BE32-E72D297353CC}">
              <c16:uniqueId val="{00000001-4DBC-4CD2-95EF-700EEB3214FC}"/>
            </c:ext>
          </c:extLst>
        </c:ser>
        <c:ser>
          <c:idx val="2"/>
          <c:order val="2"/>
          <c:tx>
            <c:strRef>
              <c:f>'Analiz (Konsolide)'!$K$6</c:f>
              <c:strCache>
                <c:ptCount val="1"/>
                <c:pt idx="0">
                  <c:v>Önemli Risk</c:v>
                </c:pt>
              </c:strCache>
            </c:strRef>
          </c:tx>
          <c:spPr>
            <a:solidFill>
              <a:srgbClr val="FFC0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'Analiz (Konsolide)'!$B$7:$B$39</c15:sqref>
                  </c15:fullRef>
                </c:ext>
              </c:extLst>
              <c:f>('Analiz (Konsolide)'!$B$9:$B$13,'Analiz (Konsolide)'!$B$15:$B$22)</c:f>
              <c:strCache>
                <c:ptCount val="13"/>
                <c:pt idx="0">
                  <c:v>Güvenlik - Fiziksel Risk Etmenleri</c:v>
                </c:pt>
                <c:pt idx="1">
                  <c:v>Güvenlik - Biyolojik Risk Etmenleri</c:v>
                </c:pt>
                <c:pt idx="2">
                  <c:v>Güvenlik - Psikososyal Risk Etmenleri</c:v>
                </c:pt>
                <c:pt idx="3">
                  <c:v>Güvenlik - Ergonomik Risk Etmenler</c:v>
                </c:pt>
                <c:pt idx="4">
                  <c:v>Tehlikeli Madde Yönetimi / Kimyasal Risk Etmenleri</c:v>
                </c:pt>
                <c:pt idx="5">
                  <c:v>Atık Yönetimi</c:v>
                </c:pt>
                <c:pt idx="6">
                  <c:v>Tıbbi Cihaz ve Malzeme Yönetimi</c:v>
                </c:pt>
                <c:pt idx="7">
                  <c:v>Diğer Cihaz ve Malzemelerin Yönetimi</c:v>
                </c:pt>
                <c:pt idx="8">
                  <c:v>Yangın Güvenliği</c:v>
                </c:pt>
                <c:pt idx="9">
                  <c:v>Altyapı Sistemleri</c:v>
                </c:pt>
                <c:pt idx="10">
                  <c:v>İnşaat ve Renovasyon</c:v>
                </c:pt>
                <c:pt idx="11">
                  <c:v>Acil Durum ve Afet Yönetimi</c:v>
                </c:pt>
                <c:pt idx="12">
                  <c:v>Emniyet</c:v>
                </c:pt>
              </c:strCache>
            </c:strRef>
          </c:cat>
          <c:val>
            <c:numRef>
              <c:extLst>
                <c:ext xmlns:c15="http://schemas.microsoft.com/office/drawing/2012/chart" uri="{02D57815-91ED-43cb-92C2-25804820EDAC}">
                  <c15:fullRef>
                    <c15:sqref>'Analiz (Konsolide)'!$K$7:$K$39</c15:sqref>
                  </c15:fullRef>
                </c:ext>
              </c:extLst>
              <c:f>('Analiz (Konsolide)'!$K$9:$K$13,'Analiz (Konsolide)'!$K$15:$K$22)</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2-4DBC-4CD2-95EF-700EEB3214FC}"/>
            </c:ext>
          </c:extLst>
        </c:ser>
        <c:ser>
          <c:idx val="3"/>
          <c:order val="3"/>
          <c:tx>
            <c:strRef>
              <c:f>'Analiz (Konsolide)'!$L$6</c:f>
              <c:strCache>
                <c:ptCount val="1"/>
                <c:pt idx="0">
                  <c:v>Yüksek Risk</c:v>
                </c:pt>
              </c:strCache>
            </c:strRef>
          </c:tx>
          <c:spPr>
            <a:solidFill>
              <a:srgbClr val="FF00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'Analiz (Konsolide)'!$B$7:$B$39</c15:sqref>
                  </c15:fullRef>
                </c:ext>
              </c:extLst>
              <c:f>('Analiz (Konsolide)'!$B$9:$B$13,'Analiz (Konsolide)'!$B$15:$B$22)</c:f>
              <c:strCache>
                <c:ptCount val="13"/>
                <c:pt idx="0">
                  <c:v>Güvenlik - Fiziksel Risk Etmenleri</c:v>
                </c:pt>
                <c:pt idx="1">
                  <c:v>Güvenlik - Biyolojik Risk Etmenleri</c:v>
                </c:pt>
                <c:pt idx="2">
                  <c:v>Güvenlik - Psikososyal Risk Etmenleri</c:v>
                </c:pt>
                <c:pt idx="3">
                  <c:v>Güvenlik - Ergonomik Risk Etmenler</c:v>
                </c:pt>
                <c:pt idx="4">
                  <c:v>Tehlikeli Madde Yönetimi / Kimyasal Risk Etmenleri</c:v>
                </c:pt>
                <c:pt idx="5">
                  <c:v>Atık Yönetimi</c:v>
                </c:pt>
                <c:pt idx="6">
                  <c:v>Tıbbi Cihaz ve Malzeme Yönetimi</c:v>
                </c:pt>
                <c:pt idx="7">
                  <c:v>Diğer Cihaz ve Malzemelerin Yönetimi</c:v>
                </c:pt>
                <c:pt idx="8">
                  <c:v>Yangın Güvenliği</c:v>
                </c:pt>
                <c:pt idx="9">
                  <c:v>Altyapı Sistemleri</c:v>
                </c:pt>
                <c:pt idx="10">
                  <c:v>İnşaat ve Renovasyon</c:v>
                </c:pt>
                <c:pt idx="11">
                  <c:v>Acil Durum ve Afet Yönetimi</c:v>
                </c:pt>
                <c:pt idx="12">
                  <c:v>Emniyet</c:v>
                </c:pt>
              </c:strCache>
            </c:strRef>
          </c:cat>
          <c:val>
            <c:numRef>
              <c:extLst>
                <c:ext xmlns:c15="http://schemas.microsoft.com/office/drawing/2012/chart" uri="{02D57815-91ED-43cb-92C2-25804820EDAC}">
                  <c15:fullRef>
                    <c15:sqref>'Analiz (Konsolide)'!$L$7:$L$39</c15:sqref>
                  </c15:fullRef>
                </c:ext>
              </c:extLst>
              <c:f>('Analiz (Konsolide)'!$L$9:$L$13,'Analiz (Konsolide)'!$L$15:$L$22)</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3-4DBC-4CD2-95EF-700EEB3214FC}"/>
            </c:ext>
          </c:extLst>
        </c:ser>
        <c:ser>
          <c:idx val="4"/>
          <c:order val="4"/>
          <c:tx>
            <c:strRef>
              <c:f>'Analiz (Konsolide)'!$M$6</c:f>
              <c:strCache>
                <c:ptCount val="1"/>
                <c:pt idx="0">
                  <c:v>Kabul Edilemez Risk</c:v>
                </c:pt>
              </c:strCache>
            </c:strRef>
          </c:tx>
          <c:spPr>
            <a:solidFill>
              <a:srgbClr val="C000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'Analiz (Konsolide)'!$B$7:$B$39</c15:sqref>
                  </c15:fullRef>
                </c:ext>
              </c:extLst>
              <c:f>('Analiz (Konsolide)'!$B$9:$B$13,'Analiz (Konsolide)'!$B$15:$B$22)</c:f>
              <c:strCache>
                <c:ptCount val="13"/>
                <c:pt idx="0">
                  <c:v>Güvenlik - Fiziksel Risk Etmenleri</c:v>
                </c:pt>
                <c:pt idx="1">
                  <c:v>Güvenlik - Biyolojik Risk Etmenleri</c:v>
                </c:pt>
                <c:pt idx="2">
                  <c:v>Güvenlik - Psikososyal Risk Etmenleri</c:v>
                </c:pt>
                <c:pt idx="3">
                  <c:v>Güvenlik - Ergonomik Risk Etmenler</c:v>
                </c:pt>
                <c:pt idx="4">
                  <c:v>Tehlikeli Madde Yönetimi / Kimyasal Risk Etmenleri</c:v>
                </c:pt>
                <c:pt idx="5">
                  <c:v>Atık Yönetimi</c:v>
                </c:pt>
                <c:pt idx="6">
                  <c:v>Tıbbi Cihaz ve Malzeme Yönetimi</c:v>
                </c:pt>
                <c:pt idx="7">
                  <c:v>Diğer Cihaz ve Malzemelerin Yönetimi</c:v>
                </c:pt>
                <c:pt idx="8">
                  <c:v>Yangın Güvenliği</c:v>
                </c:pt>
                <c:pt idx="9">
                  <c:v>Altyapı Sistemleri</c:v>
                </c:pt>
                <c:pt idx="10">
                  <c:v>İnşaat ve Renovasyon</c:v>
                </c:pt>
                <c:pt idx="11">
                  <c:v>Acil Durum ve Afet Yönetimi</c:v>
                </c:pt>
                <c:pt idx="12">
                  <c:v>Emniyet</c:v>
                </c:pt>
              </c:strCache>
            </c:strRef>
          </c:cat>
          <c:val>
            <c:numRef>
              <c:extLst>
                <c:ext xmlns:c15="http://schemas.microsoft.com/office/drawing/2012/chart" uri="{02D57815-91ED-43cb-92C2-25804820EDAC}">
                  <c15:fullRef>
                    <c15:sqref>'Analiz (Konsolide)'!$M$7:$M$39</c15:sqref>
                  </c15:fullRef>
                </c:ext>
              </c:extLst>
              <c:f>('Analiz (Konsolide)'!$M$9:$M$13,'Analiz (Konsolide)'!$M$15:$M$22)</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4-4DBC-4CD2-95EF-700EEB3214FC}"/>
            </c:ext>
          </c:extLst>
        </c:ser>
        <c:dLbls>
          <c:showLegendKey val="0"/>
          <c:showVal val="1"/>
          <c:showCatName val="0"/>
          <c:showSerName val="0"/>
          <c:showPercent val="0"/>
          <c:showBubbleSize val="0"/>
        </c:dLbls>
        <c:gapWidth val="150"/>
        <c:shape val="box"/>
        <c:axId val="-1467923536"/>
        <c:axId val="-1467925712"/>
        <c:axId val="0"/>
        <c:extLst>
          <c:ext xmlns:c15="http://schemas.microsoft.com/office/drawing/2012/chart" uri="{02D57815-91ED-43cb-92C2-25804820EDAC}">
            <c15:filteredBarSeries>
              <c15:ser>
                <c:idx val="5"/>
                <c:order val="5"/>
                <c:tx>
                  <c:strRef>
                    <c:extLst>
                      <c:ext uri="{02D57815-91ED-43cb-92C2-25804820EDAC}">
                        <c15:formulaRef>
                          <c15:sqref>'Analiz (Konsolide)'!$B$7</c15:sqref>
                        </c15:formulaRef>
                      </c:ext>
                    </c:extLst>
                    <c:strCache>
                      <c:ptCount val="1"/>
                      <c:pt idx="0">
                        <c:v>Çevre Güvenliği</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'Analiz (Konsolide)'!$B$7:$B$39</c15:sqref>
                        </c15:fullRef>
                        <c15:formulaRef>
                          <c15:sqref>('Analiz (Konsolide)'!$B$9:$B$13,'Analiz (Konsolide)'!$B$15:$B$22)</c15:sqref>
                        </c15:formulaRef>
                      </c:ext>
                    </c:extLst>
                    <c:strCache>
                      <c:ptCount val="13"/>
                      <c:pt idx="0">
                        <c:v>İş Sağlığı ve Güvenliği</c:v>
                      </c:pt>
                      <c:pt idx="1">
                        <c:v>Güvenlik - Fiziksel Risk Etmenleri</c:v>
                      </c:pt>
                      <c:pt idx="2">
                        <c:v>Güvenlik - Biyolojik Risk Etmenleri</c:v>
                      </c:pt>
                      <c:pt idx="3">
                        <c:v>Güvenlik - Psikososyal Risk Etmenleri</c:v>
                      </c:pt>
                      <c:pt idx="4">
                        <c:v>Güvenlik - Ergonomik Risk Etmenler</c:v>
                      </c:pt>
                      <c:pt idx="5">
                        <c:v>Tehlikeli Madde Yönetimi / Kimyasal Risk Etmenleri</c:v>
                      </c:pt>
                      <c:pt idx="6">
                        <c:v>Tesis Güvenliği</c:v>
                      </c:pt>
                      <c:pt idx="7">
                        <c:v>Atık Yönetimi</c:v>
                      </c:pt>
                      <c:pt idx="8">
                        <c:v>Tıbbi Cihaz ve Malzeme Yönetimi</c:v>
                      </c:pt>
                      <c:pt idx="9">
                        <c:v>Diğer Cihaz ve Malzemelerin Yönetimi</c:v>
                      </c:pt>
                      <c:pt idx="10">
                        <c:v>Yangın Güvenliği</c:v>
                      </c:pt>
                      <c:pt idx="11">
                        <c:v>Altyapı Sistemleri</c:v>
                      </c:pt>
                      <c:pt idx="12">
                        <c:v>İnşaat ve Renovasyon</c:v>
                      </c:pt>
                      <c:pt idx="13">
                        <c:v>Acil Durum ve Afet Yönetimi</c:v>
                      </c:pt>
                      <c:pt idx="14">
                        <c:v>Emniyet</c:v>
                      </c:pt>
                      <c:pt idx="15">
                        <c:v>Tıbbi Hizmetler</c:v>
                      </c:pt>
                      <c:pt idx="16">
                        <c:v>Yönetsel Hizmetler</c:v>
                      </c:pt>
                    </c:strCache>
                  </c:strRef>
                </c:cat>
                <c:val>
                  <c:numRef>
                    <c:extLst>
                      <c:ext uri="{02D57815-91ED-43cb-92C2-25804820EDAC}">
                        <c15:fullRef>
                          <c15:sqref>'Analiz (Konsolide)'!$B$34:$B$39</c15:sqref>
                        </c15:fullRef>
                        <c15:formulaRef>
                          <c15:sqref>'Analiz (Konsolide)'!$B$36:$B$39</c15:sqref>
                        </c15:formulaRef>
                      </c:ext>
                    </c:extLst>
                    <c:numCache>
                      <c:formatCode>General</c:formatCode>
                      <c:ptCount val="0"/>
                    </c:numCache>
                  </c:numRef>
                </c:val>
                <c:extLst>
                  <c:ext xmlns:c16="http://schemas.microsoft.com/office/drawing/2014/chart" uri="{C3380CC4-5D6E-409C-BE32-E72D297353CC}">
                    <c16:uniqueId val="{00000005-4DBC-4CD2-95EF-700EEB3214FC}"/>
                  </c:ext>
                </c:extLst>
              </c15:ser>
            </c15:filteredBarSeries>
          </c:ext>
        </c:extLst>
      </c:bar3DChart>
      <c:catAx>
        <c:axId val="-14679235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crossAx val="-1467925712"/>
        <c:crosses val="autoZero"/>
        <c:auto val="1"/>
        <c:lblAlgn val="ctr"/>
        <c:lblOffset val="100"/>
        <c:noMultiLvlLbl val="0"/>
      </c:catAx>
      <c:valAx>
        <c:axId val="-1467925712"/>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4679235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noFill/>
      <a:round/>
    </a:ln>
    <a:effectLst/>
  </c:spPr>
  <c:txPr>
    <a:bodyPr/>
    <a:lstStyle/>
    <a:p>
      <a:pPr>
        <a:defRPr/>
      </a:pPr>
      <a:endParaRPr lang="tr-T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r>
              <a:rPr lang="tr-TR"/>
              <a:t>İyileştirme Çalışması Tamalanma Durumu</a:t>
            </a: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1-6AE7-499B-95C3-5FA93B88FC6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AE7-499B-95C3-5FA93B88FC67}"/>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'Analiz (Konsolide)'!$B$85:$B$86</c:f>
              <c:strCache>
                <c:ptCount val="2"/>
                <c:pt idx="0">
                  <c:v>İyileştirme Çalışması Tamamlanan Tespit Sayısı</c:v>
                </c:pt>
                <c:pt idx="1">
                  <c:v>İyileştirme Çalışması Devam Eden Tespit Sayısı</c:v>
                </c:pt>
              </c:strCache>
            </c:strRef>
          </c:cat>
          <c:val>
            <c:numRef>
              <c:f>'Analiz (Konsolide)'!$H$85:$H$86</c:f>
              <c:numCache>
                <c:formatCode>General</c:formatCode>
                <c:ptCount val="2"/>
                <c:pt idx="0">
                  <c:v>0</c:v>
                </c:pt>
                <c:pt idx="1">
                  <c:v>0</c:v>
                </c:pt>
              </c:numCache>
            </c:numRef>
          </c:val>
          <c:extLst>
            <c:ext xmlns:c16="http://schemas.microsoft.com/office/drawing/2014/chart" uri="{C3380CC4-5D6E-409C-BE32-E72D297353CC}">
              <c16:uniqueId val="{00000004-6AE7-499B-95C3-5FA93B88FC67}"/>
            </c:ext>
          </c:extLst>
        </c:ser>
        <c:dLbls>
          <c:dLblPos val="outEnd"/>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900">
          <a:latin typeface="Tahoma" panose="020B0604030504040204" pitchFamily="34" charset="0"/>
          <a:ea typeface="Tahoma" panose="020B0604030504040204" pitchFamily="34" charset="0"/>
          <a:cs typeface="Tahoma" panose="020B0604030504040204" pitchFamily="34" charset="0"/>
        </a:defRPr>
      </a:pPr>
      <a:endParaRPr lang="tr-T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r>
              <a:rPr lang="tr-TR"/>
              <a:t>İyileştirme Çalışması Tamamlanma Durumu Kategori Bazlı</a:t>
            </a: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title>
    <c:autoTitleDeleted val="0"/>
    <c:plotArea>
      <c:layout>
        <c:manualLayout>
          <c:layoutTarget val="inner"/>
          <c:xMode val="edge"/>
          <c:yMode val="edge"/>
          <c:x val="5.3914260717410324E-2"/>
          <c:y val="0.25083333333333335"/>
          <c:w val="0.9155301837270341"/>
          <c:h val="0.42829323417906096"/>
        </c:manualLayout>
      </c:layout>
      <c:barChart>
        <c:barDir val="col"/>
        <c:grouping val="clustered"/>
        <c:varyColors val="0"/>
        <c:ser>
          <c:idx val="0"/>
          <c:order val="0"/>
          <c:tx>
            <c:strRef>
              <c:f>'Analiz (Konsolide)'!$B$84</c:f>
              <c:strCache>
                <c:ptCount val="1"/>
                <c:pt idx="0">
                  <c:v>İyileştirme Çalışması Planlanan Tespit Sayısı</c:v>
                </c:pt>
              </c:strCache>
            </c:strRef>
          </c:tx>
          <c:spPr>
            <a:solidFill>
              <a:schemeClr val="tx1">
                <a:lumMod val="50000"/>
                <a:lumOff val="5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'Analiz (Konsolide)'!$C$83:$G$83</c:f>
              <c:strCache>
                <c:ptCount val="5"/>
                <c:pt idx="0">
                  <c:v>Düşük Risk</c:v>
                </c:pt>
                <c:pt idx="1">
                  <c:v>Olası Risk</c:v>
                </c:pt>
                <c:pt idx="2">
                  <c:v>Önemli Risk</c:v>
                </c:pt>
                <c:pt idx="3">
                  <c:v>Yüksek Risk</c:v>
                </c:pt>
                <c:pt idx="4">
                  <c:v>Kabul Edilemez Risk</c:v>
                </c:pt>
              </c:strCache>
            </c:strRef>
          </c:cat>
          <c:val>
            <c:numRef>
              <c:f>'Analiz (Konsolide)'!$C$84:$G$84</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0-C779-463C-9E75-9A7C36833AF4}"/>
            </c:ext>
          </c:extLst>
        </c:ser>
        <c:ser>
          <c:idx val="1"/>
          <c:order val="1"/>
          <c:tx>
            <c:strRef>
              <c:f>'Analiz (Konsolide)'!$B$85</c:f>
              <c:strCache>
                <c:ptCount val="1"/>
                <c:pt idx="0">
                  <c:v>İyileştirme Çalışması Tamamlanan Tespit Sayısı</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'Analiz (Konsolide)'!$C$83:$G$83</c:f>
              <c:strCache>
                <c:ptCount val="5"/>
                <c:pt idx="0">
                  <c:v>Düşük Risk</c:v>
                </c:pt>
                <c:pt idx="1">
                  <c:v>Olası Risk</c:v>
                </c:pt>
                <c:pt idx="2">
                  <c:v>Önemli Risk</c:v>
                </c:pt>
                <c:pt idx="3">
                  <c:v>Yüksek Risk</c:v>
                </c:pt>
                <c:pt idx="4">
                  <c:v>Kabul Edilemez Risk</c:v>
                </c:pt>
              </c:strCache>
            </c:strRef>
          </c:cat>
          <c:val>
            <c:numRef>
              <c:f>'Analiz (Konsolide)'!$C$85:$G$85</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1-C779-463C-9E75-9A7C36833AF4}"/>
            </c:ext>
          </c:extLst>
        </c:ser>
        <c:ser>
          <c:idx val="2"/>
          <c:order val="2"/>
          <c:tx>
            <c:strRef>
              <c:f>'Analiz (Konsolide)'!$B$86</c:f>
              <c:strCache>
                <c:ptCount val="1"/>
                <c:pt idx="0">
                  <c:v>İyileştirme Çalışması Devam Eden Tespit Sayısı</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'Analiz (Konsolide)'!$C$83:$G$83</c:f>
              <c:strCache>
                <c:ptCount val="5"/>
                <c:pt idx="0">
                  <c:v>Düşük Risk</c:v>
                </c:pt>
                <c:pt idx="1">
                  <c:v>Olası Risk</c:v>
                </c:pt>
                <c:pt idx="2">
                  <c:v>Önemli Risk</c:v>
                </c:pt>
                <c:pt idx="3">
                  <c:v>Yüksek Risk</c:v>
                </c:pt>
                <c:pt idx="4">
                  <c:v>Kabul Edilemez Risk</c:v>
                </c:pt>
              </c:strCache>
            </c:strRef>
          </c:cat>
          <c:val>
            <c:numRef>
              <c:f>'Analiz (Konsolide)'!$C$86:$G$86</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2-C779-463C-9E75-9A7C36833AF4}"/>
            </c:ext>
          </c:extLst>
        </c:ser>
        <c:dLbls>
          <c:dLblPos val="outEnd"/>
          <c:showLegendKey val="0"/>
          <c:showVal val="1"/>
          <c:showCatName val="0"/>
          <c:showSerName val="0"/>
          <c:showPercent val="0"/>
          <c:showBubbleSize val="0"/>
        </c:dLbls>
        <c:gapWidth val="182"/>
        <c:axId val="-1467932784"/>
        <c:axId val="-1381530320"/>
      </c:barChart>
      <c:catAx>
        <c:axId val="-1467932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crossAx val="-1381530320"/>
        <c:crosses val="autoZero"/>
        <c:auto val="1"/>
        <c:lblAlgn val="ctr"/>
        <c:lblOffset val="100"/>
        <c:noMultiLvlLbl val="0"/>
      </c:catAx>
      <c:valAx>
        <c:axId val="-1381530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crossAx val="-1467932784"/>
        <c:crosses val="autoZero"/>
        <c:crossBetween val="between"/>
        <c:majorUnit val="1"/>
      </c:valAx>
      <c:spPr>
        <a:noFill/>
        <a:ln>
          <a:noFill/>
        </a:ln>
        <a:effectLst/>
      </c:spPr>
    </c:plotArea>
    <c:legend>
      <c:legendPos val="b"/>
      <c:layout>
        <c:manualLayout>
          <c:xMode val="edge"/>
          <c:yMode val="edge"/>
          <c:x val="2.8146325459317584E-2"/>
          <c:y val="0.81828594342373873"/>
          <c:w val="0.97185367454068239"/>
          <c:h val="0.163195538057742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900">
          <a:latin typeface="Tahoma" panose="020B0604030504040204" pitchFamily="34" charset="0"/>
          <a:ea typeface="Tahoma" panose="020B0604030504040204" pitchFamily="34" charset="0"/>
          <a:cs typeface="Tahoma" panose="020B0604030504040204" pitchFamily="34" charset="0"/>
        </a:defRPr>
      </a:pPr>
      <a:endParaRPr lang="tr-T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r>
              <a:rPr lang="tr-TR"/>
              <a:t>Tamamlanan İyileştirmelerin Departman Bazlı Dağılımı</a:t>
            </a: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title>
    <c:autoTitleDeleted val="0"/>
    <c:plotArea>
      <c:layout/>
      <c:barChart>
        <c:barDir val="col"/>
        <c:grouping val="clustered"/>
        <c:varyColors val="0"/>
        <c:ser>
          <c:idx val="0"/>
          <c:order val="0"/>
          <c:tx>
            <c:strRef>
              <c:f>'Analiz (Konsolide)'!$C$104</c:f>
              <c:strCache>
                <c:ptCount val="1"/>
                <c:pt idx="0">
                  <c:v>Düşük Risk</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'Analiz (Konsolide)'!$B$105:$B$117</c:f>
              <c:strCache>
                <c:ptCount val="13"/>
                <c:pt idx="0">
                  <c:v>Başhekimlik</c:v>
                </c:pt>
                <c:pt idx="1">
                  <c:v>Bilgi Sistemleri Müdürlüğü</c:v>
                </c:pt>
                <c:pt idx="2">
                  <c:v>Biyomedikal Müdürlüğü</c:v>
                </c:pt>
                <c:pt idx="3">
                  <c:v>Hasta Bakım Hizmetleri Müdürlüğü</c:v>
                </c:pt>
                <c:pt idx="4">
                  <c:v>İnsan Kaynakları Müdürlüğü</c:v>
                </c:pt>
                <c:pt idx="5">
                  <c:v>İş Sağlığı ve Güvenliği</c:v>
                </c:pt>
                <c:pt idx="6">
                  <c:v>Kalite Müdürlüğü</c:v>
                </c:pt>
                <c:pt idx="7">
                  <c:v>Misafir Hizmetleri Müdürlüğü</c:v>
                </c:pt>
                <c:pt idx="8">
                  <c:v>Otelcilik ve Destek Hizmetleri Müdürlüğü</c:v>
                </c:pt>
                <c:pt idx="9">
                  <c:v>Teknik Hizmetler Müdürlüğü</c:v>
                </c:pt>
                <c:pt idx="10">
                  <c:v>Satınalma Müdürlüğü</c:v>
                </c:pt>
                <c:pt idx="11">
                  <c:v>Üst Yönetim</c:v>
                </c:pt>
                <c:pt idx="12">
                  <c:v>Diğer</c:v>
                </c:pt>
              </c:strCache>
            </c:strRef>
          </c:cat>
          <c:val>
            <c:numRef>
              <c:f>'Analiz (Konsolide)'!$C$105:$C$117</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0-C10D-4633-A196-77E5030B197B}"/>
            </c:ext>
          </c:extLst>
        </c:ser>
        <c:ser>
          <c:idx val="1"/>
          <c:order val="1"/>
          <c:tx>
            <c:strRef>
              <c:f>'Analiz (Konsolide)'!$D$104</c:f>
              <c:strCache>
                <c:ptCount val="1"/>
                <c:pt idx="0">
                  <c:v>Olası Risk</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'Analiz (Konsolide)'!$B$105:$B$117</c:f>
              <c:strCache>
                <c:ptCount val="13"/>
                <c:pt idx="0">
                  <c:v>Başhekimlik</c:v>
                </c:pt>
                <c:pt idx="1">
                  <c:v>Bilgi Sistemleri Müdürlüğü</c:v>
                </c:pt>
                <c:pt idx="2">
                  <c:v>Biyomedikal Müdürlüğü</c:v>
                </c:pt>
                <c:pt idx="3">
                  <c:v>Hasta Bakım Hizmetleri Müdürlüğü</c:v>
                </c:pt>
                <c:pt idx="4">
                  <c:v>İnsan Kaynakları Müdürlüğü</c:v>
                </c:pt>
                <c:pt idx="5">
                  <c:v>İş Sağlığı ve Güvenliği</c:v>
                </c:pt>
                <c:pt idx="6">
                  <c:v>Kalite Müdürlüğü</c:v>
                </c:pt>
                <c:pt idx="7">
                  <c:v>Misafir Hizmetleri Müdürlüğü</c:v>
                </c:pt>
                <c:pt idx="8">
                  <c:v>Otelcilik ve Destek Hizmetleri Müdürlüğü</c:v>
                </c:pt>
                <c:pt idx="9">
                  <c:v>Teknik Hizmetler Müdürlüğü</c:v>
                </c:pt>
                <c:pt idx="10">
                  <c:v>Satınalma Müdürlüğü</c:v>
                </c:pt>
                <c:pt idx="11">
                  <c:v>Üst Yönetim</c:v>
                </c:pt>
                <c:pt idx="12">
                  <c:v>Diğer</c:v>
                </c:pt>
              </c:strCache>
            </c:strRef>
          </c:cat>
          <c:val>
            <c:numRef>
              <c:f>'Analiz (Konsolide)'!$D$105:$D$117</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1-C10D-4633-A196-77E5030B197B}"/>
            </c:ext>
          </c:extLst>
        </c:ser>
        <c:ser>
          <c:idx val="2"/>
          <c:order val="2"/>
          <c:tx>
            <c:strRef>
              <c:f>'Analiz (Konsolide)'!$E$104</c:f>
              <c:strCache>
                <c:ptCount val="1"/>
                <c:pt idx="0">
                  <c:v>Önemli Risk</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'Analiz (Konsolide)'!$B$105:$B$117</c:f>
              <c:strCache>
                <c:ptCount val="13"/>
                <c:pt idx="0">
                  <c:v>Başhekimlik</c:v>
                </c:pt>
                <c:pt idx="1">
                  <c:v>Bilgi Sistemleri Müdürlüğü</c:v>
                </c:pt>
                <c:pt idx="2">
                  <c:v>Biyomedikal Müdürlüğü</c:v>
                </c:pt>
                <c:pt idx="3">
                  <c:v>Hasta Bakım Hizmetleri Müdürlüğü</c:v>
                </c:pt>
                <c:pt idx="4">
                  <c:v>İnsan Kaynakları Müdürlüğü</c:v>
                </c:pt>
                <c:pt idx="5">
                  <c:v>İş Sağlığı ve Güvenliği</c:v>
                </c:pt>
                <c:pt idx="6">
                  <c:v>Kalite Müdürlüğü</c:v>
                </c:pt>
                <c:pt idx="7">
                  <c:v>Misafir Hizmetleri Müdürlüğü</c:v>
                </c:pt>
                <c:pt idx="8">
                  <c:v>Otelcilik ve Destek Hizmetleri Müdürlüğü</c:v>
                </c:pt>
                <c:pt idx="9">
                  <c:v>Teknik Hizmetler Müdürlüğü</c:v>
                </c:pt>
                <c:pt idx="10">
                  <c:v>Satınalma Müdürlüğü</c:v>
                </c:pt>
                <c:pt idx="11">
                  <c:v>Üst Yönetim</c:v>
                </c:pt>
                <c:pt idx="12">
                  <c:v>Diğer</c:v>
                </c:pt>
              </c:strCache>
            </c:strRef>
          </c:cat>
          <c:val>
            <c:numRef>
              <c:f>'Analiz (Konsolide)'!$E$105:$E$117</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2-C10D-4633-A196-77E5030B197B}"/>
            </c:ext>
          </c:extLst>
        </c:ser>
        <c:ser>
          <c:idx val="3"/>
          <c:order val="3"/>
          <c:tx>
            <c:strRef>
              <c:f>'Analiz (Konsolide)'!$F$104</c:f>
              <c:strCache>
                <c:ptCount val="1"/>
                <c:pt idx="0">
                  <c:v>Yüksek Risk</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'Analiz (Konsolide)'!$B$105:$B$117</c:f>
              <c:strCache>
                <c:ptCount val="13"/>
                <c:pt idx="0">
                  <c:v>Başhekimlik</c:v>
                </c:pt>
                <c:pt idx="1">
                  <c:v>Bilgi Sistemleri Müdürlüğü</c:v>
                </c:pt>
                <c:pt idx="2">
                  <c:v>Biyomedikal Müdürlüğü</c:v>
                </c:pt>
                <c:pt idx="3">
                  <c:v>Hasta Bakım Hizmetleri Müdürlüğü</c:v>
                </c:pt>
                <c:pt idx="4">
                  <c:v>İnsan Kaynakları Müdürlüğü</c:v>
                </c:pt>
                <c:pt idx="5">
                  <c:v>İş Sağlığı ve Güvenliği</c:v>
                </c:pt>
                <c:pt idx="6">
                  <c:v>Kalite Müdürlüğü</c:v>
                </c:pt>
                <c:pt idx="7">
                  <c:v>Misafir Hizmetleri Müdürlüğü</c:v>
                </c:pt>
                <c:pt idx="8">
                  <c:v>Otelcilik ve Destek Hizmetleri Müdürlüğü</c:v>
                </c:pt>
                <c:pt idx="9">
                  <c:v>Teknik Hizmetler Müdürlüğü</c:v>
                </c:pt>
                <c:pt idx="10">
                  <c:v>Satınalma Müdürlüğü</c:v>
                </c:pt>
                <c:pt idx="11">
                  <c:v>Üst Yönetim</c:v>
                </c:pt>
                <c:pt idx="12">
                  <c:v>Diğer</c:v>
                </c:pt>
              </c:strCache>
            </c:strRef>
          </c:cat>
          <c:val>
            <c:numRef>
              <c:f>'Analiz (Konsolide)'!$F$105:$F$117</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3-C10D-4633-A196-77E5030B197B}"/>
            </c:ext>
          </c:extLst>
        </c:ser>
        <c:ser>
          <c:idx val="4"/>
          <c:order val="4"/>
          <c:tx>
            <c:strRef>
              <c:f>'Analiz (Konsolide)'!$G$104</c:f>
              <c:strCache>
                <c:ptCount val="1"/>
                <c:pt idx="0">
                  <c:v>Kabul Edilemez Risk</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'Analiz (Konsolide)'!$B$105:$B$117</c:f>
              <c:strCache>
                <c:ptCount val="13"/>
                <c:pt idx="0">
                  <c:v>Başhekimlik</c:v>
                </c:pt>
                <c:pt idx="1">
                  <c:v>Bilgi Sistemleri Müdürlüğü</c:v>
                </c:pt>
                <c:pt idx="2">
                  <c:v>Biyomedikal Müdürlüğü</c:v>
                </c:pt>
                <c:pt idx="3">
                  <c:v>Hasta Bakım Hizmetleri Müdürlüğü</c:v>
                </c:pt>
                <c:pt idx="4">
                  <c:v>İnsan Kaynakları Müdürlüğü</c:v>
                </c:pt>
                <c:pt idx="5">
                  <c:v>İş Sağlığı ve Güvenliği</c:v>
                </c:pt>
                <c:pt idx="6">
                  <c:v>Kalite Müdürlüğü</c:v>
                </c:pt>
                <c:pt idx="7">
                  <c:v>Misafir Hizmetleri Müdürlüğü</c:v>
                </c:pt>
                <c:pt idx="8">
                  <c:v>Otelcilik ve Destek Hizmetleri Müdürlüğü</c:v>
                </c:pt>
                <c:pt idx="9">
                  <c:v>Teknik Hizmetler Müdürlüğü</c:v>
                </c:pt>
                <c:pt idx="10">
                  <c:v>Satınalma Müdürlüğü</c:v>
                </c:pt>
                <c:pt idx="11">
                  <c:v>Üst Yönetim</c:v>
                </c:pt>
                <c:pt idx="12">
                  <c:v>Diğer</c:v>
                </c:pt>
              </c:strCache>
            </c:strRef>
          </c:cat>
          <c:val>
            <c:numRef>
              <c:f>'Analiz (Konsolide)'!$G$105:$G$117</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4-C10D-4633-A196-77E5030B197B}"/>
            </c:ext>
          </c:extLst>
        </c:ser>
        <c:dLbls>
          <c:dLblPos val="outEnd"/>
          <c:showLegendKey val="0"/>
          <c:showVal val="1"/>
          <c:showCatName val="0"/>
          <c:showSerName val="0"/>
          <c:showPercent val="0"/>
          <c:showBubbleSize val="0"/>
        </c:dLbls>
        <c:gapWidth val="219"/>
        <c:overlap val="-27"/>
        <c:axId val="-1381511280"/>
        <c:axId val="-1381519440"/>
      </c:barChart>
      <c:catAx>
        <c:axId val="-1381511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crossAx val="-1381519440"/>
        <c:crosses val="autoZero"/>
        <c:auto val="1"/>
        <c:lblAlgn val="ctr"/>
        <c:lblOffset val="100"/>
        <c:noMultiLvlLbl val="0"/>
      </c:catAx>
      <c:valAx>
        <c:axId val="-1381519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crossAx val="-13815112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900">
          <a:latin typeface="Tahoma" panose="020B0604030504040204" pitchFamily="34" charset="0"/>
          <a:ea typeface="Tahoma" panose="020B0604030504040204" pitchFamily="34" charset="0"/>
          <a:cs typeface="Tahoma" panose="020B0604030504040204" pitchFamily="34" charset="0"/>
        </a:defRPr>
      </a:pPr>
      <a:endParaRPr lang="tr-T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r>
              <a:rPr lang="tr-TR"/>
              <a:t>Devam Eden İyileştirmelerin Departman Bazlı Dağılımı</a:t>
            </a: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title>
    <c:autoTitleDeleted val="0"/>
    <c:plotArea>
      <c:layout/>
      <c:barChart>
        <c:barDir val="col"/>
        <c:grouping val="clustered"/>
        <c:varyColors val="0"/>
        <c:ser>
          <c:idx val="0"/>
          <c:order val="0"/>
          <c:tx>
            <c:strRef>
              <c:f>'Analiz (Konsolide)'!$I$104</c:f>
              <c:strCache>
                <c:ptCount val="1"/>
                <c:pt idx="0">
                  <c:v>Düşük Risk</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'Analiz (Konsolide)'!$B$105:$B$117</c:f>
              <c:strCache>
                <c:ptCount val="13"/>
                <c:pt idx="0">
                  <c:v>Başhekimlik</c:v>
                </c:pt>
                <c:pt idx="1">
                  <c:v>Bilgi Sistemleri Müdürlüğü</c:v>
                </c:pt>
                <c:pt idx="2">
                  <c:v>Biyomedikal Müdürlüğü</c:v>
                </c:pt>
                <c:pt idx="3">
                  <c:v>Hasta Bakım Hizmetleri Müdürlüğü</c:v>
                </c:pt>
                <c:pt idx="4">
                  <c:v>İnsan Kaynakları Müdürlüğü</c:v>
                </c:pt>
                <c:pt idx="5">
                  <c:v>İş Sağlığı ve Güvenliği</c:v>
                </c:pt>
                <c:pt idx="6">
                  <c:v>Kalite Müdürlüğü</c:v>
                </c:pt>
                <c:pt idx="7">
                  <c:v>Misafir Hizmetleri Müdürlüğü</c:v>
                </c:pt>
                <c:pt idx="8">
                  <c:v>Otelcilik ve Destek Hizmetleri Müdürlüğü</c:v>
                </c:pt>
                <c:pt idx="9">
                  <c:v>Teknik Hizmetler Müdürlüğü</c:v>
                </c:pt>
                <c:pt idx="10">
                  <c:v>Satınalma Müdürlüğü</c:v>
                </c:pt>
                <c:pt idx="11">
                  <c:v>Üst Yönetim</c:v>
                </c:pt>
                <c:pt idx="12">
                  <c:v>Diğer</c:v>
                </c:pt>
              </c:strCache>
            </c:strRef>
          </c:cat>
          <c:val>
            <c:numRef>
              <c:f>'Analiz (Konsolide)'!$I$105:$I$117</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0-95D2-44BD-A4C1-14156D2B4768}"/>
            </c:ext>
          </c:extLst>
        </c:ser>
        <c:ser>
          <c:idx val="1"/>
          <c:order val="1"/>
          <c:tx>
            <c:strRef>
              <c:f>'Analiz (Konsolide)'!$J$104</c:f>
              <c:strCache>
                <c:ptCount val="1"/>
                <c:pt idx="0">
                  <c:v>Olası Risk</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'Analiz (Konsolide)'!$B$105:$B$117</c:f>
              <c:strCache>
                <c:ptCount val="13"/>
                <c:pt idx="0">
                  <c:v>Başhekimlik</c:v>
                </c:pt>
                <c:pt idx="1">
                  <c:v>Bilgi Sistemleri Müdürlüğü</c:v>
                </c:pt>
                <c:pt idx="2">
                  <c:v>Biyomedikal Müdürlüğü</c:v>
                </c:pt>
                <c:pt idx="3">
                  <c:v>Hasta Bakım Hizmetleri Müdürlüğü</c:v>
                </c:pt>
                <c:pt idx="4">
                  <c:v>İnsan Kaynakları Müdürlüğü</c:v>
                </c:pt>
                <c:pt idx="5">
                  <c:v>İş Sağlığı ve Güvenliği</c:v>
                </c:pt>
                <c:pt idx="6">
                  <c:v>Kalite Müdürlüğü</c:v>
                </c:pt>
                <c:pt idx="7">
                  <c:v>Misafir Hizmetleri Müdürlüğü</c:v>
                </c:pt>
                <c:pt idx="8">
                  <c:v>Otelcilik ve Destek Hizmetleri Müdürlüğü</c:v>
                </c:pt>
                <c:pt idx="9">
                  <c:v>Teknik Hizmetler Müdürlüğü</c:v>
                </c:pt>
                <c:pt idx="10">
                  <c:v>Satınalma Müdürlüğü</c:v>
                </c:pt>
                <c:pt idx="11">
                  <c:v>Üst Yönetim</c:v>
                </c:pt>
                <c:pt idx="12">
                  <c:v>Diğer</c:v>
                </c:pt>
              </c:strCache>
            </c:strRef>
          </c:cat>
          <c:val>
            <c:numRef>
              <c:f>'Analiz (Konsolide)'!$J$105:$J$117</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1-95D2-44BD-A4C1-14156D2B4768}"/>
            </c:ext>
          </c:extLst>
        </c:ser>
        <c:ser>
          <c:idx val="2"/>
          <c:order val="2"/>
          <c:tx>
            <c:strRef>
              <c:f>'Analiz (Konsolide)'!$K$104</c:f>
              <c:strCache>
                <c:ptCount val="1"/>
                <c:pt idx="0">
                  <c:v>Önemli Risk</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'Analiz (Konsolide)'!$B$105:$B$117</c:f>
              <c:strCache>
                <c:ptCount val="13"/>
                <c:pt idx="0">
                  <c:v>Başhekimlik</c:v>
                </c:pt>
                <c:pt idx="1">
                  <c:v>Bilgi Sistemleri Müdürlüğü</c:v>
                </c:pt>
                <c:pt idx="2">
                  <c:v>Biyomedikal Müdürlüğü</c:v>
                </c:pt>
                <c:pt idx="3">
                  <c:v>Hasta Bakım Hizmetleri Müdürlüğü</c:v>
                </c:pt>
                <c:pt idx="4">
                  <c:v>İnsan Kaynakları Müdürlüğü</c:v>
                </c:pt>
                <c:pt idx="5">
                  <c:v>İş Sağlığı ve Güvenliği</c:v>
                </c:pt>
                <c:pt idx="6">
                  <c:v>Kalite Müdürlüğü</c:v>
                </c:pt>
                <c:pt idx="7">
                  <c:v>Misafir Hizmetleri Müdürlüğü</c:v>
                </c:pt>
                <c:pt idx="8">
                  <c:v>Otelcilik ve Destek Hizmetleri Müdürlüğü</c:v>
                </c:pt>
                <c:pt idx="9">
                  <c:v>Teknik Hizmetler Müdürlüğü</c:v>
                </c:pt>
                <c:pt idx="10">
                  <c:v>Satınalma Müdürlüğü</c:v>
                </c:pt>
                <c:pt idx="11">
                  <c:v>Üst Yönetim</c:v>
                </c:pt>
                <c:pt idx="12">
                  <c:v>Diğer</c:v>
                </c:pt>
              </c:strCache>
            </c:strRef>
          </c:cat>
          <c:val>
            <c:numRef>
              <c:f>'Analiz (Konsolide)'!$K$105:$K$117</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2-95D2-44BD-A4C1-14156D2B4768}"/>
            </c:ext>
          </c:extLst>
        </c:ser>
        <c:ser>
          <c:idx val="3"/>
          <c:order val="3"/>
          <c:tx>
            <c:strRef>
              <c:f>'Analiz (Konsolide)'!$L$104</c:f>
              <c:strCache>
                <c:ptCount val="1"/>
                <c:pt idx="0">
                  <c:v>Yüksek Risk</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'Analiz (Konsolide)'!$B$105:$B$117</c:f>
              <c:strCache>
                <c:ptCount val="13"/>
                <c:pt idx="0">
                  <c:v>Başhekimlik</c:v>
                </c:pt>
                <c:pt idx="1">
                  <c:v>Bilgi Sistemleri Müdürlüğü</c:v>
                </c:pt>
                <c:pt idx="2">
                  <c:v>Biyomedikal Müdürlüğü</c:v>
                </c:pt>
                <c:pt idx="3">
                  <c:v>Hasta Bakım Hizmetleri Müdürlüğü</c:v>
                </c:pt>
                <c:pt idx="4">
                  <c:v>İnsan Kaynakları Müdürlüğü</c:v>
                </c:pt>
                <c:pt idx="5">
                  <c:v>İş Sağlığı ve Güvenliği</c:v>
                </c:pt>
                <c:pt idx="6">
                  <c:v>Kalite Müdürlüğü</c:v>
                </c:pt>
                <c:pt idx="7">
                  <c:v>Misafir Hizmetleri Müdürlüğü</c:v>
                </c:pt>
                <c:pt idx="8">
                  <c:v>Otelcilik ve Destek Hizmetleri Müdürlüğü</c:v>
                </c:pt>
                <c:pt idx="9">
                  <c:v>Teknik Hizmetler Müdürlüğü</c:v>
                </c:pt>
                <c:pt idx="10">
                  <c:v>Satınalma Müdürlüğü</c:v>
                </c:pt>
                <c:pt idx="11">
                  <c:v>Üst Yönetim</c:v>
                </c:pt>
                <c:pt idx="12">
                  <c:v>Diğer</c:v>
                </c:pt>
              </c:strCache>
            </c:strRef>
          </c:cat>
          <c:val>
            <c:numRef>
              <c:f>'Analiz (Konsolide)'!$L$105:$L$117</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3-95D2-44BD-A4C1-14156D2B4768}"/>
            </c:ext>
          </c:extLst>
        </c:ser>
        <c:ser>
          <c:idx val="4"/>
          <c:order val="4"/>
          <c:tx>
            <c:strRef>
              <c:f>'Analiz (Konsolide)'!$M$104</c:f>
              <c:strCache>
                <c:ptCount val="1"/>
                <c:pt idx="0">
                  <c:v>Kabul Edilemez Risk</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'Analiz (Konsolide)'!$B$105:$B$117</c:f>
              <c:strCache>
                <c:ptCount val="13"/>
                <c:pt idx="0">
                  <c:v>Başhekimlik</c:v>
                </c:pt>
                <c:pt idx="1">
                  <c:v>Bilgi Sistemleri Müdürlüğü</c:v>
                </c:pt>
                <c:pt idx="2">
                  <c:v>Biyomedikal Müdürlüğü</c:v>
                </c:pt>
                <c:pt idx="3">
                  <c:v>Hasta Bakım Hizmetleri Müdürlüğü</c:v>
                </c:pt>
                <c:pt idx="4">
                  <c:v>İnsan Kaynakları Müdürlüğü</c:v>
                </c:pt>
                <c:pt idx="5">
                  <c:v>İş Sağlığı ve Güvenliği</c:v>
                </c:pt>
                <c:pt idx="6">
                  <c:v>Kalite Müdürlüğü</c:v>
                </c:pt>
                <c:pt idx="7">
                  <c:v>Misafir Hizmetleri Müdürlüğü</c:v>
                </c:pt>
                <c:pt idx="8">
                  <c:v>Otelcilik ve Destek Hizmetleri Müdürlüğü</c:v>
                </c:pt>
                <c:pt idx="9">
                  <c:v>Teknik Hizmetler Müdürlüğü</c:v>
                </c:pt>
                <c:pt idx="10">
                  <c:v>Satınalma Müdürlüğü</c:v>
                </c:pt>
                <c:pt idx="11">
                  <c:v>Üst Yönetim</c:v>
                </c:pt>
                <c:pt idx="12">
                  <c:v>Diğer</c:v>
                </c:pt>
              </c:strCache>
            </c:strRef>
          </c:cat>
          <c:val>
            <c:numRef>
              <c:f>'Analiz (Konsolide)'!$M$105:$M$117</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4-95D2-44BD-A4C1-14156D2B4768}"/>
            </c:ext>
          </c:extLst>
        </c:ser>
        <c:dLbls>
          <c:dLblPos val="outEnd"/>
          <c:showLegendKey val="0"/>
          <c:showVal val="1"/>
          <c:showCatName val="0"/>
          <c:showSerName val="0"/>
          <c:showPercent val="0"/>
          <c:showBubbleSize val="0"/>
        </c:dLbls>
        <c:gapWidth val="219"/>
        <c:overlap val="-27"/>
        <c:axId val="-1381509104"/>
        <c:axId val="-1381528144"/>
      </c:barChart>
      <c:catAx>
        <c:axId val="-138150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crossAx val="-1381528144"/>
        <c:crosses val="autoZero"/>
        <c:auto val="1"/>
        <c:lblAlgn val="ctr"/>
        <c:lblOffset val="100"/>
        <c:noMultiLvlLbl val="0"/>
      </c:catAx>
      <c:valAx>
        <c:axId val="-1381528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crossAx val="-13815091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900">
          <a:latin typeface="Tahoma" panose="020B0604030504040204" pitchFamily="34" charset="0"/>
          <a:ea typeface="Tahoma" panose="020B0604030504040204" pitchFamily="34" charset="0"/>
          <a:cs typeface="Tahoma" panose="020B0604030504040204" pitchFamily="34" charset="0"/>
        </a:defRPr>
      </a:pPr>
      <a:endParaRPr lang="tr-T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19050</xdr:rowOff>
    </xdr:from>
    <xdr:to>
      <xdr:col>3</xdr:col>
      <xdr:colOff>142875</xdr:colOff>
      <xdr:row>50</xdr:row>
      <xdr:rowOff>161925</xdr:rowOff>
    </xdr:to>
    <xdr:sp macro="" textlink="">
      <xdr:nvSpPr>
        <xdr:cNvPr id="2" name="Rectangle 11" descr="Zig zag">
          <a:extLst>
            <a:ext uri="{FF2B5EF4-FFF2-40B4-BE49-F238E27FC236}">
              <a16:creationId xmlns:a16="http://schemas.microsoft.com/office/drawing/2014/main" id="{00000000-0008-0000-0000-000002000000}"/>
            </a:ext>
          </a:extLst>
        </xdr:cNvPr>
        <xdr:cNvSpPr>
          <a:spLocks noChangeArrowheads="1"/>
        </xdr:cNvSpPr>
      </xdr:nvSpPr>
      <xdr:spPr bwMode="auto">
        <a:xfrm>
          <a:off x="19050" y="19050"/>
          <a:ext cx="2181225" cy="9667875"/>
        </a:xfrm>
        <a:prstGeom prst="rect">
          <a:avLst/>
        </a:prstGeom>
        <a:pattFill prst="zigZag">
          <a:fgClr>
            <a:srgbClr val="DEEAF6"/>
          </a:fgClr>
          <a:bgClr>
            <a:srgbClr val="BFBFBF"/>
          </a:bgClr>
        </a:pattFill>
        <a:ln w="12700">
          <a:solidFill>
            <a:srgbClr val="FFFFFF"/>
          </a:solidFill>
          <a:miter lim="800000"/>
          <a:headEnd/>
          <a:tailEnd/>
        </a:ln>
        <a:effectLst/>
        <a:extLst>
          <a:ext uri="{AF507438-7753-43E0-B8FC-AC1667EBCBE1}">
            <a14:hiddenEffects xmlns:a14="http://schemas.microsoft.com/office/drawing/2010/main">
              <a:effectLst>
                <a:outerShdw dist="53882" dir="2700000" algn="ctr" rotWithShape="0">
                  <a:srgbClr val="D8D8D8"/>
                </a:outerShdw>
              </a:effectLst>
            </a14:hiddenEffects>
          </a:ext>
        </a:extLst>
      </xdr:spPr>
    </xdr:sp>
    <xdr:clientData/>
  </xdr:twoCellAnchor>
  <xdr:twoCellAnchor>
    <xdr:from>
      <xdr:col>1</xdr:col>
      <xdr:colOff>428625</xdr:colOff>
      <xdr:row>15</xdr:row>
      <xdr:rowOff>57150</xdr:rowOff>
    </xdr:from>
    <xdr:to>
      <xdr:col>3</xdr:col>
      <xdr:colOff>142875</xdr:colOff>
      <xdr:row>20</xdr:row>
      <xdr:rowOff>133350</xdr:rowOff>
    </xdr:to>
    <xdr:sp macro="" textlink="">
      <xdr:nvSpPr>
        <xdr:cNvPr id="3" name="Rectangle 15">
          <a:extLst>
            <a:ext uri="{FF2B5EF4-FFF2-40B4-BE49-F238E27FC236}">
              <a16:creationId xmlns:a16="http://schemas.microsoft.com/office/drawing/2014/main" id="{00000000-0008-0000-0000-000003000000}"/>
            </a:ext>
          </a:extLst>
        </xdr:cNvPr>
        <xdr:cNvSpPr>
          <a:spLocks noChangeArrowheads="1"/>
        </xdr:cNvSpPr>
      </xdr:nvSpPr>
      <xdr:spPr bwMode="auto">
        <a:xfrm flipH="1">
          <a:off x="1114425" y="2914650"/>
          <a:ext cx="1085850" cy="1028700"/>
        </a:xfrm>
        <a:prstGeom prst="rect">
          <a:avLst/>
        </a:prstGeom>
        <a:solidFill>
          <a:srgbClr val="FFFFFF">
            <a:alpha val="50195"/>
          </a:srgbClr>
        </a:solidFill>
        <a:ln w="12700">
          <a:solidFill>
            <a:srgbClr val="FFFFFF"/>
          </a:solidFill>
          <a:miter lim="800000"/>
          <a:headEnd/>
          <a:tailEnd/>
        </a:ln>
        <a:effectLst/>
        <a:extLst>
          <a:ext uri="{AF507438-7753-43E0-B8FC-AC1667EBCBE1}">
            <a14:hiddenEffects xmlns:a14="http://schemas.microsoft.com/office/drawing/2010/main">
              <a:effectLst>
                <a:outerShdw dist="53882" dir="2700000" algn="ctr" rotWithShape="0">
                  <a:srgbClr val="D8D8D8"/>
                </a:outerShdw>
              </a:effectLst>
            </a14:hiddenEffects>
          </a:ext>
        </a:extLst>
      </xdr:spPr>
    </xdr:sp>
    <xdr:clientData/>
  </xdr:twoCellAnchor>
  <xdr:twoCellAnchor>
    <xdr:from>
      <xdr:col>0</xdr:col>
      <xdr:colOff>19050</xdr:colOff>
      <xdr:row>15</xdr:row>
      <xdr:rowOff>66675</xdr:rowOff>
    </xdr:from>
    <xdr:to>
      <xdr:col>1</xdr:col>
      <xdr:colOff>419100</xdr:colOff>
      <xdr:row>20</xdr:row>
      <xdr:rowOff>142875</xdr:rowOff>
    </xdr:to>
    <xdr:sp macro="" textlink="">
      <xdr:nvSpPr>
        <xdr:cNvPr id="4" name="Rectangle 16">
          <a:extLst>
            <a:ext uri="{FF2B5EF4-FFF2-40B4-BE49-F238E27FC236}">
              <a16:creationId xmlns:a16="http://schemas.microsoft.com/office/drawing/2014/main" id="{00000000-0008-0000-0000-000004000000}"/>
            </a:ext>
          </a:extLst>
        </xdr:cNvPr>
        <xdr:cNvSpPr>
          <a:spLocks noChangeArrowheads="1"/>
        </xdr:cNvSpPr>
      </xdr:nvSpPr>
      <xdr:spPr bwMode="auto">
        <a:xfrm flipH="1">
          <a:off x="19050" y="2924175"/>
          <a:ext cx="1085850" cy="1028700"/>
        </a:xfrm>
        <a:prstGeom prst="rect">
          <a:avLst/>
        </a:prstGeom>
        <a:solidFill>
          <a:srgbClr val="FF0000">
            <a:alpha val="79999"/>
          </a:srgbClr>
        </a:solidFill>
        <a:ln w="12700">
          <a:solidFill>
            <a:srgbClr val="FFFFFF"/>
          </a:solidFill>
          <a:miter lim="800000"/>
          <a:headEnd/>
          <a:tailEnd/>
        </a:ln>
        <a:effectLst/>
        <a:extLst>
          <a:ext uri="{AF507438-7753-43E0-B8FC-AC1667EBCBE1}">
            <a14:hiddenEffects xmlns:a14="http://schemas.microsoft.com/office/drawing/2010/main">
              <a:effectLst>
                <a:outerShdw dist="53882" dir="2700000" algn="ctr" rotWithShape="0">
                  <a:srgbClr val="D8D8D8"/>
                </a:outerShdw>
              </a:effectLst>
            </a14:hiddenEffects>
          </a:ext>
        </a:extLst>
      </xdr:spPr>
    </xdr:sp>
    <xdr:clientData/>
  </xdr:twoCellAnchor>
  <xdr:twoCellAnchor>
    <xdr:from>
      <xdr:col>0</xdr:col>
      <xdr:colOff>19050</xdr:colOff>
      <xdr:row>9</xdr:row>
      <xdr:rowOff>180975</xdr:rowOff>
    </xdr:from>
    <xdr:to>
      <xdr:col>1</xdr:col>
      <xdr:colOff>419100</xdr:colOff>
      <xdr:row>15</xdr:row>
      <xdr:rowOff>66675</xdr:rowOff>
    </xdr:to>
    <xdr:sp macro="" textlink="">
      <xdr:nvSpPr>
        <xdr:cNvPr id="5" name="Rectangle 17">
          <a:extLst>
            <a:ext uri="{FF2B5EF4-FFF2-40B4-BE49-F238E27FC236}">
              <a16:creationId xmlns:a16="http://schemas.microsoft.com/office/drawing/2014/main" id="{00000000-0008-0000-0000-000005000000}"/>
            </a:ext>
          </a:extLst>
        </xdr:cNvPr>
        <xdr:cNvSpPr>
          <a:spLocks noChangeArrowheads="1"/>
        </xdr:cNvSpPr>
      </xdr:nvSpPr>
      <xdr:spPr bwMode="auto">
        <a:xfrm flipH="1">
          <a:off x="19050" y="1895475"/>
          <a:ext cx="1085850" cy="1028700"/>
        </a:xfrm>
        <a:prstGeom prst="rect">
          <a:avLst/>
        </a:prstGeom>
        <a:solidFill>
          <a:srgbClr val="FFFFFF">
            <a:alpha val="50195"/>
          </a:srgbClr>
        </a:solidFill>
        <a:ln w="12700">
          <a:solidFill>
            <a:srgbClr val="FFFFFF"/>
          </a:solidFill>
          <a:miter lim="800000"/>
          <a:headEnd/>
          <a:tailEnd/>
        </a:ln>
        <a:effectLst/>
        <a:extLst>
          <a:ext uri="{AF507438-7753-43E0-B8FC-AC1667EBCBE1}">
            <a14:hiddenEffects xmlns:a14="http://schemas.microsoft.com/office/drawing/2010/main">
              <a:effectLst>
                <a:outerShdw dist="53882" dir="2700000" algn="ctr" rotWithShape="0">
                  <a:srgbClr val="D8D8D8"/>
                </a:outerShdw>
              </a:effectLst>
            </a14:hiddenEffects>
          </a:ext>
        </a:extLst>
      </xdr:spPr>
    </xdr:sp>
    <xdr:clientData/>
  </xdr:twoCellAnchor>
  <xdr:twoCellAnchor>
    <xdr:from>
      <xdr:col>0</xdr:col>
      <xdr:colOff>19050</xdr:colOff>
      <xdr:row>20</xdr:row>
      <xdr:rowOff>133350</xdr:rowOff>
    </xdr:from>
    <xdr:to>
      <xdr:col>1</xdr:col>
      <xdr:colOff>419100</xdr:colOff>
      <xdr:row>26</xdr:row>
      <xdr:rowOff>19050</xdr:rowOff>
    </xdr:to>
    <xdr:sp macro="" textlink="">
      <xdr:nvSpPr>
        <xdr:cNvPr id="6" name="Rectangle 18">
          <a:extLst>
            <a:ext uri="{FF2B5EF4-FFF2-40B4-BE49-F238E27FC236}">
              <a16:creationId xmlns:a16="http://schemas.microsoft.com/office/drawing/2014/main" id="{00000000-0008-0000-0000-000006000000}"/>
            </a:ext>
          </a:extLst>
        </xdr:cNvPr>
        <xdr:cNvSpPr>
          <a:spLocks noChangeArrowheads="1"/>
        </xdr:cNvSpPr>
      </xdr:nvSpPr>
      <xdr:spPr bwMode="auto">
        <a:xfrm flipH="1">
          <a:off x="19050" y="3943350"/>
          <a:ext cx="1085850" cy="1028700"/>
        </a:xfrm>
        <a:prstGeom prst="rect">
          <a:avLst/>
        </a:prstGeom>
        <a:solidFill>
          <a:srgbClr val="000000">
            <a:alpha val="50195"/>
          </a:srgbClr>
        </a:solidFill>
        <a:ln w="12700">
          <a:solidFill>
            <a:srgbClr val="FFFFFF"/>
          </a:solidFill>
          <a:miter lim="800000"/>
          <a:headEnd/>
          <a:tailEnd/>
        </a:ln>
        <a:effectLst/>
        <a:extLst>
          <a:ext uri="{AF507438-7753-43E0-B8FC-AC1667EBCBE1}">
            <a14:hiddenEffects xmlns:a14="http://schemas.microsoft.com/office/drawing/2010/main">
              <a:effectLst>
                <a:outerShdw dist="53882" dir="2700000" algn="ctr" rotWithShape="0">
                  <a:srgbClr val="D8D8D8"/>
                </a:outerShdw>
              </a:effectLst>
            </a14:hiddenEffects>
          </a:ext>
        </a:extLst>
      </xdr:spPr>
    </xdr:sp>
    <xdr:clientData/>
  </xdr:twoCellAnchor>
  <xdr:twoCellAnchor>
    <xdr:from>
      <xdr:col>1</xdr:col>
      <xdr:colOff>428625</xdr:colOff>
      <xdr:row>26</xdr:row>
      <xdr:rowOff>19050</xdr:rowOff>
    </xdr:from>
    <xdr:to>
      <xdr:col>3</xdr:col>
      <xdr:colOff>142875</xdr:colOff>
      <xdr:row>31</xdr:row>
      <xdr:rowOff>95250</xdr:rowOff>
    </xdr:to>
    <xdr:sp macro="" textlink="">
      <xdr:nvSpPr>
        <xdr:cNvPr id="7" name="Rectangle 19">
          <a:extLst>
            <a:ext uri="{FF2B5EF4-FFF2-40B4-BE49-F238E27FC236}">
              <a16:creationId xmlns:a16="http://schemas.microsoft.com/office/drawing/2014/main" id="{00000000-0008-0000-0000-000007000000}"/>
            </a:ext>
          </a:extLst>
        </xdr:cNvPr>
        <xdr:cNvSpPr>
          <a:spLocks noChangeArrowheads="1"/>
        </xdr:cNvSpPr>
      </xdr:nvSpPr>
      <xdr:spPr bwMode="auto">
        <a:xfrm flipH="1">
          <a:off x="1114425" y="4972050"/>
          <a:ext cx="1085850" cy="1028700"/>
        </a:xfrm>
        <a:prstGeom prst="rect">
          <a:avLst/>
        </a:prstGeom>
        <a:solidFill>
          <a:srgbClr val="C00000">
            <a:alpha val="50195"/>
          </a:srgbClr>
        </a:solidFill>
        <a:ln w="12700">
          <a:solidFill>
            <a:srgbClr val="FFFFFF"/>
          </a:solidFill>
          <a:miter lim="800000"/>
          <a:headEnd/>
          <a:tailEnd/>
        </a:ln>
        <a:effectLst/>
      </xdr:spPr>
    </xdr:sp>
    <xdr:clientData/>
  </xdr:twoCellAnchor>
  <xdr:twoCellAnchor>
    <xdr:from>
      <xdr:col>1</xdr:col>
      <xdr:colOff>485775</xdr:colOff>
      <xdr:row>0</xdr:row>
      <xdr:rowOff>57150</xdr:rowOff>
    </xdr:from>
    <xdr:to>
      <xdr:col>9</xdr:col>
      <xdr:colOff>523875</xdr:colOff>
      <xdr:row>5</xdr:row>
      <xdr:rowOff>171450</xdr:rowOff>
    </xdr:to>
    <xdr:sp macro="" textlink="">
      <xdr:nvSpPr>
        <xdr:cNvPr id="8" name="Rectangle 20">
          <a:extLst>
            <a:ext uri="{FF2B5EF4-FFF2-40B4-BE49-F238E27FC236}">
              <a16:creationId xmlns:a16="http://schemas.microsoft.com/office/drawing/2014/main" id="{00000000-0008-0000-0000-000008000000}"/>
            </a:ext>
          </a:extLst>
        </xdr:cNvPr>
        <xdr:cNvSpPr>
          <a:spLocks noChangeArrowheads="1"/>
        </xdr:cNvSpPr>
      </xdr:nvSpPr>
      <xdr:spPr bwMode="auto">
        <a:xfrm flipH="1">
          <a:off x="1171575" y="57150"/>
          <a:ext cx="5524500" cy="1066800"/>
        </a:xfrm>
        <a:prstGeom prst="rect">
          <a:avLst/>
        </a:prstGeom>
        <a:solidFill>
          <a:srgbClr val="C00000"/>
        </a:solidFill>
        <a:ln w="12700">
          <a:solidFill>
            <a:srgbClr val="FFFFFF"/>
          </a:solidFill>
          <a:miter lim="800000"/>
          <a:headEnd/>
          <a:tailEnd/>
        </a:ln>
        <a:effectLst>
          <a:outerShdw dist="107763" dir="2700000" algn="ctr" rotWithShape="0">
            <a:srgbClr val="F7CAAC">
              <a:alpha val="50000"/>
            </a:srgbClr>
          </a:outerShdw>
          <a:softEdge rad="12700"/>
        </a:effectLst>
      </xdr:spPr>
      <xdr:txBody>
        <a:bodyPr vertOverflow="clip" wrap="square" lIns="91440" tIns="45720" rIns="91440" bIns="45720" anchor="t" upright="1"/>
        <a:lstStyle/>
        <a:p>
          <a:pPr algn="ctr" rtl="0">
            <a:lnSpc>
              <a:spcPts val="2800"/>
            </a:lnSpc>
            <a:defRPr sz="1000"/>
          </a:pPr>
          <a:r>
            <a:rPr lang="tr-TR" sz="2600" b="1" i="0" u="none" strike="noStrike" baseline="0">
              <a:solidFill>
                <a:srgbClr val="FFFFFF"/>
              </a:solidFill>
              <a:latin typeface="Tahoma"/>
              <a:ea typeface="Tahoma"/>
              <a:cs typeface="Tahoma"/>
            </a:rPr>
            <a:t>iŞ SAĞLIĞI VE GÜVENLİĞİ </a:t>
          </a:r>
        </a:p>
        <a:p>
          <a:pPr algn="ctr" rtl="0">
            <a:lnSpc>
              <a:spcPts val="2800"/>
            </a:lnSpc>
            <a:defRPr sz="1000"/>
          </a:pPr>
          <a:r>
            <a:rPr lang="tr-TR" sz="2600" b="1" i="0" u="none" strike="noStrike" baseline="0">
              <a:solidFill>
                <a:srgbClr val="FFFFFF"/>
              </a:solidFill>
              <a:latin typeface="Tahoma"/>
              <a:ea typeface="Tahoma"/>
              <a:cs typeface="Tahoma"/>
            </a:rPr>
            <a:t>RİSK DEĞERLENDİRMESİ</a:t>
          </a:r>
        </a:p>
      </xdr:txBody>
    </xdr:sp>
    <xdr:clientData/>
  </xdr:twoCellAnchor>
  <xdr:twoCellAnchor>
    <xdr:from>
      <xdr:col>4</xdr:col>
      <xdr:colOff>400050</xdr:colOff>
      <xdr:row>11</xdr:row>
      <xdr:rowOff>114300</xdr:rowOff>
    </xdr:from>
    <xdr:to>
      <xdr:col>7</xdr:col>
      <xdr:colOff>666750</xdr:colOff>
      <xdr:row>15</xdr:row>
      <xdr:rowOff>114300</xdr:rowOff>
    </xdr:to>
    <xdr:sp macro="" textlink="">
      <xdr:nvSpPr>
        <xdr:cNvPr id="10" name="Metin kutusu 9">
          <a:extLst>
            <a:ext uri="{FF2B5EF4-FFF2-40B4-BE49-F238E27FC236}">
              <a16:creationId xmlns:a16="http://schemas.microsoft.com/office/drawing/2014/main" id="{00000000-0008-0000-0000-00000A000000}"/>
            </a:ext>
          </a:extLst>
        </xdr:cNvPr>
        <xdr:cNvSpPr txBox="1"/>
      </xdr:nvSpPr>
      <xdr:spPr>
        <a:xfrm>
          <a:off x="3143250" y="2209800"/>
          <a:ext cx="2324100" cy="762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tr-TR" sz="1100" b="1">
              <a:latin typeface="Tahoma" panose="020B0604030504040204" pitchFamily="34" charset="0"/>
              <a:ea typeface="Tahoma" panose="020B0604030504040204" pitchFamily="34" charset="0"/>
              <a:cs typeface="Tahoma" panose="020B0604030504040204" pitchFamily="34" charset="0"/>
            </a:rPr>
            <a:t>HASTANE LOGO</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142875</xdr:colOff>
      <xdr:row>0</xdr:row>
      <xdr:rowOff>104775</xdr:rowOff>
    </xdr:from>
    <xdr:to>
      <xdr:col>2</xdr:col>
      <xdr:colOff>666750</xdr:colOff>
      <xdr:row>0</xdr:row>
      <xdr:rowOff>657225</xdr:rowOff>
    </xdr:to>
    <xdr:pic>
      <xdr:nvPicPr>
        <xdr:cNvPr id="2" name="Resim 1" descr="Açıklama: Açıklama:  ">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2875" y="104775"/>
          <a:ext cx="1685925"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4</xdr:col>
      <xdr:colOff>0</xdr:colOff>
      <xdr:row>6</xdr:row>
      <xdr:rowOff>0</xdr:rowOff>
    </xdr:from>
    <xdr:ext cx="304800" cy="247650"/>
    <xdr:sp macro="" textlink="">
      <xdr:nvSpPr>
        <xdr:cNvPr id="9" name="AutoShape 1024" descr="solunum yoluyla bulaşan hastalıklar ile ilgili görsel sonucu">
          <a:extLst>
            <a:ext uri="{FF2B5EF4-FFF2-40B4-BE49-F238E27FC236}">
              <a16:creationId xmlns:a16="http://schemas.microsoft.com/office/drawing/2014/main" id="{00000000-0008-0000-0100-000009000000}"/>
            </a:ext>
          </a:extLst>
        </xdr:cNvPr>
        <xdr:cNvSpPr>
          <a:spLocks noChangeAspect="1" noChangeArrowheads="1"/>
        </xdr:cNvSpPr>
      </xdr:nvSpPr>
      <xdr:spPr bwMode="auto">
        <a:xfrm>
          <a:off x="2438400" y="114300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304800" cy="247650"/>
    <xdr:sp macro="" textlink="">
      <xdr:nvSpPr>
        <xdr:cNvPr id="10" name="AutoShape 1026" descr="solunum yoluyla bulaşan hastalıklar ile ilgili görsel sonucu">
          <a:extLst>
            <a:ext uri="{FF2B5EF4-FFF2-40B4-BE49-F238E27FC236}">
              <a16:creationId xmlns:a16="http://schemas.microsoft.com/office/drawing/2014/main" id="{00000000-0008-0000-0100-00000A000000}"/>
            </a:ext>
          </a:extLst>
        </xdr:cNvPr>
        <xdr:cNvSpPr>
          <a:spLocks noChangeAspect="1" noChangeArrowheads="1"/>
        </xdr:cNvSpPr>
      </xdr:nvSpPr>
      <xdr:spPr bwMode="auto">
        <a:xfrm>
          <a:off x="2438400" y="114300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3.xml><?xml version="1.0" encoding="utf-8"?>
<xdr:wsDr xmlns:xdr="http://schemas.openxmlformats.org/drawingml/2006/spreadsheetDrawing" xmlns:a="http://schemas.openxmlformats.org/drawingml/2006/main">
  <xdr:oneCellAnchor>
    <xdr:from>
      <xdr:col>8</xdr:col>
      <xdr:colOff>0</xdr:colOff>
      <xdr:row>100</xdr:row>
      <xdr:rowOff>0</xdr:rowOff>
    </xdr:from>
    <xdr:ext cx="859454" cy="1108"/>
    <xdr:pic>
      <xdr:nvPicPr>
        <xdr:cNvPr id="586" name="Resim 44">
          <a:extLst>
            <a:ext uri="{FF2B5EF4-FFF2-40B4-BE49-F238E27FC236}">
              <a16:creationId xmlns:a16="http://schemas.microsoft.com/office/drawing/2014/main" id="{00000000-0008-0000-0400-00004A0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79521" y="218655900"/>
          <a:ext cx="859454" cy="11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4.xml><?xml version="1.0" encoding="utf-8"?>
<xdr:wsDr xmlns:xdr="http://schemas.openxmlformats.org/drawingml/2006/spreadsheetDrawing" xmlns:a="http://schemas.openxmlformats.org/drawingml/2006/main">
  <xdr:twoCellAnchor>
    <xdr:from>
      <xdr:col>1</xdr:col>
      <xdr:colOff>1</xdr:colOff>
      <xdr:row>40</xdr:row>
      <xdr:rowOff>132733</xdr:rowOff>
    </xdr:from>
    <xdr:to>
      <xdr:col>14</xdr:col>
      <xdr:colOff>7470</xdr:colOff>
      <xdr:row>58</xdr:row>
      <xdr:rowOff>23812</xdr:rowOff>
    </xdr:to>
    <xdr:graphicFrame macro="">
      <xdr:nvGraphicFramePr>
        <xdr:cNvPr id="5" name="Grafik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xdr:colOff>
      <xdr:row>58</xdr:row>
      <xdr:rowOff>97530</xdr:rowOff>
    </xdr:from>
    <xdr:to>
      <xdr:col>14</xdr:col>
      <xdr:colOff>8354</xdr:colOff>
      <xdr:row>75</xdr:row>
      <xdr:rowOff>172768</xdr:rowOff>
    </xdr:to>
    <xdr:graphicFrame macro="">
      <xdr:nvGraphicFramePr>
        <xdr:cNvPr id="9" name="Grafik 8">
          <a:extLst>
            <a:ext uri="{FF2B5EF4-FFF2-40B4-BE49-F238E27FC236}">
              <a16:creationId xmlns:a16="http://schemas.microsoft.com/office/drawing/2014/main" id="{00000000-0008-0000-03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153148</xdr:colOff>
      <xdr:row>86</xdr:row>
      <xdr:rowOff>152401</xdr:rowOff>
    </xdr:from>
    <xdr:to>
      <xdr:col>3</xdr:col>
      <xdr:colOff>840442</xdr:colOff>
      <xdr:row>100</xdr:row>
      <xdr:rowOff>56777</xdr:rowOff>
    </xdr:to>
    <xdr:graphicFrame macro="">
      <xdr:nvGraphicFramePr>
        <xdr:cNvPr id="8" name="Grafik 7">
          <a:extLst>
            <a:ext uri="{FF2B5EF4-FFF2-40B4-BE49-F238E27FC236}">
              <a16:creationId xmlns:a16="http://schemas.microsoft.com/office/drawing/2014/main" id="{00000000-0008-0000-05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26145</xdr:colOff>
      <xdr:row>86</xdr:row>
      <xdr:rowOff>152400</xdr:rowOff>
    </xdr:from>
    <xdr:to>
      <xdr:col>14</xdr:col>
      <xdr:colOff>7470</xdr:colOff>
      <xdr:row>100</xdr:row>
      <xdr:rowOff>56777</xdr:rowOff>
    </xdr:to>
    <xdr:graphicFrame macro="">
      <xdr:nvGraphicFramePr>
        <xdr:cNvPr id="10" name="Grafik 9">
          <a:extLst>
            <a:ext uri="{FF2B5EF4-FFF2-40B4-BE49-F238E27FC236}">
              <a16:creationId xmlns:a16="http://schemas.microsoft.com/office/drawing/2014/main" id="{00000000-0008-0000-05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1867</xdr:colOff>
      <xdr:row>117</xdr:row>
      <xdr:rowOff>137460</xdr:rowOff>
    </xdr:from>
    <xdr:to>
      <xdr:col>5</xdr:col>
      <xdr:colOff>854455</xdr:colOff>
      <xdr:row>132</xdr:row>
      <xdr:rowOff>71719</xdr:rowOff>
    </xdr:to>
    <xdr:graphicFrame macro="">
      <xdr:nvGraphicFramePr>
        <xdr:cNvPr id="11" name="Grafik 10">
          <a:extLst>
            <a:ext uri="{FF2B5EF4-FFF2-40B4-BE49-F238E27FC236}">
              <a16:creationId xmlns:a16="http://schemas.microsoft.com/office/drawing/2014/main" id="{00000000-0008-0000-05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52293</xdr:colOff>
      <xdr:row>117</xdr:row>
      <xdr:rowOff>137460</xdr:rowOff>
    </xdr:from>
    <xdr:to>
      <xdr:col>13</xdr:col>
      <xdr:colOff>567352</xdr:colOff>
      <xdr:row>132</xdr:row>
      <xdr:rowOff>71719</xdr:rowOff>
    </xdr:to>
    <xdr:graphicFrame macro="">
      <xdr:nvGraphicFramePr>
        <xdr:cNvPr id="13" name="Grafik 12">
          <a:extLst>
            <a:ext uri="{FF2B5EF4-FFF2-40B4-BE49-F238E27FC236}">
              <a16:creationId xmlns:a16="http://schemas.microsoft.com/office/drawing/2014/main" id="{00000000-0008-0000-05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5.xml><?xml version="1.0" encoding="utf-8"?>
<xdr:wsDr xmlns:xdr="http://schemas.openxmlformats.org/drawingml/2006/spreadsheetDrawing" xmlns:a="http://schemas.openxmlformats.org/drawingml/2006/main">
  <xdr:oneCellAnchor>
    <xdr:from>
      <xdr:col>8</xdr:col>
      <xdr:colOff>0</xdr:colOff>
      <xdr:row>171</xdr:row>
      <xdr:rowOff>0</xdr:rowOff>
    </xdr:from>
    <xdr:ext cx="859454" cy="1108"/>
    <xdr:pic>
      <xdr:nvPicPr>
        <xdr:cNvPr id="2" name="Resim 44">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8350" y="150717250"/>
          <a:ext cx="859454" cy="11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171</xdr:row>
      <xdr:rowOff>0</xdr:rowOff>
    </xdr:from>
    <xdr:ext cx="859454" cy="1108"/>
    <xdr:pic>
      <xdr:nvPicPr>
        <xdr:cNvPr id="3" name="Resim 44">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8350" y="150717250"/>
          <a:ext cx="859454" cy="11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0</xdr:colOff>
      <xdr:row>171</xdr:row>
      <xdr:rowOff>0</xdr:rowOff>
    </xdr:from>
    <xdr:ext cx="859454" cy="1108"/>
    <xdr:pic>
      <xdr:nvPicPr>
        <xdr:cNvPr id="55" name="Resim 44">
          <a:extLst>
            <a:ext uri="{FF2B5EF4-FFF2-40B4-BE49-F238E27FC236}">
              <a16:creationId xmlns:a16="http://schemas.microsoft.com/office/drawing/2014/main" id="{00000000-0008-0000-0400-00004A0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48775" y="150114000"/>
          <a:ext cx="859454" cy="11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xml><?xml version="1.0" encoding="utf-8"?>
<xdr:wsDr xmlns:xdr="http://schemas.openxmlformats.org/drawingml/2006/spreadsheetDrawing" xmlns:a="http://schemas.openxmlformats.org/drawingml/2006/main">
  <xdr:twoCellAnchor>
    <xdr:from>
      <xdr:col>1</xdr:col>
      <xdr:colOff>1</xdr:colOff>
      <xdr:row>40</xdr:row>
      <xdr:rowOff>132733</xdr:rowOff>
    </xdr:from>
    <xdr:to>
      <xdr:col>14</xdr:col>
      <xdr:colOff>7470</xdr:colOff>
      <xdr:row>58</xdr:row>
      <xdr:rowOff>23812</xdr:rowOff>
    </xdr:to>
    <xdr:graphicFrame macro="">
      <xdr:nvGraphicFramePr>
        <xdr:cNvPr id="2" name="Grafik 1">
          <a:extLst>
            <a:ext uri="{FF2B5EF4-FFF2-40B4-BE49-F238E27FC236}">
              <a16:creationId xmlns:a16="http://schemas.microsoft.com/office/drawing/2014/main" id="{00000000-0008-0000-03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xdr:colOff>
      <xdr:row>58</xdr:row>
      <xdr:rowOff>97530</xdr:rowOff>
    </xdr:from>
    <xdr:to>
      <xdr:col>14</xdr:col>
      <xdr:colOff>8354</xdr:colOff>
      <xdr:row>75</xdr:row>
      <xdr:rowOff>172768</xdr:rowOff>
    </xdr:to>
    <xdr:graphicFrame macro="">
      <xdr:nvGraphicFramePr>
        <xdr:cNvPr id="3" name="Grafik 2">
          <a:extLst>
            <a:ext uri="{FF2B5EF4-FFF2-40B4-BE49-F238E27FC236}">
              <a16:creationId xmlns:a16="http://schemas.microsoft.com/office/drawing/2014/main" id="{00000000-0008-0000-03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153148</xdr:colOff>
      <xdr:row>86</xdr:row>
      <xdr:rowOff>152401</xdr:rowOff>
    </xdr:from>
    <xdr:to>
      <xdr:col>3</xdr:col>
      <xdr:colOff>840442</xdr:colOff>
      <xdr:row>100</xdr:row>
      <xdr:rowOff>56777</xdr:rowOff>
    </xdr:to>
    <xdr:graphicFrame macro="">
      <xdr:nvGraphicFramePr>
        <xdr:cNvPr id="4" name="Grafik 3">
          <a:extLst>
            <a:ext uri="{FF2B5EF4-FFF2-40B4-BE49-F238E27FC236}">
              <a16:creationId xmlns:a16="http://schemas.microsoft.com/office/drawing/2014/main" id="{00000000-0008-0000-07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26145</xdr:colOff>
      <xdr:row>86</xdr:row>
      <xdr:rowOff>152400</xdr:rowOff>
    </xdr:from>
    <xdr:to>
      <xdr:col>14</xdr:col>
      <xdr:colOff>7470</xdr:colOff>
      <xdr:row>100</xdr:row>
      <xdr:rowOff>56777</xdr:rowOff>
    </xdr:to>
    <xdr:graphicFrame macro="">
      <xdr:nvGraphicFramePr>
        <xdr:cNvPr id="5" name="Grafik 4">
          <a:extLst>
            <a:ext uri="{FF2B5EF4-FFF2-40B4-BE49-F238E27FC236}">
              <a16:creationId xmlns:a16="http://schemas.microsoft.com/office/drawing/2014/main" id="{00000000-0008-0000-07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1867</xdr:colOff>
      <xdr:row>117</xdr:row>
      <xdr:rowOff>137460</xdr:rowOff>
    </xdr:from>
    <xdr:to>
      <xdr:col>5</xdr:col>
      <xdr:colOff>854455</xdr:colOff>
      <xdr:row>132</xdr:row>
      <xdr:rowOff>71719</xdr:rowOff>
    </xdr:to>
    <xdr:graphicFrame macro="">
      <xdr:nvGraphicFramePr>
        <xdr:cNvPr id="6" name="Grafik 5">
          <a:extLst>
            <a:ext uri="{FF2B5EF4-FFF2-40B4-BE49-F238E27FC236}">
              <a16:creationId xmlns:a16="http://schemas.microsoft.com/office/drawing/2014/main" id="{00000000-0008-0000-07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52293</xdr:colOff>
      <xdr:row>117</xdr:row>
      <xdr:rowOff>137460</xdr:rowOff>
    </xdr:from>
    <xdr:to>
      <xdr:col>13</xdr:col>
      <xdr:colOff>567352</xdr:colOff>
      <xdr:row>132</xdr:row>
      <xdr:rowOff>71719</xdr:rowOff>
    </xdr:to>
    <xdr:graphicFrame macro="">
      <xdr:nvGraphicFramePr>
        <xdr:cNvPr id="7" name="Grafik 6">
          <a:extLst>
            <a:ext uri="{FF2B5EF4-FFF2-40B4-BE49-F238E27FC236}">
              <a16:creationId xmlns:a16="http://schemas.microsoft.com/office/drawing/2014/main" id="{00000000-0008-0000-07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7</xdr:col>
      <xdr:colOff>0</xdr:colOff>
      <xdr:row>10</xdr:row>
      <xdr:rowOff>0</xdr:rowOff>
    </xdr:from>
    <xdr:ext cx="304800" cy="247650"/>
    <xdr:sp macro="" textlink="">
      <xdr:nvSpPr>
        <xdr:cNvPr id="2" name="AutoShape 1024" descr="solunum yoluyla bulaşan hastalıklar ile ilgili görsel sonucu">
          <a:extLst>
            <a:ext uri="{FF2B5EF4-FFF2-40B4-BE49-F238E27FC236}">
              <a16:creationId xmlns:a16="http://schemas.microsoft.com/office/drawing/2014/main" id="{00000000-0008-0000-0900-000002000000}"/>
            </a:ext>
          </a:extLst>
        </xdr:cNvPr>
        <xdr:cNvSpPr>
          <a:spLocks noChangeAspect="1" noChangeArrowheads="1"/>
        </xdr:cNvSpPr>
      </xdr:nvSpPr>
      <xdr:spPr bwMode="auto">
        <a:xfrm>
          <a:off x="7296150" y="784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3" name="AutoShape 1026" descr="solunum yoluyla bulaşan hastalıklar ile ilgili görsel sonucu">
          <a:extLst>
            <a:ext uri="{FF2B5EF4-FFF2-40B4-BE49-F238E27FC236}">
              <a16:creationId xmlns:a16="http://schemas.microsoft.com/office/drawing/2014/main" id="{00000000-0008-0000-0900-000003000000}"/>
            </a:ext>
          </a:extLst>
        </xdr:cNvPr>
        <xdr:cNvSpPr>
          <a:spLocks noChangeAspect="1" noChangeArrowheads="1"/>
        </xdr:cNvSpPr>
      </xdr:nvSpPr>
      <xdr:spPr bwMode="auto">
        <a:xfrm>
          <a:off x="7296150" y="784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4" name="AutoShape 1024" descr="solunum yoluyla bulaşan hastalıklar ile ilgili görsel sonucu">
          <a:extLst>
            <a:ext uri="{FF2B5EF4-FFF2-40B4-BE49-F238E27FC236}">
              <a16:creationId xmlns:a16="http://schemas.microsoft.com/office/drawing/2014/main" id="{00000000-0008-0000-0900-000004000000}"/>
            </a:ext>
          </a:extLst>
        </xdr:cNvPr>
        <xdr:cNvSpPr>
          <a:spLocks noChangeAspect="1" noChangeArrowheads="1"/>
        </xdr:cNvSpPr>
      </xdr:nvSpPr>
      <xdr:spPr bwMode="auto">
        <a:xfrm>
          <a:off x="7296150" y="1577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5" name="AutoShape 1026" descr="solunum yoluyla bulaşan hastalıklar ile ilgili görsel sonucu">
          <a:extLst>
            <a:ext uri="{FF2B5EF4-FFF2-40B4-BE49-F238E27FC236}">
              <a16:creationId xmlns:a16="http://schemas.microsoft.com/office/drawing/2014/main" id="{00000000-0008-0000-0900-000005000000}"/>
            </a:ext>
          </a:extLst>
        </xdr:cNvPr>
        <xdr:cNvSpPr>
          <a:spLocks noChangeAspect="1" noChangeArrowheads="1"/>
        </xdr:cNvSpPr>
      </xdr:nvSpPr>
      <xdr:spPr bwMode="auto">
        <a:xfrm>
          <a:off x="7296150" y="1577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6" name="AutoShape 1024" descr="solunum yoluyla bulaşan hastalıklar ile ilgili görsel sonucu">
          <a:extLst>
            <a:ext uri="{FF2B5EF4-FFF2-40B4-BE49-F238E27FC236}">
              <a16:creationId xmlns:a16="http://schemas.microsoft.com/office/drawing/2014/main" id="{00000000-0008-0000-0900-000006000000}"/>
            </a:ext>
          </a:extLst>
        </xdr:cNvPr>
        <xdr:cNvSpPr>
          <a:spLocks noChangeAspect="1" noChangeArrowheads="1"/>
        </xdr:cNvSpPr>
      </xdr:nvSpPr>
      <xdr:spPr bwMode="auto">
        <a:xfrm>
          <a:off x="7296150" y="2212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7" name="AutoShape 1026" descr="solunum yoluyla bulaşan hastalıklar ile ilgili görsel sonucu">
          <a:extLst>
            <a:ext uri="{FF2B5EF4-FFF2-40B4-BE49-F238E27FC236}">
              <a16:creationId xmlns:a16="http://schemas.microsoft.com/office/drawing/2014/main" id="{00000000-0008-0000-0900-000007000000}"/>
            </a:ext>
          </a:extLst>
        </xdr:cNvPr>
        <xdr:cNvSpPr>
          <a:spLocks noChangeAspect="1" noChangeArrowheads="1"/>
        </xdr:cNvSpPr>
      </xdr:nvSpPr>
      <xdr:spPr bwMode="auto">
        <a:xfrm>
          <a:off x="7296150" y="2212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8" name="AutoShape 1024" descr="solunum yoluyla bulaşan hastalıklar ile ilgili görsel sonucu">
          <a:extLst>
            <a:ext uri="{FF2B5EF4-FFF2-40B4-BE49-F238E27FC236}">
              <a16:creationId xmlns:a16="http://schemas.microsoft.com/office/drawing/2014/main" id="{00000000-0008-0000-0900-000008000000}"/>
            </a:ext>
          </a:extLst>
        </xdr:cNvPr>
        <xdr:cNvSpPr>
          <a:spLocks noChangeAspect="1" noChangeArrowheads="1"/>
        </xdr:cNvSpPr>
      </xdr:nvSpPr>
      <xdr:spPr bwMode="auto">
        <a:xfrm>
          <a:off x="7296150" y="5070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9" name="AutoShape 1026" descr="solunum yoluyla bulaşan hastalıklar ile ilgili görsel sonucu">
          <a:extLst>
            <a:ext uri="{FF2B5EF4-FFF2-40B4-BE49-F238E27FC236}">
              <a16:creationId xmlns:a16="http://schemas.microsoft.com/office/drawing/2014/main" id="{00000000-0008-0000-0900-000009000000}"/>
            </a:ext>
          </a:extLst>
        </xdr:cNvPr>
        <xdr:cNvSpPr>
          <a:spLocks noChangeAspect="1" noChangeArrowheads="1"/>
        </xdr:cNvSpPr>
      </xdr:nvSpPr>
      <xdr:spPr bwMode="auto">
        <a:xfrm>
          <a:off x="7296150" y="5070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0" name="AutoShape 1024" descr="solunum yoluyla bulaşan hastalıklar ile ilgili görsel sonucu">
          <a:extLst>
            <a:ext uri="{FF2B5EF4-FFF2-40B4-BE49-F238E27FC236}">
              <a16:creationId xmlns:a16="http://schemas.microsoft.com/office/drawing/2014/main" id="{00000000-0008-0000-0900-00000A000000}"/>
            </a:ext>
          </a:extLst>
        </xdr:cNvPr>
        <xdr:cNvSpPr>
          <a:spLocks noChangeAspect="1" noChangeArrowheads="1"/>
        </xdr:cNvSpPr>
      </xdr:nvSpPr>
      <xdr:spPr bwMode="auto">
        <a:xfrm>
          <a:off x="7296150" y="5070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1" name="AutoShape 1026" descr="solunum yoluyla bulaşan hastalıklar ile ilgili görsel sonucu">
          <a:extLst>
            <a:ext uri="{FF2B5EF4-FFF2-40B4-BE49-F238E27FC236}">
              <a16:creationId xmlns:a16="http://schemas.microsoft.com/office/drawing/2014/main" id="{00000000-0008-0000-0900-00000B000000}"/>
            </a:ext>
          </a:extLst>
        </xdr:cNvPr>
        <xdr:cNvSpPr>
          <a:spLocks noChangeAspect="1" noChangeArrowheads="1"/>
        </xdr:cNvSpPr>
      </xdr:nvSpPr>
      <xdr:spPr bwMode="auto">
        <a:xfrm>
          <a:off x="7296150" y="5070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8</xdr:row>
      <xdr:rowOff>0</xdr:rowOff>
    </xdr:from>
    <xdr:ext cx="304800" cy="247650"/>
    <xdr:sp macro="" textlink="">
      <xdr:nvSpPr>
        <xdr:cNvPr id="12" name="AutoShape 1024" descr="solunum yoluyla bulaşan hastalıklar ile ilgili görsel sonucu">
          <a:extLst>
            <a:ext uri="{FF2B5EF4-FFF2-40B4-BE49-F238E27FC236}">
              <a16:creationId xmlns:a16="http://schemas.microsoft.com/office/drawing/2014/main" id="{00000000-0008-0000-0900-00000C000000}"/>
            </a:ext>
          </a:extLst>
        </xdr:cNvPr>
        <xdr:cNvSpPr>
          <a:spLocks noChangeAspect="1" noChangeArrowheads="1"/>
        </xdr:cNvSpPr>
      </xdr:nvSpPr>
      <xdr:spPr bwMode="auto">
        <a:xfrm>
          <a:off x="7296150" y="46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8</xdr:row>
      <xdr:rowOff>0</xdr:rowOff>
    </xdr:from>
    <xdr:ext cx="304800" cy="247650"/>
    <xdr:sp macro="" textlink="">
      <xdr:nvSpPr>
        <xdr:cNvPr id="13" name="AutoShape 1026" descr="solunum yoluyla bulaşan hastalıklar ile ilgili görsel sonucu">
          <a:extLst>
            <a:ext uri="{FF2B5EF4-FFF2-40B4-BE49-F238E27FC236}">
              <a16:creationId xmlns:a16="http://schemas.microsoft.com/office/drawing/2014/main" id="{00000000-0008-0000-0900-00000D000000}"/>
            </a:ext>
          </a:extLst>
        </xdr:cNvPr>
        <xdr:cNvSpPr>
          <a:spLocks noChangeAspect="1" noChangeArrowheads="1"/>
        </xdr:cNvSpPr>
      </xdr:nvSpPr>
      <xdr:spPr bwMode="auto">
        <a:xfrm>
          <a:off x="7296150" y="46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9</xdr:row>
      <xdr:rowOff>0</xdr:rowOff>
    </xdr:from>
    <xdr:ext cx="304800" cy="247650"/>
    <xdr:sp macro="" textlink="">
      <xdr:nvSpPr>
        <xdr:cNvPr id="14" name="AutoShape 1024" descr="solunum yoluyla bulaşan hastalıklar ile ilgili görsel sonucu">
          <a:extLst>
            <a:ext uri="{FF2B5EF4-FFF2-40B4-BE49-F238E27FC236}">
              <a16:creationId xmlns:a16="http://schemas.microsoft.com/office/drawing/2014/main" id="{00000000-0008-0000-0900-00000E000000}"/>
            </a:ext>
          </a:extLst>
        </xdr:cNvPr>
        <xdr:cNvSpPr>
          <a:spLocks noChangeAspect="1" noChangeArrowheads="1"/>
        </xdr:cNvSpPr>
      </xdr:nvSpPr>
      <xdr:spPr bwMode="auto">
        <a:xfrm>
          <a:off x="7296150" y="625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9</xdr:row>
      <xdr:rowOff>0</xdr:rowOff>
    </xdr:from>
    <xdr:ext cx="304800" cy="247650"/>
    <xdr:sp macro="" textlink="">
      <xdr:nvSpPr>
        <xdr:cNvPr id="15" name="AutoShape 1026" descr="solunum yoluyla bulaşan hastalıklar ile ilgili görsel sonucu">
          <a:extLst>
            <a:ext uri="{FF2B5EF4-FFF2-40B4-BE49-F238E27FC236}">
              <a16:creationId xmlns:a16="http://schemas.microsoft.com/office/drawing/2014/main" id="{00000000-0008-0000-0900-00000F000000}"/>
            </a:ext>
          </a:extLst>
        </xdr:cNvPr>
        <xdr:cNvSpPr>
          <a:spLocks noChangeAspect="1" noChangeArrowheads="1"/>
        </xdr:cNvSpPr>
      </xdr:nvSpPr>
      <xdr:spPr bwMode="auto">
        <a:xfrm>
          <a:off x="7296150" y="625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6" name="AutoShape 1024" descr="solunum yoluyla bulaşan hastalıklar ile ilgili görsel sonucu">
          <a:extLst>
            <a:ext uri="{FF2B5EF4-FFF2-40B4-BE49-F238E27FC236}">
              <a16:creationId xmlns:a16="http://schemas.microsoft.com/office/drawing/2014/main" id="{00000000-0008-0000-0900-000010000000}"/>
            </a:ext>
          </a:extLst>
        </xdr:cNvPr>
        <xdr:cNvSpPr>
          <a:spLocks noChangeAspect="1" noChangeArrowheads="1"/>
        </xdr:cNvSpPr>
      </xdr:nvSpPr>
      <xdr:spPr bwMode="auto">
        <a:xfrm>
          <a:off x="7296150" y="784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7" name="AutoShape 1026" descr="solunum yoluyla bulaşan hastalıklar ile ilgili görsel sonucu">
          <a:extLst>
            <a:ext uri="{FF2B5EF4-FFF2-40B4-BE49-F238E27FC236}">
              <a16:creationId xmlns:a16="http://schemas.microsoft.com/office/drawing/2014/main" id="{00000000-0008-0000-0900-000011000000}"/>
            </a:ext>
          </a:extLst>
        </xdr:cNvPr>
        <xdr:cNvSpPr>
          <a:spLocks noChangeAspect="1" noChangeArrowheads="1"/>
        </xdr:cNvSpPr>
      </xdr:nvSpPr>
      <xdr:spPr bwMode="auto">
        <a:xfrm>
          <a:off x="7296150" y="784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8" name="AutoShape 1024" descr="solunum yoluyla bulaşan hastalıklar ile ilgili görsel sonucu">
          <a:extLst>
            <a:ext uri="{FF2B5EF4-FFF2-40B4-BE49-F238E27FC236}">
              <a16:creationId xmlns:a16="http://schemas.microsoft.com/office/drawing/2014/main" id="{00000000-0008-0000-0900-000012000000}"/>
            </a:ext>
          </a:extLst>
        </xdr:cNvPr>
        <xdr:cNvSpPr>
          <a:spLocks noChangeAspect="1" noChangeArrowheads="1"/>
        </xdr:cNvSpPr>
      </xdr:nvSpPr>
      <xdr:spPr bwMode="auto">
        <a:xfrm>
          <a:off x="7296150" y="784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9" name="AutoShape 1026" descr="solunum yoluyla bulaşan hastalıklar ile ilgili görsel sonucu">
          <a:extLst>
            <a:ext uri="{FF2B5EF4-FFF2-40B4-BE49-F238E27FC236}">
              <a16:creationId xmlns:a16="http://schemas.microsoft.com/office/drawing/2014/main" id="{00000000-0008-0000-0900-000013000000}"/>
            </a:ext>
          </a:extLst>
        </xdr:cNvPr>
        <xdr:cNvSpPr>
          <a:spLocks noChangeAspect="1" noChangeArrowheads="1"/>
        </xdr:cNvSpPr>
      </xdr:nvSpPr>
      <xdr:spPr bwMode="auto">
        <a:xfrm>
          <a:off x="7296150" y="784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0" name="AutoShape 1024" descr="solunum yoluyla bulaşan hastalıklar ile ilgili görsel sonucu">
          <a:extLst>
            <a:ext uri="{FF2B5EF4-FFF2-40B4-BE49-F238E27FC236}">
              <a16:creationId xmlns:a16="http://schemas.microsoft.com/office/drawing/2014/main" id="{00000000-0008-0000-0900-000014000000}"/>
            </a:ext>
          </a:extLst>
        </xdr:cNvPr>
        <xdr:cNvSpPr>
          <a:spLocks noChangeAspect="1" noChangeArrowheads="1"/>
        </xdr:cNvSpPr>
      </xdr:nvSpPr>
      <xdr:spPr bwMode="auto">
        <a:xfrm>
          <a:off x="7296150" y="784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1" name="AutoShape 1026" descr="solunum yoluyla bulaşan hastalıklar ile ilgili görsel sonucu">
          <a:extLst>
            <a:ext uri="{FF2B5EF4-FFF2-40B4-BE49-F238E27FC236}">
              <a16:creationId xmlns:a16="http://schemas.microsoft.com/office/drawing/2014/main" id="{00000000-0008-0000-0900-000015000000}"/>
            </a:ext>
          </a:extLst>
        </xdr:cNvPr>
        <xdr:cNvSpPr>
          <a:spLocks noChangeAspect="1" noChangeArrowheads="1"/>
        </xdr:cNvSpPr>
      </xdr:nvSpPr>
      <xdr:spPr bwMode="auto">
        <a:xfrm>
          <a:off x="7296150" y="784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2" name="AutoShape 1024" descr="solunum yoluyla bulaşan hastalıklar ile ilgili görsel sonucu">
          <a:extLst>
            <a:ext uri="{FF2B5EF4-FFF2-40B4-BE49-F238E27FC236}">
              <a16:creationId xmlns:a16="http://schemas.microsoft.com/office/drawing/2014/main" id="{00000000-0008-0000-0900-000016000000}"/>
            </a:ext>
          </a:extLst>
        </xdr:cNvPr>
        <xdr:cNvSpPr>
          <a:spLocks noChangeAspect="1" noChangeArrowheads="1"/>
        </xdr:cNvSpPr>
      </xdr:nvSpPr>
      <xdr:spPr bwMode="auto">
        <a:xfrm>
          <a:off x="7296150" y="784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3" name="AutoShape 1026" descr="solunum yoluyla bulaşan hastalıklar ile ilgili görsel sonucu">
          <a:extLst>
            <a:ext uri="{FF2B5EF4-FFF2-40B4-BE49-F238E27FC236}">
              <a16:creationId xmlns:a16="http://schemas.microsoft.com/office/drawing/2014/main" id="{00000000-0008-0000-0900-000017000000}"/>
            </a:ext>
          </a:extLst>
        </xdr:cNvPr>
        <xdr:cNvSpPr>
          <a:spLocks noChangeAspect="1" noChangeArrowheads="1"/>
        </xdr:cNvSpPr>
      </xdr:nvSpPr>
      <xdr:spPr bwMode="auto">
        <a:xfrm>
          <a:off x="7296150" y="784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4" name="AutoShape 1024" descr="solunum yoluyla bulaşan hastalıklar ile ilgili görsel sonucu">
          <a:extLst>
            <a:ext uri="{FF2B5EF4-FFF2-40B4-BE49-F238E27FC236}">
              <a16:creationId xmlns:a16="http://schemas.microsoft.com/office/drawing/2014/main" id="{00000000-0008-0000-0900-000018000000}"/>
            </a:ext>
          </a:extLst>
        </xdr:cNvPr>
        <xdr:cNvSpPr>
          <a:spLocks noChangeAspect="1" noChangeArrowheads="1"/>
        </xdr:cNvSpPr>
      </xdr:nvSpPr>
      <xdr:spPr bwMode="auto">
        <a:xfrm>
          <a:off x="7296150" y="173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5" name="AutoShape 1026" descr="solunum yoluyla bulaşan hastalıklar ile ilgili görsel sonucu">
          <a:extLst>
            <a:ext uri="{FF2B5EF4-FFF2-40B4-BE49-F238E27FC236}">
              <a16:creationId xmlns:a16="http://schemas.microsoft.com/office/drawing/2014/main" id="{00000000-0008-0000-0900-000019000000}"/>
            </a:ext>
          </a:extLst>
        </xdr:cNvPr>
        <xdr:cNvSpPr>
          <a:spLocks noChangeAspect="1" noChangeArrowheads="1"/>
        </xdr:cNvSpPr>
      </xdr:nvSpPr>
      <xdr:spPr bwMode="auto">
        <a:xfrm>
          <a:off x="7296150" y="173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6" name="AutoShape 1024" descr="solunum yoluyla bulaşan hastalıklar ile ilgili görsel sonucu">
          <a:extLst>
            <a:ext uri="{FF2B5EF4-FFF2-40B4-BE49-F238E27FC236}">
              <a16:creationId xmlns:a16="http://schemas.microsoft.com/office/drawing/2014/main" id="{00000000-0008-0000-0900-00001A000000}"/>
            </a:ext>
          </a:extLst>
        </xdr:cNvPr>
        <xdr:cNvSpPr>
          <a:spLocks noChangeAspect="1" noChangeArrowheads="1"/>
        </xdr:cNvSpPr>
      </xdr:nvSpPr>
      <xdr:spPr bwMode="auto">
        <a:xfrm>
          <a:off x="7296150" y="2530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7" name="AutoShape 1026" descr="solunum yoluyla bulaşan hastalıklar ile ilgili görsel sonucu">
          <a:extLst>
            <a:ext uri="{FF2B5EF4-FFF2-40B4-BE49-F238E27FC236}">
              <a16:creationId xmlns:a16="http://schemas.microsoft.com/office/drawing/2014/main" id="{00000000-0008-0000-0900-00001B000000}"/>
            </a:ext>
          </a:extLst>
        </xdr:cNvPr>
        <xdr:cNvSpPr>
          <a:spLocks noChangeAspect="1" noChangeArrowheads="1"/>
        </xdr:cNvSpPr>
      </xdr:nvSpPr>
      <xdr:spPr bwMode="auto">
        <a:xfrm>
          <a:off x="7296150" y="2530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8" name="AutoShape 1024" descr="solunum yoluyla bulaşan hastalıklar ile ilgili görsel sonucu">
          <a:extLst>
            <a:ext uri="{FF2B5EF4-FFF2-40B4-BE49-F238E27FC236}">
              <a16:creationId xmlns:a16="http://schemas.microsoft.com/office/drawing/2014/main" id="{00000000-0008-0000-0900-00001C000000}"/>
            </a:ext>
          </a:extLst>
        </xdr:cNvPr>
        <xdr:cNvSpPr>
          <a:spLocks noChangeAspect="1" noChangeArrowheads="1"/>
        </xdr:cNvSpPr>
      </xdr:nvSpPr>
      <xdr:spPr bwMode="auto">
        <a:xfrm>
          <a:off x="7296150" y="3800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9" name="AutoShape 1026" descr="solunum yoluyla bulaşan hastalıklar ile ilgili görsel sonucu">
          <a:extLst>
            <a:ext uri="{FF2B5EF4-FFF2-40B4-BE49-F238E27FC236}">
              <a16:creationId xmlns:a16="http://schemas.microsoft.com/office/drawing/2014/main" id="{00000000-0008-0000-0900-00001D000000}"/>
            </a:ext>
          </a:extLst>
        </xdr:cNvPr>
        <xdr:cNvSpPr>
          <a:spLocks noChangeAspect="1" noChangeArrowheads="1"/>
        </xdr:cNvSpPr>
      </xdr:nvSpPr>
      <xdr:spPr bwMode="auto">
        <a:xfrm>
          <a:off x="7296150" y="3800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30" name="AutoShape 1024" descr="solunum yoluyla bulaşan hastalıklar ile ilgili görsel sonucu">
          <a:extLst>
            <a:ext uri="{FF2B5EF4-FFF2-40B4-BE49-F238E27FC236}">
              <a16:creationId xmlns:a16="http://schemas.microsoft.com/office/drawing/2014/main" id="{00000000-0008-0000-0900-00001E000000}"/>
            </a:ext>
          </a:extLst>
        </xdr:cNvPr>
        <xdr:cNvSpPr>
          <a:spLocks noChangeAspect="1" noChangeArrowheads="1"/>
        </xdr:cNvSpPr>
      </xdr:nvSpPr>
      <xdr:spPr bwMode="auto">
        <a:xfrm>
          <a:off x="7296150" y="3959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31" name="AutoShape 1026" descr="solunum yoluyla bulaşan hastalıklar ile ilgili görsel sonucu">
          <a:extLst>
            <a:ext uri="{FF2B5EF4-FFF2-40B4-BE49-F238E27FC236}">
              <a16:creationId xmlns:a16="http://schemas.microsoft.com/office/drawing/2014/main" id="{00000000-0008-0000-0900-00001F000000}"/>
            </a:ext>
          </a:extLst>
        </xdr:cNvPr>
        <xdr:cNvSpPr>
          <a:spLocks noChangeAspect="1" noChangeArrowheads="1"/>
        </xdr:cNvSpPr>
      </xdr:nvSpPr>
      <xdr:spPr bwMode="auto">
        <a:xfrm>
          <a:off x="7296150" y="3959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32" name="AutoShape 1024" descr="solunum yoluyla bulaşan hastalıklar ile ilgili görsel sonucu">
          <a:extLst>
            <a:ext uri="{FF2B5EF4-FFF2-40B4-BE49-F238E27FC236}">
              <a16:creationId xmlns:a16="http://schemas.microsoft.com/office/drawing/2014/main" id="{00000000-0008-0000-0900-000020000000}"/>
            </a:ext>
          </a:extLst>
        </xdr:cNvPr>
        <xdr:cNvSpPr>
          <a:spLocks noChangeAspect="1" noChangeArrowheads="1"/>
        </xdr:cNvSpPr>
      </xdr:nvSpPr>
      <xdr:spPr bwMode="auto">
        <a:xfrm>
          <a:off x="7296150" y="427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33" name="AutoShape 1026" descr="solunum yoluyla bulaşan hastalıklar ile ilgili görsel sonucu">
          <a:extLst>
            <a:ext uri="{FF2B5EF4-FFF2-40B4-BE49-F238E27FC236}">
              <a16:creationId xmlns:a16="http://schemas.microsoft.com/office/drawing/2014/main" id="{00000000-0008-0000-0900-000021000000}"/>
            </a:ext>
          </a:extLst>
        </xdr:cNvPr>
        <xdr:cNvSpPr>
          <a:spLocks noChangeAspect="1" noChangeArrowheads="1"/>
        </xdr:cNvSpPr>
      </xdr:nvSpPr>
      <xdr:spPr bwMode="auto">
        <a:xfrm>
          <a:off x="7296150" y="427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34" name="AutoShape 1024" descr="solunum yoluyla bulaşan hastalıklar ile ilgili görsel sonucu">
          <a:extLst>
            <a:ext uri="{FF2B5EF4-FFF2-40B4-BE49-F238E27FC236}">
              <a16:creationId xmlns:a16="http://schemas.microsoft.com/office/drawing/2014/main" id="{00000000-0008-0000-0900-000022000000}"/>
            </a:ext>
          </a:extLst>
        </xdr:cNvPr>
        <xdr:cNvSpPr>
          <a:spLocks noChangeAspect="1" noChangeArrowheads="1"/>
        </xdr:cNvSpPr>
      </xdr:nvSpPr>
      <xdr:spPr bwMode="auto">
        <a:xfrm>
          <a:off x="7296150" y="427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35" name="AutoShape 1026" descr="solunum yoluyla bulaşan hastalıklar ile ilgili görsel sonucu">
          <a:extLst>
            <a:ext uri="{FF2B5EF4-FFF2-40B4-BE49-F238E27FC236}">
              <a16:creationId xmlns:a16="http://schemas.microsoft.com/office/drawing/2014/main" id="{00000000-0008-0000-0900-000023000000}"/>
            </a:ext>
          </a:extLst>
        </xdr:cNvPr>
        <xdr:cNvSpPr>
          <a:spLocks noChangeAspect="1" noChangeArrowheads="1"/>
        </xdr:cNvSpPr>
      </xdr:nvSpPr>
      <xdr:spPr bwMode="auto">
        <a:xfrm>
          <a:off x="7296150" y="427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36" name="AutoShape 1024" descr="solunum yoluyla bulaşan hastalıklar ile ilgili görsel sonucu">
          <a:extLst>
            <a:ext uri="{FF2B5EF4-FFF2-40B4-BE49-F238E27FC236}">
              <a16:creationId xmlns:a16="http://schemas.microsoft.com/office/drawing/2014/main" id="{00000000-0008-0000-0900-000024000000}"/>
            </a:ext>
          </a:extLst>
        </xdr:cNvPr>
        <xdr:cNvSpPr>
          <a:spLocks noChangeAspect="1" noChangeArrowheads="1"/>
        </xdr:cNvSpPr>
      </xdr:nvSpPr>
      <xdr:spPr bwMode="auto">
        <a:xfrm>
          <a:off x="7296150" y="427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37" name="AutoShape 1026" descr="solunum yoluyla bulaşan hastalıklar ile ilgili görsel sonucu">
          <a:extLst>
            <a:ext uri="{FF2B5EF4-FFF2-40B4-BE49-F238E27FC236}">
              <a16:creationId xmlns:a16="http://schemas.microsoft.com/office/drawing/2014/main" id="{00000000-0008-0000-0900-000025000000}"/>
            </a:ext>
          </a:extLst>
        </xdr:cNvPr>
        <xdr:cNvSpPr>
          <a:spLocks noChangeAspect="1" noChangeArrowheads="1"/>
        </xdr:cNvSpPr>
      </xdr:nvSpPr>
      <xdr:spPr bwMode="auto">
        <a:xfrm>
          <a:off x="7296150" y="427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38" name="AutoShape 1024" descr="solunum yoluyla bulaşan hastalıklar ile ilgili görsel sonucu">
          <a:extLst>
            <a:ext uri="{FF2B5EF4-FFF2-40B4-BE49-F238E27FC236}">
              <a16:creationId xmlns:a16="http://schemas.microsoft.com/office/drawing/2014/main" id="{00000000-0008-0000-0900-000026000000}"/>
            </a:ext>
          </a:extLst>
        </xdr:cNvPr>
        <xdr:cNvSpPr>
          <a:spLocks noChangeAspect="1" noChangeArrowheads="1"/>
        </xdr:cNvSpPr>
      </xdr:nvSpPr>
      <xdr:spPr bwMode="auto">
        <a:xfrm>
          <a:off x="7296150" y="427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39" name="AutoShape 1026" descr="solunum yoluyla bulaşan hastalıklar ile ilgili görsel sonucu">
          <a:extLst>
            <a:ext uri="{FF2B5EF4-FFF2-40B4-BE49-F238E27FC236}">
              <a16:creationId xmlns:a16="http://schemas.microsoft.com/office/drawing/2014/main" id="{00000000-0008-0000-0900-000027000000}"/>
            </a:ext>
          </a:extLst>
        </xdr:cNvPr>
        <xdr:cNvSpPr>
          <a:spLocks noChangeAspect="1" noChangeArrowheads="1"/>
        </xdr:cNvSpPr>
      </xdr:nvSpPr>
      <xdr:spPr bwMode="auto">
        <a:xfrm>
          <a:off x="7296150" y="427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40" name="AutoShape 1024" descr="solunum yoluyla bulaşan hastalıklar ile ilgili görsel sonucu">
          <a:extLst>
            <a:ext uri="{FF2B5EF4-FFF2-40B4-BE49-F238E27FC236}">
              <a16:creationId xmlns:a16="http://schemas.microsoft.com/office/drawing/2014/main" id="{00000000-0008-0000-0900-000028000000}"/>
            </a:ext>
          </a:extLst>
        </xdr:cNvPr>
        <xdr:cNvSpPr>
          <a:spLocks noChangeAspect="1" noChangeArrowheads="1"/>
        </xdr:cNvSpPr>
      </xdr:nvSpPr>
      <xdr:spPr bwMode="auto">
        <a:xfrm>
          <a:off x="7296150" y="427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41" name="AutoShape 1026" descr="solunum yoluyla bulaşan hastalıklar ile ilgili görsel sonucu">
          <a:extLst>
            <a:ext uri="{FF2B5EF4-FFF2-40B4-BE49-F238E27FC236}">
              <a16:creationId xmlns:a16="http://schemas.microsoft.com/office/drawing/2014/main" id="{00000000-0008-0000-0900-000029000000}"/>
            </a:ext>
          </a:extLst>
        </xdr:cNvPr>
        <xdr:cNvSpPr>
          <a:spLocks noChangeAspect="1" noChangeArrowheads="1"/>
        </xdr:cNvSpPr>
      </xdr:nvSpPr>
      <xdr:spPr bwMode="auto">
        <a:xfrm>
          <a:off x="7296150" y="427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42" name="AutoShape 1024" descr="solunum yoluyla bulaşan hastalıklar ile ilgili görsel sonucu">
          <a:extLst>
            <a:ext uri="{FF2B5EF4-FFF2-40B4-BE49-F238E27FC236}">
              <a16:creationId xmlns:a16="http://schemas.microsoft.com/office/drawing/2014/main" id="{00000000-0008-0000-0900-00002A000000}"/>
            </a:ext>
          </a:extLst>
        </xdr:cNvPr>
        <xdr:cNvSpPr>
          <a:spLocks noChangeAspect="1" noChangeArrowheads="1"/>
        </xdr:cNvSpPr>
      </xdr:nvSpPr>
      <xdr:spPr bwMode="auto">
        <a:xfrm>
          <a:off x="7296150" y="427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43" name="AutoShape 1026" descr="solunum yoluyla bulaşan hastalıklar ile ilgili görsel sonucu">
          <a:extLst>
            <a:ext uri="{FF2B5EF4-FFF2-40B4-BE49-F238E27FC236}">
              <a16:creationId xmlns:a16="http://schemas.microsoft.com/office/drawing/2014/main" id="{00000000-0008-0000-0900-00002B000000}"/>
            </a:ext>
          </a:extLst>
        </xdr:cNvPr>
        <xdr:cNvSpPr>
          <a:spLocks noChangeAspect="1" noChangeArrowheads="1"/>
        </xdr:cNvSpPr>
      </xdr:nvSpPr>
      <xdr:spPr bwMode="auto">
        <a:xfrm>
          <a:off x="7296150" y="427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44" name="AutoShape 1024" descr="solunum yoluyla bulaşan hastalıklar ile ilgili görsel sonucu">
          <a:extLst>
            <a:ext uri="{FF2B5EF4-FFF2-40B4-BE49-F238E27FC236}">
              <a16:creationId xmlns:a16="http://schemas.microsoft.com/office/drawing/2014/main" id="{00000000-0008-0000-0900-00002C000000}"/>
            </a:ext>
          </a:extLst>
        </xdr:cNvPr>
        <xdr:cNvSpPr>
          <a:spLocks noChangeAspect="1" noChangeArrowheads="1"/>
        </xdr:cNvSpPr>
      </xdr:nvSpPr>
      <xdr:spPr bwMode="auto">
        <a:xfrm>
          <a:off x="7296150" y="3959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45" name="AutoShape 1026" descr="solunum yoluyla bulaşan hastalıklar ile ilgili görsel sonucu">
          <a:extLst>
            <a:ext uri="{FF2B5EF4-FFF2-40B4-BE49-F238E27FC236}">
              <a16:creationId xmlns:a16="http://schemas.microsoft.com/office/drawing/2014/main" id="{00000000-0008-0000-0900-00002D000000}"/>
            </a:ext>
          </a:extLst>
        </xdr:cNvPr>
        <xdr:cNvSpPr>
          <a:spLocks noChangeAspect="1" noChangeArrowheads="1"/>
        </xdr:cNvSpPr>
      </xdr:nvSpPr>
      <xdr:spPr bwMode="auto">
        <a:xfrm>
          <a:off x="7296150" y="3959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46" name="AutoShape 1024" descr="solunum yoluyla bulaşan hastalıklar ile ilgili görsel sonucu">
          <a:extLst>
            <a:ext uri="{FF2B5EF4-FFF2-40B4-BE49-F238E27FC236}">
              <a16:creationId xmlns:a16="http://schemas.microsoft.com/office/drawing/2014/main" id="{00000000-0008-0000-0900-00002E000000}"/>
            </a:ext>
          </a:extLst>
        </xdr:cNvPr>
        <xdr:cNvSpPr>
          <a:spLocks noChangeAspect="1" noChangeArrowheads="1"/>
        </xdr:cNvSpPr>
      </xdr:nvSpPr>
      <xdr:spPr bwMode="auto">
        <a:xfrm>
          <a:off x="7296150" y="4117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47" name="AutoShape 1026" descr="solunum yoluyla bulaşan hastalıklar ile ilgili görsel sonucu">
          <a:extLst>
            <a:ext uri="{FF2B5EF4-FFF2-40B4-BE49-F238E27FC236}">
              <a16:creationId xmlns:a16="http://schemas.microsoft.com/office/drawing/2014/main" id="{00000000-0008-0000-0900-00002F000000}"/>
            </a:ext>
          </a:extLst>
        </xdr:cNvPr>
        <xdr:cNvSpPr>
          <a:spLocks noChangeAspect="1" noChangeArrowheads="1"/>
        </xdr:cNvSpPr>
      </xdr:nvSpPr>
      <xdr:spPr bwMode="auto">
        <a:xfrm>
          <a:off x="7296150" y="4117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48" name="AutoShape 1024" descr="solunum yoluyla bulaşan hastalıklar ile ilgili görsel sonucu">
          <a:extLst>
            <a:ext uri="{FF2B5EF4-FFF2-40B4-BE49-F238E27FC236}">
              <a16:creationId xmlns:a16="http://schemas.microsoft.com/office/drawing/2014/main" id="{00000000-0008-0000-0900-000030000000}"/>
            </a:ext>
          </a:extLst>
        </xdr:cNvPr>
        <xdr:cNvSpPr>
          <a:spLocks noChangeAspect="1" noChangeArrowheads="1"/>
        </xdr:cNvSpPr>
      </xdr:nvSpPr>
      <xdr:spPr bwMode="auto">
        <a:xfrm>
          <a:off x="7296150" y="4117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49" name="AutoShape 1026" descr="solunum yoluyla bulaşan hastalıklar ile ilgili görsel sonucu">
          <a:extLst>
            <a:ext uri="{FF2B5EF4-FFF2-40B4-BE49-F238E27FC236}">
              <a16:creationId xmlns:a16="http://schemas.microsoft.com/office/drawing/2014/main" id="{00000000-0008-0000-0900-000031000000}"/>
            </a:ext>
          </a:extLst>
        </xdr:cNvPr>
        <xdr:cNvSpPr>
          <a:spLocks noChangeAspect="1" noChangeArrowheads="1"/>
        </xdr:cNvSpPr>
      </xdr:nvSpPr>
      <xdr:spPr bwMode="auto">
        <a:xfrm>
          <a:off x="7296150" y="4117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50" name="AutoShape 1024" descr="solunum yoluyla bulaşan hastalıklar ile ilgili görsel sonucu">
          <a:extLst>
            <a:ext uri="{FF2B5EF4-FFF2-40B4-BE49-F238E27FC236}">
              <a16:creationId xmlns:a16="http://schemas.microsoft.com/office/drawing/2014/main" id="{00000000-0008-0000-0900-000032000000}"/>
            </a:ext>
          </a:extLst>
        </xdr:cNvPr>
        <xdr:cNvSpPr>
          <a:spLocks noChangeAspect="1" noChangeArrowheads="1"/>
        </xdr:cNvSpPr>
      </xdr:nvSpPr>
      <xdr:spPr bwMode="auto">
        <a:xfrm>
          <a:off x="7296150" y="4117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51" name="AutoShape 1026" descr="solunum yoluyla bulaşan hastalıklar ile ilgili görsel sonucu">
          <a:extLst>
            <a:ext uri="{FF2B5EF4-FFF2-40B4-BE49-F238E27FC236}">
              <a16:creationId xmlns:a16="http://schemas.microsoft.com/office/drawing/2014/main" id="{00000000-0008-0000-0900-000033000000}"/>
            </a:ext>
          </a:extLst>
        </xdr:cNvPr>
        <xdr:cNvSpPr>
          <a:spLocks noChangeAspect="1" noChangeArrowheads="1"/>
        </xdr:cNvSpPr>
      </xdr:nvSpPr>
      <xdr:spPr bwMode="auto">
        <a:xfrm>
          <a:off x="7296150" y="4117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52" name="AutoShape 1024" descr="solunum yoluyla bulaşan hastalıklar ile ilgili görsel sonucu">
          <a:extLst>
            <a:ext uri="{FF2B5EF4-FFF2-40B4-BE49-F238E27FC236}">
              <a16:creationId xmlns:a16="http://schemas.microsoft.com/office/drawing/2014/main" id="{00000000-0008-0000-0900-000034000000}"/>
            </a:ext>
          </a:extLst>
        </xdr:cNvPr>
        <xdr:cNvSpPr>
          <a:spLocks noChangeAspect="1" noChangeArrowheads="1"/>
        </xdr:cNvSpPr>
      </xdr:nvSpPr>
      <xdr:spPr bwMode="auto">
        <a:xfrm>
          <a:off x="7296150" y="4117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53" name="AutoShape 1026" descr="solunum yoluyla bulaşan hastalıklar ile ilgili görsel sonucu">
          <a:extLst>
            <a:ext uri="{FF2B5EF4-FFF2-40B4-BE49-F238E27FC236}">
              <a16:creationId xmlns:a16="http://schemas.microsoft.com/office/drawing/2014/main" id="{00000000-0008-0000-0900-000035000000}"/>
            </a:ext>
          </a:extLst>
        </xdr:cNvPr>
        <xdr:cNvSpPr>
          <a:spLocks noChangeAspect="1" noChangeArrowheads="1"/>
        </xdr:cNvSpPr>
      </xdr:nvSpPr>
      <xdr:spPr bwMode="auto">
        <a:xfrm>
          <a:off x="7296150" y="4117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54" name="AutoShape 1024" descr="solunum yoluyla bulaşan hastalıklar ile ilgili görsel sonucu">
          <a:extLst>
            <a:ext uri="{FF2B5EF4-FFF2-40B4-BE49-F238E27FC236}">
              <a16:creationId xmlns:a16="http://schemas.microsoft.com/office/drawing/2014/main" id="{00000000-0008-0000-0900-000036000000}"/>
            </a:ext>
          </a:extLst>
        </xdr:cNvPr>
        <xdr:cNvSpPr>
          <a:spLocks noChangeAspect="1" noChangeArrowheads="1"/>
        </xdr:cNvSpPr>
      </xdr:nvSpPr>
      <xdr:spPr bwMode="auto">
        <a:xfrm>
          <a:off x="7296150" y="4117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55" name="AutoShape 1026" descr="solunum yoluyla bulaşan hastalıklar ile ilgili görsel sonucu">
          <a:extLst>
            <a:ext uri="{FF2B5EF4-FFF2-40B4-BE49-F238E27FC236}">
              <a16:creationId xmlns:a16="http://schemas.microsoft.com/office/drawing/2014/main" id="{00000000-0008-0000-0900-000037000000}"/>
            </a:ext>
          </a:extLst>
        </xdr:cNvPr>
        <xdr:cNvSpPr>
          <a:spLocks noChangeAspect="1" noChangeArrowheads="1"/>
        </xdr:cNvSpPr>
      </xdr:nvSpPr>
      <xdr:spPr bwMode="auto">
        <a:xfrm>
          <a:off x="7296150" y="4117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56" name="AutoShape 1024" descr="solunum yoluyla bulaşan hastalıklar ile ilgili görsel sonucu">
          <a:extLst>
            <a:ext uri="{FF2B5EF4-FFF2-40B4-BE49-F238E27FC236}">
              <a16:creationId xmlns:a16="http://schemas.microsoft.com/office/drawing/2014/main" id="{00000000-0008-0000-0900-000038000000}"/>
            </a:ext>
          </a:extLst>
        </xdr:cNvPr>
        <xdr:cNvSpPr>
          <a:spLocks noChangeAspect="1" noChangeArrowheads="1"/>
        </xdr:cNvSpPr>
      </xdr:nvSpPr>
      <xdr:spPr bwMode="auto">
        <a:xfrm>
          <a:off x="7296150" y="4117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57" name="AutoShape 1026" descr="solunum yoluyla bulaşan hastalıklar ile ilgili görsel sonucu">
          <a:extLst>
            <a:ext uri="{FF2B5EF4-FFF2-40B4-BE49-F238E27FC236}">
              <a16:creationId xmlns:a16="http://schemas.microsoft.com/office/drawing/2014/main" id="{00000000-0008-0000-0900-000039000000}"/>
            </a:ext>
          </a:extLst>
        </xdr:cNvPr>
        <xdr:cNvSpPr>
          <a:spLocks noChangeAspect="1" noChangeArrowheads="1"/>
        </xdr:cNvSpPr>
      </xdr:nvSpPr>
      <xdr:spPr bwMode="auto">
        <a:xfrm>
          <a:off x="7296150" y="4117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58" name="AutoShape 1024" descr="solunum yoluyla bulaşan hastalıklar ile ilgili görsel sonucu">
          <a:extLst>
            <a:ext uri="{FF2B5EF4-FFF2-40B4-BE49-F238E27FC236}">
              <a16:creationId xmlns:a16="http://schemas.microsoft.com/office/drawing/2014/main" id="{00000000-0008-0000-0900-00003A000000}"/>
            </a:ext>
          </a:extLst>
        </xdr:cNvPr>
        <xdr:cNvSpPr>
          <a:spLocks noChangeAspect="1" noChangeArrowheads="1"/>
        </xdr:cNvSpPr>
      </xdr:nvSpPr>
      <xdr:spPr bwMode="auto">
        <a:xfrm>
          <a:off x="7296150" y="364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59" name="AutoShape 1026" descr="solunum yoluyla bulaşan hastalıklar ile ilgili görsel sonucu">
          <a:extLst>
            <a:ext uri="{FF2B5EF4-FFF2-40B4-BE49-F238E27FC236}">
              <a16:creationId xmlns:a16="http://schemas.microsoft.com/office/drawing/2014/main" id="{00000000-0008-0000-0900-00003B000000}"/>
            </a:ext>
          </a:extLst>
        </xdr:cNvPr>
        <xdr:cNvSpPr>
          <a:spLocks noChangeAspect="1" noChangeArrowheads="1"/>
        </xdr:cNvSpPr>
      </xdr:nvSpPr>
      <xdr:spPr bwMode="auto">
        <a:xfrm>
          <a:off x="7296150" y="364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8</xdr:row>
      <xdr:rowOff>0</xdr:rowOff>
    </xdr:from>
    <xdr:ext cx="304800" cy="247650"/>
    <xdr:sp macro="" textlink="">
      <xdr:nvSpPr>
        <xdr:cNvPr id="60" name="AutoShape 1024" descr="solunum yoluyla bulaşan hastalıklar ile ilgili görsel sonucu">
          <a:extLst>
            <a:ext uri="{FF2B5EF4-FFF2-40B4-BE49-F238E27FC236}">
              <a16:creationId xmlns:a16="http://schemas.microsoft.com/office/drawing/2014/main" id="{00000000-0008-0000-0900-00003C000000}"/>
            </a:ext>
          </a:extLst>
        </xdr:cNvPr>
        <xdr:cNvSpPr>
          <a:spLocks noChangeAspect="1" noChangeArrowheads="1"/>
        </xdr:cNvSpPr>
      </xdr:nvSpPr>
      <xdr:spPr bwMode="auto">
        <a:xfrm>
          <a:off x="7296150" y="46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8</xdr:row>
      <xdr:rowOff>0</xdr:rowOff>
    </xdr:from>
    <xdr:ext cx="304800" cy="247650"/>
    <xdr:sp macro="" textlink="">
      <xdr:nvSpPr>
        <xdr:cNvPr id="61" name="AutoShape 1026" descr="solunum yoluyla bulaşan hastalıklar ile ilgili görsel sonucu">
          <a:extLst>
            <a:ext uri="{FF2B5EF4-FFF2-40B4-BE49-F238E27FC236}">
              <a16:creationId xmlns:a16="http://schemas.microsoft.com/office/drawing/2014/main" id="{00000000-0008-0000-0900-00003D000000}"/>
            </a:ext>
          </a:extLst>
        </xdr:cNvPr>
        <xdr:cNvSpPr>
          <a:spLocks noChangeAspect="1" noChangeArrowheads="1"/>
        </xdr:cNvSpPr>
      </xdr:nvSpPr>
      <xdr:spPr bwMode="auto">
        <a:xfrm>
          <a:off x="7296150" y="46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7</xdr:col>
      <xdr:colOff>0</xdr:colOff>
      <xdr:row>10</xdr:row>
      <xdr:rowOff>0</xdr:rowOff>
    </xdr:from>
    <xdr:to>
      <xdr:col>7</xdr:col>
      <xdr:colOff>304800</xdr:colOff>
      <xdr:row>10</xdr:row>
      <xdr:rowOff>266700</xdr:rowOff>
    </xdr:to>
    <xdr:sp macro="" textlink="">
      <xdr:nvSpPr>
        <xdr:cNvPr id="62" name="AutoShape 1024" descr="solunum yoluyla bulaşan hastalıklar ile ilgili görsel sonucu">
          <a:extLst>
            <a:ext uri="{FF2B5EF4-FFF2-40B4-BE49-F238E27FC236}">
              <a16:creationId xmlns:a16="http://schemas.microsoft.com/office/drawing/2014/main" id="{00000000-0008-0000-0900-00003E000000}"/>
            </a:ext>
          </a:extLst>
        </xdr:cNvPr>
        <xdr:cNvSpPr>
          <a:spLocks noChangeAspect="1" noChangeArrowheads="1"/>
        </xdr:cNvSpPr>
      </xdr:nvSpPr>
      <xdr:spPr bwMode="auto">
        <a:xfrm>
          <a:off x="7296150" y="15779750"/>
          <a:ext cx="3048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10</xdr:row>
      <xdr:rowOff>0</xdr:rowOff>
    </xdr:from>
    <xdr:to>
      <xdr:col>7</xdr:col>
      <xdr:colOff>304800</xdr:colOff>
      <xdr:row>10</xdr:row>
      <xdr:rowOff>266700</xdr:rowOff>
    </xdr:to>
    <xdr:sp macro="" textlink="">
      <xdr:nvSpPr>
        <xdr:cNvPr id="63" name="AutoShape 1026" descr="solunum yoluyla bulaşan hastalıklar ile ilgili görsel sonucu">
          <a:extLst>
            <a:ext uri="{FF2B5EF4-FFF2-40B4-BE49-F238E27FC236}">
              <a16:creationId xmlns:a16="http://schemas.microsoft.com/office/drawing/2014/main" id="{00000000-0008-0000-0900-00003F000000}"/>
            </a:ext>
          </a:extLst>
        </xdr:cNvPr>
        <xdr:cNvSpPr>
          <a:spLocks noChangeAspect="1" noChangeArrowheads="1"/>
        </xdr:cNvSpPr>
      </xdr:nvSpPr>
      <xdr:spPr bwMode="auto">
        <a:xfrm>
          <a:off x="7296150" y="15779750"/>
          <a:ext cx="3048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10</xdr:row>
      <xdr:rowOff>0</xdr:rowOff>
    </xdr:from>
    <xdr:to>
      <xdr:col>7</xdr:col>
      <xdr:colOff>304800</xdr:colOff>
      <xdr:row>10</xdr:row>
      <xdr:rowOff>266700</xdr:rowOff>
    </xdr:to>
    <xdr:sp macro="" textlink="">
      <xdr:nvSpPr>
        <xdr:cNvPr id="64" name="AutoShape 1024" descr="solunum yoluyla bulaşan hastalıklar ile ilgili görsel sonucu">
          <a:extLst>
            <a:ext uri="{FF2B5EF4-FFF2-40B4-BE49-F238E27FC236}">
              <a16:creationId xmlns:a16="http://schemas.microsoft.com/office/drawing/2014/main" id="{00000000-0008-0000-0900-000040000000}"/>
            </a:ext>
          </a:extLst>
        </xdr:cNvPr>
        <xdr:cNvSpPr>
          <a:spLocks noChangeAspect="1" noChangeArrowheads="1"/>
        </xdr:cNvSpPr>
      </xdr:nvSpPr>
      <xdr:spPr bwMode="auto">
        <a:xfrm>
          <a:off x="7296150" y="15779750"/>
          <a:ext cx="3048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10</xdr:row>
      <xdr:rowOff>0</xdr:rowOff>
    </xdr:from>
    <xdr:to>
      <xdr:col>7</xdr:col>
      <xdr:colOff>304800</xdr:colOff>
      <xdr:row>10</xdr:row>
      <xdr:rowOff>266700</xdr:rowOff>
    </xdr:to>
    <xdr:sp macro="" textlink="">
      <xdr:nvSpPr>
        <xdr:cNvPr id="65" name="AutoShape 1026" descr="solunum yoluyla bulaşan hastalıklar ile ilgili görsel sonucu">
          <a:extLst>
            <a:ext uri="{FF2B5EF4-FFF2-40B4-BE49-F238E27FC236}">
              <a16:creationId xmlns:a16="http://schemas.microsoft.com/office/drawing/2014/main" id="{00000000-0008-0000-0900-000041000000}"/>
            </a:ext>
          </a:extLst>
        </xdr:cNvPr>
        <xdr:cNvSpPr>
          <a:spLocks noChangeAspect="1" noChangeArrowheads="1"/>
        </xdr:cNvSpPr>
      </xdr:nvSpPr>
      <xdr:spPr bwMode="auto">
        <a:xfrm>
          <a:off x="7296150" y="15779750"/>
          <a:ext cx="3048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9</xdr:row>
      <xdr:rowOff>0</xdr:rowOff>
    </xdr:from>
    <xdr:to>
      <xdr:col>7</xdr:col>
      <xdr:colOff>304800</xdr:colOff>
      <xdr:row>9</xdr:row>
      <xdr:rowOff>266700</xdr:rowOff>
    </xdr:to>
    <xdr:sp macro="" textlink="">
      <xdr:nvSpPr>
        <xdr:cNvPr id="66" name="AutoShape 1024" descr="solunum yoluyla bulaşan hastalıklar ile ilgili görsel sonucu">
          <a:extLst>
            <a:ext uri="{FF2B5EF4-FFF2-40B4-BE49-F238E27FC236}">
              <a16:creationId xmlns:a16="http://schemas.microsoft.com/office/drawing/2014/main" id="{00000000-0008-0000-0900-000042000000}"/>
            </a:ext>
          </a:extLst>
        </xdr:cNvPr>
        <xdr:cNvSpPr>
          <a:spLocks noChangeAspect="1" noChangeArrowheads="1"/>
        </xdr:cNvSpPr>
      </xdr:nvSpPr>
      <xdr:spPr bwMode="auto">
        <a:xfrm>
          <a:off x="7296150" y="6254750"/>
          <a:ext cx="3048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9</xdr:row>
      <xdr:rowOff>0</xdr:rowOff>
    </xdr:from>
    <xdr:to>
      <xdr:col>7</xdr:col>
      <xdr:colOff>304800</xdr:colOff>
      <xdr:row>9</xdr:row>
      <xdr:rowOff>266700</xdr:rowOff>
    </xdr:to>
    <xdr:sp macro="" textlink="">
      <xdr:nvSpPr>
        <xdr:cNvPr id="67" name="AutoShape 1026" descr="solunum yoluyla bulaşan hastalıklar ile ilgili görsel sonucu">
          <a:extLst>
            <a:ext uri="{FF2B5EF4-FFF2-40B4-BE49-F238E27FC236}">
              <a16:creationId xmlns:a16="http://schemas.microsoft.com/office/drawing/2014/main" id="{00000000-0008-0000-0900-000043000000}"/>
            </a:ext>
          </a:extLst>
        </xdr:cNvPr>
        <xdr:cNvSpPr>
          <a:spLocks noChangeAspect="1" noChangeArrowheads="1"/>
        </xdr:cNvSpPr>
      </xdr:nvSpPr>
      <xdr:spPr bwMode="auto">
        <a:xfrm>
          <a:off x="7296150" y="6254750"/>
          <a:ext cx="3048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9</xdr:row>
      <xdr:rowOff>0</xdr:rowOff>
    </xdr:from>
    <xdr:to>
      <xdr:col>7</xdr:col>
      <xdr:colOff>304800</xdr:colOff>
      <xdr:row>9</xdr:row>
      <xdr:rowOff>266700</xdr:rowOff>
    </xdr:to>
    <xdr:sp macro="" textlink="">
      <xdr:nvSpPr>
        <xdr:cNvPr id="68" name="AutoShape 1024" descr="solunum yoluyla bulaşan hastalıklar ile ilgili görsel sonucu">
          <a:extLst>
            <a:ext uri="{FF2B5EF4-FFF2-40B4-BE49-F238E27FC236}">
              <a16:creationId xmlns:a16="http://schemas.microsoft.com/office/drawing/2014/main" id="{00000000-0008-0000-0900-000044000000}"/>
            </a:ext>
          </a:extLst>
        </xdr:cNvPr>
        <xdr:cNvSpPr>
          <a:spLocks noChangeAspect="1" noChangeArrowheads="1"/>
        </xdr:cNvSpPr>
      </xdr:nvSpPr>
      <xdr:spPr bwMode="auto">
        <a:xfrm>
          <a:off x="7296150" y="6254750"/>
          <a:ext cx="3048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9</xdr:row>
      <xdr:rowOff>0</xdr:rowOff>
    </xdr:from>
    <xdr:to>
      <xdr:col>7</xdr:col>
      <xdr:colOff>304800</xdr:colOff>
      <xdr:row>9</xdr:row>
      <xdr:rowOff>266700</xdr:rowOff>
    </xdr:to>
    <xdr:sp macro="" textlink="">
      <xdr:nvSpPr>
        <xdr:cNvPr id="69" name="AutoShape 1026" descr="solunum yoluyla bulaşan hastalıklar ile ilgili görsel sonucu">
          <a:extLst>
            <a:ext uri="{FF2B5EF4-FFF2-40B4-BE49-F238E27FC236}">
              <a16:creationId xmlns:a16="http://schemas.microsoft.com/office/drawing/2014/main" id="{00000000-0008-0000-0900-000045000000}"/>
            </a:ext>
          </a:extLst>
        </xdr:cNvPr>
        <xdr:cNvSpPr>
          <a:spLocks noChangeAspect="1" noChangeArrowheads="1"/>
        </xdr:cNvSpPr>
      </xdr:nvSpPr>
      <xdr:spPr bwMode="auto">
        <a:xfrm>
          <a:off x="7296150" y="6254750"/>
          <a:ext cx="3048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7</xdr:row>
      <xdr:rowOff>0</xdr:rowOff>
    </xdr:from>
    <xdr:to>
      <xdr:col>7</xdr:col>
      <xdr:colOff>304800</xdr:colOff>
      <xdr:row>7</xdr:row>
      <xdr:rowOff>266700</xdr:rowOff>
    </xdr:to>
    <xdr:sp macro="" textlink="">
      <xdr:nvSpPr>
        <xdr:cNvPr id="70" name="AutoShape 1024" descr="solunum yoluyla bulaşan hastalıklar ile ilgili görsel sonucu">
          <a:extLst>
            <a:ext uri="{FF2B5EF4-FFF2-40B4-BE49-F238E27FC236}">
              <a16:creationId xmlns:a16="http://schemas.microsoft.com/office/drawing/2014/main" id="{00000000-0008-0000-0900-000046000000}"/>
            </a:ext>
          </a:extLst>
        </xdr:cNvPr>
        <xdr:cNvSpPr>
          <a:spLocks noChangeAspect="1" noChangeArrowheads="1"/>
        </xdr:cNvSpPr>
      </xdr:nvSpPr>
      <xdr:spPr bwMode="auto">
        <a:xfrm>
          <a:off x="7296150" y="3079750"/>
          <a:ext cx="3048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7</xdr:row>
      <xdr:rowOff>0</xdr:rowOff>
    </xdr:from>
    <xdr:to>
      <xdr:col>7</xdr:col>
      <xdr:colOff>304800</xdr:colOff>
      <xdr:row>7</xdr:row>
      <xdr:rowOff>266700</xdr:rowOff>
    </xdr:to>
    <xdr:sp macro="" textlink="">
      <xdr:nvSpPr>
        <xdr:cNvPr id="71" name="AutoShape 1026" descr="solunum yoluyla bulaşan hastalıklar ile ilgili görsel sonucu">
          <a:extLst>
            <a:ext uri="{FF2B5EF4-FFF2-40B4-BE49-F238E27FC236}">
              <a16:creationId xmlns:a16="http://schemas.microsoft.com/office/drawing/2014/main" id="{00000000-0008-0000-0900-000047000000}"/>
            </a:ext>
          </a:extLst>
        </xdr:cNvPr>
        <xdr:cNvSpPr>
          <a:spLocks noChangeAspect="1" noChangeArrowheads="1"/>
        </xdr:cNvSpPr>
      </xdr:nvSpPr>
      <xdr:spPr bwMode="auto">
        <a:xfrm>
          <a:off x="7296150" y="3079750"/>
          <a:ext cx="3048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7</xdr:row>
      <xdr:rowOff>0</xdr:rowOff>
    </xdr:from>
    <xdr:to>
      <xdr:col>7</xdr:col>
      <xdr:colOff>304800</xdr:colOff>
      <xdr:row>7</xdr:row>
      <xdr:rowOff>266700</xdr:rowOff>
    </xdr:to>
    <xdr:sp macro="" textlink="">
      <xdr:nvSpPr>
        <xdr:cNvPr id="72" name="AutoShape 1024" descr="solunum yoluyla bulaşan hastalıklar ile ilgili görsel sonucu">
          <a:extLst>
            <a:ext uri="{FF2B5EF4-FFF2-40B4-BE49-F238E27FC236}">
              <a16:creationId xmlns:a16="http://schemas.microsoft.com/office/drawing/2014/main" id="{00000000-0008-0000-0900-000048000000}"/>
            </a:ext>
          </a:extLst>
        </xdr:cNvPr>
        <xdr:cNvSpPr>
          <a:spLocks noChangeAspect="1" noChangeArrowheads="1"/>
        </xdr:cNvSpPr>
      </xdr:nvSpPr>
      <xdr:spPr bwMode="auto">
        <a:xfrm>
          <a:off x="7296150" y="3079750"/>
          <a:ext cx="3048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7</xdr:row>
      <xdr:rowOff>0</xdr:rowOff>
    </xdr:from>
    <xdr:to>
      <xdr:col>7</xdr:col>
      <xdr:colOff>304800</xdr:colOff>
      <xdr:row>7</xdr:row>
      <xdr:rowOff>266700</xdr:rowOff>
    </xdr:to>
    <xdr:sp macro="" textlink="">
      <xdr:nvSpPr>
        <xdr:cNvPr id="73" name="AutoShape 1026" descr="solunum yoluyla bulaşan hastalıklar ile ilgili görsel sonucu">
          <a:extLst>
            <a:ext uri="{FF2B5EF4-FFF2-40B4-BE49-F238E27FC236}">
              <a16:creationId xmlns:a16="http://schemas.microsoft.com/office/drawing/2014/main" id="{00000000-0008-0000-0900-000049000000}"/>
            </a:ext>
          </a:extLst>
        </xdr:cNvPr>
        <xdr:cNvSpPr>
          <a:spLocks noChangeAspect="1" noChangeArrowheads="1"/>
        </xdr:cNvSpPr>
      </xdr:nvSpPr>
      <xdr:spPr bwMode="auto">
        <a:xfrm>
          <a:off x="7296150" y="3079750"/>
          <a:ext cx="3048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10</xdr:row>
      <xdr:rowOff>0</xdr:rowOff>
    </xdr:from>
    <xdr:to>
      <xdr:col>7</xdr:col>
      <xdr:colOff>304800</xdr:colOff>
      <xdr:row>10</xdr:row>
      <xdr:rowOff>266700</xdr:rowOff>
    </xdr:to>
    <xdr:sp macro="" textlink="">
      <xdr:nvSpPr>
        <xdr:cNvPr id="74" name="AutoShape 1024" descr="solunum yoluyla bulaşan hastalıklar ile ilgili görsel sonucu">
          <a:extLst>
            <a:ext uri="{FF2B5EF4-FFF2-40B4-BE49-F238E27FC236}">
              <a16:creationId xmlns:a16="http://schemas.microsoft.com/office/drawing/2014/main" id="{00000000-0008-0000-0900-00004A000000}"/>
            </a:ext>
          </a:extLst>
        </xdr:cNvPr>
        <xdr:cNvSpPr>
          <a:spLocks noChangeAspect="1" noChangeArrowheads="1"/>
        </xdr:cNvSpPr>
      </xdr:nvSpPr>
      <xdr:spPr bwMode="auto">
        <a:xfrm>
          <a:off x="7296150" y="9429750"/>
          <a:ext cx="3048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10</xdr:row>
      <xdr:rowOff>0</xdr:rowOff>
    </xdr:from>
    <xdr:to>
      <xdr:col>7</xdr:col>
      <xdr:colOff>304800</xdr:colOff>
      <xdr:row>10</xdr:row>
      <xdr:rowOff>266700</xdr:rowOff>
    </xdr:to>
    <xdr:sp macro="" textlink="">
      <xdr:nvSpPr>
        <xdr:cNvPr id="75" name="AutoShape 1026" descr="solunum yoluyla bulaşan hastalıklar ile ilgili görsel sonucu">
          <a:extLst>
            <a:ext uri="{FF2B5EF4-FFF2-40B4-BE49-F238E27FC236}">
              <a16:creationId xmlns:a16="http://schemas.microsoft.com/office/drawing/2014/main" id="{00000000-0008-0000-0900-00004B000000}"/>
            </a:ext>
          </a:extLst>
        </xdr:cNvPr>
        <xdr:cNvSpPr>
          <a:spLocks noChangeAspect="1" noChangeArrowheads="1"/>
        </xdr:cNvSpPr>
      </xdr:nvSpPr>
      <xdr:spPr bwMode="auto">
        <a:xfrm>
          <a:off x="7296150" y="9429750"/>
          <a:ext cx="3048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10</xdr:row>
      <xdr:rowOff>0</xdr:rowOff>
    </xdr:from>
    <xdr:to>
      <xdr:col>7</xdr:col>
      <xdr:colOff>304800</xdr:colOff>
      <xdr:row>10</xdr:row>
      <xdr:rowOff>266700</xdr:rowOff>
    </xdr:to>
    <xdr:sp macro="" textlink="">
      <xdr:nvSpPr>
        <xdr:cNvPr id="76" name="AutoShape 1024" descr="solunum yoluyla bulaşan hastalıklar ile ilgili görsel sonucu">
          <a:extLst>
            <a:ext uri="{FF2B5EF4-FFF2-40B4-BE49-F238E27FC236}">
              <a16:creationId xmlns:a16="http://schemas.microsoft.com/office/drawing/2014/main" id="{00000000-0008-0000-0900-00004C000000}"/>
            </a:ext>
          </a:extLst>
        </xdr:cNvPr>
        <xdr:cNvSpPr>
          <a:spLocks noChangeAspect="1" noChangeArrowheads="1"/>
        </xdr:cNvSpPr>
      </xdr:nvSpPr>
      <xdr:spPr bwMode="auto">
        <a:xfrm>
          <a:off x="7296150" y="9429750"/>
          <a:ext cx="3048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10</xdr:row>
      <xdr:rowOff>0</xdr:rowOff>
    </xdr:from>
    <xdr:to>
      <xdr:col>7</xdr:col>
      <xdr:colOff>304800</xdr:colOff>
      <xdr:row>10</xdr:row>
      <xdr:rowOff>266700</xdr:rowOff>
    </xdr:to>
    <xdr:sp macro="" textlink="">
      <xdr:nvSpPr>
        <xdr:cNvPr id="77" name="AutoShape 1026" descr="solunum yoluyla bulaşan hastalıklar ile ilgili görsel sonucu">
          <a:extLst>
            <a:ext uri="{FF2B5EF4-FFF2-40B4-BE49-F238E27FC236}">
              <a16:creationId xmlns:a16="http://schemas.microsoft.com/office/drawing/2014/main" id="{00000000-0008-0000-0900-00004D000000}"/>
            </a:ext>
          </a:extLst>
        </xdr:cNvPr>
        <xdr:cNvSpPr>
          <a:spLocks noChangeAspect="1" noChangeArrowheads="1"/>
        </xdr:cNvSpPr>
      </xdr:nvSpPr>
      <xdr:spPr bwMode="auto">
        <a:xfrm>
          <a:off x="7296150" y="9429750"/>
          <a:ext cx="3048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10</xdr:row>
      <xdr:rowOff>0</xdr:rowOff>
    </xdr:from>
    <xdr:to>
      <xdr:col>7</xdr:col>
      <xdr:colOff>304800</xdr:colOff>
      <xdr:row>10</xdr:row>
      <xdr:rowOff>266700</xdr:rowOff>
    </xdr:to>
    <xdr:sp macro="" textlink="">
      <xdr:nvSpPr>
        <xdr:cNvPr id="78" name="AutoShape 1024" descr="solunum yoluyla bulaşan hastalıklar ile ilgili görsel sonucu">
          <a:extLst>
            <a:ext uri="{FF2B5EF4-FFF2-40B4-BE49-F238E27FC236}">
              <a16:creationId xmlns:a16="http://schemas.microsoft.com/office/drawing/2014/main" id="{00000000-0008-0000-0900-00004E000000}"/>
            </a:ext>
          </a:extLst>
        </xdr:cNvPr>
        <xdr:cNvSpPr>
          <a:spLocks noChangeAspect="1" noChangeArrowheads="1"/>
        </xdr:cNvSpPr>
      </xdr:nvSpPr>
      <xdr:spPr bwMode="auto">
        <a:xfrm>
          <a:off x="7296150" y="14192250"/>
          <a:ext cx="3048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10</xdr:row>
      <xdr:rowOff>0</xdr:rowOff>
    </xdr:from>
    <xdr:to>
      <xdr:col>7</xdr:col>
      <xdr:colOff>304800</xdr:colOff>
      <xdr:row>10</xdr:row>
      <xdr:rowOff>266700</xdr:rowOff>
    </xdr:to>
    <xdr:sp macro="" textlink="">
      <xdr:nvSpPr>
        <xdr:cNvPr id="79" name="AutoShape 1026" descr="solunum yoluyla bulaşan hastalıklar ile ilgili görsel sonucu">
          <a:extLst>
            <a:ext uri="{FF2B5EF4-FFF2-40B4-BE49-F238E27FC236}">
              <a16:creationId xmlns:a16="http://schemas.microsoft.com/office/drawing/2014/main" id="{00000000-0008-0000-0900-00004F000000}"/>
            </a:ext>
          </a:extLst>
        </xdr:cNvPr>
        <xdr:cNvSpPr>
          <a:spLocks noChangeAspect="1" noChangeArrowheads="1"/>
        </xdr:cNvSpPr>
      </xdr:nvSpPr>
      <xdr:spPr bwMode="auto">
        <a:xfrm>
          <a:off x="7296150" y="14192250"/>
          <a:ext cx="3048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10</xdr:row>
      <xdr:rowOff>0</xdr:rowOff>
    </xdr:from>
    <xdr:to>
      <xdr:col>7</xdr:col>
      <xdr:colOff>304800</xdr:colOff>
      <xdr:row>10</xdr:row>
      <xdr:rowOff>266700</xdr:rowOff>
    </xdr:to>
    <xdr:sp macro="" textlink="">
      <xdr:nvSpPr>
        <xdr:cNvPr id="80" name="AutoShape 1024" descr="solunum yoluyla bulaşan hastalıklar ile ilgili görsel sonucu">
          <a:extLst>
            <a:ext uri="{FF2B5EF4-FFF2-40B4-BE49-F238E27FC236}">
              <a16:creationId xmlns:a16="http://schemas.microsoft.com/office/drawing/2014/main" id="{00000000-0008-0000-0900-000050000000}"/>
            </a:ext>
          </a:extLst>
        </xdr:cNvPr>
        <xdr:cNvSpPr>
          <a:spLocks noChangeAspect="1" noChangeArrowheads="1"/>
        </xdr:cNvSpPr>
      </xdr:nvSpPr>
      <xdr:spPr bwMode="auto">
        <a:xfrm>
          <a:off x="7296150" y="14192250"/>
          <a:ext cx="3048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10</xdr:row>
      <xdr:rowOff>0</xdr:rowOff>
    </xdr:from>
    <xdr:to>
      <xdr:col>7</xdr:col>
      <xdr:colOff>304800</xdr:colOff>
      <xdr:row>10</xdr:row>
      <xdr:rowOff>266700</xdr:rowOff>
    </xdr:to>
    <xdr:sp macro="" textlink="">
      <xdr:nvSpPr>
        <xdr:cNvPr id="81" name="AutoShape 1026" descr="solunum yoluyla bulaşan hastalıklar ile ilgili görsel sonucu">
          <a:extLst>
            <a:ext uri="{FF2B5EF4-FFF2-40B4-BE49-F238E27FC236}">
              <a16:creationId xmlns:a16="http://schemas.microsoft.com/office/drawing/2014/main" id="{00000000-0008-0000-0900-000051000000}"/>
            </a:ext>
          </a:extLst>
        </xdr:cNvPr>
        <xdr:cNvSpPr>
          <a:spLocks noChangeAspect="1" noChangeArrowheads="1"/>
        </xdr:cNvSpPr>
      </xdr:nvSpPr>
      <xdr:spPr bwMode="auto">
        <a:xfrm>
          <a:off x="7296150" y="14192250"/>
          <a:ext cx="3048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10</xdr:row>
      <xdr:rowOff>0</xdr:rowOff>
    </xdr:from>
    <xdr:to>
      <xdr:col>7</xdr:col>
      <xdr:colOff>304800</xdr:colOff>
      <xdr:row>10</xdr:row>
      <xdr:rowOff>276225</xdr:rowOff>
    </xdr:to>
    <xdr:sp macro="" textlink="">
      <xdr:nvSpPr>
        <xdr:cNvPr id="82" name="AutoShape 1024" descr="solunum yoluyla bulaşan hastalıklar ile ilgili görsel sonucu">
          <a:extLst>
            <a:ext uri="{FF2B5EF4-FFF2-40B4-BE49-F238E27FC236}">
              <a16:creationId xmlns:a16="http://schemas.microsoft.com/office/drawing/2014/main" id="{00000000-0008-0000-0900-000052000000}"/>
            </a:ext>
          </a:extLst>
        </xdr:cNvPr>
        <xdr:cNvSpPr>
          <a:spLocks noChangeAspect="1" noChangeArrowheads="1"/>
        </xdr:cNvSpPr>
      </xdr:nvSpPr>
      <xdr:spPr bwMode="auto">
        <a:xfrm>
          <a:off x="7296150" y="33242250"/>
          <a:ext cx="3048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10</xdr:row>
      <xdr:rowOff>0</xdr:rowOff>
    </xdr:from>
    <xdr:to>
      <xdr:col>7</xdr:col>
      <xdr:colOff>304800</xdr:colOff>
      <xdr:row>10</xdr:row>
      <xdr:rowOff>276225</xdr:rowOff>
    </xdr:to>
    <xdr:sp macro="" textlink="">
      <xdr:nvSpPr>
        <xdr:cNvPr id="83" name="AutoShape 1026" descr="solunum yoluyla bulaşan hastalıklar ile ilgili görsel sonucu">
          <a:extLst>
            <a:ext uri="{FF2B5EF4-FFF2-40B4-BE49-F238E27FC236}">
              <a16:creationId xmlns:a16="http://schemas.microsoft.com/office/drawing/2014/main" id="{00000000-0008-0000-0900-000053000000}"/>
            </a:ext>
          </a:extLst>
        </xdr:cNvPr>
        <xdr:cNvSpPr>
          <a:spLocks noChangeAspect="1" noChangeArrowheads="1"/>
        </xdr:cNvSpPr>
      </xdr:nvSpPr>
      <xdr:spPr bwMode="auto">
        <a:xfrm>
          <a:off x="7296150" y="33242250"/>
          <a:ext cx="3048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10</xdr:row>
      <xdr:rowOff>0</xdr:rowOff>
    </xdr:from>
    <xdr:to>
      <xdr:col>7</xdr:col>
      <xdr:colOff>304800</xdr:colOff>
      <xdr:row>10</xdr:row>
      <xdr:rowOff>266700</xdr:rowOff>
    </xdr:to>
    <xdr:sp macro="" textlink="">
      <xdr:nvSpPr>
        <xdr:cNvPr id="84" name="AutoShape 1024" descr="solunum yoluyla bulaşan hastalıklar ile ilgili görsel sonucu">
          <a:extLst>
            <a:ext uri="{FF2B5EF4-FFF2-40B4-BE49-F238E27FC236}">
              <a16:creationId xmlns:a16="http://schemas.microsoft.com/office/drawing/2014/main" id="{00000000-0008-0000-0900-000054000000}"/>
            </a:ext>
          </a:extLst>
        </xdr:cNvPr>
        <xdr:cNvSpPr>
          <a:spLocks noChangeAspect="1" noChangeArrowheads="1"/>
        </xdr:cNvSpPr>
      </xdr:nvSpPr>
      <xdr:spPr bwMode="auto">
        <a:xfrm>
          <a:off x="7296150" y="33242250"/>
          <a:ext cx="3048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10</xdr:row>
      <xdr:rowOff>0</xdr:rowOff>
    </xdr:from>
    <xdr:to>
      <xdr:col>7</xdr:col>
      <xdr:colOff>304800</xdr:colOff>
      <xdr:row>10</xdr:row>
      <xdr:rowOff>266700</xdr:rowOff>
    </xdr:to>
    <xdr:sp macro="" textlink="">
      <xdr:nvSpPr>
        <xdr:cNvPr id="85" name="AutoShape 1026" descr="solunum yoluyla bulaşan hastalıklar ile ilgili görsel sonucu">
          <a:extLst>
            <a:ext uri="{FF2B5EF4-FFF2-40B4-BE49-F238E27FC236}">
              <a16:creationId xmlns:a16="http://schemas.microsoft.com/office/drawing/2014/main" id="{00000000-0008-0000-0900-000055000000}"/>
            </a:ext>
          </a:extLst>
        </xdr:cNvPr>
        <xdr:cNvSpPr>
          <a:spLocks noChangeAspect="1" noChangeArrowheads="1"/>
        </xdr:cNvSpPr>
      </xdr:nvSpPr>
      <xdr:spPr bwMode="auto">
        <a:xfrm>
          <a:off x="7296150" y="33242250"/>
          <a:ext cx="3048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10</xdr:row>
      <xdr:rowOff>0</xdr:rowOff>
    </xdr:from>
    <xdr:to>
      <xdr:col>7</xdr:col>
      <xdr:colOff>304800</xdr:colOff>
      <xdr:row>10</xdr:row>
      <xdr:rowOff>285750</xdr:rowOff>
    </xdr:to>
    <xdr:sp macro="" textlink="">
      <xdr:nvSpPr>
        <xdr:cNvPr id="86" name="AutoShape 1024" descr="solunum yoluyla bulaşan hastalıklar ile ilgili görsel sonucu">
          <a:extLst>
            <a:ext uri="{FF2B5EF4-FFF2-40B4-BE49-F238E27FC236}">
              <a16:creationId xmlns:a16="http://schemas.microsoft.com/office/drawing/2014/main" id="{00000000-0008-0000-0900-000056000000}"/>
            </a:ext>
          </a:extLst>
        </xdr:cNvPr>
        <xdr:cNvSpPr>
          <a:spLocks noChangeAspect="1" noChangeArrowheads="1"/>
        </xdr:cNvSpPr>
      </xdr:nvSpPr>
      <xdr:spPr bwMode="auto">
        <a:xfrm>
          <a:off x="7296150" y="33242250"/>
          <a:ext cx="3048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10</xdr:row>
      <xdr:rowOff>0</xdr:rowOff>
    </xdr:from>
    <xdr:to>
      <xdr:col>7</xdr:col>
      <xdr:colOff>304800</xdr:colOff>
      <xdr:row>10</xdr:row>
      <xdr:rowOff>285750</xdr:rowOff>
    </xdr:to>
    <xdr:sp macro="" textlink="">
      <xdr:nvSpPr>
        <xdr:cNvPr id="87" name="AutoShape 1026" descr="solunum yoluyla bulaşan hastalıklar ile ilgili görsel sonucu">
          <a:extLst>
            <a:ext uri="{FF2B5EF4-FFF2-40B4-BE49-F238E27FC236}">
              <a16:creationId xmlns:a16="http://schemas.microsoft.com/office/drawing/2014/main" id="{00000000-0008-0000-0900-000057000000}"/>
            </a:ext>
          </a:extLst>
        </xdr:cNvPr>
        <xdr:cNvSpPr>
          <a:spLocks noChangeAspect="1" noChangeArrowheads="1"/>
        </xdr:cNvSpPr>
      </xdr:nvSpPr>
      <xdr:spPr bwMode="auto">
        <a:xfrm>
          <a:off x="7296150" y="33242250"/>
          <a:ext cx="3048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10</xdr:row>
      <xdr:rowOff>0</xdr:rowOff>
    </xdr:from>
    <xdr:to>
      <xdr:col>7</xdr:col>
      <xdr:colOff>304800</xdr:colOff>
      <xdr:row>10</xdr:row>
      <xdr:rowOff>295275</xdr:rowOff>
    </xdr:to>
    <xdr:sp macro="" textlink="">
      <xdr:nvSpPr>
        <xdr:cNvPr id="88" name="AutoShape 1024" descr="solunum yoluyla bulaşan hastalıklar ile ilgili görsel sonucu">
          <a:extLst>
            <a:ext uri="{FF2B5EF4-FFF2-40B4-BE49-F238E27FC236}">
              <a16:creationId xmlns:a16="http://schemas.microsoft.com/office/drawing/2014/main" id="{00000000-0008-0000-0900-000058000000}"/>
            </a:ext>
          </a:extLst>
        </xdr:cNvPr>
        <xdr:cNvSpPr>
          <a:spLocks noChangeAspect="1" noChangeArrowheads="1"/>
        </xdr:cNvSpPr>
      </xdr:nvSpPr>
      <xdr:spPr bwMode="auto">
        <a:xfrm>
          <a:off x="7296150" y="33242250"/>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10</xdr:row>
      <xdr:rowOff>0</xdr:rowOff>
    </xdr:from>
    <xdr:to>
      <xdr:col>7</xdr:col>
      <xdr:colOff>304800</xdr:colOff>
      <xdr:row>10</xdr:row>
      <xdr:rowOff>295275</xdr:rowOff>
    </xdr:to>
    <xdr:sp macro="" textlink="">
      <xdr:nvSpPr>
        <xdr:cNvPr id="89" name="AutoShape 1026" descr="solunum yoluyla bulaşan hastalıklar ile ilgili görsel sonucu">
          <a:extLst>
            <a:ext uri="{FF2B5EF4-FFF2-40B4-BE49-F238E27FC236}">
              <a16:creationId xmlns:a16="http://schemas.microsoft.com/office/drawing/2014/main" id="{00000000-0008-0000-0900-000059000000}"/>
            </a:ext>
          </a:extLst>
        </xdr:cNvPr>
        <xdr:cNvSpPr>
          <a:spLocks noChangeAspect="1" noChangeArrowheads="1"/>
        </xdr:cNvSpPr>
      </xdr:nvSpPr>
      <xdr:spPr bwMode="auto">
        <a:xfrm>
          <a:off x="7296150" y="33242250"/>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10</xdr:row>
      <xdr:rowOff>0</xdr:rowOff>
    </xdr:from>
    <xdr:to>
      <xdr:col>7</xdr:col>
      <xdr:colOff>304800</xdr:colOff>
      <xdr:row>10</xdr:row>
      <xdr:rowOff>285750</xdr:rowOff>
    </xdr:to>
    <xdr:sp macro="" textlink="">
      <xdr:nvSpPr>
        <xdr:cNvPr id="90" name="AutoShape 1024" descr="solunum yoluyla bulaşan hastalıklar ile ilgili görsel sonucu">
          <a:extLst>
            <a:ext uri="{FF2B5EF4-FFF2-40B4-BE49-F238E27FC236}">
              <a16:creationId xmlns:a16="http://schemas.microsoft.com/office/drawing/2014/main" id="{00000000-0008-0000-0900-00005A000000}"/>
            </a:ext>
          </a:extLst>
        </xdr:cNvPr>
        <xdr:cNvSpPr>
          <a:spLocks noChangeAspect="1" noChangeArrowheads="1"/>
        </xdr:cNvSpPr>
      </xdr:nvSpPr>
      <xdr:spPr bwMode="auto">
        <a:xfrm>
          <a:off x="7296150" y="33242250"/>
          <a:ext cx="3048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10</xdr:row>
      <xdr:rowOff>0</xdr:rowOff>
    </xdr:from>
    <xdr:to>
      <xdr:col>7</xdr:col>
      <xdr:colOff>304800</xdr:colOff>
      <xdr:row>10</xdr:row>
      <xdr:rowOff>285750</xdr:rowOff>
    </xdr:to>
    <xdr:sp macro="" textlink="">
      <xdr:nvSpPr>
        <xdr:cNvPr id="91" name="AutoShape 1026" descr="solunum yoluyla bulaşan hastalıklar ile ilgili görsel sonucu">
          <a:extLst>
            <a:ext uri="{FF2B5EF4-FFF2-40B4-BE49-F238E27FC236}">
              <a16:creationId xmlns:a16="http://schemas.microsoft.com/office/drawing/2014/main" id="{00000000-0008-0000-0900-00005B000000}"/>
            </a:ext>
          </a:extLst>
        </xdr:cNvPr>
        <xdr:cNvSpPr>
          <a:spLocks noChangeAspect="1" noChangeArrowheads="1"/>
        </xdr:cNvSpPr>
      </xdr:nvSpPr>
      <xdr:spPr bwMode="auto">
        <a:xfrm>
          <a:off x="7296150" y="33242250"/>
          <a:ext cx="3048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10</xdr:row>
      <xdr:rowOff>0</xdr:rowOff>
    </xdr:from>
    <xdr:to>
      <xdr:col>7</xdr:col>
      <xdr:colOff>304800</xdr:colOff>
      <xdr:row>10</xdr:row>
      <xdr:rowOff>295275</xdr:rowOff>
    </xdr:to>
    <xdr:sp macro="" textlink="">
      <xdr:nvSpPr>
        <xdr:cNvPr id="92" name="AutoShape 1024" descr="solunum yoluyla bulaşan hastalıklar ile ilgili görsel sonucu">
          <a:extLst>
            <a:ext uri="{FF2B5EF4-FFF2-40B4-BE49-F238E27FC236}">
              <a16:creationId xmlns:a16="http://schemas.microsoft.com/office/drawing/2014/main" id="{00000000-0008-0000-0900-00005C000000}"/>
            </a:ext>
          </a:extLst>
        </xdr:cNvPr>
        <xdr:cNvSpPr>
          <a:spLocks noChangeAspect="1" noChangeArrowheads="1"/>
        </xdr:cNvSpPr>
      </xdr:nvSpPr>
      <xdr:spPr bwMode="auto">
        <a:xfrm>
          <a:off x="7296150" y="33242250"/>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10</xdr:row>
      <xdr:rowOff>0</xdr:rowOff>
    </xdr:from>
    <xdr:to>
      <xdr:col>7</xdr:col>
      <xdr:colOff>304800</xdr:colOff>
      <xdr:row>10</xdr:row>
      <xdr:rowOff>295275</xdr:rowOff>
    </xdr:to>
    <xdr:sp macro="" textlink="">
      <xdr:nvSpPr>
        <xdr:cNvPr id="93" name="AutoShape 1026" descr="solunum yoluyla bulaşan hastalıklar ile ilgili görsel sonucu">
          <a:extLst>
            <a:ext uri="{FF2B5EF4-FFF2-40B4-BE49-F238E27FC236}">
              <a16:creationId xmlns:a16="http://schemas.microsoft.com/office/drawing/2014/main" id="{00000000-0008-0000-0900-00005D000000}"/>
            </a:ext>
          </a:extLst>
        </xdr:cNvPr>
        <xdr:cNvSpPr>
          <a:spLocks noChangeAspect="1" noChangeArrowheads="1"/>
        </xdr:cNvSpPr>
      </xdr:nvSpPr>
      <xdr:spPr bwMode="auto">
        <a:xfrm>
          <a:off x="7296150" y="33242250"/>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10</xdr:row>
      <xdr:rowOff>0</xdr:rowOff>
    </xdr:from>
    <xdr:to>
      <xdr:col>7</xdr:col>
      <xdr:colOff>304800</xdr:colOff>
      <xdr:row>10</xdr:row>
      <xdr:rowOff>247650</xdr:rowOff>
    </xdr:to>
    <xdr:sp macro="" textlink="">
      <xdr:nvSpPr>
        <xdr:cNvPr id="94" name="AutoShape 1024" descr="solunum yoluyla bulaşan hastalıklar ile ilgili görsel sonucu">
          <a:extLst>
            <a:ext uri="{FF2B5EF4-FFF2-40B4-BE49-F238E27FC236}">
              <a16:creationId xmlns:a16="http://schemas.microsoft.com/office/drawing/2014/main" id="{00000000-0008-0000-0900-00005E000000}"/>
            </a:ext>
          </a:extLst>
        </xdr:cNvPr>
        <xdr:cNvSpPr>
          <a:spLocks noChangeAspect="1" noChangeArrowheads="1"/>
        </xdr:cNvSpPr>
      </xdr:nvSpPr>
      <xdr:spPr bwMode="auto">
        <a:xfrm>
          <a:off x="7296150" y="5070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10</xdr:row>
      <xdr:rowOff>0</xdr:rowOff>
    </xdr:from>
    <xdr:to>
      <xdr:col>7</xdr:col>
      <xdr:colOff>304800</xdr:colOff>
      <xdr:row>10</xdr:row>
      <xdr:rowOff>247650</xdr:rowOff>
    </xdr:to>
    <xdr:sp macro="" textlink="">
      <xdr:nvSpPr>
        <xdr:cNvPr id="95" name="AutoShape 1026" descr="solunum yoluyla bulaşan hastalıklar ile ilgili görsel sonucu">
          <a:extLst>
            <a:ext uri="{FF2B5EF4-FFF2-40B4-BE49-F238E27FC236}">
              <a16:creationId xmlns:a16="http://schemas.microsoft.com/office/drawing/2014/main" id="{00000000-0008-0000-0900-00005F000000}"/>
            </a:ext>
          </a:extLst>
        </xdr:cNvPr>
        <xdr:cNvSpPr>
          <a:spLocks noChangeAspect="1" noChangeArrowheads="1"/>
        </xdr:cNvSpPr>
      </xdr:nvSpPr>
      <xdr:spPr bwMode="auto">
        <a:xfrm>
          <a:off x="7296150" y="7134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10</xdr:row>
      <xdr:rowOff>0</xdr:rowOff>
    </xdr:from>
    <xdr:to>
      <xdr:col>7</xdr:col>
      <xdr:colOff>304800</xdr:colOff>
      <xdr:row>10</xdr:row>
      <xdr:rowOff>257175</xdr:rowOff>
    </xdr:to>
    <xdr:sp macro="" textlink="">
      <xdr:nvSpPr>
        <xdr:cNvPr id="96" name="AutoShape 1024" descr="solunum yoluyla bulaşan hastalıklar ile ilgili görsel sonucu">
          <a:extLst>
            <a:ext uri="{FF2B5EF4-FFF2-40B4-BE49-F238E27FC236}">
              <a16:creationId xmlns:a16="http://schemas.microsoft.com/office/drawing/2014/main" id="{00000000-0008-0000-0900-000060000000}"/>
            </a:ext>
          </a:extLst>
        </xdr:cNvPr>
        <xdr:cNvSpPr>
          <a:spLocks noChangeAspect="1" noChangeArrowheads="1"/>
        </xdr:cNvSpPr>
      </xdr:nvSpPr>
      <xdr:spPr bwMode="auto">
        <a:xfrm>
          <a:off x="7296150" y="95154750"/>
          <a:ext cx="30480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10</xdr:row>
      <xdr:rowOff>0</xdr:rowOff>
    </xdr:from>
    <xdr:to>
      <xdr:col>7</xdr:col>
      <xdr:colOff>304800</xdr:colOff>
      <xdr:row>10</xdr:row>
      <xdr:rowOff>257175</xdr:rowOff>
    </xdr:to>
    <xdr:sp macro="" textlink="">
      <xdr:nvSpPr>
        <xdr:cNvPr id="97" name="AutoShape 1026" descr="solunum yoluyla bulaşan hastalıklar ile ilgili görsel sonucu">
          <a:extLst>
            <a:ext uri="{FF2B5EF4-FFF2-40B4-BE49-F238E27FC236}">
              <a16:creationId xmlns:a16="http://schemas.microsoft.com/office/drawing/2014/main" id="{00000000-0008-0000-0900-000061000000}"/>
            </a:ext>
          </a:extLst>
        </xdr:cNvPr>
        <xdr:cNvSpPr>
          <a:spLocks noChangeAspect="1" noChangeArrowheads="1"/>
        </xdr:cNvSpPr>
      </xdr:nvSpPr>
      <xdr:spPr bwMode="auto">
        <a:xfrm>
          <a:off x="7296150" y="95154750"/>
          <a:ext cx="30480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10</xdr:row>
      <xdr:rowOff>0</xdr:rowOff>
    </xdr:from>
    <xdr:to>
      <xdr:col>7</xdr:col>
      <xdr:colOff>304800</xdr:colOff>
      <xdr:row>10</xdr:row>
      <xdr:rowOff>247650</xdr:rowOff>
    </xdr:to>
    <xdr:sp macro="" textlink="">
      <xdr:nvSpPr>
        <xdr:cNvPr id="98" name="AutoShape 1024" descr="solunum yoluyla bulaşan hastalıklar ile ilgili görsel sonucu">
          <a:extLst>
            <a:ext uri="{FF2B5EF4-FFF2-40B4-BE49-F238E27FC236}">
              <a16:creationId xmlns:a16="http://schemas.microsoft.com/office/drawing/2014/main" id="{00000000-0008-0000-0900-000062000000}"/>
            </a:ext>
          </a:extLst>
        </xdr:cNvPr>
        <xdr:cNvSpPr>
          <a:spLocks noChangeAspect="1" noChangeArrowheads="1"/>
        </xdr:cNvSpPr>
      </xdr:nvSpPr>
      <xdr:spPr bwMode="auto">
        <a:xfrm>
          <a:off x="7296150" y="9674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10</xdr:row>
      <xdr:rowOff>0</xdr:rowOff>
    </xdr:from>
    <xdr:to>
      <xdr:col>7</xdr:col>
      <xdr:colOff>304800</xdr:colOff>
      <xdr:row>10</xdr:row>
      <xdr:rowOff>247650</xdr:rowOff>
    </xdr:to>
    <xdr:sp macro="" textlink="">
      <xdr:nvSpPr>
        <xdr:cNvPr id="99" name="AutoShape 1026" descr="solunum yoluyla bulaşan hastalıklar ile ilgili görsel sonucu">
          <a:extLst>
            <a:ext uri="{FF2B5EF4-FFF2-40B4-BE49-F238E27FC236}">
              <a16:creationId xmlns:a16="http://schemas.microsoft.com/office/drawing/2014/main" id="{00000000-0008-0000-0900-000063000000}"/>
            </a:ext>
          </a:extLst>
        </xdr:cNvPr>
        <xdr:cNvSpPr>
          <a:spLocks noChangeAspect="1" noChangeArrowheads="1"/>
        </xdr:cNvSpPr>
      </xdr:nvSpPr>
      <xdr:spPr bwMode="auto">
        <a:xfrm>
          <a:off x="7296150" y="9674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7</xdr:col>
      <xdr:colOff>0</xdr:colOff>
      <xdr:row>10</xdr:row>
      <xdr:rowOff>0</xdr:rowOff>
    </xdr:from>
    <xdr:ext cx="304800" cy="247650"/>
    <xdr:sp macro="" textlink="">
      <xdr:nvSpPr>
        <xdr:cNvPr id="100" name="AutoShape 1024" descr="solunum yoluyla bulaşan hastalıklar ile ilgili görsel sonucu">
          <a:extLst>
            <a:ext uri="{FF2B5EF4-FFF2-40B4-BE49-F238E27FC236}">
              <a16:creationId xmlns:a16="http://schemas.microsoft.com/office/drawing/2014/main" id="{00000000-0008-0000-0900-000064000000}"/>
            </a:ext>
          </a:extLst>
        </xdr:cNvPr>
        <xdr:cNvSpPr>
          <a:spLocks noChangeAspect="1" noChangeArrowheads="1"/>
        </xdr:cNvSpPr>
      </xdr:nvSpPr>
      <xdr:spPr bwMode="auto">
        <a:xfrm>
          <a:off x="7296150" y="427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01" name="AutoShape 1026" descr="solunum yoluyla bulaşan hastalıklar ile ilgili görsel sonucu">
          <a:extLst>
            <a:ext uri="{FF2B5EF4-FFF2-40B4-BE49-F238E27FC236}">
              <a16:creationId xmlns:a16="http://schemas.microsoft.com/office/drawing/2014/main" id="{00000000-0008-0000-0900-000065000000}"/>
            </a:ext>
          </a:extLst>
        </xdr:cNvPr>
        <xdr:cNvSpPr>
          <a:spLocks noChangeAspect="1" noChangeArrowheads="1"/>
        </xdr:cNvSpPr>
      </xdr:nvSpPr>
      <xdr:spPr bwMode="auto">
        <a:xfrm>
          <a:off x="7296150" y="427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9</xdr:row>
      <xdr:rowOff>0</xdr:rowOff>
    </xdr:from>
    <xdr:ext cx="304800" cy="247650"/>
    <xdr:sp macro="" textlink="">
      <xdr:nvSpPr>
        <xdr:cNvPr id="102" name="AutoShape 1024" descr="solunum yoluyla bulaşan hastalıklar ile ilgili görsel sonucu">
          <a:extLst>
            <a:ext uri="{FF2B5EF4-FFF2-40B4-BE49-F238E27FC236}">
              <a16:creationId xmlns:a16="http://schemas.microsoft.com/office/drawing/2014/main" id="{00000000-0008-0000-0900-000066000000}"/>
            </a:ext>
          </a:extLst>
        </xdr:cNvPr>
        <xdr:cNvSpPr>
          <a:spLocks noChangeAspect="1" noChangeArrowheads="1"/>
        </xdr:cNvSpPr>
      </xdr:nvSpPr>
      <xdr:spPr bwMode="auto">
        <a:xfrm>
          <a:off x="7296150" y="625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9</xdr:row>
      <xdr:rowOff>0</xdr:rowOff>
    </xdr:from>
    <xdr:ext cx="304800" cy="247650"/>
    <xdr:sp macro="" textlink="">
      <xdr:nvSpPr>
        <xdr:cNvPr id="103" name="AutoShape 1026" descr="solunum yoluyla bulaşan hastalıklar ile ilgili görsel sonucu">
          <a:extLst>
            <a:ext uri="{FF2B5EF4-FFF2-40B4-BE49-F238E27FC236}">
              <a16:creationId xmlns:a16="http://schemas.microsoft.com/office/drawing/2014/main" id="{00000000-0008-0000-0900-000067000000}"/>
            </a:ext>
          </a:extLst>
        </xdr:cNvPr>
        <xdr:cNvSpPr>
          <a:spLocks noChangeAspect="1" noChangeArrowheads="1"/>
        </xdr:cNvSpPr>
      </xdr:nvSpPr>
      <xdr:spPr bwMode="auto">
        <a:xfrm>
          <a:off x="7296150" y="625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04" name="AutoShape 1024" descr="solunum yoluyla bulaşan hastalıklar ile ilgili görsel sonucu">
          <a:extLst>
            <a:ext uri="{FF2B5EF4-FFF2-40B4-BE49-F238E27FC236}">
              <a16:creationId xmlns:a16="http://schemas.microsoft.com/office/drawing/2014/main" id="{00000000-0008-0000-0900-000068000000}"/>
            </a:ext>
          </a:extLst>
        </xdr:cNvPr>
        <xdr:cNvSpPr>
          <a:spLocks noChangeAspect="1" noChangeArrowheads="1"/>
        </xdr:cNvSpPr>
      </xdr:nvSpPr>
      <xdr:spPr bwMode="auto">
        <a:xfrm>
          <a:off x="7296150" y="1577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05" name="AutoShape 1026" descr="solunum yoluyla bulaşan hastalıklar ile ilgili görsel sonucu">
          <a:extLst>
            <a:ext uri="{FF2B5EF4-FFF2-40B4-BE49-F238E27FC236}">
              <a16:creationId xmlns:a16="http://schemas.microsoft.com/office/drawing/2014/main" id="{00000000-0008-0000-0900-000069000000}"/>
            </a:ext>
          </a:extLst>
        </xdr:cNvPr>
        <xdr:cNvSpPr>
          <a:spLocks noChangeAspect="1" noChangeArrowheads="1"/>
        </xdr:cNvSpPr>
      </xdr:nvSpPr>
      <xdr:spPr bwMode="auto">
        <a:xfrm>
          <a:off x="7296150" y="1577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06" name="AutoShape 1024" descr="solunum yoluyla bulaşan hastalıklar ile ilgili görsel sonucu">
          <a:extLst>
            <a:ext uri="{FF2B5EF4-FFF2-40B4-BE49-F238E27FC236}">
              <a16:creationId xmlns:a16="http://schemas.microsoft.com/office/drawing/2014/main" id="{00000000-0008-0000-0900-00006A000000}"/>
            </a:ext>
          </a:extLst>
        </xdr:cNvPr>
        <xdr:cNvSpPr>
          <a:spLocks noChangeAspect="1" noChangeArrowheads="1"/>
        </xdr:cNvSpPr>
      </xdr:nvSpPr>
      <xdr:spPr bwMode="auto">
        <a:xfrm>
          <a:off x="7296150" y="1419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07" name="AutoShape 1026" descr="solunum yoluyla bulaşan hastalıklar ile ilgili görsel sonucu">
          <a:extLst>
            <a:ext uri="{FF2B5EF4-FFF2-40B4-BE49-F238E27FC236}">
              <a16:creationId xmlns:a16="http://schemas.microsoft.com/office/drawing/2014/main" id="{00000000-0008-0000-0900-00006B000000}"/>
            </a:ext>
          </a:extLst>
        </xdr:cNvPr>
        <xdr:cNvSpPr>
          <a:spLocks noChangeAspect="1" noChangeArrowheads="1"/>
        </xdr:cNvSpPr>
      </xdr:nvSpPr>
      <xdr:spPr bwMode="auto">
        <a:xfrm>
          <a:off x="7296150" y="1419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08" name="AutoShape 1024" descr="solunum yoluyla bulaşan hastalıklar ile ilgili görsel sonucu">
          <a:extLst>
            <a:ext uri="{FF2B5EF4-FFF2-40B4-BE49-F238E27FC236}">
              <a16:creationId xmlns:a16="http://schemas.microsoft.com/office/drawing/2014/main" id="{00000000-0008-0000-0900-00006C000000}"/>
            </a:ext>
          </a:extLst>
        </xdr:cNvPr>
        <xdr:cNvSpPr>
          <a:spLocks noChangeAspect="1" noChangeArrowheads="1"/>
        </xdr:cNvSpPr>
      </xdr:nvSpPr>
      <xdr:spPr bwMode="auto">
        <a:xfrm>
          <a:off x="7296150" y="1419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09" name="AutoShape 1026" descr="solunum yoluyla bulaşan hastalıklar ile ilgili görsel sonucu">
          <a:extLst>
            <a:ext uri="{FF2B5EF4-FFF2-40B4-BE49-F238E27FC236}">
              <a16:creationId xmlns:a16="http://schemas.microsoft.com/office/drawing/2014/main" id="{00000000-0008-0000-0900-00006D000000}"/>
            </a:ext>
          </a:extLst>
        </xdr:cNvPr>
        <xdr:cNvSpPr>
          <a:spLocks noChangeAspect="1" noChangeArrowheads="1"/>
        </xdr:cNvSpPr>
      </xdr:nvSpPr>
      <xdr:spPr bwMode="auto">
        <a:xfrm>
          <a:off x="7296150" y="1419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10" name="AutoShape 1024" descr="solunum yoluyla bulaşan hastalıklar ile ilgili görsel sonucu">
          <a:extLst>
            <a:ext uri="{FF2B5EF4-FFF2-40B4-BE49-F238E27FC236}">
              <a16:creationId xmlns:a16="http://schemas.microsoft.com/office/drawing/2014/main" id="{00000000-0008-0000-0900-00006E000000}"/>
            </a:ext>
          </a:extLst>
        </xdr:cNvPr>
        <xdr:cNvSpPr>
          <a:spLocks noChangeAspect="1" noChangeArrowheads="1"/>
        </xdr:cNvSpPr>
      </xdr:nvSpPr>
      <xdr:spPr bwMode="auto">
        <a:xfrm>
          <a:off x="7296150" y="1419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11" name="AutoShape 1026" descr="solunum yoluyla bulaşan hastalıklar ile ilgili görsel sonucu">
          <a:extLst>
            <a:ext uri="{FF2B5EF4-FFF2-40B4-BE49-F238E27FC236}">
              <a16:creationId xmlns:a16="http://schemas.microsoft.com/office/drawing/2014/main" id="{00000000-0008-0000-0900-00006F000000}"/>
            </a:ext>
          </a:extLst>
        </xdr:cNvPr>
        <xdr:cNvSpPr>
          <a:spLocks noChangeAspect="1" noChangeArrowheads="1"/>
        </xdr:cNvSpPr>
      </xdr:nvSpPr>
      <xdr:spPr bwMode="auto">
        <a:xfrm>
          <a:off x="7296150" y="1419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12" name="AutoShape 1024" descr="solunum yoluyla bulaşan hastalıklar ile ilgili görsel sonucu">
          <a:extLst>
            <a:ext uri="{FF2B5EF4-FFF2-40B4-BE49-F238E27FC236}">
              <a16:creationId xmlns:a16="http://schemas.microsoft.com/office/drawing/2014/main" id="{00000000-0008-0000-0900-000070000000}"/>
            </a:ext>
          </a:extLst>
        </xdr:cNvPr>
        <xdr:cNvSpPr>
          <a:spLocks noChangeAspect="1" noChangeArrowheads="1"/>
        </xdr:cNvSpPr>
      </xdr:nvSpPr>
      <xdr:spPr bwMode="auto">
        <a:xfrm>
          <a:off x="7296150" y="3165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13" name="AutoShape 1026" descr="solunum yoluyla bulaşan hastalıklar ile ilgili görsel sonucu">
          <a:extLst>
            <a:ext uri="{FF2B5EF4-FFF2-40B4-BE49-F238E27FC236}">
              <a16:creationId xmlns:a16="http://schemas.microsoft.com/office/drawing/2014/main" id="{00000000-0008-0000-0900-000071000000}"/>
            </a:ext>
          </a:extLst>
        </xdr:cNvPr>
        <xdr:cNvSpPr>
          <a:spLocks noChangeAspect="1" noChangeArrowheads="1"/>
        </xdr:cNvSpPr>
      </xdr:nvSpPr>
      <xdr:spPr bwMode="auto">
        <a:xfrm>
          <a:off x="7296150" y="3165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14" name="AutoShape 1024" descr="solunum yoluyla bulaşan hastalıklar ile ilgili görsel sonucu">
          <a:extLst>
            <a:ext uri="{FF2B5EF4-FFF2-40B4-BE49-F238E27FC236}">
              <a16:creationId xmlns:a16="http://schemas.microsoft.com/office/drawing/2014/main" id="{00000000-0008-0000-0900-000072000000}"/>
            </a:ext>
          </a:extLst>
        </xdr:cNvPr>
        <xdr:cNvSpPr>
          <a:spLocks noChangeAspect="1" noChangeArrowheads="1"/>
        </xdr:cNvSpPr>
      </xdr:nvSpPr>
      <xdr:spPr bwMode="auto">
        <a:xfrm>
          <a:off x="7296150" y="3800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15" name="AutoShape 1026" descr="solunum yoluyla bulaşan hastalıklar ile ilgili görsel sonucu">
          <a:extLst>
            <a:ext uri="{FF2B5EF4-FFF2-40B4-BE49-F238E27FC236}">
              <a16:creationId xmlns:a16="http://schemas.microsoft.com/office/drawing/2014/main" id="{00000000-0008-0000-0900-000073000000}"/>
            </a:ext>
          </a:extLst>
        </xdr:cNvPr>
        <xdr:cNvSpPr>
          <a:spLocks noChangeAspect="1" noChangeArrowheads="1"/>
        </xdr:cNvSpPr>
      </xdr:nvSpPr>
      <xdr:spPr bwMode="auto">
        <a:xfrm>
          <a:off x="7296150" y="3800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16" name="AutoShape 1024" descr="solunum yoluyla bulaşan hastalıklar ile ilgili görsel sonucu">
          <a:extLst>
            <a:ext uri="{FF2B5EF4-FFF2-40B4-BE49-F238E27FC236}">
              <a16:creationId xmlns:a16="http://schemas.microsoft.com/office/drawing/2014/main" id="{00000000-0008-0000-0900-000074000000}"/>
            </a:ext>
          </a:extLst>
        </xdr:cNvPr>
        <xdr:cNvSpPr>
          <a:spLocks noChangeAspect="1" noChangeArrowheads="1"/>
        </xdr:cNvSpPr>
      </xdr:nvSpPr>
      <xdr:spPr bwMode="auto">
        <a:xfrm>
          <a:off x="7296150" y="3165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17" name="AutoShape 1026" descr="solunum yoluyla bulaşan hastalıklar ile ilgili görsel sonucu">
          <a:extLst>
            <a:ext uri="{FF2B5EF4-FFF2-40B4-BE49-F238E27FC236}">
              <a16:creationId xmlns:a16="http://schemas.microsoft.com/office/drawing/2014/main" id="{00000000-0008-0000-0900-000075000000}"/>
            </a:ext>
          </a:extLst>
        </xdr:cNvPr>
        <xdr:cNvSpPr>
          <a:spLocks noChangeAspect="1" noChangeArrowheads="1"/>
        </xdr:cNvSpPr>
      </xdr:nvSpPr>
      <xdr:spPr bwMode="auto">
        <a:xfrm>
          <a:off x="7296150" y="3165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18" name="AutoShape 1024" descr="solunum yoluyla bulaşan hastalıklar ile ilgili görsel sonucu">
          <a:extLst>
            <a:ext uri="{FF2B5EF4-FFF2-40B4-BE49-F238E27FC236}">
              <a16:creationId xmlns:a16="http://schemas.microsoft.com/office/drawing/2014/main" id="{00000000-0008-0000-0900-000076000000}"/>
            </a:ext>
          </a:extLst>
        </xdr:cNvPr>
        <xdr:cNvSpPr>
          <a:spLocks noChangeAspect="1" noChangeArrowheads="1"/>
        </xdr:cNvSpPr>
      </xdr:nvSpPr>
      <xdr:spPr bwMode="auto">
        <a:xfrm>
          <a:off x="7296150" y="3165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19" name="AutoShape 1026" descr="solunum yoluyla bulaşan hastalıklar ile ilgili görsel sonucu">
          <a:extLst>
            <a:ext uri="{FF2B5EF4-FFF2-40B4-BE49-F238E27FC236}">
              <a16:creationId xmlns:a16="http://schemas.microsoft.com/office/drawing/2014/main" id="{00000000-0008-0000-0900-000077000000}"/>
            </a:ext>
          </a:extLst>
        </xdr:cNvPr>
        <xdr:cNvSpPr>
          <a:spLocks noChangeAspect="1" noChangeArrowheads="1"/>
        </xdr:cNvSpPr>
      </xdr:nvSpPr>
      <xdr:spPr bwMode="auto">
        <a:xfrm>
          <a:off x="7296150" y="3165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20" name="AutoShape 1024" descr="solunum yoluyla bulaşan hastalıklar ile ilgili görsel sonucu">
          <a:extLst>
            <a:ext uri="{FF2B5EF4-FFF2-40B4-BE49-F238E27FC236}">
              <a16:creationId xmlns:a16="http://schemas.microsoft.com/office/drawing/2014/main" id="{00000000-0008-0000-0900-000078000000}"/>
            </a:ext>
          </a:extLst>
        </xdr:cNvPr>
        <xdr:cNvSpPr>
          <a:spLocks noChangeAspect="1" noChangeArrowheads="1"/>
        </xdr:cNvSpPr>
      </xdr:nvSpPr>
      <xdr:spPr bwMode="auto">
        <a:xfrm>
          <a:off x="7296150" y="3165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21" name="AutoShape 1026" descr="solunum yoluyla bulaşan hastalıklar ile ilgili görsel sonucu">
          <a:extLst>
            <a:ext uri="{FF2B5EF4-FFF2-40B4-BE49-F238E27FC236}">
              <a16:creationId xmlns:a16="http://schemas.microsoft.com/office/drawing/2014/main" id="{00000000-0008-0000-0900-000079000000}"/>
            </a:ext>
          </a:extLst>
        </xdr:cNvPr>
        <xdr:cNvSpPr>
          <a:spLocks noChangeAspect="1" noChangeArrowheads="1"/>
        </xdr:cNvSpPr>
      </xdr:nvSpPr>
      <xdr:spPr bwMode="auto">
        <a:xfrm>
          <a:off x="7296150" y="3165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22" name="AutoShape 1024" descr="solunum yoluyla bulaşan hastalıklar ile ilgili görsel sonucu">
          <a:extLst>
            <a:ext uri="{FF2B5EF4-FFF2-40B4-BE49-F238E27FC236}">
              <a16:creationId xmlns:a16="http://schemas.microsoft.com/office/drawing/2014/main" id="{00000000-0008-0000-0900-00007A000000}"/>
            </a:ext>
          </a:extLst>
        </xdr:cNvPr>
        <xdr:cNvSpPr>
          <a:spLocks noChangeAspect="1" noChangeArrowheads="1"/>
        </xdr:cNvSpPr>
      </xdr:nvSpPr>
      <xdr:spPr bwMode="auto">
        <a:xfrm>
          <a:off x="7296150" y="3165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23" name="AutoShape 1026" descr="solunum yoluyla bulaşan hastalıklar ile ilgili görsel sonucu">
          <a:extLst>
            <a:ext uri="{FF2B5EF4-FFF2-40B4-BE49-F238E27FC236}">
              <a16:creationId xmlns:a16="http://schemas.microsoft.com/office/drawing/2014/main" id="{00000000-0008-0000-0900-00007B000000}"/>
            </a:ext>
          </a:extLst>
        </xdr:cNvPr>
        <xdr:cNvSpPr>
          <a:spLocks noChangeAspect="1" noChangeArrowheads="1"/>
        </xdr:cNvSpPr>
      </xdr:nvSpPr>
      <xdr:spPr bwMode="auto">
        <a:xfrm>
          <a:off x="7296150" y="3165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24" name="AutoShape 1024" descr="solunum yoluyla bulaşan hastalıklar ile ilgili görsel sonucu">
          <a:extLst>
            <a:ext uri="{FF2B5EF4-FFF2-40B4-BE49-F238E27FC236}">
              <a16:creationId xmlns:a16="http://schemas.microsoft.com/office/drawing/2014/main" id="{00000000-0008-0000-0900-00007C000000}"/>
            </a:ext>
          </a:extLst>
        </xdr:cNvPr>
        <xdr:cNvSpPr>
          <a:spLocks noChangeAspect="1" noChangeArrowheads="1"/>
        </xdr:cNvSpPr>
      </xdr:nvSpPr>
      <xdr:spPr bwMode="auto">
        <a:xfrm>
          <a:off x="7296150" y="3165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25" name="AutoShape 1026" descr="solunum yoluyla bulaşan hastalıklar ile ilgili görsel sonucu">
          <a:extLst>
            <a:ext uri="{FF2B5EF4-FFF2-40B4-BE49-F238E27FC236}">
              <a16:creationId xmlns:a16="http://schemas.microsoft.com/office/drawing/2014/main" id="{00000000-0008-0000-0900-00007D000000}"/>
            </a:ext>
          </a:extLst>
        </xdr:cNvPr>
        <xdr:cNvSpPr>
          <a:spLocks noChangeAspect="1" noChangeArrowheads="1"/>
        </xdr:cNvSpPr>
      </xdr:nvSpPr>
      <xdr:spPr bwMode="auto">
        <a:xfrm>
          <a:off x="7296150" y="3165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26" name="AutoShape 1024" descr="solunum yoluyla bulaşan hastalıklar ile ilgili görsel sonucu">
          <a:extLst>
            <a:ext uri="{FF2B5EF4-FFF2-40B4-BE49-F238E27FC236}">
              <a16:creationId xmlns:a16="http://schemas.microsoft.com/office/drawing/2014/main" id="{00000000-0008-0000-0900-00007E000000}"/>
            </a:ext>
          </a:extLst>
        </xdr:cNvPr>
        <xdr:cNvSpPr>
          <a:spLocks noChangeAspect="1" noChangeArrowheads="1"/>
        </xdr:cNvSpPr>
      </xdr:nvSpPr>
      <xdr:spPr bwMode="auto">
        <a:xfrm>
          <a:off x="7296150" y="3165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27" name="AutoShape 1026" descr="solunum yoluyla bulaşan hastalıklar ile ilgili görsel sonucu">
          <a:extLst>
            <a:ext uri="{FF2B5EF4-FFF2-40B4-BE49-F238E27FC236}">
              <a16:creationId xmlns:a16="http://schemas.microsoft.com/office/drawing/2014/main" id="{00000000-0008-0000-0900-00007F000000}"/>
            </a:ext>
          </a:extLst>
        </xdr:cNvPr>
        <xdr:cNvSpPr>
          <a:spLocks noChangeAspect="1" noChangeArrowheads="1"/>
        </xdr:cNvSpPr>
      </xdr:nvSpPr>
      <xdr:spPr bwMode="auto">
        <a:xfrm>
          <a:off x="7296150" y="3165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28" name="AutoShape 1024" descr="solunum yoluyla bulaşan hastalıklar ile ilgili görsel sonucu">
          <a:extLst>
            <a:ext uri="{FF2B5EF4-FFF2-40B4-BE49-F238E27FC236}">
              <a16:creationId xmlns:a16="http://schemas.microsoft.com/office/drawing/2014/main" id="{00000000-0008-0000-0900-000080000000}"/>
            </a:ext>
          </a:extLst>
        </xdr:cNvPr>
        <xdr:cNvSpPr>
          <a:spLocks noChangeAspect="1" noChangeArrowheads="1"/>
        </xdr:cNvSpPr>
      </xdr:nvSpPr>
      <xdr:spPr bwMode="auto">
        <a:xfrm>
          <a:off x="7296150" y="364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29" name="AutoShape 1026" descr="solunum yoluyla bulaşan hastalıklar ile ilgili görsel sonucu">
          <a:extLst>
            <a:ext uri="{FF2B5EF4-FFF2-40B4-BE49-F238E27FC236}">
              <a16:creationId xmlns:a16="http://schemas.microsoft.com/office/drawing/2014/main" id="{00000000-0008-0000-0900-000081000000}"/>
            </a:ext>
          </a:extLst>
        </xdr:cNvPr>
        <xdr:cNvSpPr>
          <a:spLocks noChangeAspect="1" noChangeArrowheads="1"/>
        </xdr:cNvSpPr>
      </xdr:nvSpPr>
      <xdr:spPr bwMode="auto">
        <a:xfrm>
          <a:off x="7296150" y="364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30" name="AutoShape 1024" descr="solunum yoluyla bulaşan hastalıklar ile ilgili görsel sonucu">
          <a:extLst>
            <a:ext uri="{FF2B5EF4-FFF2-40B4-BE49-F238E27FC236}">
              <a16:creationId xmlns:a16="http://schemas.microsoft.com/office/drawing/2014/main" id="{00000000-0008-0000-0900-000082000000}"/>
            </a:ext>
          </a:extLst>
        </xdr:cNvPr>
        <xdr:cNvSpPr>
          <a:spLocks noChangeAspect="1" noChangeArrowheads="1"/>
        </xdr:cNvSpPr>
      </xdr:nvSpPr>
      <xdr:spPr bwMode="auto">
        <a:xfrm>
          <a:off x="7296150" y="3800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31" name="AutoShape 1026" descr="solunum yoluyla bulaşan hastalıklar ile ilgili görsel sonucu">
          <a:extLst>
            <a:ext uri="{FF2B5EF4-FFF2-40B4-BE49-F238E27FC236}">
              <a16:creationId xmlns:a16="http://schemas.microsoft.com/office/drawing/2014/main" id="{00000000-0008-0000-0900-000083000000}"/>
            </a:ext>
          </a:extLst>
        </xdr:cNvPr>
        <xdr:cNvSpPr>
          <a:spLocks noChangeAspect="1" noChangeArrowheads="1"/>
        </xdr:cNvSpPr>
      </xdr:nvSpPr>
      <xdr:spPr bwMode="auto">
        <a:xfrm>
          <a:off x="7296150" y="3800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32" name="AutoShape 1024" descr="solunum yoluyla bulaşan hastalıklar ile ilgili görsel sonucu">
          <a:extLst>
            <a:ext uri="{FF2B5EF4-FFF2-40B4-BE49-F238E27FC236}">
              <a16:creationId xmlns:a16="http://schemas.microsoft.com/office/drawing/2014/main" id="{00000000-0008-0000-0900-000084000000}"/>
            </a:ext>
          </a:extLst>
        </xdr:cNvPr>
        <xdr:cNvSpPr>
          <a:spLocks noChangeAspect="1" noChangeArrowheads="1"/>
        </xdr:cNvSpPr>
      </xdr:nvSpPr>
      <xdr:spPr bwMode="auto">
        <a:xfrm>
          <a:off x="7296150" y="3482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33" name="AutoShape 1026" descr="solunum yoluyla bulaşan hastalıklar ile ilgili görsel sonucu">
          <a:extLst>
            <a:ext uri="{FF2B5EF4-FFF2-40B4-BE49-F238E27FC236}">
              <a16:creationId xmlns:a16="http://schemas.microsoft.com/office/drawing/2014/main" id="{00000000-0008-0000-0900-000085000000}"/>
            </a:ext>
          </a:extLst>
        </xdr:cNvPr>
        <xdr:cNvSpPr>
          <a:spLocks noChangeAspect="1" noChangeArrowheads="1"/>
        </xdr:cNvSpPr>
      </xdr:nvSpPr>
      <xdr:spPr bwMode="auto">
        <a:xfrm>
          <a:off x="7296150" y="3482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34" name="AutoShape 1024" descr="solunum yoluyla bulaşan hastalıklar ile ilgili görsel sonucu">
          <a:extLst>
            <a:ext uri="{FF2B5EF4-FFF2-40B4-BE49-F238E27FC236}">
              <a16:creationId xmlns:a16="http://schemas.microsoft.com/office/drawing/2014/main" id="{00000000-0008-0000-0900-000086000000}"/>
            </a:ext>
          </a:extLst>
        </xdr:cNvPr>
        <xdr:cNvSpPr>
          <a:spLocks noChangeAspect="1" noChangeArrowheads="1"/>
        </xdr:cNvSpPr>
      </xdr:nvSpPr>
      <xdr:spPr bwMode="auto">
        <a:xfrm>
          <a:off x="7296150" y="784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35" name="AutoShape 1026" descr="solunum yoluyla bulaşan hastalıklar ile ilgili görsel sonucu">
          <a:extLst>
            <a:ext uri="{FF2B5EF4-FFF2-40B4-BE49-F238E27FC236}">
              <a16:creationId xmlns:a16="http://schemas.microsoft.com/office/drawing/2014/main" id="{00000000-0008-0000-0900-000087000000}"/>
            </a:ext>
          </a:extLst>
        </xdr:cNvPr>
        <xdr:cNvSpPr>
          <a:spLocks noChangeAspect="1" noChangeArrowheads="1"/>
        </xdr:cNvSpPr>
      </xdr:nvSpPr>
      <xdr:spPr bwMode="auto">
        <a:xfrm>
          <a:off x="7296150" y="784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36" name="AutoShape 1024" descr="solunum yoluyla bulaşan hastalıklar ile ilgili görsel sonucu">
          <a:extLst>
            <a:ext uri="{FF2B5EF4-FFF2-40B4-BE49-F238E27FC236}">
              <a16:creationId xmlns:a16="http://schemas.microsoft.com/office/drawing/2014/main" id="{00000000-0008-0000-0900-000088000000}"/>
            </a:ext>
          </a:extLst>
        </xdr:cNvPr>
        <xdr:cNvSpPr>
          <a:spLocks noChangeAspect="1" noChangeArrowheads="1"/>
        </xdr:cNvSpPr>
      </xdr:nvSpPr>
      <xdr:spPr bwMode="auto">
        <a:xfrm>
          <a:off x="7296150" y="1419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37" name="AutoShape 1026" descr="solunum yoluyla bulaşan hastalıklar ile ilgili görsel sonucu">
          <a:extLst>
            <a:ext uri="{FF2B5EF4-FFF2-40B4-BE49-F238E27FC236}">
              <a16:creationId xmlns:a16="http://schemas.microsoft.com/office/drawing/2014/main" id="{00000000-0008-0000-0900-000089000000}"/>
            </a:ext>
          </a:extLst>
        </xdr:cNvPr>
        <xdr:cNvSpPr>
          <a:spLocks noChangeAspect="1" noChangeArrowheads="1"/>
        </xdr:cNvSpPr>
      </xdr:nvSpPr>
      <xdr:spPr bwMode="auto">
        <a:xfrm>
          <a:off x="7296150" y="1419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38" name="AutoShape 1024" descr="solunum yoluyla bulaşan hastalıklar ile ilgili görsel sonucu">
          <a:extLst>
            <a:ext uri="{FF2B5EF4-FFF2-40B4-BE49-F238E27FC236}">
              <a16:creationId xmlns:a16="http://schemas.microsoft.com/office/drawing/2014/main" id="{00000000-0008-0000-0900-00008A000000}"/>
            </a:ext>
          </a:extLst>
        </xdr:cNvPr>
        <xdr:cNvSpPr>
          <a:spLocks noChangeAspect="1" noChangeArrowheads="1"/>
        </xdr:cNvSpPr>
      </xdr:nvSpPr>
      <xdr:spPr bwMode="auto">
        <a:xfrm>
          <a:off x="7296150" y="1419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39" name="AutoShape 1026" descr="solunum yoluyla bulaşan hastalıklar ile ilgili görsel sonucu">
          <a:extLst>
            <a:ext uri="{FF2B5EF4-FFF2-40B4-BE49-F238E27FC236}">
              <a16:creationId xmlns:a16="http://schemas.microsoft.com/office/drawing/2014/main" id="{00000000-0008-0000-0900-00008B000000}"/>
            </a:ext>
          </a:extLst>
        </xdr:cNvPr>
        <xdr:cNvSpPr>
          <a:spLocks noChangeAspect="1" noChangeArrowheads="1"/>
        </xdr:cNvSpPr>
      </xdr:nvSpPr>
      <xdr:spPr bwMode="auto">
        <a:xfrm>
          <a:off x="7296150" y="1419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40" name="AutoShape 1024" descr="solunum yoluyla bulaşan hastalıklar ile ilgili görsel sonucu">
          <a:extLst>
            <a:ext uri="{FF2B5EF4-FFF2-40B4-BE49-F238E27FC236}">
              <a16:creationId xmlns:a16="http://schemas.microsoft.com/office/drawing/2014/main" id="{00000000-0008-0000-0900-00008C000000}"/>
            </a:ext>
          </a:extLst>
        </xdr:cNvPr>
        <xdr:cNvSpPr>
          <a:spLocks noChangeAspect="1" noChangeArrowheads="1"/>
        </xdr:cNvSpPr>
      </xdr:nvSpPr>
      <xdr:spPr bwMode="auto">
        <a:xfrm>
          <a:off x="7296150" y="173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41" name="AutoShape 1026" descr="solunum yoluyla bulaşan hastalıklar ile ilgili görsel sonucu">
          <a:extLst>
            <a:ext uri="{FF2B5EF4-FFF2-40B4-BE49-F238E27FC236}">
              <a16:creationId xmlns:a16="http://schemas.microsoft.com/office/drawing/2014/main" id="{00000000-0008-0000-0900-00008D000000}"/>
            </a:ext>
          </a:extLst>
        </xdr:cNvPr>
        <xdr:cNvSpPr>
          <a:spLocks noChangeAspect="1" noChangeArrowheads="1"/>
        </xdr:cNvSpPr>
      </xdr:nvSpPr>
      <xdr:spPr bwMode="auto">
        <a:xfrm>
          <a:off x="7296150" y="173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42" name="AutoShape 1024" descr="solunum yoluyla bulaşan hastalıklar ile ilgili görsel sonucu">
          <a:extLst>
            <a:ext uri="{FF2B5EF4-FFF2-40B4-BE49-F238E27FC236}">
              <a16:creationId xmlns:a16="http://schemas.microsoft.com/office/drawing/2014/main" id="{00000000-0008-0000-0900-00008E000000}"/>
            </a:ext>
          </a:extLst>
        </xdr:cNvPr>
        <xdr:cNvSpPr>
          <a:spLocks noChangeAspect="1" noChangeArrowheads="1"/>
        </xdr:cNvSpPr>
      </xdr:nvSpPr>
      <xdr:spPr bwMode="auto">
        <a:xfrm>
          <a:off x="7296150" y="2054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43" name="AutoShape 1026" descr="solunum yoluyla bulaşan hastalıklar ile ilgili görsel sonucu">
          <a:extLst>
            <a:ext uri="{FF2B5EF4-FFF2-40B4-BE49-F238E27FC236}">
              <a16:creationId xmlns:a16="http://schemas.microsoft.com/office/drawing/2014/main" id="{00000000-0008-0000-0900-00008F000000}"/>
            </a:ext>
          </a:extLst>
        </xdr:cNvPr>
        <xdr:cNvSpPr>
          <a:spLocks noChangeAspect="1" noChangeArrowheads="1"/>
        </xdr:cNvSpPr>
      </xdr:nvSpPr>
      <xdr:spPr bwMode="auto">
        <a:xfrm>
          <a:off x="7296150" y="2054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44" name="AutoShape 1024" descr="solunum yoluyla bulaşan hastalıklar ile ilgili görsel sonucu">
          <a:extLst>
            <a:ext uri="{FF2B5EF4-FFF2-40B4-BE49-F238E27FC236}">
              <a16:creationId xmlns:a16="http://schemas.microsoft.com/office/drawing/2014/main" id="{00000000-0008-0000-0900-000090000000}"/>
            </a:ext>
          </a:extLst>
        </xdr:cNvPr>
        <xdr:cNvSpPr>
          <a:spLocks noChangeAspect="1" noChangeArrowheads="1"/>
        </xdr:cNvSpPr>
      </xdr:nvSpPr>
      <xdr:spPr bwMode="auto">
        <a:xfrm>
          <a:off x="7296150" y="110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45" name="AutoShape 1026" descr="solunum yoluyla bulaşan hastalıklar ile ilgili görsel sonucu">
          <a:extLst>
            <a:ext uri="{FF2B5EF4-FFF2-40B4-BE49-F238E27FC236}">
              <a16:creationId xmlns:a16="http://schemas.microsoft.com/office/drawing/2014/main" id="{00000000-0008-0000-0900-000091000000}"/>
            </a:ext>
          </a:extLst>
        </xdr:cNvPr>
        <xdr:cNvSpPr>
          <a:spLocks noChangeAspect="1" noChangeArrowheads="1"/>
        </xdr:cNvSpPr>
      </xdr:nvSpPr>
      <xdr:spPr bwMode="auto">
        <a:xfrm>
          <a:off x="7296150" y="110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46" name="AutoShape 1024" descr="solunum yoluyla bulaşan hastalıklar ile ilgili görsel sonucu">
          <a:extLst>
            <a:ext uri="{FF2B5EF4-FFF2-40B4-BE49-F238E27FC236}">
              <a16:creationId xmlns:a16="http://schemas.microsoft.com/office/drawing/2014/main" id="{00000000-0008-0000-0900-000092000000}"/>
            </a:ext>
          </a:extLst>
        </xdr:cNvPr>
        <xdr:cNvSpPr>
          <a:spLocks noChangeAspect="1" noChangeArrowheads="1"/>
        </xdr:cNvSpPr>
      </xdr:nvSpPr>
      <xdr:spPr bwMode="auto">
        <a:xfrm>
          <a:off x="7296150" y="110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47" name="AutoShape 1026" descr="solunum yoluyla bulaşan hastalıklar ile ilgili görsel sonucu">
          <a:extLst>
            <a:ext uri="{FF2B5EF4-FFF2-40B4-BE49-F238E27FC236}">
              <a16:creationId xmlns:a16="http://schemas.microsoft.com/office/drawing/2014/main" id="{00000000-0008-0000-0900-000093000000}"/>
            </a:ext>
          </a:extLst>
        </xdr:cNvPr>
        <xdr:cNvSpPr>
          <a:spLocks noChangeAspect="1" noChangeArrowheads="1"/>
        </xdr:cNvSpPr>
      </xdr:nvSpPr>
      <xdr:spPr bwMode="auto">
        <a:xfrm>
          <a:off x="7296150" y="110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48" name="AutoShape 1024" descr="solunum yoluyla bulaşan hastalıklar ile ilgili görsel sonucu">
          <a:extLst>
            <a:ext uri="{FF2B5EF4-FFF2-40B4-BE49-F238E27FC236}">
              <a16:creationId xmlns:a16="http://schemas.microsoft.com/office/drawing/2014/main" id="{00000000-0008-0000-0900-000094000000}"/>
            </a:ext>
          </a:extLst>
        </xdr:cNvPr>
        <xdr:cNvSpPr>
          <a:spLocks noChangeAspect="1" noChangeArrowheads="1"/>
        </xdr:cNvSpPr>
      </xdr:nvSpPr>
      <xdr:spPr bwMode="auto">
        <a:xfrm>
          <a:off x="7296150" y="110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49" name="AutoShape 1026" descr="solunum yoluyla bulaşan hastalıklar ile ilgili görsel sonucu">
          <a:extLst>
            <a:ext uri="{FF2B5EF4-FFF2-40B4-BE49-F238E27FC236}">
              <a16:creationId xmlns:a16="http://schemas.microsoft.com/office/drawing/2014/main" id="{00000000-0008-0000-0900-000095000000}"/>
            </a:ext>
          </a:extLst>
        </xdr:cNvPr>
        <xdr:cNvSpPr>
          <a:spLocks noChangeAspect="1" noChangeArrowheads="1"/>
        </xdr:cNvSpPr>
      </xdr:nvSpPr>
      <xdr:spPr bwMode="auto">
        <a:xfrm>
          <a:off x="7296150" y="110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50" name="AutoShape 1024" descr="solunum yoluyla bulaşan hastalıklar ile ilgili görsel sonucu">
          <a:extLst>
            <a:ext uri="{FF2B5EF4-FFF2-40B4-BE49-F238E27FC236}">
              <a16:creationId xmlns:a16="http://schemas.microsoft.com/office/drawing/2014/main" id="{00000000-0008-0000-0900-000096000000}"/>
            </a:ext>
          </a:extLst>
        </xdr:cNvPr>
        <xdr:cNvSpPr>
          <a:spLocks noChangeAspect="1" noChangeArrowheads="1"/>
        </xdr:cNvSpPr>
      </xdr:nvSpPr>
      <xdr:spPr bwMode="auto">
        <a:xfrm>
          <a:off x="7296150" y="2689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51" name="AutoShape 1026" descr="solunum yoluyla bulaşan hastalıklar ile ilgili görsel sonucu">
          <a:extLst>
            <a:ext uri="{FF2B5EF4-FFF2-40B4-BE49-F238E27FC236}">
              <a16:creationId xmlns:a16="http://schemas.microsoft.com/office/drawing/2014/main" id="{00000000-0008-0000-0900-000097000000}"/>
            </a:ext>
          </a:extLst>
        </xdr:cNvPr>
        <xdr:cNvSpPr>
          <a:spLocks noChangeAspect="1" noChangeArrowheads="1"/>
        </xdr:cNvSpPr>
      </xdr:nvSpPr>
      <xdr:spPr bwMode="auto">
        <a:xfrm>
          <a:off x="7296150" y="2689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52" name="AutoShape 1024" descr="solunum yoluyla bulaşan hastalıklar ile ilgili görsel sonucu">
          <a:extLst>
            <a:ext uri="{FF2B5EF4-FFF2-40B4-BE49-F238E27FC236}">
              <a16:creationId xmlns:a16="http://schemas.microsoft.com/office/drawing/2014/main" id="{00000000-0008-0000-0900-000098000000}"/>
            </a:ext>
          </a:extLst>
        </xdr:cNvPr>
        <xdr:cNvSpPr>
          <a:spLocks noChangeAspect="1" noChangeArrowheads="1"/>
        </xdr:cNvSpPr>
      </xdr:nvSpPr>
      <xdr:spPr bwMode="auto">
        <a:xfrm>
          <a:off x="7296150" y="237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53" name="AutoShape 1026" descr="solunum yoluyla bulaşan hastalıklar ile ilgili görsel sonucu">
          <a:extLst>
            <a:ext uri="{FF2B5EF4-FFF2-40B4-BE49-F238E27FC236}">
              <a16:creationId xmlns:a16="http://schemas.microsoft.com/office/drawing/2014/main" id="{00000000-0008-0000-0900-000099000000}"/>
            </a:ext>
          </a:extLst>
        </xdr:cNvPr>
        <xdr:cNvSpPr>
          <a:spLocks noChangeAspect="1" noChangeArrowheads="1"/>
        </xdr:cNvSpPr>
      </xdr:nvSpPr>
      <xdr:spPr bwMode="auto">
        <a:xfrm>
          <a:off x="7296150" y="237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54" name="AutoShape 1024" descr="solunum yoluyla bulaşan hastalıklar ile ilgili görsel sonucu">
          <a:extLst>
            <a:ext uri="{FF2B5EF4-FFF2-40B4-BE49-F238E27FC236}">
              <a16:creationId xmlns:a16="http://schemas.microsoft.com/office/drawing/2014/main" id="{00000000-0008-0000-0900-00009A000000}"/>
            </a:ext>
          </a:extLst>
        </xdr:cNvPr>
        <xdr:cNvSpPr>
          <a:spLocks noChangeAspect="1" noChangeArrowheads="1"/>
        </xdr:cNvSpPr>
      </xdr:nvSpPr>
      <xdr:spPr bwMode="auto">
        <a:xfrm>
          <a:off x="7296150" y="2212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55" name="AutoShape 1026" descr="solunum yoluyla bulaşan hastalıklar ile ilgili görsel sonucu">
          <a:extLst>
            <a:ext uri="{FF2B5EF4-FFF2-40B4-BE49-F238E27FC236}">
              <a16:creationId xmlns:a16="http://schemas.microsoft.com/office/drawing/2014/main" id="{00000000-0008-0000-0900-00009B000000}"/>
            </a:ext>
          </a:extLst>
        </xdr:cNvPr>
        <xdr:cNvSpPr>
          <a:spLocks noChangeAspect="1" noChangeArrowheads="1"/>
        </xdr:cNvSpPr>
      </xdr:nvSpPr>
      <xdr:spPr bwMode="auto">
        <a:xfrm>
          <a:off x="7296150" y="2212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56" name="AutoShape 1024" descr="solunum yoluyla bulaşan hastalıklar ile ilgili görsel sonucu">
          <a:extLst>
            <a:ext uri="{FF2B5EF4-FFF2-40B4-BE49-F238E27FC236}">
              <a16:creationId xmlns:a16="http://schemas.microsoft.com/office/drawing/2014/main" id="{00000000-0008-0000-0900-00009C000000}"/>
            </a:ext>
          </a:extLst>
        </xdr:cNvPr>
        <xdr:cNvSpPr>
          <a:spLocks noChangeAspect="1" noChangeArrowheads="1"/>
        </xdr:cNvSpPr>
      </xdr:nvSpPr>
      <xdr:spPr bwMode="auto">
        <a:xfrm>
          <a:off x="7296150" y="2530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57" name="AutoShape 1026" descr="solunum yoluyla bulaşan hastalıklar ile ilgili görsel sonucu">
          <a:extLst>
            <a:ext uri="{FF2B5EF4-FFF2-40B4-BE49-F238E27FC236}">
              <a16:creationId xmlns:a16="http://schemas.microsoft.com/office/drawing/2014/main" id="{00000000-0008-0000-0900-00009D000000}"/>
            </a:ext>
          </a:extLst>
        </xdr:cNvPr>
        <xdr:cNvSpPr>
          <a:spLocks noChangeAspect="1" noChangeArrowheads="1"/>
        </xdr:cNvSpPr>
      </xdr:nvSpPr>
      <xdr:spPr bwMode="auto">
        <a:xfrm>
          <a:off x="7296150" y="2530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58" name="AutoShape 1024" descr="solunum yoluyla bulaşan hastalıklar ile ilgili görsel sonucu">
          <a:extLst>
            <a:ext uri="{FF2B5EF4-FFF2-40B4-BE49-F238E27FC236}">
              <a16:creationId xmlns:a16="http://schemas.microsoft.com/office/drawing/2014/main" id="{00000000-0008-0000-0900-00009E000000}"/>
            </a:ext>
          </a:extLst>
        </xdr:cNvPr>
        <xdr:cNvSpPr>
          <a:spLocks noChangeAspect="1" noChangeArrowheads="1"/>
        </xdr:cNvSpPr>
      </xdr:nvSpPr>
      <xdr:spPr bwMode="auto">
        <a:xfrm>
          <a:off x="7296150" y="1895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59" name="AutoShape 1026" descr="solunum yoluyla bulaşan hastalıklar ile ilgili görsel sonucu">
          <a:extLst>
            <a:ext uri="{FF2B5EF4-FFF2-40B4-BE49-F238E27FC236}">
              <a16:creationId xmlns:a16="http://schemas.microsoft.com/office/drawing/2014/main" id="{00000000-0008-0000-0900-00009F000000}"/>
            </a:ext>
          </a:extLst>
        </xdr:cNvPr>
        <xdr:cNvSpPr>
          <a:spLocks noChangeAspect="1" noChangeArrowheads="1"/>
        </xdr:cNvSpPr>
      </xdr:nvSpPr>
      <xdr:spPr bwMode="auto">
        <a:xfrm>
          <a:off x="7296150" y="1895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60" name="AutoShape 1024" descr="solunum yoluyla bulaşan hastalıklar ile ilgili görsel sonucu">
          <a:extLst>
            <a:ext uri="{FF2B5EF4-FFF2-40B4-BE49-F238E27FC236}">
              <a16:creationId xmlns:a16="http://schemas.microsoft.com/office/drawing/2014/main" id="{00000000-0008-0000-0900-0000A0000000}"/>
            </a:ext>
          </a:extLst>
        </xdr:cNvPr>
        <xdr:cNvSpPr>
          <a:spLocks noChangeAspect="1" noChangeArrowheads="1"/>
        </xdr:cNvSpPr>
      </xdr:nvSpPr>
      <xdr:spPr bwMode="auto">
        <a:xfrm>
          <a:off x="7296150" y="4435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61" name="AutoShape 1026" descr="solunum yoluyla bulaşan hastalıklar ile ilgili görsel sonucu">
          <a:extLst>
            <a:ext uri="{FF2B5EF4-FFF2-40B4-BE49-F238E27FC236}">
              <a16:creationId xmlns:a16="http://schemas.microsoft.com/office/drawing/2014/main" id="{00000000-0008-0000-0900-0000A1000000}"/>
            </a:ext>
          </a:extLst>
        </xdr:cNvPr>
        <xdr:cNvSpPr>
          <a:spLocks noChangeAspect="1" noChangeArrowheads="1"/>
        </xdr:cNvSpPr>
      </xdr:nvSpPr>
      <xdr:spPr bwMode="auto">
        <a:xfrm>
          <a:off x="7296150" y="4435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62" name="AutoShape 1024" descr="solunum yoluyla bulaşan hastalıklar ile ilgili görsel sonucu">
          <a:extLst>
            <a:ext uri="{FF2B5EF4-FFF2-40B4-BE49-F238E27FC236}">
              <a16:creationId xmlns:a16="http://schemas.microsoft.com/office/drawing/2014/main" id="{00000000-0008-0000-0900-0000A2000000}"/>
            </a:ext>
          </a:extLst>
        </xdr:cNvPr>
        <xdr:cNvSpPr>
          <a:spLocks noChangeAspect="1" noChangeArrowheads="1"/>
        </xdr:cNvSpPr>
      </xdr:nvSpPr>
      <xdr:spPr bwMode="auto">
        <a:xfrm>
          <a:off x="7296150" y="1260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63" name="AutoShape 1026" descr="solunum yoluyla bulaşan hastalıklar ile ilgili görsel sonucu">
          <a:extLst>
            <a:ext uri="{FF2B5EF4-FFF2-40B4-BE49-F238E27FC236}">
              <a16:creationId xmlns:a16="http://schemas.microsoft.com/office/drawing/2014/main" id="{00000000-0008-0000-0900-0000A3000000}"/>
            </a:ext>
          </a:extLst>
        </xdr:cNvPr>
        <xdr:cNvSpPr>
          <a:spLocks noChangeAspect="1" noChangeArrowheads="1"/>
        </xdr:cNvSpPr>
      </xdr:nvSpPr>
      <xdr:spPr bwMode="auto">
        <a:xfrm>
          <a:off x="7296150" y="1260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64" name="AutoShape 1024" descr="solunum yoluyla bulaşan hastalıklar ile ilgili görsel sonucu">
          <a:extLst>
            <a:ext uri="{FF2B5EF4-FFF2-40B4-BE49-F238E27FC236}">
              <a16:creationId xmlns:a16="http://schemas.microsoft.com/office/drawing/2014/main" id="{00000000-0008-0000-0900-0000A4000000}"/>
            </a:ext>
          </a:extLst>
        </xdr:cNvPr>
        <xdr:cNvSpPr>
          <a:spLocks noChangeAspect="1" noChangeArrowheads="1"/>
        </xdr:cNvSpPr>
      </xdr:nvSpPr>
      <xdr:spPr bwMode="auto">
        <a:xfrm>
          <a:off x="7296150" y="1260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65" name="AutoShape 1026" descr="solunum yoluyla bulaşan hastalıklar ile ilgili görsel sonucu">
          <a:extLst>
            <a:ext uri="{FF2B5EF4-FFF2-40B4-BE49-F238E27FC236}">
              <a16:creationId xmlns:a16="http://schemas.microsoft.com/office/drawing/2014/main" id="{00000000-0008-0000-0900-0000A5000000}"/>
            </a:ext>
          </a:extLst>
        </xdr:cNvPr>
        <xdr:cNvSpPr>
          <a:spLocks noChangeAspect="1" noChangeArrowheads="1"/>
        </xdr:cNvSpPr>
      </xdr:nvSpPr>
      <xdr:spPr bwMode="auto">
        <a:xfrm>
          <a:off x="7296150" y="1260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66" name="AutoShape 1024" descr="solunum yoluyla bulaşan hastalıklar ile ilgili görsel sonucu">
          <a:extLst>
            <a:ext uri="{FF2B5EF4-FFF2-40B4-BE49-F238E27FC236}">
              <a16:creationId xmlns:a16="http://schemas.microsoft.com/office/drawing/2014/main" id="{00000000-0008-0000-0900-0000A6000000}"/>
            </a:ext>
          </a:extLst>
        </xdr:cNvPr>
        <xdr:cNvSpPr>
          <a:spLocks noChangeAspect="1" noChangeArrowheads="1"/>
        </xdr:cNvSpPr>
      </xdr:nvSpPr>
      <xdr:spPr bwMode="auto">
        <a:xfrm>
          <a:off x="7296150" y="1260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67" name="AutoShape 1026" descr="solunum yoluyla bulaşan hastalıklar ile ilgili görsel sonucu">
          <a:extLst>
            <a:ext uri="{FF2B5EF4-FFF2-40B4-BE49-F238E27FC236}">
              <a16:creationId xmlns:a16="http://schemas.microsoft.com/office/drawing/2014/main" id="{00000000-0008-0000-0900-0000A7000000}"/>
            </a:ext>
          </a:extLst>
        </xdr:cNvPr>
        <xdr:cNvSpPr>
          <a:spLocks noChangeAspect="1" noChangeArrowheads="1"/>
        </xdr:cNvSpPr>
      </xdr:nvSpPr>
      <xdr:spPr bwMode="auto">
        <a:xfrm>
          <a:off x="7296150" y="1260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68" name="AutoShape 1024" descr="solunum yoluyla bulaşan hastalıklar ile ilgili görsel sonucu">
          <a:extLst>
            <a:ext uri="{FF2B5EF4-FFF2-40B4-BE49-F238E27FC236}">
              <a16:creationId xmlns:a16="http://schemas.microsoft.com/office/drawing/2014/main" id="{00000000-0008-0000-0900-0000A8000000}"/>
            </a:ext>
          </a:extLst>
        </xdr:cNvPr>
        <xdr:cNvSpPr>
          <a:spLocks noChangeAspect="1" noChangeArrowheads="1"/>
        </xdr:cNvSpPr>
      </xdr:nvSpPr>
      <xdr:spPr bwMode="auto">
        <a:xfrm>
          <a:off x="7296150" y="3324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69" name="AutoShape 1026" descr="solunum yoluyla bulaşan hastalıklar ile ilgili görsel sonucu">
          <a:extLst>
            <a:ext uri="{FF2B5EF4-FFF2-40B4-BE49-F238E27FC236}">
              <a16:creationId xmlns:a16="http://schemas.microsoft.com/office/drawing/2014/main" id="{00000000-0008-0000-0900-0000A9000000}"/>
            </a:ext>
          </a:extLst>
        </xdr:cNvPr>
        <xdr:cNvSpPr>
          <a:spLocks noChangeAspect="1" noChangeArrowheads="1"/>
        </xdr:cNvSpPr>
      </xdr:nvSpPr>
      <xdr:spPr bwMode="auto">
        <a:xfrm>
          <a:off x="7296150" y="3324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70" name="AutoShape 1024" descr="solunum yoluyla bulaşan hastalıklar ile ilgili görsel sonucu">
          <a:extLst>
            <a:ext uri="{FF2B5EF4-FFF2-40B4-BE49-F238E27FC236}">
              <a16:creationId xmlns:a16="http://schemas.microsoft.com/office/drawing/2014/main" id="{00000000-0008-0000-0900-0000AA000000}"/>
            </a:ext>
          </a:extLst>
        </xdr:cNvPr>
        <xdr:cNvSpPr>
          <a:spLocks noChangeAspect="1" noChangeArrowheads="1"/>
        </xdr:cNvSpPr>
      </xdr:nvSpPr>
      <xdr:spPr bwMode="auto">
        <a:xfrm>
          <a:off x="7296150" y="1895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71" name="AutoShape 1026" descr="solunum yoluyla bulaşan hastalıklar ile ilgili görsel sonucu">
          <a:extLst>
            <a:ext uri="{FF2B5EF4-FFF2-40B4-BE49-F238E27FC236}">
              <a16:creationId xmlns:a16="http://schemas.microsoft.com/office/drawing/2014/main" id="{00000000-0008-0000-0900-0000AB000000}"/>
            </a:ext>
          </a:extLst>
        </xdr:cNvPr>
        <xdr:cNvSpPr>
          <a:spLocks noChangeAspect="1" noChangeArrowheads="1"/>
        </xdr:cNvSpPr>
      </xdr:nvSpPr>
      <xdr:spPr bwMode="auto">
        <a:xfrm>
          <a:off x="7296150" y="1895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72" name="AutoShape 1024" descr="solunum yoluyla bulaşan hastalıklar ile ilgili görsel sonucu">
          <a:extLst>
            <a:ext uri="{FF2B5EF4-FFF2-40B4-BE49-F238E27FC236}">
              <a16:creationId xmlns:a16="http://schemas.microsoft.com/office/drawing/2014/main" id="{00000000-0008-0000-0900-0000AC000000}"/>
            </a:ext>
          </a:extLst>
        </xdr:cNvPr>
        <xdr:cNvSpPr>
          <a:spLocks noChangeAspect="1" noChangeArrowheads="1"/>
        </xdr:cNvSpPr>
      </xdr:nvSpPr>
      <xdr:spPr bwMode="auto">
        <a:xfrm>
          <a:off x="7296150" y="1895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73" name="AutoShape 1026" descr="solunum yoluyla bulaşan hastalıklar ile ilgili görsel sonucu">
          <a:extLst>
            <a:ext uri="{FF2B5EF4-FFF2-40B4-BE49-F238E27FC236}">
              <a16:creationId xmlns:a16="http://schemas.microsoft.com/office/drawing/2014/main" id="{00000000-0008-0000-0900-0000AD000000}"/>
            </a:ext>
          </a:extLst>
        </xdr:cNvPr>
        <xdr:cNvSpPr>
          <a:spLocks noChangeAspect="1" noChangeArrowheads="1"/>
        </xdr:cNvSpPr>
      </xdr:nvSpPr>
      <xdr:spPr bwMode="auto">
        <a:xfrm>
          <a:off x="7296150" y="1895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74" name="AutoShape 1024" descr="solunum yoluyla bulaşan hastalıklar ile ilgili görsel sonucu">
          <a:extLst>
            <a:ext uri="{FF2B5EF4-FFF2-40B4-BE49-F238E27FC236}">
              <a16:creationId xmlns:a16="http://schemas.microsoft.com/office/drawing/2014/main" id="{00000000-0008-0000-0900-0000AE000000}"/>
            </a:ext>
          </a:extLst>
        </xdr:cNvPr>
        <xdr:cNvSpPr>
          <a:spLocks noChangeAspect="1" noChangeArrowheads="1"/>
        </xdr:cNvSpPr>
      </xdr:nvSpPr>
      <xdr:spPr bwMode="auto">
        <a:xfrm>
          <a:off x="7296150" y="1895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75" name="AutoShape 1026" descr="solunum yoluyla bulaşan hastalıklar ile ilgili görsel sonucu">
          <a:extLst>
            <a:ext uri="{FF2B5EF4-FFF2-40B4-BE49-F238E27FC236}">
              <a16:creationId xmlns:a16="http://schemas.microsoft.com/office/drawing/2014/main" id="{00000000-0008-0000-0900-0000AF000000}"/>
            </a:ext>
          </a:extLst>
        </xdr:cNvPr>
        <xdr:cNvSpPr>
          <a:spLocks noChangeAspect="1" noChangeArrowheads="1"/>
        </xdr:cNvSpPr>
      </xdr:nvSpPr>
      <xdr:spPr bwMode="auto">
        <a:xfrm>
          <a:off x="7296150" y="1895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76" name="AutoShape 1024" descr="solunum yoluyla bulaşan hastalıklar ile ilgili görsel sonucu">
          <a:extLst>
            <a:ext uri="{FF2B5EF4-FFF2-40B4-BE49-F238E27FC236}">
              <a16:creationId xmlns:a16="http://schemas.microsoft.com/office/drawing/2014/main" id="{00000000-0008-0000-0900-0000B0000000}"/>
            </a:ext>
          </a:extLst>
        </xdr:cNvPr>
        <xdr:cNvSpPr>
          <a:spLocks noChangeAspect="1" noChangeArrowheads="1"/>
        </xdr:cNvSpPr>
      </xdr:nvSpPr>
      <xdr:spPr bwMode="auto">
        <a:xfrm>
          <a:off x="7296150" y="1895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77" name="AutoShape 1026" descr="solunum yoluyla bulaşan hastalıklar ile ilgili görsel sonucu">
          <a:extLst>
            <a:ext uri="{FF2B5EF4-FFF2-40B4-BE49-F238E27FC236}">
              <a16:creationId xmlns:a16="http://schemas.microsoft.com/office/drawing/2014/main" id="{00000000-0008-0000-0900-0000B1000000}"/>
            </a:ext>
          </a:extLst>
        </xdr:cNvPr>
        <xdr:cNvSpPr>
          <a:spLocks noChangeAspect="1" noChangeArrowheads="1"/>
        </xdr:cNvSpPr>
      </xdr:nvSpPr>
      <xdr:spPr bwMode="auto">
        <a:xfrm>
          <a:off x="7296150" y="1895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8</xdr:row>
      <xdr:rowOff>0</xdr:rowOff>
    </xdr:from>
    <xdr:ext cx="304800" cy="247650"/>
    <xdr:sp macro="" textlink="">
      <xdr:nvSpPr>
        <xdr:cNvPr id="178" name="AutoShape 1024" descr="solunum yoluyla bulaşan hastalıklar ile ilgili görsel sonucu">
          <a:extLst>
            <a:ext uri="{FF2B5EF4-FFF2-40B4-BE49-F238E27FC236}">
              <a16:creationId xmlns:a16="http://schemas.microsoft.com/office/drawing/2014/main" id="{00000000-0008-0000-0900-0000B2000000}"/>
            </a:ext>
          </a:extLst>
        </xdr:cNvPr>
        <xdr:cNvSpPr>
          <a:spLocks noChangeAspect="1" noChangeArrowheads="1"/>
        </xdr:cNvSpPr>
      </xdr:nvSpPr>
      <xdr:spPr bwMode="auto">
        <a:xfrm>
          <a:off x="7296150" y="46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8</xdr:row>
      <xdr:rowOff>0</xdr:rowOff>
    </xdr:from>
    <xdr:ext cx="304800" cy="247650"/>
    <xdr:sp macro="" textlink="">
      <xdr:nvSpPr>
        <xdr:cNvPr id="179" name="AutoShape 1026" descr="solunum yoluyla bulaşan hastalıklar ile ilgili görsel sonucu">
          <a:extLst>
            <a:ext uri="{FF2B5EF4-FFF2-40B4-BE49-F238E27FC236}">
              <a16:creationId xmlns:a16="http://schemas.microsoft.com/office/drawing/2014/main" id="{00000000-0008-0000-0900-0000B3000000}"/>
            </a:ext>
          </a:extLst>
        </xdr:cNvPr>
        <xdr:cNvSpPr>
          <a:spLocks noChangeAspect="1" noChangeArrowheads="1"/>
        </xdr:cNvSpPr>
      </xdr:nvSpPr>
      <xdr:spPr bwMode="auto">
        <a:xfrm>
          <a:off x="7296150" y="46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8</xdr:row>
      <xdr:rowOff>0</xdr:rowOff>
    </xdr:from>
    <xdr:ext cx="304800" cy="247650"/>
    <xdr:sp macro="" textlink="">
      <xdr:nvSpPr>
        <xdr:cNvPr id="180" name="AutoShape 1024" descr="solunum yoluyla bulaşan hastalıklar ile ilgili görsel sonucu">
          <a:extLst>
            <a:ext uri="{FF2B5EF4-FFF2-40B4-BE49-F238E27FC236}">
              <a16:creationId xmlns:a16="http://schemas.microsoft.com/office/drawing/2014/main" id="{00000000-0008-0000-0900-0000B4000000}"/>
            </a:ext>
          </a:extLst>
        </xdr:cNvPr>
        <xdr:cNvSpPr>
          <a:spLocks noChangeAspect="1" noChangeArrowheads="1"/>
        </xdr:cNvSpPr>
      </xdr:nvSpPr>
      <xdr:spPr bwMode="auto">
        <a:xfrm>
          <a:off x="7296150" y="46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8</xdr:row>
      <xdr:rowOff>0</xdr:rowOff>
    </xdr:from>
    <xdr:ext cx="304800" cy="247650"/>
    <xdr:sp macro="" textlink="">
      <xdr:nvSpPr>
        <xdr:cNvPr id="181" name="AutoShape 1026" descr="solunum yoluyla bulaşan hastalıklar ile ilgili görsel sonucu">
          <a:extLst>
            <a:ext uri="{FF2B5EF4-FFF2-40B4-BE49-F238E27FC236}">
              <a16:creationId xmlns:a16="http://schemas.microsoft.com/office/drawing/2014/main" id="{00000000-0008-0000-0900-0000B5000000}"/>
            </a:ext>
          </a:extLst>
        </xdr:cNvPr>
        <xdr:cNvSpPr>
          <a:spLocks noChangeAspect="1" noChangeArrowheads="1"/>
        </xdr:cNvSpPr>
      </xdr:nvSpPr>
      <xdr:spPr bwMode="auto">
        <a:xfrm>
          <a:off x="7296150" y="46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8</xdr:row>
      <xdr:rowOff>0</xdr:rowOff>
    </xdr:from>
    <xdr:ext cx="304800" cy="247650"/>
    <xdr:sp macro="" textlink="">
      <xdr:nvSpPr>
        <xdr:cNvPr id="182" name="AutoShape 1024" descr="solunum yoluyla bulaşan hastalıklar ile ilgili görsel sonucu">
          <a:extLst>
            <a:ext uri="{FF2B5EF4-FFF2-40B4-BE49-F238E27FC236}">
              <a16:creationId xmlns:a16="http://schemas.microsoft.com/office/drawing/2014/main" id="{00000000-0008-0000-0900-0000B6000000}"/>
            </a:ext>
          </a:extLst>
        </xdr:cNvPr>
        <xdr:cNvSpPr>
          <a:spLocks noChangeAspect="1" noChangeArrowheads="1"/>
        </xdr:cNvSpPr>
      </xdr:nvSpPr>
      <xdr:spPr bwMode="auto">
        <a:xfrm>
          <a:off x="7296150" y="46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8</xdr:row>
      <xdr:rowOff>0</xdr:rowOff>
    </xdr:from>
    <xdr:ext cx="304800" cy="247650"/>
    <xdr:sp macro="" textlink="">
      <xdr:nvSpPr>
        <xdr:cNvPr id="183" name="AutoShape 1026" descr="solunum yoluyla bulaşan hastalıklar ile ilgili görsel sonucu">
          <a:extLst>
            <a:ext uri="{FF2B5EF4-FFF2-40B4-BE49-F238E27FC236}">
              <a16:creationId xmlns:a16="http://schemas.microsoft.com/office/drawing/2014/main" id="{00000000-0008-0000-0900-0000B7000000}"/>
            </a:ext>
          </a:extLst>
        </xdr:cNvPr>
        <xdr:cNvSpPr>
          <a:spLocks noChangeAspect="1" noChangeArrowheads="1"/>
        </xdr:cNvSpPr>
      </xdr:nvSpPr>
      <xdr:spPr bwMode="auto">
        <a:xfrm>
          <a:off x="7296150" y="46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8</xdr:row>
      <xdr:rowOff>0</xdr:rowOff>
    </xdr:from>
    <xdr:ext cx="304800" cy="247650"/>
    <xdr:sp macro="" textlink="">
      <xdr:nvSpPr>
        <xdr:cNvPr id="184" name="AutoShape 1024" descr="solunum yoluyla bulaşan hastalıklar ile ilgili görsel sonucu">
          <a:extLst>
            <a:ext uri="{FF2B5EF4-FFF2-40B4-BE49-F238E27FC236}">
              <a16:creationId xmlns:a16="http://schemas.microsoft.com/office/drawing/2014/main" id="{00000000-0008-0000-0900-0000B8000000}"/>
            </a:ext>
          </a:extLst>
        </xdr:cNvPr>
        <xdr:cNvSpPr>
          <a:spLocks noChangeAspect="1" noChangeArrowheads="1"/>
        </xdr:cNvSpPr>
      </xdr:nvSpPr>
      <xdr:spPr bwMode="auto">
        <a:xfrm>
          <a:off x="7296150" y="46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8</xdr:row>
      <xdr:rowOff>0</xdr:rowOff>
    </xdr:from>
    <xdr:ext cx="304800" cy="247650"/>
    <xdr:sp macro="" textlink="">
      <xdr:nvSpPr>
        <xdr:cNvPr id="185" name="AutoShape 1026" descr="solunum yoluyla bulaşan hastalıklar ile ilgili görsel sonucu">
          <a:extLst>
            <a:ext uri="{FF2B5EF4-FFF2-40B4-BE49-F238E27FC236}">
              <a16:creationId xmlns:a16="http://schemas.microsoft.com/office/drawing/2014/main" id="{00000000-0008-0000-0900-0000B9000000}"/>
            </a:ext>
          </a:extLst>
        </xdr:cNvPr>
        <xdr:cNvSpPr>
          <a:spLocks noChangeAspect="1" noChangeArrowheads="1"/>
        </xdr:cNvSpPr>
      </xdr:nvSpPr>
      <xdr:spPr bwMode="auto">
        <a:xfrm>
          <a:off x="7296150" y="46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8</xdr:row>
      <xdr:rowOff>0</xdr:rowOff>
    </xdr:from>
    <xdr:ext cx="304800" cy="247650"/>
    <xdr:sp macro="" textlink="">
      <xdr:nvSpPr>
        <xdr:cNvPr id="186" name="AutoShape 1024" descr="solunum yoluyla bulaşan hastalıklar ile ilgili görsel sonucu">
          <a:extLst>
            <a:ext uri="{FF2B5EF4-FFF2-40B4-BE49-F238E27FC236}">
              <a16:creationId xmlns:a16="http://schemas.microsoft.com/office/drawing/2014/main" id="{00000000-0008-0000-0900-0000BA000000}"/>
            </a:ext>
          </a:extLst>
        </xdr:cNvPr>
        <xdr:cNvSpPr>
          <a:spLocks noChangeAspect="1" noChangeArrowheads="1"/>
        </xdr:cNvSpPr>
      </xdr:nvSpPr>
      <xdr:spPr bwMode="auto">
        <a:xfrm>
          <a:off x="7296150" y="46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8</xdr:row>
      <xdr:rowOff>0</xdr:rowOff>
    </xdr:from>
    <xdr:ext cx="304800" cy="247650"/>
    <xdr:sp macro="" textlink="">
      <xdr:nvSpPr>
        <xdr:cNvPr id="187" name="AutoShape 1026" descr="solunum yoluyla bulaşan hastalıklar ile ilgili görsel sonucu">
          <a:extLst>
            <a:ext uri="{FF2B5EF4-FFF2-40B4-BE49-F238E27FC236}">
              <a16:creationId xmlns:a16="http://schemas.microsoft.com/office/drawing/2014/main" id="{00000000-0008-0000-0900-0000BB000000}"/>
            </a:ext>
          </a:extLst>
        </xdr:cNvPr>
        <xdr:cNvSpPr>
          <a:spLocks noChangeAspect="1" noChangeArrowheads="1"/>
        </xdr:cNvSpPr>
      </xdr:nvSpPr>
      <xdr:spPr bwMode="auto">
        <a:xfrm>
          <a:off x="7296150" y="46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8</xdr:row>
      <xdr:rowOff>0</xdr:rowOff>
    </xdr:from>
    <xdr:ext cx="304800" cy="247650"/>
    <xdr:sp macro="" textlink="">
      <xdr:nvSpPr>
        <xdr:cNvPr id="188" name="AutoShape 1024" descr="solunum yoluyla bulaşan hastalıklar ile ilgili görsel sonucu">
          <a:extLst>
            <a:ext uri="{FF2B5EF4-FFF2-40B4-BE49-F238E27FC236}">
              <a16:creationId xmlns:a16="http://schemas.microsoft.com/office/drawing/2014/main" id="{00000000-0008-0000-0900-0000BC000000}"/>
            </a:ext>
          </a:extLst>
        </xdr:cNvPr>
        <xdr:cNvSpPr>
          <a:spLocks noChangeAspect="1" noChangeArrowheads="1"/>
        </xdr:cNvSpPr>
      </xdr:nvSpPr>
      <xdr:spPr bwMode="auto">
        <a:xfrm>
          <a:off x="7296150" y="46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8</xdr:row>
      <xdr:rowOff>0</xdr:rowOff>
    </xdr:from>
    <xdr:ext cx="304800" cy="247650"/>
    <xdr:sp macro="" textlink="">
      <xdr:nvSpPr>
        <xdr:cNvPr id="189" name="AutoShape 1026" descr="solunum yoluyla bulaşan hastalıklar ile ilgili görsel sonucu">
          <a:extLst>
            <a:ext uri="{FF2B5EF4-FFF2-40B4-BE49-F238E27FC236}">
              <a16:creationId xmlns:a16="http://schemas.microsoft.com/office/drawing/2014/main" id="{00000000-0008-0000-0900-0000BD000000}"/>
            </a:ext>
          </a:extLst>
        </xdr:cNvPr>
        <xdr:cNvSpPr>
          <a:spLocks noChangeAspect="1" noChangeArrowheads="1"/>
        </xdr:cNvSpPr>
      </xdr:nvSpPr>
      <xdr:spPr bwMode="auto">
        <a:xfrm>
          <a:off x="7296150" y="46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8</xdr:row>
      <xdr:rowOff>0</xdr:rowOff>
    </xdr:from>
    <xdr:ext cx="304800" cy="247650"/>
    <xdr:sp macro="" textlink="">
      <xdr:nvSpPr>
        <xdr:cNvPr id="190" name="AutoShape 1024" descr="solunum yoluyla bulaşan hastalıklar ile ilgili görsel sonucu">
          <a:extLst>
            <a:ext uri="{FF2B5EF4-FFF2-40B4-BE49-F238E27FC236}">
              <a16:creationId xmlns:a16="http://schemas.microsoft.com/office/drawing/2014/main" id="{00000000-0008-0000-0900-0000BE000000}"/>
            </a:ext>
          </a:extLst>
        </xdr:cNvPr>
        <xdr:cNvSpPr>
          <a:spLocks noChangeAspect="1" noChangeArrowheads="1"/>
        </xdr:cNvSpPr>
      </xdr:nvSpPr>
      <xdr:spPr bwMode="auto">
        <a:xfrm>
          <a:off x="7296150" y="46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8</xdr:row>
      <xdr:rowOff>0</xdr:rowOff>
    </xdr:from>
    <xdr:ext cx="304800" cy="247650"/>
    <xdr:sp macro="" textlink="">
      <xdr:nvSpPr>
        <xdr:cNvPr id="191" name="AutoShape 1026" descr="solunum yoluyla bulaşan hastalıklar ile ilgili görsel sonucu">
          <a:extLst>
            <a:ext uri="{FF2B5EF4-FFF2-40B4-BE49-F238E27FC236}">
              <a16:creationId xmlns:a16="http://schemas.microsoft.com/office/drawing/2014/main" id="{00000000-0008-0000-0900-0000BF000000}"/>
            </a:ext>
          </a:extLst>
        </xdr:cNvPr>
        <xdr:cNvSpPr>
          <a:spLocks noChangeAspect="1" noChangeArrowheads="1"/>
        </xdr:cNvSpPr>
      </xdr:nvSpPr>
      <xdr:spPr bwMode="auto">
        <a:xfrm>
          <a:off x="7296150" y="46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8</xdr:row>
      <xdr:rowOff>0</xdr:rowOff>
    </xdr:from>
    <xdr:ext cx="304800" cy="247650"/>
    <xdr:sp macro="" textlink="">
      <xdr:nvSpPr>
        <xdr:cNvPr id="192" name="AutoShape 1024" descr="solunum yoluyla bulaşan hastalıklar ile ilgili görsel sonucu">
          <a:extLst>
            <a:ext uri="{FF2B5EF4-FFF2-40B4-BE49-F238E27FC236}">
              <a16:creationId xmlns:a16="http://schemas.microsoft.com/office/drawing/2014/main" id="{00000000-0008-0000-0900-0000C0000000}"/>
            </a:ext>
          </a:extLst>
        </xdr:cNvPr>
        <xdr:cNvSpPr>
          <a:spLocks noChangeAspect="1" noChangeArrowheads="1"/>
        </xdr:cNvSpPr>
      </xdr:nvSpPr>
      <xdr:spPr bwMode="auto">
        <a:xfrm>
          <a:off x="7296150" y="46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8</xdr:row>
      <xdr:rowOff>0</xdr:rowOff>
    </xdr:from>
    <xdr:ext cx="304800" cy="247650"/>
    <xdr:sp macro="" textlink="">
      <xdr:nvSpPr>
        <xdr:cNvPr id="193" name="AutoShape 1026" descr="solunum yoluyla bulaşan hastalıklar ile ilgili görsel sonucu">
          <a:extLst>
            <a:ext uri="{FF2B5EF4-FFF2-40B4-BE49-F238E27FC236}">
              <a16:creationId xmlns:a16="http://schemas.microsoft.com/office/drawing/2014/main" id="{00000000-0008-0000-0900-0000C1000000}"/>
            </a:ext>
          </a:extLst>
        </xdr:cNvPr>
        <xdr:cNvSpPr>
          <a:spLocks noChangeAspect="1" noChangeArrowheads="1"/>
        </xdr:cNvSpPr>
      </xdr:nvSpPr>
      <xdr:spPr bwMode="auto">
        <a:xfrm>
          <a:off x="7296150" y="46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94" name="AutoShape 1024" descr="solunum yoluyla bulaşan hastalıklar ile ilgili görsel sonucu">
          <a:extLst>
            <a:ext uri="{FF2B5EF4-FFF2-40B4-BE49-F238E27FC236}">
              <a16:creationId xmlns:a16="http://schemas.microsoft.com/office/drawing/2014/main" id="{00000000-0008-0000-0900-0000C2000000}"/>
            </a:ext>
          </a:extLst>
        </xdr:cNvPr>
        <xdr:cNvSpPr>
          <a:spLocks noChangeAspect="1" noChangeArrowheads="1"/>
        </xdr:cNvSpPr>
      </xdr:nvSpPr>
      <xdr:spPr bwMode="auto">
        <a:xfrm>
          <a:off x="7296150" y="3959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95" name="AutoShape 1026" descr="solunum yoluyla bulaşan hastalıklar ile ilgili görsel sonucu">
          <a:extLst>
            <a:ext uri="{FF2B5EF4-FFF2-40B4-BE49-F238E27FC236}">
              <a16:creationId xmlns:a16="http://schemas.microsoft.com/office/drawing/2014/main" id="{00000000-0008-0000-0900-0000C3000000}"/>
            </a:ext>
          </a:extLst>
        </xdr:cNvPr>
        <xdr:cNvSpPr>
          <a:spLocks noChangeAspect="1" noChangeArrowheads="1"/>
        </xdr:cNvSpPr>
      </xdr:nvSpPr>
      <xdr:spPr bwMode="auto">
        <a:xfrm>
          <a:off x="7296150" y="3959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8</xdr:row>
      <xdr:rowOff>0</xdr:rowOff>
    </xdr:from>
    <xdr:ext cx="304800" cy="247650"/>
    <xdr:sp macro="" textlink="">
      <xdr:nvSpPr>
        <xdr:cNvPr id="196" name="AutoShape 1024" descr="solunum yoluyla bulaşan hastalıklar ile ilgili görsel sonucu">
          <a:extLst>
            <a:ext uri="{FF2B5EF4-FFF2-40B4-BE49-F238E27FC236}">
              <a16:creationId xmlns:a16="http://schemas.microsoft.com/office/drawing/2014/main" id="{00000000-0008-0000-0900-0000C4000000}"/>
            </a:ext>
          </a:extLst>
        </xdr:cNvPr>
        <xdr:cNvSpPr>
          <a:spLocks noChangeAspect="1" noChangeArrowheads="1"/>
        </xdr:cNvSpPr>
      </xdr:nvSpPr>
      <xdr:spPr bwMode="auto">
        <a:xfrm>
          <a:off x="7296150" y="46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8</xdr:row>
      <xdr:rowOff>0</xdr:rowOff>
    </xdr:from>
    <xdr:ext cx="304800" cy="247650"/>
    <xdr:sp macro="" textlink="">
      <xdr:nvSpPr>
        <xdr:cNvPr id="197" name="AutoShape 1026" descr="solunum yoluyla bulaşan hastalıklar ile ilgili görsel sonucu">
          <a:extLst>
            <a:ext uri="{FF2B5EF4-FFF2-40B4-BE49-F238E27FC236}">
              <a16:creationId xmlns:a16="http://schemas.microsoft.com/office/drawing/2014/main" id="{00000000-0008-0000-0900-0000C5000000}"/>
            </a:ext>
          </a:extLst>
        </xdr:cNvPr>
        <xdr:cNvSpPr>
          <a:spLocks noChangeAspect="1" noChangeArrowheads="1"/>
        </xdr:cNvSpPr>
      </xdr:nvSpPr>
      <xdr:spPr bwMode="auto">
        <a:xfrm>
          <a:off x="7296150" y="46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98" name="AutoShape 1024" descr="solunum yoluyla bulaşan hastalıklar ile ilgili görsel sonucu">
          <a:extLst>
            <a:ext uri="{FF2B5EF4-FFF2-40B4-BE49-F238E27FC236}">
              <a16:creationId xmlns:a16="http://schemas.microsoft.com/office/drawing/2014/main" id="{00000000-0008-0000-0900-0000C6000000}"/>
            </a:ext>
          </a:extLst>
        </xdr:cNvPr>
        <xdr:cNvSpPr>
          <a:spLocks noChangeAspect="1" noChangeArrowheads="1"/>
        </xdr:cNvSpPr>
      </xdr:nvSpPr>
      <xdr:spPr bwMode="auto">
        <a:xfrm>
          <a:off x="7296150" y="427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99" name="AutoShape 1026" descr="solunum yoluyla bulaşan hastalıklar ile ilgili görsel sonucu">
          <a:extLst>
            <a:ext uri="{FF2B5EF4-FFF2-40B4-BE49-F238E27FC236}">
              <a16:creationId xmlns:a16="http://schemas.microsoft.com/office/drawing/2014/main" id="{00000000-0008-0000-0900-0000C7000000}"/>
            </a:ext>
          </a:extLst>
        </xdr:cNvPr>
        <xdr:cNvSpPr>
          <a:spLocks noChangeAspect="1" noChangeArrowheads="1"/>
        </xdr:cNvSpPr>
      </xdr:nvSpPr>
      <xdr:spPr bwMode="auto">
        <a:xfrm>
          <a:off x="7296150" y="427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00" name="AutoShape 1024" descr="solunum yoluyla bulaşan hastalıklar ile ilgili görsel sonucu">
          <a:extLst>
            <a:ext uri="{FF2B5EF4-FFF2-40B4-BE49-F238E27FC236}">
              <a16:creationId xmlns:a16="http://schemas.microsoft.com/office/drawing/2014/main" id="{00000000-0008-0000-0900-0000C8000000}"/>
            </a:ext>
          </a:extLst>
        </xdr:cNvPr>
        <xdr:cNvSpPr>
          <a:spLocks noChangeAspect="1" noChangeArrowheads="1"/>
        </xdr:cNvSpPr>
      </xdr:nvSpPr>
      <xdr:spPr bwMode="auto">
        <a:xfrm>
          <a:off x="7296150" y="745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01" name="AutoShape 1026" descr="solunum yoluyla bulaşan hastalıklar ile ilgili görsel sonucu">
          <a:extLst>
            <a:ext uri="{FF2B5EF4-FFF2-40B4-BE49-F238E27FC236}">
              <a16:creationId xmlns:a16="http://schemas.microsoft.com/office/drawing/2014/main" id="{00000000-0008-0000-0900-0000C9000000}"/>
            </a:ext>
          </a:extLst>
        </xdr:cNvPr>
        <xdr:cNvSpPr>
          <a:spLocks noChangeAspect="1" noChangeArrowheads="1"/>
        </xdr:cNvSpPr>
      </xdr:nvSpPr>
      <xdr:spPr bwMode="auto">
        <a:xfrm>
          <a:off x="7296150" y="745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02" name="AutoShape 1024" descr="solunum yoluyla bulaşan hastalıklar ile ilgili görsel sonucu">
          <a:extLst>
            <a:ext uri="{FF2B5EF4-FFF2-40B4-BE49-F238E27FC236}">
              <a16:creationId xmlns:a16="http://schemas.microsoft.com/office/drawing/2014/main" id="{00000000-0008-0000-0900-0000CA000000}"/>
            </a:ext>
          </a:extLst>
        </xdr:cNvPr>
        <xdr:cNvSpPr>
          <a:spLocks noChangeAspect="1" noChangeArrowheads="1"/>
        </xdr:cNvSpPr>
      </xdr:nvSpPr>
      <xdr:spPr bwMode="auto">
        <a:xfrm>
          <a:off x="7296150" y="7927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03" name="AutoShape 1026" descr="solunum yoluyla bulaşan hastalıklar ile ilgili görsel sonucu">
          <a:extLst>
            <a:ext uri="{FF2B5EF4-FFF2-40B4-BE49-F238E27FC236}">
              <a16:creationId xmlns:a16="http://schemas.microsoft.com/office/drawing/2014/main" id="{00000000-0008-0000-0900-0000CB000000}"/>
            </a:ext>
          </a:extLst>
        </xdr:cNvPr>
        <xdr:cNvSpPr>
          <a:spLocks noChangeAspect="1" noChangeArrowheads="1"/>
        </xdr:cNvSpPr>
      </xdr:nvSpPr>
      <xdr:spPr bwMode="auto">
        <a:xfrm>
          <a:off x="7296150" y="7927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04" name="AutoShape 1024" descr="solunum yoluyla bulaşan hastalıklar ile ilgili görsel sonucu">
          <a:extLst>
            <a:ext uri="{FF2B5EF4-FFF2-40B4-BE49-F238E27FC236}">
              <a16:creationId xmlns:a16="http://schemas.microsoft.com/office/drawing/2014/main" id="{00000000-0008-0000-0900-0000CC000000}"/>
            </a:ext>
          </a:extLst>
        </xdr:cNvPr>
        <xdr:cNvSpPr>
          <a:spLocks noChangeAspect="1" noChangeArrowheads="1"/>
        </xdr:cNvSpPr>
      </xdr:nvSpPr>
      <xdr:spPr bwMode="auto">
        <a:xfrm>
          <a:off x="7296150" y="8880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05" name="AutoShape 1026" descr="solunum yoluyla bulaşan hastalıklar ile ilgili görsel sonucu">
          <a:extLst>
            <a:ext uri="{FF2B5EF4-FFF2-40B4-BE49-F238E27FC236}">
              <a16:creationId xmlns:a16="http://schemas.microsoft.com/office/drawing/2014/main" id="{00000000-0008-0000-0900-0000CD000000}"/>
            </a:ext>
          </a:extLst>
        </xdr:cNvPr>
        <xdr:cNvSpPr>
          <a:spLocks noChangeAspect="1" noChangeArrowheads="1"/>
        </xdr:cNvSpPr>
      </xdr:nvSpPr>
      <xdr:spPr bwMode="auto">
        <a:xfrm>
          <a:off x="7296150" y="8880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06" name="AutoShape 1024" descr="solunum yoluyla bulaşan hastalıklar ile ilgili görsel sonucu">
          <a:extLst>
            <a:ext uri="{FF2B5EF4-FFF2-40B4-BE49-F238E27FC236}">
              <a16:creationId xmlns:a16="http://schemas.microsoft.com/office/drawing/2014/main" id="{00000000-0008-0000-0900-0000CE000000}"/>
            </a:ext>
          </a:extLst>
        </xdr:cNvPr>
        <xdr:cNvSpPr>
          <a:spLocks noChangeAspect="1" noChangeArrowheads="1"/>
        </xdr:cNvSpPr>
      </xdr:nvSpPr>
      <xdr:spPr bwMode="auto">
        <a:xfrm>
          <a:off x="7296150" y="6657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07" name="AutoShape 1026" descr="solunum yoluyla bulaşan hastalıklar ile ilgili görsel sonucu">
          <a:extLst>
            <a:ext uri="{FF2B5EF4-FFF2-40B4-BE49-F238E27FC236}">
              <a16:creationId xmlns:a16="http://schemas.microsoft.com/office/drawing/2014/main" id="{00000000-0008-0000-0900-0000CF000000}"/>
            </a:ext>
          </a:extLst>
        </xdr:cNvPr>
        <xdr:cNvSpPr>
          <a:spLocks noChangeAspect="1" noChangeArrowheads="1"/>
        </xdr:cNvSpPr>
      </xdr:nvSpPr>
      <xdr:spPr bwMode="auto">
        <a:xfrm>
          <a:off x="7296150" y="6657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08" name="AutoShape 1024" descr="solunum yoluyla bulaşan hastalıklar ile ilgili görsel sonucu">
          <a:extLst>
            <a:ext uri="{FF2B5EF4-FFF2-40B4-BE49-F238E27FC236}">
              <a16:creationId xmlns:a16="http://schemas.microsoft.com/office/drawing/2014/main" id="{00000000-0008-0000-0900-0000D0000000}"/>
            </a:ext>
          </a:extLst>
        </xdr:cNvPr>
        <xdr:cNvSpPr>
          <a:spLocks noChangeAspect="1" noChangeArrowheads="1"/>
        </xdr:cNvSpPr>
      </xdr:nvSpPr>
      <xdr:spPr bwMode="auto">
        <a:xfrm>
          <a:off x="7296150" y="4752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09" name="AutoShape 1026" descr="solunum yoluyla bulaşan hastalıklar ile ilgili görsel sonucu">
          <a:extLst>
            <a:ext uri="{FF2B5EF4-FFF2-40B4-BE49-F238E27FC236}">
              <a16:creationId xmlns:a16="http://schemas.microsoft.com/office/drawing/2014/main" id="{00000000-0008-0000-0900-0000D1000000}"/>
            </a:ext>
          </a:extLst>
        </xdr:cNvPr>
        <xdr:cNvSpPr>
          <a:spLocks noChangeAspect="1" noChangeArrowheads="1"/>
        </xdr:cNvSpPr>
      </xdr:nvSpPr>
      <xdr:spPr bwMode="auto">
        <a:xfrm>
          <a:off x="7296150" y="4752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10" name="AutoShape 1024" descr="solunum yoluyla bulaşan hastalıklar ile ilgili görsel sonucu">
          <a:extLst>
            <a:ext uri="{FF2B5EF4-FFF2-40B4-BE49-F238E27FC236}">
              <a16:creationId xmlns:a16="http://schemas.microsoft.com/office/drawing/2014/main" id="{00000000-0008-0000-0900-0000D2000000}"/>
            </a:ext>
          </a:extLst>
        </xdr:cNvPr>
        <xdr:cNvSpPr>
          <a:spLocks noChangeAspect="1" noChangeArrowheads="1"/>
        </xdr:cNvSpPr>
      </xdr:nvSpPr>
      <xdr:spPr bwMode="auto">
        <a:xfrm>
          <a:off x="7296150" y="5229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11" name="AutoShape 1026" descr="solunum yoluyla bulaşan hastalıklar ile ilgili görsel sonucu">
          <a:extLst>
            <a:ext uri="{FF2B5EF4-FFF2-40B4-BE49-F238E27FC236}">
              <a16:creationId xmlns:a16="http://schemas.microsoft.com/office/drawing/2014/main" id="{00000000-0008-0000-0900-0000D3000000}"/>
            </a:ext>
          </a:extLst>
        </xdr:cNvPr>
        <xdr:cNvSpPr>
          <a:spLocks noChangeAspect="1" noChangeArrowheads="1"/>
        </xdr:cNvSpPr>
      </xdr:nvSpPr>
      <xdr:spPr bwMode="auto">
        <a:xfrm>
          <a:off x="7296150" y="5229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12" name="AutoShape 1024" descr="solunum yoluyla bulaşan hastalıklar ile ilgili görsel sonucu">
          <a:extLst>
            <a:ext uri="{FF2B5EF4-FFF2-40B4-BE49-F238E27FC236}">
              <a16:creationId xmlns:a16="http://schemas.microsoft.com/office/drawing/2014/main" id="{00000000-0008-0000-0900-0000D4000000}"/>
            </a:ext>
          </a:extLst>
        </xdr:cNvPr>
        <xdr:cNvSpPr>
          <a:spLocks noChangeAspect="1" noChangeArrowheads="1"/>
        </xdr:cNvSpPr>
      </xdr:nvSpPr>
      <xdr:spPr bwMode="auto">
        <a:xfrm>
          <a:off x="7296150" y="5387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13" name="AutoShape 1026" descr="solunum yoluyla bulaşan hastalıklar ile ilgili görsel sonucu">
          <a:extLst>
            <a:ext uri="{FF2B5EF4-FFF2-40B4-BE49-F238E27FC236}">
              <a16:creationId xmlns:a16="http://schemas.microsoft.com/office/drawing/2014/main" id="{00000000-0008-0000-0900-0000D5000000}"/>
            </a:ext>
          </a:extLst>
        </xdr:cNvPr>
        <xdr:cNvSpPr>
          <a:spLocks noChangeAspect="1" noChangeArrowheads="1"/>
        </xdr:cNvSpPr>
      </xdr:nvSpPr>
      <xdr:spPr bwMode="auto">
        <a:xfrm>
          <a:off x="7296150" y="5387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14" name="AutoShape 1024" descr="solunum yoluyla bulaşan hastalıklar ile ilgili görsel sonucu">
          <a:extLst>
            <a:ext uri="{FF2B5EF4-FFF2-40B4-BE49-F238E27FC236}">
              <a16:creationId xmlns:a16="http://schemas.microsoft.com/office/drawing/2014/main" id="{00000000-0008-0000-0900-0000D6000000}"/>
            </a:ext>
          </a:extLst>
        </xdr:cNvPr>
        <xdr:cNvSpPr>
          <a:spLocks noChangeAspect="1" noChangeArrowheads="1"/>
        </xdr:cNvSpPr>
      </xdr:nvSpPr>
      <xdr:spPr bwMode="auto">
        <a:xfrm>
          <a:off x="7296150" y="5705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15" name="AutoShape 1026" descr="solunum yoluyla bulaşan hastalıklar ile ilgili görsel sonucu">
          <a:extLst>
            <a:ext uri="{FF2B5EF4-FFF2-40B4-BE49-F238E27FC236}">
              <a16:creationId xmlns:a16="http://schemas.microsoft.com/office/drawing/2014/main" id="{00000000-0008-0000-0900-0000D7000000}"/>
            </a:ext>
          </a:extLst>
        </xdr:cNvPr>
        <xdr:cNvSpPr>
          <a:spLocks noChangeAspect="1" noChangeArrowheads="1"/>
        </xdr:cNvSpPr>
      </xdr:nvSpPr>
      <xdr:spPr bwMode="auto">
        <a:xfrm>
          <a:off x="7296150" y="5705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16" name="AutoShape 1024" descr="solunum yoluyla bulaşan hastalıklar ile ilgili görsel sonucu">
          <a:extLst>
            <a:ext uri="{FF2B5EF4-FFF2-40B4-BE49-F238E27FC236}">
              <a16:creationId xmlns:a16="http://schemas.microsoft.com/office/drawing/2014/main" id="{00000000-0008-0000-0900-0000D8000000}"/>
            </a:ext>
          </a:extLst>
        </xdr:cNvPr>
        <xdr:cNvSpPr>
          <a:spLocks noChangeAspect="1" noChangeArrowheads="1"/>
        </xdr:cNvSpPr>
      </xdr:nvSpPr>
      <xdr:spPr bwMode="auto">
        <a:xfrm>
          <a:off x="7296150" y="5705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17" name="AutoShape 1026" descr="solunum yoluyla bulaşan hastalıklar ile ilgili görsel sonucu">
          <a:extLst>
            <a:ext uri="{FF2B5EF4-FFF2-40B4-BE49-F238E27FC236}">
              <a16:creationId xmlns:a16="http://schemas.microsoft.com/office/drawing/2014/main" id="{00000000-0008-0000-0900-0000D9000000}"/>
            </a:ext>
          </a:extLst>
        </xdr:cNvPr>
        <xdr:cNvSpPr>
          <a:spLocks noChangeAspect="1" noChangeArrowheads="1"/>
        </xdr:cNvSpPr>
      </xdr:nvSpPr>
      <xdr:spPr bwMode="auto">
        <a:xfrm>
          <a:off x="7296150" y="5705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18" name="AutoShape 1024" descr="solunum yoluyla bulaşan hastalıklar ile ilgili görsel sonucu">
          <a:extLst>
            <a:ext uri="{FF2B5EF4-FFF2-40B4-BE49-F238E27FC236}">
              <a16:creationId xmlns:a16="http://schemas.microsoft.com/office/drawing/2014/main" id="{00000000-0008-0000-0900-0000DA000000}"/>
            </a:ext>
          </a:extLst>
        </xdr:cNvPr>
        <xdr:cNvSpPr>
          <a:spLocks noChangeAspect="1" noChangeArrowheads="1"/>
        </xdr:cNvSpPr>
      </xdr:nvSpPr>
      <xdr:spPr bwMode="auto">
        <a:xfrm>
          <a:off x="7296150" y="4594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19" name="AutoShape 1026" descr="solunum yoluyla bulaşan hastalıklar ile ilgili görsel sonucu">
          <a:extLst>
            <a:ext uri="{FF2B5EF4-FFF2-40B4-BE49-F238E27FC236}">
              <a16:creationId xmlns:a16="http://schemas.microsoft.com/office/drawing/2014/main" id="{00000000-0008-0000-0900-0000DB000000}"/>
            </a:ext>
          </a:extLst>
        </xdr:cNvPr>
        <xdr:cNvSpPr>
          <a:spLocks noChangeAspect="1" noChangeArrowheads="1"/>
        </xdr:cNvSpPr>
      </xdr:nvSpPr>
      <xdr:spPr bwMode="auto">
        <a:xfrm>
          <a:off x="7296150" y="4594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20" name="AutoShape 1024" descr="solunum yoluyla bulaşan hastalıklar ile ilgili görsel sonucu">
          <a:extLst>
            <a:ext uri="{FF2B5EF4-FFF2-40B4-BE49-F238E27FC236}">
              <a16:creationId xmlns:a16="http://schemas.microsoft.com/office/drawing/2014/main" id="{00000000-0008-0000-0900-0000DC000000}"/>
            </a:ext>
          </a:extLst>
        </xdr:cNvPr>
        <xdr:cNvSpPr>
          <a:spLocks noChangeAspect="1" noChangeArrowheads="1"/>
        </xdr:cNvSpPr>
      </xdr:nvSpPr>
      <xdr:spPr bwMode="auto">
        <a:xfrm>
          <a:off x="7296150" y="5864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21" name="AutoShape 1026" descr="solunum yoluyla bulaşan hastalıklar ile ilgili görsel sonucu">
          <a:extLst>
            <a:ext uri="{FF2B5EF4-FFF2-40B4-BE49-F238E27FC236}">
              <a16:creationId xmlns:a16="http://schemas.microsoft.com/office/drawing/2014/main" id="{00000000-0008-0000-0900-0000DD000000}"/>
            </a:ext>
          </a:extLst>
        </xdr:cNvPr>
        <xdr:cNvSpPr>
          <a:spLocks noChangeAspect="1" noChangeArrowheads="1"/>
        </xdr:cNvSpPr>
      </xdr:nvSpPr>
      <xdr:spPr bwMode="auto">
        <a:xfrm>
          <a:off x="7296150" y="5864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22" name="AutoShape 1024" descr="solunum yoluyla bulaşan hastalıklar ile ilgili görsel sonucu">
          <a:extLst>
            <a:ext uri="{FF2B5EF4-FFF2-40B4-BE49-F238E27FC236}">
              <a16:creationId xmlns:a16="http://schemas.microsoft.com/office/drawing/2014/main" id="{00000000-0008-0000-0900-0000DE000000}"/>
            </a:ext>
          </a:extLst>
        </xdr:cNvPr>
        <xdr:cNvSpPr>
          <a:spLocks noChangeAspect="1" noChangeArrowheads="1"/>
        </xdr:cNvSpPr>
      </xdr:nvSpPr>
      <xdr:spPr bwMode="auto">
        <a:xfrm>
          <a:off x="7296150" y="6022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23" name="AutoShape 1026" descr="solunum yoluyla bulaşan hastalıklar ile ilgili görsel sonucu">
          <a:extLst>
            <a:ext uri="{FF2B5EF4-FFF2-40B4-BE49-F238E27FC236}">
              <a16:creationId xmlns:a16="http://schemas.microsoft.com/office/drawing/2014/main" id="{00000000-0008-0000-0900-0000DF000000}"/>
            </a:ext>
          </a:extLst>
        </xdr:cNvPr>
        <xdr:cNvSpPr>
          <a:spLocks noChangeAspect="1" noChangeArrowheads="1"/>
        </xdr:cNvSpPr>
      </xdr:nvSpPr>
      <xdr:spPr bwMode="auto">
        <a:xfrm>
          <a:off x="7296150" y="6022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24" name="AutoShape 1024" descr="solunum yoluyla bulaşan hastalıklar ile ilgili görsel sonucu">
          <a:extLst>
            <a:ext uri="{FF2B5EF4-FFF2-40B4-BE49-F238E27FC236}">
              <a16:creationId xmlns:a16="http://schemas.microsoft.com/office/drawing/2014/main" id="{00000000-0008-0000-0900-0000E0000000}"/>
            </a:ext>
          </a:extLst>
        </xdr:cNvPr>
        <xdr:cNvSpPr>
          <a:spLocks noChangeAspect="1" noChangeArrowheads="1"/>
        </xdr:cNvSpPr>
      </xdr:nvSpPr>
      <xdr:spPr bwMode="auto">
        <a:xfrm>
          <a:off x="7296150" y="5387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25" name="AutoShape 1026" descr="solunum yoluyla bulaşan hastalıklar ile ilgili görsel sonucu">
          <a:extLst>
            <a:ext uri="{FF2B5EF4-FFF2-40B4-BE49-F238E27FC236}">
              <a16:creationId xmlns:a16="http://schemas.microsoft.com/office/drawing/2014/main" id="{00000000-0008-0000-0900-0000E1000000}"/>
            </a:ext>
          </a:extLst>
        </xdr:cNvPr>
        <xdr:cNvSpPr>
          <a:spLocks noChangeAspect="1" noChangeArrowheads="1"/>
        </xdr:cNvSpPr>
      </xdr:nvSpPr>
      <xdr:spPr bwMode="auto">
        <a:xfrm>
          <a:off x="7296150" y="5387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26" name="AutoShape 1024" descr="solunum yoluyla bulaşan hastalıklar ile ilgili görsel sonucu">
          <a:extLst>
            <a:ext uri="{FF2B5EF4-FFF2-40B4-BE49-F238E27FC236}">
              <a16:creationId xmlns:a16="http://schemas.microsoft.com/office/drawing/2014/main" id="{00000000-0008-0000-0900-0000E2000000}"/>
            </a:ext>
          </a:extLst>
        </xdr:cNvPr>
        <xdr:cNvSpPr>
          <a:spLocks noChangeAspect="1" noChangeArrowheads="1"/>
        </xdr:cNvSpPr>
      </xdr:nvSpPr>
      <xdr:spPr bwMode="auto">
        <a:xfrm>
          <a:off x="7296150" y="554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27" name="AutoShape 1026" descr="solunum yoluyla bulaşan hastalıklar ile ilgili görsel sonucu">
          <a:extLst>
            <a:ext uri="{FF2B5EF4-FFF2-40B4-BE49-F238E27FC236}">
              <a16:creationId xmlns:a16="http://schemas.microsoft.com/office/drawing/2014/main" id="{00000000-0008-0000-0900-0000E3000000}"/>
            </a:ext>
          </a:extLst>
        </xdr:cNvPr>
        <xdr:cNvSpPr>
          <a:spLocks noChangeAspect="1" noChangeArrowheads="1"/>
        </xdr:cNvSpPr>
      </xdr:nvSpPr>
      <xdr:spPr bwMode="auto">
        <a:xfrm>
          <a:off x="7296150" y="554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28" name="AutoShape 1024" descr="solunum yoluyla bulaşan hastalıklar ile ilgili görsel sonucu">
          <a:extLst>
            <a:ext uri="{FF2B5EF4-FFF2-40B4-BE49-F238E27FC236}">
              <a16:creationId xmlns:a16="http://schemas.microsoft.com/office/drawing/2014/main" id="{00000000-0008-0000-0900-0000E4000000}"/>
            </a:ext>
          </a:extLst>
        </xdr:cNvPr>
        <xdr:cNvSpPr>
          <a:spLocks noChangeAspect="1" noChangeArrowheads="1"/>
        </xdr:cNvSpPr>
      </xdr:nvSpPr>
      <xdr:spPr bwMode="auto">
        <a:xfrm>
          <a:off x="7296150" y="554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29" name="AutoShape 1026" descr="solunum yoluyla bulaşan hastalıklar ile ilgili görsel sonucu">
          <a:extLst>
            <a:ext uri="{FF2B5EF4-FFF2-40B4-BE49-F238E27FC236}">
              <a16:creationId xmlns:a16="http://schemas.microsoft.com/office/drawing/2014/main" id="{00000000-0008-0000-0900-0000E5000000}"/>
            </a:ext>
          </a:extLst>
        </xdr:cNvPr>
        <xdr:cNvSpPr>
          <a:spLocks noChangeAspect="1" noChangeArrowheads="1"/>
        </xdr:cNvSpPr>
      </xdr:nvSpPr>
      <xdr:spPr bwMode="auto">
        <a:xfrm>
          <a:off x="7296150" y="554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30" name="AutoShape 1024" descr="solunum yoluyla bulaşan hastalıklar ile ilgili görsel sonucu">
          <a:extLst>
            <a:ext uri="{FF2B5EF4-FFF2-40B4-BE49-F238E27FC236}">
              <a16:creationId xmlns:a16="http://schemas.microsoft.com/office/drawing/2014/main" id="{00000000-0008-0000-0900-0000E6000000}"/>
            </a:ext>
          </a:extLst>
        </xdr:cNvPr>
        <xdr:cNvSpPr>
          <a:spLocks noChangeAspect="1" noChangeArrowheads="1"/>
        </xdr:cNvSpPr>
      </xdr:nvSpPr>
      <xdr:spPr bwMode="auto">
        <a:xfrm>
          <a:off x="7296150" y="9039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31" name="AutoShape 1026" descr="solunum yoluyla bulaşan hastalıklar ile ilgili görsel sonucu">
          <a:extLst>
            <a:ext uri="{FF2B5EF4-FFF2-40B4-BE49-F238E27FC236}">
              <a16:creationId xmlns:a16="http://schemas.microsoft.com/office/drawing/2014/main" id="{00000000-0008-0000-0900-0000E7000000}"/>
            </a:ext>
          </a:extLst>
        </xdr:cNvPr>
        <xdr:cNvSpPr>
          <a:spLocks noChangeAspect="1" noChangeArrowheads="1"/>
        </xdr:cNvSpPr>
      </xdr:nvSpPr>
      <xdr:spPr bwMode="auto">
        <a:xfrm>
          <a:off x="7296150" y="9039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32" name="AutoShape 1024" descr="solunum yoluyla bulaşan hastalıklar ile ilgili görsel sonucu">
          <a:extLst>
            <a:ext uri="{FF2B5EF4-FFF2-40B4-BE49-F238E27FC236}">
              <a16:creationId xmlns:a16="http://schemas.microsoft.com/office/drawing/2014/main" id="{00000000-0008-0000-0900-0000E8000000}"/>
            </a:ext>
          </a:extLst>
        </xdr:cNvPr>
        <xdr:cNvSpPr>
          <a:spLocks noChangeAspect="1" noChangeArrowheads="1"/>
        </xdr:cNvSpPr>
      </xdr:nvSpPr>
      <xdr:spPr bwMode="auto">
        <a:xfrm>
          <a:off x="7296150" y="5070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33" name="AutoShape 1026" descr="solunum yoluyla bulaşan hastalıklar ile ilgili görsel sonucu">
          <a:extLst>
            <a:ext uri="{FF2B5EF4-FFF2-40B4-BE49-F238E27FC236}">
              <a16:creationId xmlns:a16="http://schemas.microsoft.com/office/drawing/2014/main" id="{00000000-0008-0000-0900-0000E9000000}"/>
            </a:ext>
          </a:extLst>
        </xdr:cNvPr>
        <xdr:cNvSpPr>
          <a:spLocks noChangeAspect="1" noChangeArrowheads="1"/>
        </xdr:cNvSpPr>
      </xdr:nvSpPr>
      <xdr:spPr bwMode="auto">
        <a:xfrm>
          <a:off x="7296150" y="5070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34" name="AutoShape 1024" descr="solunum yoluyla bulaşan hastalıklar ile ilgili görsel sonucu">
          <a:extLst>
            <a:ext uri="{FF2B5EF4-FFF2-40B4-BE49-F238E27FC236}">
              <a16:creationId xmlns:a16="http://schemas.microsoft.com/office/drawing/2014/main" id="{00000000-0008-0000-0900-0000EA000000}"/>
            </a:ext>
          </a:extLst>
        </xdr:cNvPr>
        <xdr:cNvSpPr>
          <a:spLocks noChangeAspect="1" noChangeArrowheads="1"/>
        </xdr:cNvSpPr>
      </xdr:nvSpPr>
      <xdr:spPr bwMode="auto">
        <a:xfrm>
          <a:off x="7296150" y="491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35" name="AutoShape 1026" descr="solunum yoluyla bulaşan hastalıklar ile ilgili görsel sonucu">
          <a:extLst>
            <a:ext uri="{FF2B5EF4-FFF2-40B4-BE49-F238E27FC236}">
              <a16:creationId xmlns:a16="http://schemas.microsoft.com/office/drawing/2014/main" id="{00000000-0008-0000-0900-0000EB000000}"/>
            </a:ext>
          </a:extLst>
        </xdr:cNvPr>
        <xdr:cNvSpPr>
          <a:spLocks noChangeAspect="1" noChangeArrowheads="1"/>
        </xdr:cNvSpPr>
      </xdr:nvSpPr>
      <xdr:spPr bwMode="auto">
        <a:xfrm>
          <a:off x="7296150" y="491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36" name="AutoShape 1024" descr="solunum yoluyla bulaşan hastalıklar ile ilgili görsel sonucu">
          <a:extLst>
            <a:ext uri="{FF2B5EF4-FFF2-40B4-BE49-F238E27FC236}">
              <a16:creationId xmlns:a16="http://schemas.microsoft.com/office/drawing/2014/main" id="{00000000-0008-0000-0900-0000EC000000}"/>
            </a:ext>
          </a:extLst>
        </xdr:cNvPr>
        <xdr:cNvSpPr>
          <a:spLocks noChangeAspect="1" noChangeArrowheads="1"/>
        </xdr:cNvSpPr>
      </xdr:nvSpPr>
      <xdr:spPr bwMode="auto">
        <a:xfrm>
          <a:off x="7296150" y="6340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37" name="AutoShape 1026" descr="solunum yoluyla bulaşan hastalıklar ile ilgili görsel sonucu">
          <a:extLst>
            <a:ext uri="{FF2B5EF4-FFF2-40B4-BE49-F238E27FC236}">
              <a16:creationId xmlns:a16="http://schemas.microsoft.com/office/drawing/2014/main" id="{00000000-0008-0000-0900-0000ED000000}"/>
            </a:ext>
          </a:extLst>
        </xdr:cNvPr>
        <xdr:cNvSpPr>
          <a:spLocks noChangeAspect="1" noChangeArrowheads="1"/>
        </xdr:cNvSpPr>
      </xdr:nvSpPr>
      <xdr:spPr bwMode="auto">
        <a:xfrm>
          <a:off x="7296150" y="6340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38" name="AutoShape 1024" descr="solunum yoluyla bulaşan hastalıklar ile ilgili görsel sonucu">
          <a:extLst>
            <a:ext uri="{FF2B5EF4-FFF2-40B4-BE49-F238E27FC236}">
              <a16:creationId xmlns:a16="http://schemas.microsoft.com/office/drawing/2014/main" id="{00000000-0008-0000-0900-0000EE000000}"/>
            </a:ext>
          </a:extLst>
        </xdr:cNvPr>
        <xdr:cNvSpPr>
          <a:spLocks noChangeAspect="1" noChangeArrowheads="1"/>
        </xdr:cNvSpPr>
      </xdr:nvSpPr>
      <xdr:spPr bwMode="auto">
        <a:xfrm>
          <a:off x="7296150" y="9674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39" name="AutoShape 1026" descr="solunum yoluyla bulaşan hastalıklar ile ilgili görsel sonucu">
          <a:extLst>
            <a:ext uri="{FF2B5EF4-FFF2-40B4-BE49-F238E27FC236}">
              <a16:creationId xmlns:a16="http://schemas.microsoft.com/office/drawing/2014/main" id="{00000000-0008-0000-0900-0000EF000000}"/>
            </a:ext>
          </a:extLst>
        </xdr:cNvPr>
        <xdr:cNvSpPr>
          <a:spLocks noChangeAspect="1" noChangeArrowheads="1"/>
        </xdr:cNvSpPr>
      </xdr:nvSpPr>
      <xdr:spPr bwMode="auto">
        <a:xfrm>
          <a:off x="7296150" y="9674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40" name="AutoShape 1024" descr="solunum yoluyla bulaşan hastalıklar ile ilgili görsel sonucu">
          <a:extLst>
            <a:ext uri="{FF2B5EF4-FFF2-40B4-BE49-F238E27FC236}">
              <a16:creationId xmlns:a16="http://schemas.microsoft.com/office/drawing/2014/main" id="{00000000-0008-0000-0900-0000F0000000}"/>
            </a:ext>
          </a:extLst>
        </xdr:cNvPr>
        <xdr:cNvSpPr>
          <a:spLocks noChangeAspect="1" noChangeArrowheads="1"/>
        </xdr:cNvSpPr>
      </xdr:nvSpPr>
      <xdr:spPr bwMode="auto">
        <a:xfrm>
          <a:off x="7296150" y="935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41" name="AutoShape 1026" descr="solunum yoluyla bulaşan hastalıklar ile ilgili görsel sonucu">
          <a:extLst>
            <a:ext uri="{FF2B5EF4-FFF2-40B4-BE49-F238E27FC236}">
              <a16:creationId xmlns:a16="http://schemas.microsoft.com/office/drawing/2014/main" id="{00000000-0008-0000-0900-0000F1000000}"/>
            </a:ext>
          </a:extLst>
        </xdr:cNvPr>
        <xdr:cNvSpPr>
          <a:spLocks noChangeAspect="1" noChangeArrowheads="1"/>
        </xdr:cNvSpPr>
      </xdr:nvSpPr>
      <xdr:spPr bwMode="auto">
        <a:xfrm>
          <a:off x="7296150" y="935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42" name="AutoShape 1024" descr="solunum yoluyla bulaşan hastalıklar ile ilgili görsel sonucu">
          <a:extLst>
            <a:ext uri="{FF2B5EF4-FFF2-40B4-BE49-F238E27FC236}">
              <a16:creationId xmlns:a16="http://schemas.microsoft.com/office/drawing/2014/main" id="{00000000-0008-0000-0900-0000F2000000}"/>
            </a:ext>
          </a:extLst>
        </xdr:cNvPr>
        <xdr:cNvSpPr>
          <a:spLocks noChangeAspect="1" noChangeArrowheads="1"/>
        </xdr:cNvSpPr>
      </xdr:nvSpPr>
      <xdr:spPr bwMode="auto">
        <a:xfrm>
          <a:off x="7296150" y="9197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43" name="AutoShape 1026" descr="solunum yoluyla bulaşan hastalıklar ile ilgili görsel sonucu">
          <a:extLst>
            <a:ext uri="{FF2B5EF4-FFF2-40B4-BE49-F238E27FC236}">
              <a16:creationId xmlns:a16="http://schemas.microsoft.com/office/drawing/2014/main" id="{00000000-0008-0000-0900-0000F3000000}"/>
            </a:ext>
          </a:extLst>
        </xdr:cNvPr>
        <xdr:cNvSpPr>
          <a:spLocks noChangeAspect="1" noChangeArrowheads="1"/>
        </xdr:cNvSpPr>
      </xdr:nvSpPr>
      <xdr:spPr bwMode="auto">
        <a:xfrm>
          <a:off x="7296150" y="9197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44" name="AutoShape 1024" descr="solunum yoluyla bulaşan hastalıklar ile ilgili görsel sonucu">
          <a:extLst>
            <a:ext uri="{FF2B5EF4-FFF2-40B4-BE49-F238E27FC236}">
              <a16:creationId xmlns:a16="http://schemas.microsoft.com/office/drawing/2014/main" id="{00000000-0008-0000-0900-0000F4000000}"/>
            </a:ext>
          </a:extLst>
        </xdr:cNvPr>
        <xdr:cNvSpPr>
          <a:spLocks noChangeAspect="1" noChangeArrowheads="1"/>
        </xdr:cNvSpPr>
      </xdr:nvSpPr>
      <xdr:spPr bwMode="auto">
        <a:xfrm>
          <a:off x="7296150" y="11737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45" name="AutoShape 1026" descr="solunum yoluyla bulaşan hastalıklar ile ilgili görsel sonucu">
          <a:extLst>
            <a:ext uri="{FF2B5EF4-FFF2-40B4-BE49-F238E27FC236}">
              <a16:creationId xmlns:a16="http://schemas.microsoft.com/office/drawing/2014/main" id="{00000000-0008-0000-0900-0000F5000000}"/>
            </a:ext>
          </a:extLst>
        </xdr:cNvPr>
        <xdr:cNvSpPr>
          <a:spLocks noChangeAspect="1" noChangeArrowheads="1"/>
        </xdr:cNvSpPr>
      </xdr:nvSpPr>
      <xdr:spPr bwMode="auto">
        <a:xfrm>
          <a:off x="7296150" y="11737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46" name="AutoShape 1024" descr="solunum yoluyla bulaşan hastalıklar ile ilgili görsel sonucu">
          <a:extLst>
            <a:ext uri="{FF2B5EF4-FFF2-40B4-BE49-F238E27FC236}">
              <a16:creationId xmlns:a16="http://schemas.microsoft.com/office/drawing/2014/main" id="{00000000-0008-0000-0900-0000F6000000}"/>
            </a:ext>
          </a:extLst>
        </xdr:cNvPr>
        <xdr:cNvSpPr>
          <a:spLocks noChangeAspect="1" noChangeArrowheads="1"/>
        </xdr:cNvSpPr>
      </xdr:nvSpPr>
      <xdr:spPr bwMode="auto">
        <a:xfrm>
          <a:off x="7296150" y="1189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47" name="AutoShape 1026" descr="solunum yoluyla bulaşan hastalıklar ile ilgili görsel sonucu">
          <a:extLst>
            <a:ext uri="{FF2B5EF4-FFF2-40B4-BE49-F238E27FC236}">
              <a16:creationId xmlns:a16="http://schemas.microsoft.com/office/drawing/2014/main" id="{00000000-0008-0000-0900-0000F7000000}"/>
            </a:ext>
          </a:extLst>
        </xdr:cNvPr>
        <xdr:cNvSpPr>
          <a:spLocks noChangeAspect="1" noChangeArrowheads="1"/>
        </xdr:cNvSpPr>
      </xdr:nvSpPr>
      <xdr:spPr bwMode="auto">
        <a:xfrm>
          <a:off x="7296150" y="1189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48" name="AutoShape 1024" descr="solunum yoluyla bulaşan hastalıklar ile ilgili görsel sonucu">
          <a:extLst>
            <a:ext uri="{FF2B5EF4-FFF2-40B4-BE49-F238E27FC236}">
              <a16:creationId xmlns:a16="http://schemas.microsoft.com/office/drawing/2014/main" id="{00000000-0008-0000-0900-0000F8000000}"/>
            </a:ext>
          </a:extLst>
        </xdr:cNvPr>
        <xdr:cNvSpPr>
          <a:spLocks noChangeAspect="1" noChangeArrowheads="1"/>
        </xdr:cNvSpPr>
      </xdr:nvSpPr>
      <xdr:spPr bwMode="auto">
        <a:xfrm>
          <a:off x="7296150" y="11737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49" name="AutoShape 1026" descr="solunum yoluyla bulaşan hastalıklar ile ilgili görsel sonucu">
          <a:extLst>
            <a:ext uri="{FF2B5EF4-FFF2-40B4-BE49-F238E27FC236}">
              <a16:creationId xmlns:a16="http://schemas.microsoft.com/office/drawing/2014/main" id="{00000000-0008-0000-0900-0000F9000000}"/>
            </a:ext>
          </a:extLst>
        </xdr:cNvPr>
        <xdr:cNvSpPr>
          <a:spLocks noChangeAspect="1" noChangeArrowheads="1"/>
        </xdr:cNvSpPr>
      </xdr:nvSpPr>
      <xdr:spPr bwMode="auto">
        <a:xfrm>
          <a:off x="7296150" y="11737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50" name="AutoShape 1024" descr="solunum yoluyla bulaşan hastalıklar ile ilgili görsel sonucu">
          <a:extLst>
            <a:ext uri="{FF2B5EF4-FFF2-40B4-BE49-F238E27FC236}">
              <a16:creationId xmlns:a16="http://schemas.microsoft.com/office/drawing/2014/main" id="{00000000-0008-0000-0900-0000FA000000}"/>
            </a:ext>
          </a:extLst>
        </xdr:cNvPr>
        <xdr:cNvSpPr>
          <a:spLocks noChangeAspect="1" noChangeArrowheads="1"/>
        </xdr:cNvSpPr>
      </xdr:nvSpPr>
      <xdr:spPr bwMode="auto">
        <a:xfrm>
          <a:off x="7296150" y="11737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51" name="AutoShape 1026" descr="solunum yoluyla bulaşan hastalıklar ile ilgili görsel sonucu">
          <a:extLst>
            <a:ext uri="{FF2B5EF4-FFF2-40B4-BE49-F238E27FC236}">
              <a16:creationId xmlns:a16="http://schemas.microsoft.com/office/drawing/2014/main" id="{00000000-0008-0000-0900-0000FB000000}"/>
            </a:ext>
          </a:extLst>
        </xdr:cNvPr>
        <xdr:cNvSpPr>
          <a:spLocks noChangeAspect="1" noChangeArrowheads="1"/>
        </xdr:cNvSpPr>
      </xdr:nvSpPr>
      <xdr:spPr bwMode="auto">
        <a:xfrm>
          <a:off x="7296150" y="11737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52" name="AutoShape 1024" descr="solunum yoluyla bulaşan hastalıklar ile ilgili görsel sonucu">
          <a:extLst>
            <a:ext uri="{FF2B5EF4-FFF2-40B4-BE49-F238E27FC236}">
              <a16:creationId xmlns:a16="http://schemas.microsoft.com/office/drawing/2014/main" id="{00000000-0008-0000-0900-0000FC000000}"/>
            </a:ext>
          </a:extLst>
        </xdr:cNvPr>
        <xdr:cNvSpPr>
          <a:spLocks noChangeAspect="1" noChangeArrowheads="1"/>
        </xdr:cNvSpPr>
      </xdr:nvSpPr>
      <xdr:spPr bwMode="auto">
        <a:xfrm>
          <a:off x="7296150" y="12214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53" name="AutoShape 1026" descr="solunum yoluyla bulaşan hastalıklar ile ilgili görsel sonucu">
          <a:extLst>
            <a:ext uri="{FF2B5EF4-FFF2-40B4-BE49-F238E27FC236}">
              <a16:creationId xmlns:a16="http://schemas.microsoft.com/office/drawing/2014/main" id="{00000000-0008-0000-0900-0000FD000000}"/>
            </a:ext>
          </a:extLst>
        </xdr:cNvPr>
        <xdr:cNvSpPr>
          <a:spLocks noChangeAspect="1" noChangeArrowheads="1"/>
        </xdr:cNvSpPr>
      </xdr:nvSpPr>
      <xdr:spPr bwMode="auto">
        <a:xfrm>
          <a:off x="7296150" y="12214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54" name="AutoShape 1024" descr="solunum yoluyla bulaşan hastalıklar ile ilgili görsel sonucu">
          <a:extLst>
            <a:ext uri="{FF2B5EF4-FFF2-40B4-BE49-F238E27FC236}">
              <a16:creationId xmlns:a16="http://schemas.microsoft.com/office/drawing/2014/main" id="{00000000-0008-0000-0900-0000FE000000}"/>
            </a:ext>
          </a:extLst>
        </xdr:cNvPr>
        <xdr:cNvSpPr>
          <a:spLocks noChangeAspect="1" noChangeArrowheads="1"/>
        </xdr:cNvSpPr>
      </xdr:nvSpPr>
      <xdr:spPr bwMode="auto">
        <a:xfrm>
          <a:off x="7296150" y="11737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55" name="AutoShape 1026" descr="solunum yoluyla bulaşan hastalıklar ile ilgili görsel sonucu">
          <a:extLst>
            <a:ext uri="{FF2B5EF4-FFF2-40B4-BE49-F238E27FC236}">
              <a16:creationId xmlns:a16="http://schemas.microsoft.com/office/drawing/2014/main" id="{00000000-0008-0000-0900-0000FF000000}"/>
            </a:ext>
          </a:extLst>
        </xdr:cNvPr>
        <xdr:cNvSpPr>
          <a:spLocks noChangeAspect="1" noChangeArrowheads="1"/>
        </xdr:cNvSpPr>
      </xdr:nvSpPr>
      <xdr:spPr bwMode="auto">
        <a:xfrm>
          <a:off x="7296150" y="11737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56" name="AutoShape 1024" descr="solunum yoluyla bulaşan hastalıklar ile ilgili görsel sonucu">
          <a:extLst>
            <a:ext uri="{FF2B5EF4-FFF2-40B4-BE49-F238E27FC236}">
              <a16:creationId xmlns:a16="http://schemas.microsoft.com/office/drawing/2014/main" id="{00000000-0008-0000-0900-000000010000}"/>
            </a:ext>
          </a:extLst>
        </xdr:cNvPr>
        <xdr:cNvSpPr>
          <a:spLocks noChangeAspect="1" noChangeArrowheads="1"/>
        </xdr:cNvSpPr>
      </xdr:nvSpPr>
      <xdr:spPr bwMode="auto">
        <a:xfrm>
          <a:off x="7296150" y="12214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57" name="AutoShape 1026" descr="solunum yoluyla bulaşan hastalıklar ile ilgili görsel sonucu">
          <a:extLst>
            <a:ext uri="{FF2B5EF4-FFF2-40B4-BE49-F238E27FC236}">
              <a16:creationId xmlns:a16="http://schemas.microsoft.com/office/drawing/2014/main" id="{00000000-0008-0000-0900-000001010000}"/>
            </a:ext>
          </a:extLst>
        </xdr:cNvPr>
        <xdr:cNvSpPr>
          <a:spLocks noChangeAspect="1" noChangeArrowheads="1"/>
        </xdr:cNvSpPr>
      </xdr:nvSpPr>
      <xdr:spPr bwMode="auto">
        <a:xfrm>
          <a:off x="7296150" y="12214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58" name="AutoShape 1024" descr="solunum yoluyla bulaşan hastalıklar ile ilgili görsel sonucu">
          <a:extLst>
            <a:ext uri="{FF2B5EF4-FFF2-40B4-BE49-F238E27FC236}">
              <a16:creationId xmlns:a16="http://schemas.microsoft.com/office/drawing/2014/main" id="{00000000-0008-0000-0900-000002010000}"/>
            </a:ext>
          </a:extLst>
        </xdr:cNvPr>
        <xdr:cNvSpPr>
          <a:spLocks noChangeAspect="1" noChangeArrowheads="1"/>
        </xdr:cNvSpPr>
      </xdr:nvSpPr>
      <xdr:spPr bwMode="auto">
        <a:xfrm>
          <a:off x="7296150" y="1253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59" name="AutoShape 1026" descr="solunum yoluyla bulaşan hastalıklar ile ilgili görsel sonucu">
          <a:extLst>
            <a:ext uri="{FF2B5EF4-FFF2-40B4-BE49-F238E27FC236}">
              <a16:creationId xmlns:a16="http://schemas.microsoft.com/office/drawing/2014/main" id="{00000000-0008-0000-0900-000003010000}"/>
            </a:ext>
          </a:extLst>
        </xdr:cNvPr>
        <xdr:cNvSpPr>
          <a:spLocks noChangeAspect="1" noChangeArrowheads="1"/>
        </xdr:cNvSpPr>
      </xdr:nvSpPr>
      <xdr:spPr bwMode="auto">
        <a:xfrm>
          <a:off x="7296150" y="1253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60" name="AutoShape 1024" descr="solunum yoluyla bulaşan hastalıklar ile ilgili görsel sonucu">
          <a:extLst>
            <a:ext uri="{FF2B5EF4-FFF2-40B4-BE49-F238E27FC236}">
              <a16:creationId xmlns:a16="http://schemas.microsoft.com/office/drawing/2014/main" id="{00000000-0008-0000-0900-000004010000}"/>
            </a:ext>
          </a:extLst>
        </xdr:cNvPr>
        <xdr:cNvSpPr>
          <a:spLocks noChangeAspect="1" noChangeArrowheads="1"/>
        </xdr:cNvSpPr>
      </xdr:nvSpPr>
      <xdr:spPr bwMode="auto">
        <a:xfrm>
          <a:off x="7296150" y="1253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61" name="AutoShape 1026" descr="solunum yoluyla bulaşan hastalıklar ile ilgili görsel sonucu">
          <a:extLst>
            <a:ext uri="{FF2B5EF4-FFF2-40B4-BE49-F238E27FC236}">
              <a16:creationId xmlns:a16="http://schemas.microsoft.com/office/drawing/2014/main" id="{00000000-0008-0000-0900-000005010000}"/>
            </a:ext>
          </a:extLst>
        </xdr:cNvPr>
        <xdr:cNvSpPr>
          <a:spLocks noChangeAspect="1" noChangeArrowheads="1"/>
        </xdr:cNvSpPr>
      </xdr:nvSpPr>
      <xdr:spPr bwMode="auto">
        <a:xfrm>
          <a:off x="7296150" y="1253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62" name="AutoShape 1024" descr="solunum yoluyla bulaşan hastalıklar ile ilgili görsel sonucu">
          <a:extLst>
            <a:ext uri="{FF2B5EF4-FFF2-40B4-BE49-F238E27FC236}">
              <a16:creationId xmlns:a16="http://schemas.microsoft.com/office/drawing/2014/main" id="{00000000-0008-0000-0900-000006010000}"/>
            </a:ext>
          </a:extLst>
        </xdr:cNvPr>
        <xdr:cNvSpPr>
          <a:spLocks noChangeAspect="1" noChangeArrowheads="1"/>
        </xdr:cNvSpPr>
      </xdr:nvSpPr>
      <xdr:spPr bwMode="auto">
        <a:xfrm>
          <a:off x="7296150" y="1253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63" name="AutoShape 1026" descr="solunum yoluyla bulaşan hastalıklar ile ilgili görsel sonucu">
          <a:extLst>
            <a:ext uri="{FF2B5EF4-FFF2-40B4-BE49-F238E27FC236}">
              <a16:creationId xmlns:a16="http://schemas.microsoft.com/office/drawing/2014/main" id="{00000000-0008-0000-0900-000007010000}"/>
            </a:ext>
          </a:extLst>
        </xdr:cNvPr>
        <xdr:cNvSpPr>
          <a:spLocks noChangeAspect="1" noChangeArrowheads="1"/>
        </xdr:cNvSpPr>
      </xdr:nvSpPr>
      <xdr:spPr bwMode="auto">
        <a:xfrm>
          <a:off x="7296150" y="1253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64" name="AutoShape 1024" descr="solunum yoluyla bulaşan hastalıklar ile ilgili görsel sonucu">
          <a:extLst>
            <a:ext uri="{FF2B5EF4-FFF2-40B4-BE49-F238E27FC236}">
              <a16:creationId xmlns:a16="http://schemas.microsoft.com/office/drawing/2014/main" id="{00000000-0008-0000-0900-000008010000}"/>
            </a:ext>
          </a:extLst>
        </xdr:cNvPr>
        <xdr:cNvSpPr>
          <a:spLocks noChangeAspect="1" noChangeArrowheads="1"/>
        </xdr:cNvSpPr>
      </xdr:nvSpPr>
      <xdr:spPr bwMode="auto">
        <a:xfrm>
          <a:off x="7296150" y="1253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65" name="AutoShape 1026" descr="solunum yoluyla bulaşan hastalıklar ile ilgili görsel sonucu">
          <a:extLst>
            <a:ext uri="{FF2B5EF4-FFF2-40B4-BE49-F238E27FC236}">
              <a16:creationId xmlns:a16="http://schemas.microsoft.com/office/drawing/2014/main" id="{00000000-0008-0000-0900-000009010000}"/>
            </a:ext>
          </a:extLst>
        </xdr:cNvPr>
        <xdr:cNvSpPr>
          <a:spLocks noChangeAspect="1" noChangeArrowheads="1"/>
        </xdr:cNvSpPr>
      </xdr:nvSpPr>
      <xdr:spPr bwMode="auto">
        <a:xfrm>
          <a:off x="7296150" y="1253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66" name="AutoShape 1024" descr="solunum yoluyla bulaşan hastalıklar ile ilgili görsel sonucu">
          <a:extLst>
            <a:ext uri="{FF2B5EF4-FFF2-40B4-BE49-F238E27FC236}">
              <a16:creationId xmlns:a16="http://schemas.microsoft.com/office/drawing/2014/main" id="{00000000-0008-0000-0900-00000A010000}"/>
            </a:ext>
          </a:extLst>
        </xdr:cNvPr>
        <xdr:cNvSpPr>
          <a:spLocks noChangeAspect="1" noChangeArrowheads="1"/>
        </xdr:cNvSpPr>
      </xdr:nvSpPr>
      <xdr:spPr bwMode="auto">
        <a:xfrm>
          <a:off x="7296150" y="1253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67" name="AutoShape 1026" descr="solunum yoluyla bulaşan hastalıklar ile ilgili görsel sonucu">
          <a:extLst>
            <a:ext uri="{FF2B5EF4-FFF2-40B4-BE49-F238E27FC236}">
              <a16:creationId xmlns:a16="http://schemas.microsoft.com/office/drawing/2014/main" id="{00000000-0008-0000-0900-00000B010000}"/>
            </a:ext>
          </a:extLst>
        </xdr:cNvPr>
        <xdr:cNvSpPr>
          <a:spLocks noChangeAspect="1" noChangeArrowheads="1"/>
        </xdr:cNvSpPr>
      </xdr:nvSpPr>
      <xdr:spPr bwMode="auto">
        <a:xfrm>
          <a:off x="7296150" y="1253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68" name="AutoShape 1024" descr="solunum yoluyla bulaşan hastalıklar ile ilgili görsel sonucu">
          <a:extLst>
            <a:ext uri="{FF2B5EF4-FFF2-40B4-BE49-F238E27FC236}">
              <a16:creationId xmlns:a16="http://schemas.microsoft.com/office/drawing/2014/main" id="{00000000-0008-0000-0900-00000C010000}"/>
            </a:ext>
          </a:extLst>
        </xdr:cNvPr>
        <xdr:cNvSpPr>
          <a:spLocks noChangeAspect="1" noChangeArrowheads="1"/>
        </xdr:cNvSpPr>
      </xdr:nvSpPr>
      <xdr:spPr bwMode="auto">
        <a:xfrm>
          <a:off x="7296150" y="1253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69" name="AutoShape 1026" descr="solunum yoluyla bulaşan hastalıklar ile ilgili görsel sonucu">
          <a:extLst>
            <a:ext uri="{FF2B5EF4-FFF2-40B4-BE49-F238E27FC236}">
              <a16:creationId xmlns:a16="http://schemas.microsoft.com/office/drawing/2014/main" id="{00000000-0008-0000-0900-00000D010000}"/>
            </a:ext>
          </a:extLst>
        </xdr:cNvPr>
        <xdr:cNvSpPr>
          <a:spLocks noChangeAspect="1" noChangeArrowheads="1"/>
        </xdr:cNvSpPr>
      </xdr:nvSpPr>
      <xdr:spPr bwMode="auto">
        <a:xfrm>
          <a:off x="7296150" y="1253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70" name="AutoShape 1024" descr="solunum yoluyla bulaşan hastalıklar ile ilgili görsel sonucu">
          <a:extLst>
            <a:ext uri="{FF2B5EF4-FFF2-40B4-BE49-F238E27FC236}">
              <a16:creationId xmlns:a16="http://schemas.microsoft.com/office/drawing/2014/main" id="{00000000-0008-0000-0900-00000E010000}"/>
            </a:ext>
          </a:extLst>
        </xdr:cNvPr>
        <xdr:cNvSpPr>
          <a:spLocks noChangeAspect="1" noChangeArrowheads="1"/>
        </xdr:cNvSpPr>
      </xdr:nvSpPr>
      <xdr:spPr bwMode="auto">
        <a:xfrm>
          <a:off x="7296150" y="1253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71" name="AutoShape 1026" descr="solunum yoluyla bulaşan hastalıklar ile ilgili görsel sonucu">
          <a:extLst>
            <a:ext uri="{FF2B5EF4-FFF2-40B4-BE49-F238E27FC236}">
              <a16:creationId xmlns:a16="http://schemas.microsoft.com/office/drawing/2014/main" id="{00000000-0008-0000-0900-00000F010000}"/>
            </a:ext>
          </a:extLst>
        </xdr:cNvPr>
        <xdr:cNvSpPr>
          <a:spLocks noChangeAspect="1" noChangeArrowheads="1"/>
        </xdr:cNvSpPr>
      </xdr:nvSpPr>
      <xdr:spPr bwMode="auto">
        <a:xfrm>
          <a:off x="7296150" y="1253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664546</xdr:colOff>
      <xdr:row>10</xdr:row>
      <xdr:rowOff>0</xdr:rowOff>
    </xdr:from>
    <xdr:ext cx="859454" cy="1108"/>
    <xdr:pic>
      <xdr:nvPicPr>
        <xdr:cNvPr id="272" name="Resim 44">
          <a:extLst>
            <a:ext uri="{FF2B5EF4-FFF2-40B4-BE49-F238E27FC236}">
              <a16:creationId xmlns:a16="http://schemas.microsoft.com/office/drawing/2014/main" id="{00000000-0008-0000-0900-0000100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60696" y="125317250"/>
          <a:ext cx="859454" cy="11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10</xdr:row>
      <xdr:rowOff>0</xdr:rowOff>
    </xdr:from>
    <xdr:ext cx="304800" cy="247650"/>
    <xdr:sp macro="" textlink="">
      <xdr:nvSpPr>
        <xdr:cNvPr id="273" name="AutoShape 1024" descr="solunum yoluyla bulaşan hastalıklar ile ilgili görsel sonucu">
          <a:extLst>
            <a:ext uri="{FF2B5EF4-FFF2-40B4-BE49-F238E27FC236}">
              <a16:creationId xmlns:a16="http://schemas.microsoft.com/office/drawing/2014/main" id="{00000000-0008-0000-0900-000011010000}"/>
            </a:ext>
          </a:extLst>
        </xdr:cNvPr>
        <xdr:cNvSpPr>
          <a:spLocks noChangeAspect="1" noChangeArrowheads="1"/>
        </xdr:cNvSpPr>
      </xdr:nvSpPr>
      <xdr:spPr bwMode="auto">
        <a:xfrm>
          <a:off x="7296150" y="1253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74" name="AutoShape 1026" descr="solunum yoluyla bulaşan hastalıklar ile ilgili görsel sonucu">
          <a:extLst>
            <a:ext uri="{FF2B5EF4-FFF2-40B4-BE49-F238E27FC236}">
              <a16:creationId xmlns:a16="http://schemas.microsoft.com/office/drawing/2014/main" id="{00000000-0008-0000-0900-000012010000}"/>
            </a:ext>
          </a:extLst>
        </xdr:cNvPr>
        <xdr:cNvSpPr>
          <a:spLocks noChangeAspect="1" noChangeArrowheads="1"/>
        </xdr:cNvSpPr>
      </xdr:nvSpPr>
      <xdr:spPr bwMode="auto">
        <a:xfrm>
          <a:off x="7296150" y="1253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75" name="AutoShape 1024" descr="solunum yoluyla bulaşan hastalıklar ile ilgili görsel sonucu">
          <a:extLst>
            <a:ext uri="{FF2B5EF4-FFF2-40B4-BE49-F238E27FC236}">
              <a16:creationId xmlns:a16="http://schemas.microsoft.com/office/drawing/2014/main" id="{00000000-0008-0000-0900-000013010000}"/>
            </a:ext>
          </a:extLst>
        </xdr:cNvPr>
        <xdr:cNvSpPr>
          <a:spLocks noChangeAspect="1" noChangeArrowheads="1"/>
        </xdr:cNvSpPr>
      </xdr:nvSpPr>
      <xdr:spPr bwMode="auto">
        <a:xfrm>
          <a:off x="7296150" y="1253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76" name="AutoShape 1026" descr="solunum yoluyla bulaşan hastalıklar ile ilgili görsel sonucu">
          <a:extLst>
            <a:ext uri="{FF2B5EF4-FFF2-40B4-BE49-F238E27FC236}">
              <a16:creationId xmlns:a16="http://schemas.microsoft.com/office/drawing/2014/main" id="{00000000-0008-0000-0900-000014010000}"/>
            </a:ext>
          </a:extLst>
        </xdr:cNvPr>
        <xdr:cNvSpPr>
          <a:spLocks noChangeAspect="1" noChangeArrowheads="1"/>
        </xdr:cNvSpPr>
      </xdr:nvSpPr>
      <xdr:spPr bwMode="auto">
        <a:xfrm>
          <a:off x="7296150" y="1253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77" name="AutoShape 1024" descr="solunum yoluyla bulaşan hastalıklar ile ilgili görsel sonucu">
          <a:extLst>
            <a:ext uri="{FF2B5EF4-FFF2-40B4-BE49-F238E27FC236}">
              <a16:creationId xmlns:a16="http://schemas.microsoft.com/office/drawing/2014/main" id="{00000000-0008-0000-0900-000015010000}"/>
            </a:ext>
          </a:extLst>
        </xdr:cNvPr>
        <xdr:cNvSpPr>
          <a:spLocks noChangeAspect="1" noChangeArrowheads="1"/>
        </xdr:cNvSpPr>
      </xdr:nvSpPr>
      <xdr:spPr bwMode="auto">
        <a:xfrm>
          <a:off x="7296150" y="1253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78" name="AutoShape 1026" descr="solunum yoluyla bulaşan hastalıklar ile ilgili görsel sonucu">
          <a:extLst>
            <a:ext uri="{FF2B5EF4-FFF2-40B4-BE49-F238E27FC236}">
              <a16:creationId xmlns:a16="http://schemas.microsoft.com/office/drawing/2014/main" id="{00000000-0008-0000-0900-000016010000}"/>
            </a:ext>
          </a:extLst>
        </xdr:cNvPr>
        <xdr:cNvSpPr>
          <a:spLocks noChangeAspect="1" noChangeArrowheads="1"/>
        </xdr:cNvSpPr>
      </xdr:nvSpPr>
      <xdr:spPr bwMode="auto">
        <a:xfrm>
          <a:off x="7296150" y="1253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79" name="AutoShape 1024" descr="solunum yoluyla bulaşan hastalıklar ile ilgili görsel sonucu">
          <a:extLst>
            <a:ext uri="{FF2B5EF4-FFF2-40B4-BE49-F238E27FC236}">
              <a16:creationId xmlns:a16="http://schemas.microsoft.com/office/drawing/2014/main" id="{00000000-0008-0000-0900-000017010000}"/>
            </a:ext>
          </a:extLst>
        </xdr:cNvPr>
        <xdr:cNvSpPr>
          <a:spLocks noChangeAspect="1" noChangeArrowheads="1"/>
        </xdr:cNvSpPr>
      </xdr:nvSpPr>
      <xdr:spPr bwMode="auto">
        <a:xfrm>
          <a:off x="7296150" y="1253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80" name="AutoShape 1026" descr="solunum yoluyla bulaşan hastalıklar ile ilgili görsel sonucu">
          <a:extLst>
            <a:ext uri="{FF2B5EF4-FFF2-40B4-BE49-F238E27FC236}">
              <a16:creationId xmlns:a16="http://schemas.microsoft.com/office/drawing/2014/main" id="{00000000-0008-0000-0900-000018010000}"/>
            </a:ext>
          </a:extLst>
        </xdr:cNvPr>
        <xdr:cNvSpPr>
          <a:spLocks noChangeAspect="1" noChangeArrowheads="1"/>
        </xdr:cNvSpPr>
      </xdr:nvSpPr>
      <xdr:spPr bwMode="auto">
        <a:xfrm>
          <a:off x="7296150" y="1253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81" name="AutoShape 1024" descr="solunum yoluyla bulaşan hastalıklar ile ilgili görsel sonucu">
          <a:extLst>
            <a:ext uri="{FF2B5EF4-FFF2-40B4-BE49-F238E27FC236}">
              <a16:creationId xmlns:a16="http://schemas.microsoft.com/office/drawing/2014/main" id="{00000000-0008-0000-0900-000019010000}"/>
            </a:ext>
          </a:extLst>
        </xdr:cNvPr>
        <xdr:cNvSpPr>
          <a:spLocks noChangeAspect="1" noChangeArrowheads="1"/>
        </xdr:cNvSpPr>
      </xdr:nvSpPr>
      <xdr:spPr bwMode="auto">
        <a:xfrm>
          <a:off x="7296150" y="1253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82" name="AutoShape 1026" descr="solunum yoluyla bulaşan hastalıklar ile ilgili görsel sonucu">
          <a:extLst>
            <a:ext uri="{FF2B5EF4-FFF2-40B4-BE49-F238E27FC236}">
              <a16:creationId xmlns:a16="http://schemas.microsoft.com/office/drawing/2014/main" id="{00000000-0008-0000-0900-00001A010000}"/>
            </a:ext>
          </a:extLst>
        </xdr:cNvPr>
        <xdr:cNvSpPr>
          <a:spLocks noChangeAspect="1" noChangeArrowheads="1"/>
        </xdr:cNvSpPr>
      </xdr:nvSpPr>
      <xdr:spPr bwMode="auto">
        <a:xfrm>
          <a:off x="7296150" y="1253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83" name="AutoShape 1024" descr="solunum yoluyla bulaşan hastalıklar ile ilgili görsel sonucu">
          <a:extLst>
            <a:ext uri="{FF2B5EF4-FFF2-40B4-BE49-F238E27FC236}">
              <a16:creationId xmlns:a16="http://schemas.microsoft.com/office/drawing/2014/main" id="{00000000-0008-0000-0900-00001B010000}"/>
            </a:ext>
          </a:extLst>
        </xdr:cNvPr>
        <xdr:cNvSpPr>
          <a:spLocks noChangeAspect="1" noChangeArrowheads="1"/>
        </xdr:cNvSpPr>
      </xdr:nvSpPr>
      <xdr:spPr bwMode="auto">
        <a:xfrm>
          <a:off x="7296150" y="1253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84" name="AutoShape 1026" descr="solunum yoluyla bulaşan hastalıklar ile ilgili görsel sonucu">
          <a:extLst>
            <a:ext uri="{FF2B5EF4-FFF2-40B4-BE49-F238E27FC236}">
              <a16:creationId xmlns:a16="http://schemas.microsoft.com/office/drawing/2014/main" id="{00000000-0008-0000-0900-00001C010000}"/>
            </a:ext>
          </a:extLst>
        </xdr:cNvPr>
        <xdr:cNvSpPr>
          <a:spLocks noChangeAspect="1" noChangeArrowheads="1"/>
        </xdr:cNvSpPr>
      </xdr:nvSpPr>
      <xdr:spPr bwMode="auto">
        <a:xfrm>
          <a:off x="7296150" y="1253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85" name="AutoShape 1024" descr="solunum yoluyla bulaşan hastalıklar ile ilgili görsel sonucu">
          <a:extLst>
            <a:ext uri="{FF2B5EF4-FFF2-40B4-BE49-F238E27FC236}">
              <a16:creationId xmlns:a16="http://schemas.microsoft.com/office/drawing/2014/main" id="{00000000-0008-0000-0900-00001D010000}"/>
            </a:ext>
          </a:extLst>
        </xdr:cNvPr>
        <xdr:cNvSpPr>
          <a:spLocks noChangeAspect="1" noChangeArrowheads="1"/>
        </xdr:cNvSpPr>
      </xdr:nvSpPr>
      <xdr:spPr bwMode="auto">
        <a:xfrm>
          <a:off x="7296150" y="1253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86" name="AutoShape 1026" descr="solunum yoluyla bulaşan hastalıklar ile ilgili görsel sonucu">
          <a:extLst>
            <a:ext uri="{FF2B5EF4-FFF2-40B4-BE49-F238E27FC236}">
              <a16:creationId xmlns:a16="http://schemas.microsoft.com/office/drawing/2014/main" id="{00000000-0008-0000-0900-00001E010000}"/>
            </a:ext>
          </a:extLst>
        </xdr:cNvPr>
        <xdr:cNvSpPr>
          <a:spLocks noChangeAspect="1" noChangeArrowheads="1"/>
        </xdr:cNvSpPr>
      </xdr:nvSpPr>
      <xdr:spPr bwMode="auto">
        <a:xfrm>
          <a:off x="7296150" y="1253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87" name="AutoShape 1024" descr="solunum yoluyla bulaşan hastalıklar ile ilgili görsel sonucu">
          <a:extLst>
            <a:ext uri="{FF2B5EF4-FFF2-40B4-BE49-F238E27FC236}">
              <a16:creationId xmlns:a16="http://schemas.microsoft.com/office/drawing/2014/main" id="{00000000-0008-0000-0900-00001F010000}"/>
            </a:ext>
          </a:extLst>
        </xdr:cNvPr>
        <xdr:cNvSpPr>
          <a:spLocks noChangeAspect="1" noChangeArrowheads="1"/>
        </xdr:cNvSpPr>
      </xdr:nvSpPr>
      <xdr:spPr bwMode="auto">
        <a:xfrm>
          <a:off x="7296150" y="1253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88" name="AutoShape 1026" descr="solunum yoluyla bulaşan hastalıklar ile ilgili görsel sonucu">
          <a:extLst>
            <a:ext uri="{FF2B5EF4-FFF2-40B4-BE49-F238E27FC236}">
              <a16:creationId xmlns:a16="http://schemas.microsoft.com/office/drawing/2014/main" id="{00000000-0008-0000-0900-000020010000}"/>
            </a:ext>
          </a:extLst>
        </xdr:cNvPr>
        <xdr:cNvSpPr>
          <a:spLocks noChangeAspect="1" noChangeArrowheads="1"/>
        </xdr:cNvSpPr>
      </xdr:nvSpPr>
      <xdr:spPr bwMode="auto">
        <a:xfrm>
          <a:off x="7296150" y="1253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89" name="AutoShape 1024" descr="solunum yoluyla bulaşan hastalıklar ile ilgili görsel sonucu">
          <a:extLst>
            <a:ext uri="{FF2B5EF4-FFF2-40B4-BE49-F238E27FC236}">
              <a16:creationId xmlns:a16="http://schemas.microsoft.com/office/drawing/2014/main" id="{00000000-0008-0000-0900-000021010000}"/>
            </a:ext>
          </a:extLst>
        </xdr:cNvPr>
        <xdr:cNvSpPr>
          <a:spLocks noChangeAspect="1" noChangeArrowheads="1"/>
        </xdr:cNvSpPr>
      </xdr:nvSpPr>
      <xdr:spPr bwMode="auto">
        <a:xfrm>
          <a:off x="7296150" y="12055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90" name="AutoShape 1026" descr="solunum yoluyla bulaşan hastalıklar ile ilgili görsel sonucu">
          <a:extLst>
            <a:ext uri="{FF2B5EF4-FFF2-40B4-BE49-F238E27FC236}">
              <a16:creationId xmlns:a16="http://schemas.microsoft.com/office/drawing/2014/main" id="{00000000-0008-0000-0900-000022010000}"/>
            </a:ext>
          </a:extLst>
        </xdr:cNvPr>
        <xdr:cNvSpPr>
          <a:spLocks noChangeAspect="1" noChangeArrowheads="1"/>
        </xdr:cNvSpPr>
      </xdr:nvSpPr>
      <xdr:spPr bwMode="auto">
        <a:xfrm>
          <a:off x="7296150" y="12055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91" name="AutoShape 1024" descr="solunum yoluyla bulaşan hastalıklar ile ilgili görsel sonucu">
          <a:extLst>
            <a:ext uri="{FF2B5EF4-FFF2-40B4-BE49-F238E27FC236}">
              <a16:creationId xmlns:a16="http://schemas.microsoft.com/office/drawing/2014/main" id="{00000000-0008-0000-0900-000023010000}"/>
            </a:ext>
          </a:extLst>
        </xdr:cNvPr>
        <xdr:cNvSpPr>
          <a:spLocks noChangeAspect="1" noChangeArrowheads="1"/>
        </xdr:cNvSpPr>
      </xdr:nvSpPr>
      <xdr:spPr bwMode="auto">
        <a:xfrm>
          <a:off x="7296150" y="11579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92" name="AutoShape 1026" descr="solunum yoluyla bulaşan hastalıklar ile ilgili görsel sonucu">
          <a:extLst>
            <a:ext uri="{FF2B5EF4-FFF2-40B4-BE49-F238E27FC236}">
              <a16:creationId xmlns:a16="http://schemas.microsoft.com/office/drawing/2014/main" id="{00000000-0008-0000-0900-000024010000}"/>
            </a:ext>
          </a:extLst>
        </xdr:cNvPr>
        <xdr:cNvSpPr>
          <a:spLocks noChangeAspect="1" noChangeArrowheads="1"/>
        </xdr:cNvSpPr>
      </xdr:nvSpPr>
      <xdr:spPr bwMode="auto">
        <a:xfrm>
          <a:off x="7296150" y="11579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93" name="AutoShape 1024" descr="solunum yoluyla bulaşan hastalıklar ile ilgili görsel sonucu">
          <a:extLst>
            <a:ext uri="{FF2B5EF4-FFF2-40B4-BE49-F238E27FC236}">
              <a16:creationId xmlns:a16="http://schemas.microsoft.com/office/drawing/2014/main" id="{00000000-0008-0000-0900-000025010000}"/>
            </a:ext>
          </a:extLst>
        </xdr:cNvPr>
        <xdr:cNvSpPr>
          <a:spLocks noChangeAspect="1" noChangeArrowheads="1"/>
        </xdr:cNvSpPr>
      </xdr:nvSpPr>
      <xdr:spPr bwMode="auto">
        <a:xfrm>
          <a:off x="7296150" y="13007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94" name="AutoShape 1026" descr="solunum yoluyla bulaşan hastalıklar ile ilgili görsel sonucu">
          <a:extLst>
            <a:ext uri="{FF2B5EF4-FFF2-40B4-BE49-F238E27FC236}">
              <a16:creationId xmlns:a16="http://schemas.microsoft.com/office/drawing/2014/main" id="{00000000-0008-0000-0900-000026010000}"/>
            </a:ext>
          </a:extLst>
        </xdr:cNvPr>
        <xdr:cNvSpPr>
          <a:spLocks noChangeAspect="1" noChangeArrowheads="1"/>
        </xdr:cNvSpPr>
      </xdr:nvSpPr>
      <xdr:spPr bwMode="auto">
        <a:xfrm>
          <a:off x="7296150" y="13007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o14" displayName="Tablo14" ref="A3:C8" totalsRowShown="0">
  <autoFilter ref="A3:C8" xr:uid="{00000000-0009-0000-0100-000003000000}"/>
  <tableColumns count="3">
    <tableColumn id="1" xr3:uid="{00000000-0010-0000-0000-000001000000}" name="Kategori" dataDxfId="223" dataCellStyle="Normal 7"/>
    <tableColumn id="3" xr3:uid="{00000000-0010-0000-0000-000003000000}" name="Alt Risk Kategorisi" dataDxfId="222" dataCellStyle="Normal 7"/>
    <tableColumn id="2" xr3:uid="{00000000-0010-0000-0000-000002000000}" name="Açıklama" dataDxfId="221" dataCellStyle="Normal 7"/>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2:N146"/>
  <sheetViews>
    <sheetView topLeftCell="A79" zoomScaleNormal="100" workbookViewId="0">
      <selection activeCell="M84" sqref="M84"/>
    </sheetView>
  </sheetViews>
  <sheetFormatPr baseColWidth="10" defaultColWidth="8.83203125" defaultRowHeight="15"/>
  <sheetData>
    <row r="22" spans="4:10">
      <c r="D22" s="224" t="s">
        <v>47</v>
      </c>
      <c r="E22" s="224"/>
      <c r="F22" s="224"/>
      <c r="G22" s="224"/>
      <c r="H22" s="224"/>
      <c r="I22" s="224"/>
      <c r="J22" s="224"/>
    </row>
    <row r="23" spans="4:10">
      <c r="D23" s="224"/>
      <c r="E23" s="224"/>
      <c r="F23" s="224"/>
      <c r="G23" s="224"/>
      <c r="H23" s="224"/>
      <c r="I23" s="224"/>
      <c r="J23" s="224"/>
    </row>
    <row r="24" spans="4:10">
      <c r="D24" s="224"/>
      <c r="E24" s="224"/>
      <c r="F24" s="224"/>
      <c r="G24" s="224"/>
      <c r="H24" s="224"/>
      <c r="I24" s="224"/>
      <c r="J24" s="224"/>
    </row>
    <row r="25" spans="4:10">
      <c r="D25" s="224"/>
      <c r="E25" s="224"/>
      <c r="F25" s="224"/>
      <c r="G25" s="224"/>
      <c r="H25" s="224"/>
      <c r="I25" s="224"/>
      <c r="J25" s="224"/>
    </row>
    <row r="26" spans="4:10">
      <c r="D26" s="224"/>
      <c r="E26" s="224"/>
      <c r="F26" s="224"/>
      <c r="G26" s="224"/>
      <c r="H26" s="224"/>
      <c r="I26" s="224"/>
      <c r="J26" s="224"/>
    </row>
    <row r="27" spans="4:10">
      <c r="D27" s="224"/>
      <c r="E27" s="224"/>
      <c r="F27" s="224"/>
      <c r="G27" s="224"/>
      <c r="H27" s="224"/>
      <c r="I27" s="224"/>
      <c r="J27" s="224"/>
    </row>
    <row r="28" spans="4:10">
      <c r="D28" s="224"/>
      <c r="E28" s="224"/>
      <c r="F28" s="224"/>
      <c r="G28" s="224"/>
      <c r="H28" s="224"/>
      <c r="I28" s="224"/>
      <c r="J28" s="224"/>
    </row>
    <row r="29" spans="4:10">
      <c r="D29" s="224"/>
      <c r="E29" s="224"/>
      <c r="F29" s="224"/>
      <c r="G29" s="224"/>
      <c r="H29" s="224"/>
      <c r="I29" s="224"/>
      <c r="J29" s="224"/>
    </row>
    <row r="49" spans="1:14">
      <c r="F49" s="223" t="s">
        <v>48</v>
      </c>
      <c r="G49" s="223"/>
      <c r="H49" s="223"/>
    </row>
    <row r="50" spans="1:14" ht="15" customHeight="1">
      <c r="F50" s="223"/>
      <c r="G50" s="223"/>
      <c r="H50" s="223"/>
    </row>
    <row r="51" spans="1:14" ht="15" customHeight="1">
      <c r="F51" s="223"/>
      <c r="G51" s="223"/>
      <c r="H51" s="223"/>
    </row>
    <row r="52" spans="1:14" ht="15" customHeight="1">
      <c r="A52" s="221" t="s">
        <v>49</v>
      </c>
      <c r="B52" s="222"/>
      <c r="C52" s="222"/>
      <c r="D52" s="222"/>
      <c r="E52" s="222"/>
      <c r="F52" s="222"/>
      <c r="G52" s="222"/>
      <c r="H52" s="222"/>
      <c r="I52" s="222"/>
      <c r="J52" s="222"/>
      <c r="K52" s="32"/>
      <c r="L52" s="32"/>
      <c r="M52" s="32"/>
      <c r="N52" s="32"/>
    </row>
    <row r="53" spans="1:14" ht="15" customHeight="1">
      <c r="A53" s="222"/>
      <c r="B53" s="222"/>
      <c r="C53" s="222"/>
      <c r="D53" s="222"/>
      <c r="E53" s="222"/>
      <c r="F53" s="222"/>
      <c r="G53" s="222"/>
      <c r="H53" s="222"/>
      <c r="I53" s="222"/>
      <c r="J53" s="222"/>
      <c r="K53" s="32"/>
      <c r="L53" s="32"/>
      <c r="M53" s="32"/>
      <c r="N53" s="32"/>
    </row>
    <row r="54" spans="1:14" ht="15" customHeight="1">
      <c r="A54" s="222"/>
      <c r="B54" s="222"/>
      <c r="C54" s="222"/>
      <c r="D54" s="222"/>
      <c r="E54" s="222"/>
      <c r="F54" s="222"/>
      <c r="G54" s="222"/>
      <c r="H54" s="222"/>
      <c r="I54" s="222"/>
      <c r="J54" s="222"/>
      <c r="K54" s="32"/>
      <c r="L54" s="32"/>
      <c r="M54" s="32"/>
      <c r="N54" s="32"/>
    </row>
    <row r="55" spans="1:14">
      <c r="A55" s="222"/>
      <c r="B55" s="222"/>
      <c r="C55" s="222"/>
      <c r="D55" s="222"/>
      <c r="E55" s="222"/>
      <c r="F55" s="222"/>
      <c r="G55" s="222"/>
      <c r="H55" s="222"/>
      <c r="I55" s="222"/>
      <c r="J55" s="222"/>
    </row>
    <row r="56" spans="1:14">
      <c r="A56" s="222"/>
      <c r="B56" s="222"/>
      <c r="C56" s="222"/>
      <c r="D56" s="222"/>
      <c r="E56" s="222"/>
      <c r="F56" s="222"/>
      <c r="G56" s="222"/>
      <c r="H56" s="222"/>
      <c r="I56" s="222"/>
      <c r="J56" s="222"/>
    </row>
    <row r="57" spans="1:14">
      <c r="A57" s="222"/>
      <c r="B57" s="222"/>
      <c r="C57" s="222"/>
      <c r="D57" s="222"/>
      <c r="E57" s="222"/>
      <c r="F57" s="222"/>
      <c r="G57" s="222"/>
      <c r="H57" s="222"/>
      <c r="I57" s="222"/>
      <c r="J57" s="222"/>
    </row>
    <row r="58" spans="1:14">
      <c r="A58" s="222"/>
      <c r="B58" s="222"/>
      <c r="C58" s="222"/>
      <c r="D58" s="222"/>
      <c r="E58" s="222"/>
      <c r="F58" s="222"/>
      <c r="G58" s="222"/>
      <c r="H58" s="222"/>
      <c r="I58" s="222"/>
      <c r="J58" s="222"/>
    </row>
    <row r="59" spans="1:14">
      <c r="A59" s="222"/>
      <c r="B59" s="222"/>
      <c r="C59" s="222"/>
      <c r="D59" s="222"/>
      <c r="E59" s="222"/>
      <c r="F59" s="222"/>
      <c r="G59" s="222"/>
      <c r="H59" s="222"/>
      <c r="I59" s="222"/>
      <c r="J59" s="222"/>
    </row>
    <row r="60" spans="1:14">
      <c r="A60" s="222"/>
      <c r="B60" s="222"/>
      <c r="C60" s="222"/>
      <c r="D60" s="222"/>
      <c r="E60" s="222"/>
      <c r="F60" s="222"/>
      <c r="G60" s="222"/>
      <c r="H60" s="222"/>
      <c r="I60" s="222"/>
      <c r="J60" s="222"/>
    </row>
    <row r="61" spans="1:14">
      <c r="A61" s="222"/>
      <c r="B61" s="222"/>
      <c r="C61" s="222"/>
      <c r="D61" s="222"/>
      <c r="E61" s="222"/>
      <c r="F61" s="222"/>
      <c r="G61" s="222"/>
      <c r="H61" s="222"/>
      <c r="I61" s="222"/>
      <c r="J61" s="222"/>
    </row>
    <row r="62" spans="1:14">
      <c r="A62" s="222"/>
      <c r="B62" s="222"/>
      <c r="C62" s="222"/>
      <c r="D62" s="222"/>
      <c r="E62" s="222"/>
      <c r="F62" s="222"/>
      <c r="G62" s="222"/>
      <c r="H62" s="222"/>
      <c r="I62" s="222"/>
      <c r="J62" s="222"/>
    </row>
    <row r="63" spans="1:14">
      <c r="A63" s="222"/>
      <c r="B63" s="222"/>
      <c r="C63" s="222"/>
      <c r="D63" s="222"/>
      <c r="E63" s="222"/>
      <c r="F63" s="222"/>
      <c r="G63" s="222"/>
      <c r="H63" s="222"/>
      <c r="I63" s="222"/>
      <c r="J63" s="222"/>
    </row>
    <row r="64" spans="1:14">
      <c r="A64" s="222"/>
      <c r="B64" s="222"/>
      <c r="C64" s="222"/>
      <c r="D64" s="222"/>
      <c r="E64" s="222"/>
      <c r="F64" s="222"/>
      <c r="G64" s="222"/>
      <c r="H64" s="222"/>
      <c r="I64" s="222"/>
      <c r="J64" s="222"/>
    </row>
    <row r="65" spans="1:10">
      <c r="A65" s="222"/>
      <c r="B65" s="222"/>
      <c r="C65" s="222"/>
      <c r="D65" s="222"/>
      <c r="E65" s="222"/>
      <c r="F65" s="222"/>
      <c r="G65" s="222"/>
      <c r="H65" s="222"/>
      <c r="I65" s="222"/>
      <c r="J65" s="222"/>
    </row>
    <row r="66" spans="1:10">
      <c r="A66" s="222"/>
      <c r="B66" s="222"/>
      <c r="C66" s="222"/>
      <c r="D66" s="222"/>
      <c r="E66" s="222"/>
      <c r="F66" s="222"/>
      <c r="G66" s="222"/>
      <c r="H66" s="222"/>
      <c r="I66" s="222"/>
      <c r="J66" s="222"/>
    </row>
    <row r="67" spans="1:10">
      <c r="A67" s="222"/>
      <c r="B67" s="222"/>
      <c r="C67" s="222"/>
      <c r="D67" s="222"/>
      <c r="E67" s="222"/>
      <c r="F67" s="222"/>
      <c r="G67" s="222"/>
      <c r="H67" s="222"/>
      <c r="I67" s="222"/>
      <c r="J67" s="222"/>
    </row>
    <row r="68" spans="1:10" ht="15" customHeight="1">
      <c r="A68" s="222" t="s">
        <v>46</v>
      </c>
      <c r="B68" s="222"/>
      <c r="C68" s="222"/>
      <c r="D68" s="222"/>
      <c r="E68" s="222"/>
      <c r="F68" s="222"/>
      <c r="G68" s="222"/>
      <c r="H68" s="222"/>
      <c r="I68" s="222"/>
      <c r="J68" s="222"/>
    </row>
    <row r="69" spans="1:10">
      <c r="A69" s="222"/>
      <c r="B69" s="222"/>
      <c r="C69" s="222"/>
      <c r="D69" s="222"/>
      <c r="E69" s="222"/>
      <c r="F69" s="222"/>
      <c r="G69" s="222"/>
      <c r="H69" s="222"/>
      <c r="I69" s="222"/>
      <c r="J69" s="222"/>
    </row>
    <row r="70" spans="1:10">
      <c r="A70" s="222"/>
      <c r="B70" s="222"/>
      <c r="C70" s="222"/>
      <c r="D70" s="222"/>
      <c r="E70" s="222"/>
      <c r="F70" s="222"/>
      <c r="G70" s="222"/>
      <c r="H70" s="222"/>
      <c r="I70" s="222"/>
      <c r="J70" s="222"/>
    </row>
    <row r="71" spans="1:10">
      <c r="A71" s="222"/>
      <c r="B71" s="222"/>
      <c r="C71" s="222"/>
      <c r="D71" s="222"/>
      <c r="E71" s="222"/>
      <c r="F71" s="222"/>
      <c r="G71" s="222"/>
      <c r="H71" s="222"/>
      <c r="I71" s="222"/>
      <c r="J71" s="222"/>
    </row>
    <row r="72" spans="1:10">
      <c r="A72" s="222"/>
      <c r="B72" s="222"/>
      <c r="C72" s="222"/>
      <c r="D72" s="222"/>
      <c r="E72" s="222"/>
      <c r="F72" s="222"/>
      <c r="G72" s="222"/>
      <c r="H72" s="222"/>
      <c r="I72" s="222"/>
      <c r="J72" s="222"/>
    </row>
    <row r="73" spans="1:10">
      <c r="A73" s="222"/>
      <c r="B73" s="222"/>
      <c r="C73" s="222"/>
      <c r="D73" s="222"/>
      <c r="E73" s="222"/>
      <c r="F73" s="222"/>
      <c r="G73" s="222"/>
      <c r="H73" s="222"/>
      <c r="I73" s="222"/>
      <c r="J73" s="222"/>
    </row>
    <row r="74" spans="1:10">
      <c r="A74" s="222"/>
      <c r="B74" s="222"/>
      <c r="C74" s="222"/>
      <c r="D74" s="222"/>
      <c r="E74" s="222"/>
      <c r="F74" s="222"/>
      <c r="G74" s="222"/>
      <c r="H74" s="222"/>
      <c r="I74" s="222"/>
      <c r="J74" s="222"/>
    </row>
    <row r="75" spans="1:10">
      <c r="A75" s="222"/>
      <c r="B75" s="222"/>
      <c r="C75" s="222"/>
      <c r="D75" s="222"/>
      <c r="E75" s="222"/>
      <c r="F75" s="222"/>
      <c r="G75" s="222"/>
      <c r="H75" s="222"/>
      <c r="I75" s="222"/>
      <c r="J75" s="222"/>
    </row>
    <row r="76" spans="1:10">
      <c r="A76" s="221" t="s">
        <v>52</v>
      </c>
      <c r="B76" s="222"/>
      <c r="C76" s="222"/>
      <c r="D76" s="222"/>
      <c r="E76" s="222"/>
      <c r="F76" s="222"/>
      <c r="G76" s="222"/>
      <c r="H76" s="222"/>
      <c r="I76" s="222"/>
      <c r="J76" s="222"/>
    </row>
    <row r="77" spans="1:10">
      <c r="A77" s="222"/>
      <c r="B77" s="222"/>
      <c r="C77" s="222"/>
      <c r="D77" s="222"/>
      <c r="E77" s="222"/>
      <c r="F77" s="222"/>
      <c r="G77" s="222"/>
      <c r="H77" s="222"/>
      <c r="I77" s="222"/>
      <c r="J77" s="222"/>
    </row>
    <row r="78" spans="1:10">
      <c r="A78" s="222"/>
      <c r="B78" s="222"/>
      <c r="C78" s="222"/>
      <c r="D78" s="222"/>
      <c r="E78" s="222"/>
      <c r="F78" s="222"/>
      <c r="G78" s="222"/>
      <c r="H78" s="222"/>
      <c r="I78" s="222"/>
      <c r="J78" s="222"/>
    </row>
    <row r="79" spans="1:10">
      <c r="A79" s="222"/>
      <c r="B79" s="222"/>
      <c r="C79" s="222"/>
      <c r="D79" s="222"/>
      <c r="E79" s="222"/>
      <c r="F79" s="222"/>
      <c r="G79" s="222"/>
      <c r="H79" s="222"/>
      <c r="I79" s="222"/>
      <c r="J79" s="222"/>
    </row>
    <row r="80" spans="1:10">
      <c r="A80" s="222"/>
      <c r="B80" s="222"/>
      <c r="C80" s="222"/>
      <c r="D80" s="222"/>
      <c r="E80" s="222"/>
      <c r="F80" s="222"/>
      <c r="G80" s="222"/>
      <c r="H80" s="222"/>
      <c r="I80" s="222"/>
      <c r="J80" s="222"/>
    </row>
    <row r="81" spans="1:10" ht="114.75" customHeight="1">
      <c r="A81" s="222"/>
      <c r="B81" s="222"/>
      <c r="C81" s="222"/>
      <c r="D81" s="222"/>
      <c r="E81" s="222"/>
      <c r="F81" s="222"/>
      <c r="G81" s="222"/>
      <c r="H81" s="222"/>
      <c r="I81" s="222"/>
      <c r="J81" s="222"/>
    </row>
    <row r="82" spans="1:10">
      <c r="A82" s="221" t="s">
        <v>50</v>
      </c>
      <c r="B82" s="222"/>
      <c r="C82" s="222"/>
      <c r="D82" s="222"/>
      <c r="E82" s="222"/>
      <c r="F82" s="222"/>
      <c r="G82" s="222"/>
      <c r="H82" s="222"/>
      <c r="I82" s="222"/>
      <c r="J82" s="222"/>
    </row>
    <row r="83" spans="1:10">
      <c r="A83" s="222"/>
      <c r="B83" s="222"/>
      <c r="C83" s="222"/>
      <c r="D83" s="222"/>
      <c r="E83" s="222"/>
      <c r="F83" s="222"/>
      <c r="G83" s="222"/>
      <c r="H83" s="222"/>
      <c r="I83" s="222"/>
      <c r="J83" s="222"/>
    </row>
    <row r="84" spans="1:10">
      <c r="A84" s="222"/>
      <c r="B84" s="222"/>
      <c r="C84" s="222"/>
      <c r="D84" s="222"/>
      <c r="E84" s="222"/>
      <c r="F84" s="222"/>
      <c r="G84" s="222"/>
      <c r="H84" s="222"/>
      <c r="I84" s="222"/>
      <c r="J84" s="222"/>
    </row>
    <row r="85" spans="1:10">
      <c r="A85" s="222"/>
      <c r="B85" s="222"/>
      <c r="C85" s="222"/>
      <c r="D85" s="222"/>
      <c r="E85" s="222"/>
      <c r="F85" s="222"/>
      <c r="G85" s="222"/>
      <c r="H85" s="222"/>
      <c r="I85" s="222"/>
      <c r="J85" s="222"/>
    </row>
    <row r="86" spans="1:10">
      <c r="A86" s="222"/>
      <c r="B86" s="222"/>
      <c r="C86" s="222"/>
      <c r="D86" s="222"/>
      <c r="E86" s="222"/>
      <c r="F86" s="222"/>
      <c r="G86" s="222"/>
      <c r="H86" s="222"/>
      <c r="I86" s="222"/>
      <c r="J86" s="222"/>
    </row>
    <row r="87" spans="1:10">
      <c r="A87" s="222"/>
      <c r="B87" s="222"/>
      <c r="C87" s="222"/>
      <c r="D87" s="222"/>
      <c r="E87" s="222"/>
      <c r="F87" s="222"/>
      <c r="G87" s="222"/>
      <c r="H87" s="222"/>
      <c r="I87" s="222"/>
      <c r="J87" s="222"/>
    </row>
    <row r="88" spans="1:10">
      <c r="A88" s="222"/>
      <c r="B88" s="222"/>
      <c r="C88" s="222"/>
      <c r="D88" s="222"/>
      <c r="E88" s="222"/>
      <c r="F88" s="222"/>
      <c r="G88" s="222"/>
      <c r="H88" s="222"/>
      <c r="I88" s="222"/>
      <c r="J88" s="222"/>
    </row>
    <row r="89" spans="1:10">
      <c r="A89" s="222"/>
      <c r="B89" s="222"/>
      <c r="C89" s="222"/>
      <c r="D89" s="222"/>
      <c r="E89" s="222"/>
      <c r="F89" s="222"/>
      <c r="G89" s="222"/>
      <c r="H89" s="222"/>
      <c r="I89" s="222"/>
      <c r="J89" s="222"/>
    </row>
    <row r="90" spans="1:10">
      <c r="A90" s="222"/>
      <c r="B90" s="222"/>
      <c r="C90" s="222"/>
      <c r="D90" s="222"/>
      <c r="E90" s="222"/>
      <c r="F90" s="222"/>
      <c r="G90" s="222"/>
      <c r="H90" s="222"/>
      <c r="I90" s="222"/>
      <c r="J90" s="222"/>
    </row>
    <row r="91" spans="1:10">
      <c r="A91" s="222"/>
      <c r="B91" s="222"/>
      <c r="C91" s="222"/>
      <c r="D91" s="222"/>
      <c r="E91" s="222"/>
      <c r="F91" s="222"/>
      <c r="G91" s="222"/>
      <c r="H91" s="222"/>
      <c r="I91" s="222"/>
      <c r="J91" s="222"/>
    </row>
    <row r="92" spans="1:10">
      <c r="A92" s="222"/>
      <c r="B92" s="222"/>
      <c r="C92" s="222"/>
      <c r="D92" s="222"/>
      <c r="E92" s="222"/>
      <c r="F92" s="222"/>
      <c r="G92" s="222"/>
      <c r="H92" s="222"/>
      <c r="I92" s="222"/>
      <c r="J92" s="222"/>
    </row>
    <row r="93" spans="1:10">
      <c r="A93" s="222"/>
      <c r="B93" s="222"/>
      <c r="C93" s="222"/>
      <c r="D93" s="222"/>
      <c r="E93" s="222"/>
      <c r="F93" s="222"/>
      <c r="G93" s="222"/>
      <c r="H93" s="222"/>
      <c r="I93" s="222"/>
      <c r="J93" s="222"/>
    </row>
    <row r="94" spans="1:10">
      <c r="A94" s="222"/>
      <c r="B94" s="222"/>
      <c r="C94" s="222"/>
      <c r="D94" s="222"/>
      <c r="E94" s="222"/>
      <c r="F94" s="222"/>
      <c r="G94" s="222"/>
      <c r="H94" s="222"/>
      <c r="I94" s="222"/>
      <c r="J94" s="222"/>
    </row>
    <row r="95" spans="1:10">
      <c r="A95" s="222"/>
      <c r="B95" s="222"/>
      <c r="C95" s="222"/>
      <c r="D95" s="222"/>
      <c r="E95" s="222"/>
      <c r="F95" s="222"/>
      <c r="G95" s="222"/>
      <c r="H95" s="222"/>
      <c r="I95" s="222"/>
      <c r="J95" s="222"/>
    </row>
    <row r="96" spans="1:10" ht="15" customHeight="1">
      <c r="A96" s="221" t="s">
        <v>51</v>
      </c>
      <c r="B96" s="222"/>
      <c r="C96" s="222"/>
      <c r="D96" s="222"/>
      <c r="E96" s="222"/>
      <c r="F96" s="222"/>
      <c r="G96" s="222"/>
      <c r="H96" s="222"/>
      <c r="I96" s="222"/>
      <c r="J96" s="222"/>
    </row>
    <row r="97" spans="1:10">
      <c r="A97" s="222"/>
      <c r="B97" s="222"/>
      <c r="C97" s="222"/>
      <c r="D97" s="222"/>
      <c r="E97" s="222"/>
      <c r="F97" s="222"/>
      <c r="G97" s="222"/>
      <c r="H97" s="222"/>
      <c r="I97" s="222"/>
      <c r="J97" s="222"/>
    </row>
    <row r="98" spans="1:10">
      <c r="A98" s="222"/>
      <c r="B98" s="222"/>
      <c r="C98" s="222"/>
      <c r="D98" s="222"/>
      <c r="E98" s="222"/>
      <c r="F98" s="222"/>
      <c r="G98" s="222"/>
      <c r="H98" s="222"/>
      <c r="I98" s="222"/>
      <c r="J98" s="222"/>
    </row>
    <row r="99" spans="1:10">
      <c r="A99" s="222"/>
      <c r="B99" s="222"/>
      <c r="C99" s="222"/>
      <c r="D99" s="222"/>
      <c r="E99" s="222"/>
      <c r="F99" s="222"/>
      <c r="G99" s="222"/>
      <c r="H99" s="222"/>
      <c r="I99" s="222"/>
      <c r="J99" s="222"/>
    </row>
    <row r="100" spans="1:10">
      <c r="A100" s="222"/>
      <c r="B100" s="222"/>
      <c r="C100" s="222"/>
      <c r="D100" s="222"/>
      <c r="E100" s="222"/>
      <c r="F100" s="222"/>
      <c r="G100" s="222"/>
      <c r="H100" s="222"/>
      <c r="I100" s="222"/>
      <c r="J100" s="222"/>
    </row>
    <row r="101" spans="1:10">
      <c r="A101" s="222"/>
      <c r="B101" s="222"/>
      <c r="C101" s="222"/>
      <c r="D101" s="222"/>
      <c r="E101" s="222"/>
      <c r="F101" s="222"/>
      <c r="G101" s="222"/>
      <c r="H101" s="222"/>
      <c r="I101" s="222"/>
      <c r="J101" s="222"/>
    </row>
    <row r="102" spans="1:10">
      <c r="A102" s="222"/>
      <c r="B102" s="222"/>
      <c r="C102" s="222"/>
      <c r="D102" s="222"/>
      <c r="E102" s="222"/>
      <c r="F102" s="222"/>
      <c r="G102" s="222"/>
      <c r="H102" s="222"/>
      <c r="I102" s="222"/>
      <c r="J102" s="222"/>
    </row>
    <row r="103" spans="1:10">
      <c r="A103" s="222"/>
      <c r="B103" s="222"/>
      <c r="C103" s="222"/>
      <c r="D103" s="222"/>
      <c r="E103" s="222"/>
      <c r="F103" s="222"/>
      <c r="G103" s="222"/>
      <c r="H103" s="222"/>
      <c r="I103" s="222"/>
      <c r="J103" s="222"/>
    </row>
    <row r="104" spans="1:10">
      <c r="A104" s="222"/>
      <c r="B104" s="222"/>
      <c r="C104" s="222"/>
      <c r="D104" s="222"/>
      <c r="E104" s="222"/>
      <c r="F104" s="222"/>
      <c r="G104" s="222"/>
      <c r="H104" s="222"/>
      <c r="I104" s="222"/>
      <c r="J104" s="222"/>
    </row>
    <row r="105" spans="1:10">
      <c r="A105" s="222"/>
      <c r="B105" s="222"/>
      <c r="C105" s="222"/>
      <c r="D105" s="222"/>
      <c r="E105" s="222"/>
      <c r="F105" s="222"/>
      <c r="G105" s="222"/>
      <c r="H105" s="222"/>
      <c r="I105" s="222"/>
      <c r="J105" s="222"/>
    </row>
    <row r="106" spans="1:10">
      <c r="A106" s="222"/>
      <c r="B106" s="222"/>
      <c r="C106" s="222"/>
      <c r="D106" s="222"/>
      <c r="E106" s="222"/>
      <c r="F106" s="222"/>
      <c r="G106" s="222"/>
      <c r="H106" s="222"/>
      <c r="I106" s="222"/>
      <c r="J106" s="222"/>
    </row>
    <row r="107" spans="1:10">
      <c r="A107" s="222"/>
      <c r="B107" s="222"/>
      <c r="C107" s="222"/>
      <c r="D107" s="222"/>
      <c r="E107" s="222"/>
      <c r="F107" s="222"/>
      <c r="G107" s="222"/>
      <c r="H107" s="222"/>
      <c r="I107" s="222"/>
      <c r="J107" s="222"/>
    </row>
    <row r="108" spans="1:10">
      <c r="A108" s="222"/>
      <c r="B108" s="222"/>
      <c r="C108" s="222"/>
      <c r="D108" s="222"/>
      <c r="E108" s="222"/>
      <c r="F108" s="222"/>
      <c r="G108" s="222"/>
      <c r="H108" s="222"/>
      <c r="I108" s="222"/>
      <c r="J108" s="222"/>
    </row>
    <row r="109" spans="1:10">
      <c r="A109" s="222"/>
      <c r="B109" s="222"/>
      <c r="C109" s="222"/>
      <c r="D109" s="222"/>
      <c r="E109" s="222"/>
      <c r="F109" s="222"/>
      <c r="G109" s="222"/>
      <c r="H109" s="222"/>
      <c r="I109" s="222"/>
      <c r="J109" s="222"/>
    </row>
    <row r="110" spans="1:10">
      <c r="A110" s="222"/>
      <c r="B110" s="222"/>
      <c r="C110" s="222"/>
      <c r="D110" s="222"/>
      <c r="E110" s="222"/>
      <c r="F110" s="222"/>
      <c r="G110" s="222"/>
      <c r="H110" s="222"/>
      <c r="I110" s="222"/>
      <c r="J110" s="222"/>
    </row>
    <row r="111" spans="1:10">
      <c r="A111" s="222"/>
      <c r="B111" s="222"/>
      <c r="C111" s="222"/>
      <c r="D111" s="222"/>
      <c r="E111" s="222"/>
      <c r="F111" s="222"/>
      <c r="G111" s="222"/>
      <c r="H111" s="222"/>
      <c r="I111" s="222"/>
      <c r="J111" s="222"/>
    </row>
    <row r="112" spans="1:10">
      <c r="A112" s="222"/>
      <c r="B112" s="222"/>
      <c r="C112" s="222"/>
      <c r="D112" s="222"/>
      <c r="E112" s="222"/>
      <c r="F112" s="222"/>
      <c r="G112" s="222"/>
      <c r="H112" s="222"/>
      <c r="I112" s="222"/>
      <c r="J112" s="222"/>
    </row>
    <row r="113" spans="1:10">
      <c r="A113" s="222"/>
      <c r="B113" s="222"/>
      <c r="C113" s="222"/>
      <c r="D113" s="222"/>
      <c r="E113" s="222"/>
      <c r="F113" s="222"/>
      <c r="G113" s="222"/>
      <c r="H113" s="222"/>
      <c r="I113" s="222"/>
      <c r="J113" s="222"/>
    </row>
    <row r="114" spans="1:10">
      <c r="A114" s="222"/>
      <c r="B114" s="222"/>
      <c r="C114" s="222"/>
      <c r="D114" s="222"/>
      <c r="E114" s="222"/>
      <c r="F114" s="222"/>
      <c r="G114" s="222"/>
      <c r="H114" s="222"/>
      <c r="I114" s="222"/>
      <c r="J114" s="222"/>
    </row>
    <row r="115" spans="1:10">
      <c r="A115" s="222"/>
      <c r="B115" s="222"/>
      <c r="C115" s="222"/>
      <c r="D115" s="222"/>
      <c r="E115" s="222"/>
      <c r="F115" s="222"/>
      <c r="G115" s="222"/>
      <c r="H115" s="222"/>
      <c r="I115" s="222"/>
      <c r="J115" s="222"/>
    </row>
    <row r="116" spans="1:10">
      <c r="A116" s="222"/>
      <c r="B116" s="222"/>
      <c r="C116" s="222"/>
      <c r="D116" s="222"/>
      <c r="E116" s="222"/>
      <c r="F116" s="222"/>
      <c r="G116" s="222"/>
      <c r="H116" s="222"/>
      <c r="I116" s="222"/>
      <c r="J116" s="222"/>
    </row>
    <row r="117" spans="1:10">
      <c r="A117" s="222"/>
      <c r="B117" s="222"/>
      <c r="C117" s="222"/>
      <c r="D117" s="222"/>
      <c r="E117" s="222"/>
      <c r="F117" s="222"/>
      <c r="G117" s="222"/>
      <c r="H117" s="222"/>
      <c r="I117" s="222"/>
      <c r="J117" s="222"/>
    </row>
    <row r="118" spans="1:10">
      <c r="A118" s="222"/>
      <c r="B118" s="222"/>
      <c r="C118" s="222"/>
      <c r="D118" s="222"/>
      <c r="E118" s="222"/>
      <c r="F118" s="222"/>
      <c r="G118" s="222"/>
      <c r="H118" s="222"/>
      <c r="I118" s="222"/>
      <c r="J118" s="222"/>
    </row>
    <row r="119" spans="1:10">
      <c r="A119" s="222"/>
      <c r="B119" s="222"/>
      <c r="C119" s="222"/>
      <c r="D119" s="222"/>
      <c r="E119" s="222"/>
      <c r="F119" s="222"/>
      <c r="G119" s="222"/>
      <c r="H119" s="222"/>
      <c r="I119" s="222"/>
      <c r="J119" s="222"/>
    </row>
    <row r="120" spans="1:10">
      <c r="A120" s="222"/>
      <c r="B120" s="222"/>
      <c r="C120" s="222"/>
      <c r="D120" s="222"/>
      <c r="E120" s="222"/>
      <c r="F120" s="222"/>
      <c r="G120" s="222"/>
      <c r="H120" s="222"/>
      <c r="I120" s="222"/>
      <c r="J120" s="222"/>
    </row>
    <row r="121" spans="1:10">
      <c r="A121" s="222"/>
      <c r="B121" s="222"/>
      <c r="C121" s="222"/>
      <c r="D121" s="222"/>
      <c r="E121" s="222"/>
      <c r="F121" s="222"/>
      <c r="G121" s="222"/>
      <c r="H121" s="222"/>
      <c r="I121" s="222"/>
      <c r="J121" s="222"/>
    </row>
    <row r="122" spans="1:10">
      <c r="A122" s="222"/>
      <c r="B122" s="222"/>
      <c r="C122" s="222"/>
      <c r="D122" s="222"/>
      <c r="E122" s="222"/>
      <c r="F122" s="222"/>
      <c r="G122" s="222"/>
      <c r="H122" s="222"/>
      <c r="I122" s="222"/>
      <c r="J122" s="222"/>
    </row>
    <row r="123" spans="1:10">
      <c r="A123" s="222"/>
      <c r="B123" s="222"/>
      <c r="C123" s="222"/>
      <c r="D123" s="222"/>
      <c r="E123" s="222"/>
      <c r="F123" s="222"/>
      <c r="G123" s="222"/>
      <c r="H123" s="222"/>
      <c r="I123" s="222"/>
      <c r="J123" s="222"/>
    </row>
    <row r="124" spans="1:10">
      <c r="A124" s="222"/>
      <c r="B124" s="222"/>
      <c r="C124" s="222"/>
      <c r="D124" s="222"/>
      <c r="E124" s="222"/>
      <c r="F124" s="222"/>
      <c r="G124" s="222"/>
      <c r="H124" s="222"/>
      <c r="I124" s="222"/>
      <c r="J124" s="222"/>
    </row>
    <row r="125" spans="1:10">
      <c r="A125" s="222"/>
      <c r="B125" s="222"/>
      <c r="C125" s="222"/>
      <c r="D125" s="222"/>
      <c r="E125" s="222"/>
      <c r="F125" s="222"/>
      <c r="G125" s="222"/>
      <c r="H125" s="222"/>
      <c r="I125" s="222"/>
      <c r="J125" s="222"/>
    </row>
    <row r="126" spans="1:10">
      <c r="A126" s="222"/>
      <c r="B126" s="222"/>
      <c r="C126" s="222"/>
      <c r="D126" s="222"/>
      <c r="E126" s="222"/>
      <c r="F126" s="222"/>
      <c r="G126" s="222"/>
      <c r="H126" s="222"/>
      <c r="I126" s="222"/>
      <c r="J126" s="222"/>
    </row>
    <row r="127" spans="1:10">
      <c r="A127" s="222"/>
      <c r="B127" s="222"/>
      <c r="C127" s="222"/>
      <c r="D127" s="222"/>
      <c r="E127" s="222"/>
      <c r="F127" s="222"/>
      <c r="G127" s="222"/>
      <c r="H127" s="222"/>
      <c r="I127" s="222"/>
      <c r="J127" s="222"/>
    </row>
    <row r="128" spans="1:10">
      <c r="A128" s="222"/>
      <c r="B128" s="222"/>
      <c r="C128" s="222"/>
      <c r="D128" s="222"/>
      <c r="E128" s="222"/>
      <c r="F128" s="222"/>
      <c r="G128" s="222"/>
      <c r="H128" s="222"/>
      <c r="I128" s="222"/>
      <c r="J128" s="222"/>
    </row>
    <row r="129" spans="1:10">
      <c r="A129" s="222"/>
      <c r="B129" s="222"/>
      <c r="C129" s="222"/>
      <c r="D129" s="222"/>
      <c r="E129" s="222"/>
      <c r="F129" s="222"/>
      <c r="G129" s="222"/>
      <c r="H129" s="222"/>
      <c r="I129" s="222"/>
      <c r="J129" s="222"/>
    </row>
    <row r="130" spans="1:10">
      <c r="A130" s="222"/>
      <c r="B130" s="222"/>
      <c r="C130" s="222"/>
      <c r="D130" s="222"/>
      <c r="E130" s="222"/>
      <c r="F130" s="222"/>
      <c r="G130" s="222"/>
      <c r="H130" s="222"/>
      <c r="I130" s="222"/>
      <c r="J130" s="222"/>
    </row>
    <row r="131" spans="1:10">
      <c r="A131" s="222"/>
      <c r="B131" s="222"/>
      <c r="C131" s="222"/>
      <c r="D131" s="222"/>
      <c r="E131" s="222"/>
      <c r="F131" s="222"/>
      <c r="G131" s="222"/>
      <c r="H131" s="222"/>
      <c r="I131" s="222"/>
      <c r="J131" s="222"/>
    </row>
    <row r="132" spans="1:10">
      <c r="A132" s="222"/>
      <c r="B132" s="222"/>
      <c r="C132" s="222"/>
      <c r="D132" s="222"/>
      <c r="E132" s="222"/>
      <c r="F132" s="222"/>
      <c r="G132" s="222"/>
      <c r="H132" s="222"/>
      <c r="I132" s="222"/>
      <c r="J132" s="222"/>
    </row>
    <row r="133" spans="1:10">
      <c r="A133" s="222"/>
      <c r="B133" s="222"/>
      <c r="C133" s="222"/>
      <c r="D133" s="222"/>
      <c r="E133" s="222"/>
      <c r="F133" s="222"/>
      <c r="G133" s="222"/>
      <c r="H133" s="222"/>
      <c r="I133" s="222"/>
      <c r="J133" s="222"/>
    </row>
    <row r="134" spans="1:10">
      <c r="A134" s="222"/>
      <c r="B134" s="222"/>
      <c r="C134" s="222"/>
      <c r="D134" s="222"/>
      <c r="E134" s="222"/>
      <c r="F134" s="222"/>
      <c r="G134" s="222"/>
      <c r="H134" s="222"/>
      <c r="I134" s="222"/>
      <c r="J134" s="222"/>
    </row>
    <row r="135" spans="1:10">
      <c r="A135" s="222"/>
      <c r="B135" s="222"/>
      <c r="C135" s="222"/>
      <c r="D135" s="222"/>
      <c r="E135" s="222"/>
      <c r="F135" s="222"/>
      <c r="G135" s="222"/>
      <c r="H135" s="222"/>
      <c r="I135" s="222"/>
      <c r="J135" s="222"/>
    </row>
    <row r="136" spans="1:10">
      <c r="A136" s="222"/>
      <c r="B136" s="222"/>
      <c r="C136" s="222"/>
      <c r="D136" s="222"/>
      <c r="E136" s="222"/>
      <c r="F136" s="222"/>
      <c r="G136" s="222"/>
      <c r="H136" s="222"/>
      <c r="I136" s="222"/>
      <c r="J136" s="222"/>
    </row>
    <row r="137" spans="1:10">
      <c r="A137" s="222"/>
      <c r="B137" s="222"/>
      <c r="C137" s="222"/>
      <c r="D137" s="222"/>
      <c r="E137" s="222"/>
      <c r="F137" s="222"/>
      <c r="G137" s="222"/>
      <c r="H137" s="222"/>
      <c r="I137" s="222"/>
      <c r="J137" s="222"/>
    </row>
    <row r="138" spans="1:10">
      <c r="A138" s="222"/>
      <c r="B138" s="222"/>
      <c r="C138" s="222"/>
      <c r="D138" s="222"/>
      <c r="E138" s="222"/>
      <c r="F138" s="222"/>
      <c r="G138" s="222"/>
      <c r="H138" s="222"/>
      <c r="I138" s="222"/>
      <c r="J138" s="222"/>
    </row>
    <row r="139" spans="1:10">
      <c r="A139" s="222"/>
      <c r="B139" s="222"/>
      <c r="C139" s="222"/>
      <c r="D139" s="222"/>
      <c r="E139" s="222"/>
      <c r="F139" s="222"/>
      <c r="G139" s="222"/>
      <c r="H139" s="222"/>
      <c r="I139" s="222"/>
      <c r="J139" s="222"/>
    </row>
    <row r="140" spans="1:10">
      <c r="A140" s="222"/>
      <c r="B140" s="222"/>
      <c r="C140" s="222"/>
      <c r="D140" s="222"/>
      <c r="E140" s="222"/>
      <c r="F140" s="222"/>
      <c r="G140" s="222"/>
      <c r="H140" s="222"/>
      <c r="I140" s="222"/>
      <c r="J140" s="222"/>
    </row>
    <row r="141" spans="1:10">
      <c r="A141" s="222"/>
      <c r="B141" s="222"/>
      <c r="C141" s="222"/>
      <c r="D141" s="222"/>
      <c r="E141" s="222"/>
      <c r="F141" s="222"/>
      <c r="G141" s="222"/>
      <c r="H141" s="222"/>
      <c r="I141" s="222"/>
      <c r="J141" s="222"/>
    </row>
    <row r="142" spans="1:10">
      <c r="A142" s="222"/>
      <c r="B142" s="222"/>
      <c r="C142" s="222"/>
      <c r="D142" s="222"/>
      <c r="E142" s="222"/>
      <c r="F142" s="222"/>
      <c r="G142" s="222"/>
      <c r="H142" s="222"/>
      <c r="I142" s="222"/>
      <c r="J142" s="222"/>
    </row>
    <row r="143" spans="1:10">
      <c r="A143" s="222"/>
      <c r="B143" s="222"/>
      <c r="C143" s="222"/>
      <c r="D143" s="222"/>
      <c r="E143" s="222"/>
      <c r="F143" s="222"/>
      <c r="G143" s="222"/>
      <c r="H143" s="222"/>
      <c r="I143" s="222"/>
      <c r="J143" s="222"/>
    </row>
    <row r="144" spans="1:10">
      <c r="A144" s="222"/>
      <c r="B144" s="222"/>
      <c r="C144" s="222"/>
      <c r="D144" s="222"/>
      <c r="E144" s="222"/>
      <c r="F144" s="222"/>
      <c r="G144" s="222"/>
      <c r="H144" s="222"/>
      <c r="I144" s="222"/>
      <c r="J144" s="222"/>
    </row>
    <row r="145" spans="1:10">
      <c r="A145" s="222"/>
      <c r="B145" s="222"/>
      <c r="C145" s="222"/>
      <c r="D145" s="222"/>
      <c r="E145" s="222"/>
      <c r="F145" s="222"/>
      <c r="G145" s="222"/>
      <c r="H145" s="222"/>
      <c r="I145" s="222"/>
      <c r="J145" s="222"/>
    </row>
    <row r="146" spans="1:10">
      <c r="A146" s="222"/>
      <c r="B146" s="222"/>
      <c r="C146" s="222"/>
      <c r="D146" s="222"/>
      <c r="E146" s="222"/>
      <c r="F146" s="222"/>
      <c r="G146" s="222"/>
      <c r="H146" s="222"/>
      <c r="I146" s="222"/>
      <c r="J146" s="222"/>
    </row>
  </sheetData>
  <mergeCells count="7">
    <mergeCell ref="A96:J146"/>
    <mergeCell ref="F49:H51"/>
    <mergeCell ref="D22:J29"/>
    <mergeCell ref="A52:J67"/>
    <mergeCell ref="A68:J75"/>
    <mergeCell ref="A76:J81"/>
    <mergeCell ref="A82:J95"/>
  </mergeCells>
  <pageMargins left="0.31496062992125984" right="0.70866141732283472" top="0.74803149606299213" bottom="0.55118110236220474" header="0.31496062992125984" footer="0.31496062992125984"/>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S21"/>
  <sheetViews>
    <sheetView view="pageBreakPreview" zoomScale="112" zoomScaleNormal="70" zoomScaleSheetLayoutView="112" workbookViewId="0">
      <pane ySplit="5" topLeftCell="A6" activePane="bottomLeft" state="frozen"/>
      <selection pane="bottomLeft" activeCell="J26" sqref="A4:Y26"/>
    </sheetView>
  </sheetViews>
  <sheetFormatPr baseColWidth="10" defaultColWidth="9.1640625" defaultRowHeight="14"/>
  <cols>
    <col min="1" max="1" width="5.1640625" style="2" customWidth="1"/>
    <col min="2" max="2" width="20" style="2" customWidth="1"/>
    <col min="3" max="3" width="16" style="2" customWidth="1"/>
    <col min="4" max="4" width="21.5" style="2" customWidth="1"/>
    <col min="5" max="5" width="32.33203125" style="2" customWidth="1"/>
    <col min="6" max="6" width="20.33203125" style="2" customWidth="1"/>
    <col min="7" max="7" width="15.1640625" style="2" customWidth="1"/>
    <col min="8" max="8" width="16.1640625" style="2" customWidth="1"/>
    <col min="9" max="9" width="22" style="2" customWidth="1"/>
    <col min="10" max="12" width="5.6640625" style="2" customWidth="1"/>
    <col min="13" max="13" width="8.1640625" style="2" customWidth="1"/>
    <col min="14" max="14" width="13.33203125" style="2" customWidth="1"/>
    <col min="15" max="15" width="26.33203125" style="2" customWidth="1"/>
    <col min="16" max="17" width="21.5" style="2" customWidth="1"/>
    <col min="18" max="18" width="8.5" style="2" customWidth="1"/>
    <col min="19" max="19" width="7.83203125" style="2" customWidth="1"/>
    <col min="20" max="20" width="6.6640625" style="2" customWidth="1"/>
    <col min="21" max="21" width="10.5" style="2" customWidth="1"/>
    <col min="22" max="22" width="13.5" style="2" customWidth="1"/>
    <col min="23" max="24" width="18.83203125" style="2" customWidth="1"/>
    <col min="25" max="25" width="21.83203125" style="2" customWidth="1"/>
    <col min="26" max="16384" width="9.1640625" style="1"/>
  </cols>
  <sheetData>
    <row r="1" spans="1:45" ht="63" customHeight="1">
      <c r="A1" s="275" t="s">
        <v>38</v>
      </c>
      <c r="B1" s="275"/>
      <c r="C1" s="275"/>
      <c r="D1" s="275"/>
      <c r="E1" s="275"/>
      <c r="F1" s="275"/>
      <c r="G1" s="275"/>
      <c r="H1" s="275"/>
      <c r="I1" s="275"/>
      <c r="J1" s="275"/>
      <c r="K1" s="275"/>
      <c r="L1" s="275"/>
      <c r="M1" s="275"/>
      <c r="N1" s="275"/>
      <c r="O1" s="275"/>
      <c r="P1" s="275"/>
      <c r="Q1" s="275"/>
      <c r="R1" s="275"/>
      <c r="S1" s="275"/>
      <c r="T1" s="275"/>
      <c r="U1" s="275"/>
      <c r="V1" s="275"/>
      <c r="W1" s="275"/>
      <c r="X1" s="275"/>
      <c r="Y1" s="275"/>
      <c r="AH1" s="1" t="s">
        <v>37</v>
      </c>
      <c r="AI1" s="1" t="s">
        <v>36</v>
      </c>
      <c r="AJ1" s="1" t="s">
        <v>35</v>
      </c>
    </row>
    <row r="2" spans="1:45" ht="30" customHeight="1">
      <c r="A2" s="251" t="s">
        <v>34</v>
      </c>
      <c r="B2" s="252"/>
      <c r="C2" s="253"/>
      <c r="D2" s="254"/>
      <c r="E2" s="255"/>
      <c r="F2" s="255"/>
      <c r="G2" s="255"/>
      <c r="H2" s="255"/>
      <c r="I2" s="256"/>
      <c r="J2" s="276" t="s">
        <v>33</v>
      </c>
      <c r="K2" s="277"/>
      <c r="L2" s="277"/>
      <c r="M2" s="277"/>
      <c r="N2" s="278"/>
      <c r="O2" s="30"/>
      <c r="P2" s="29" t="s">
        <v>32</v>
      </c>
      <c r="Q2" s="279"/>
      <c r="R2" s="280"/>
      <c r="S2" s="280"/>
      <c r="T2" s="280"/>
      <c r="U2" s="280"/>
      <c r="V2" s="280"/>
      <c r="W2" s="280"/>
      <c r="X2" s="280"/>
      <c r="Y2" s="281"/>
      <c r="AH2" s="7">
        <v>10</v>
      </c>
      <c r="AI2" s="6">
        <v>10</v>
      </c>
      <c r="AJ2" s="5">
        <v>100</v>
      </c>
      <c r="AP2" s="4">
        <v>0</v>
      </c>
      <c r="AQ2" s="4">
        <v>1</v>
      </c>
      <c r="AS2" s="24" t="s">
        <v>31</v>
      </c>
    </row>
    <row r="3" spans="1:45" ht="30" customHeight="1">
      <c r="A3" s="251" t="s">
        <v>30</v>
      </c>
      <c r="B3" s="252"/>
      <c r="C3" s="253"/>
      <c r="D3" s="254"/>
      <c r="E3" s="255"/>
      <c r="F3" s="255"/>
      <c r="G3" s="255"/>
      <c r="H3" s="255"/>
      <c r="I3" s="255"/>
      <c r="J3" s="255"/>
      <c r="K3" s="255"/>
      <c r="L3" s="255"/>
      <c r="M3" s="255"/>
      <c r="N3" s="255"/>
      <c r="O3" s="256"/>
      <c r="P3" s="29" t="s">
        <v>29</v>
      </c>
      <c r="Q3" s="257" t="s">
        <v>28</v>
      </c>
      <c r="R3" s="258"/>
      <c r="S3" s="258"/>
      <c r="T3" s="258"/>
      <c r="U3" s="258"/>
      <c r="V3" s="258"/>
      <c r="W3" s="258"/>
      <c r="X3" s="258"/>
      <c r="Y3" s="259"/>
      <c r="AH3" s="7">
        <v>6</v>
      </c>
      <c r="AI3" s="6">
        <v>6</v>
      </c>
      <c r="AJ3" s="5">
        <v>40</v>
      </c>
      <c r="AP3" s="4">
        <v>0.1</v>
      </c>
      <c r="AQ3" s="4">
        <v>2</v>
      </c>
      <c r="AS3" s="24" t="s">
        <v>27</v>
      </c>
    </row>
    <row r="4" spans="1:45" ht="29.25" customHeight="1">
      <c r="A4" s="260" t="s">
        <v>26</v>
      </c>
      <c r="B4" s="261" t="s">
        <v>25</v>
      </c>
      <c r="C4" s="263" t="s">
        <v>24</v>
      </c>
      <c r="D4" s="263" t="s">
        <v>23</v>
      </c>
      <c r="E4" s="264" t="s">
        <v>22</v>
      </c>
      <c r="F4" s="263" t="s">
        <v>21</v>
      </c>
      <c r="G4" s="270" t="s">
        <v>20</v>
      </c>
      <c r="H4" s="264" t="s">
        <v>19</v>
      </c>
      <c r="I4" s="264" t="s">
        <v>18</v>
      </c>
      <c r="J4" s="272" t="s">
        <v>17</v>
      </c>
      <c r="K4" s="273"/>
      <c r="L4" s="273"/>
      <c r="M4" s="273"/>
      <c r="N4" s="274"/>
      <c r="O4" s="31"/>
      <c r="P4" s="225" t="s">
        <v>16</v>
      </c>
      <c r="Q4" s="225" t="s">
        <v>15</v>
      </c>
      <c r="R4" s="266" t="s">
        <v>14</v>
      </c>
      <c r="S4" s="267"/>
      <c r="T4" s="268"/>
      <c r="U4" s="268"/>
      <c r="V4" s="269"/>
      <c r="W4" s="225" t="s">
        <v>13</v>
      </c>
      <c r="X4" s="225" t="s">
        <v>12</v>
      </c>
      <c r="Y4" s="225" t="s">
        <v>11</v>
      </c>
      <c r="AH4" s="7">
        <v>3</v>
      </c>
      <c r="AI4" s="6">
        <v>3</v>
      </c>
      <c r="AJ4" s="5">
        <v>15</v>
      </c>
      <c r="AP4" s="4">
        <v>0.3</v>
      </c>
      <c r="AQ4" s="4">
        <v>3</v>
      </c>
      <c r="AS4" s="24" t="s">
        <v>10</v>
      </c>
    </row>
    <row r="5" spans="1:45" ht="61.5" customHeight="1">
      <c r="A5" s="226"/>
      <c r="B5" s="262"/>
      <c r="C5" s="226"/>
      <c r="D5" s="226"/>
      <c r="E5" s="265"/>
      <c r="F5" s="226"/>
      <c r="G5" s="265"/>
      <c r="H5" s="265"/>
      <c r="I5" s="271"/>
      <c r="J5" s="28" t="s">
        <v>8</v>
      </c>
      <c r="K5" s="28" t="s">
        <v>7</v>
      </c>
      <c r="L5" s="28" t="s">
        <v>6</v>
      </c>
      <c r="M5" s="27" t="s">
        <v>5</v>
      </c>
      <c r="N5" s="26" t="s">
        <v>4</v>
      </c>
      <c r="O5" s="31" t="s">
        <v>9</v>
      </c>
      <c r="P5" s="226"/>
      <c r="Q5" s="226"/>
      <c r="R5" s="28" t="s">
        <v>8</v>
      </c>
      <c r="S5" s="28" t="s">
        <v>7</v>
      </c>
      <c r="T5" s="28" t="s">
        <v>6</v>
      </c>
      <c r="U5" s="27" t="s">
        <v>5</v>
      </c>
      <c r="V5" s="26" t="s">
        <v>4</v>
      </c>
      <c r="W5" s="226"/>
      <c r="X5" s="226"/>
      <c r="Y5" s="226"/>
      <c r="AH5" s="7">
        <v>1</v>
      </c>
      <c r="AI5" s="6">
        <v>2</v>
      </c>
      <c r="AJ5" s="5">
        <v>7</v>
      </c>
      <c r="AP5" s="4">
        <v>0.5</v>
      </c>
      <c r="AQ5" s="4">
        <v>4</v>
      </c>
      <c r="AS5" s="24" t="s">
        <v>3</v>
      </c>
    </row>
    <row r="6" spans="1:45" ht="80.25" customHeight="1">
      <c r="A6" s="15">
        <v>1</v>
      </c>
      <c r="B6" s="14"/>
      <c r="C6" s="8"/>
      <c r="D6" s="13"/>
      <c r="E6" s="25"/>
      <c r="F6" s="13"/>
      <c r="G6" s="8"/>
      <c r="H6" s="8"/>
      <c r="I6" s="8"/>
      <c r="J6" s="8"/>
      <c r="K6" s="8"/>
      <c r="L6" s="8"/>
      <c r="M6" s="8">
        <f t="shared" ref="M6:M16" si="0">(L6*K6*J6)</f>
        <v>0</v>
      </c>
      <c r="N6" s="8" t="str">
        <f t="shared" ref="N6:N16" si="1">IF(AND(M6&gt;=0,M6&lt;20),"DÜŞÜK RİSK",IF(AND(M6&gt;=20,M6&lt;70),"OLASI RİSK",IF(AND(M6&gt;=70,M6&lt;200),"ÖNEMLİ RİSK",IF(AND(M6&gt;=200,M6&lt;400),"YÜKSEK RİSK",IF(M6&gt;=400,"KABUL EDİLEMEZ RİSK","")))))</f>
        <v>DÜŞÜK RİSK</v>
      </c>
      <c r="O6" s="8"/>
      <c r="P6" s="8"/>
      <c r="Q6" s="18"/>
      <c r="R6" s="8"/>
      <c r="S6" s="8"/>
      <c r="T6" s="8"/>
      <c r="U6" s="8">
        <f t="shared" ref="U6:U16" si="2">(T6*S6*R6)</f>
        <v>0</v>
      </c>
      <c r="V6" s="17" t="str">
        <f t="shared" ref="V6:V16" si="3">IF(AND(U6&gt;=0,U6&lt;20),"DÜŞÜK RİSK",IF(AND(U6&gt;=20,U6&lt;70),"OLASI RİSK",IF(AND(U6&gt;=70,U6&lt;200),"ÖNEMLİ RİSK",IF(AND(U6&gt;=200,U6&lt;400),"YÜKSEK RİSK",IF(U6&gt;=400,"KABUL EDİLEMEZ RİSK","")))))</f>
        <v>DÜŞÜK RİSK</v>
      </c>
      <c r="W6" s="8"/>
      <c r="X6" s="8"/>
      <c r="Y6" s="8"/>
      <c r="AH6" s="7">
        <v>0.5</v>
      </c>
      <c r="AI6" s="6">
        <v>1</v>
      </c>
      <c r="AJ6" s="5">
        <v>3</v>
      </c>
      <c r="AP6" s="4">
        <v>1</v>
      </c>
      <c r="AQ6" s="4">
        <v>5</v>
      </c>
      <c r="AS6" s="24" t="s">
        <v>2</v>
      </c>
    </row>
    <row r="7" spans="1:45" ht="80.25" customHeight="1">
      <c r="A7" s="15">
        <v>8</v>
      </c>
      <c r="B7" s="8"/>
      <c r="C7" s="13"/>
      <c r="D7" s="23"/>
      <c r="E7" s="19"/>
      <c r="F7" s="8"/>
      <c r="G7" s="8"/>
      <c r="H7" s="8"/>
      <c r="I7" s="8"/>
      <c r="J7" s="22"/>
      <c r="K7" s="8"/>
      <c r="L7" s="22"/>
      <c r="M7" s="8">
        <f t="shared" si="0"/>
        <v>0</v>
      </c>
      <c r="N7" s="8" t="str">
        <f t="shared" si="1"/>
        <v>DÜŞÜK RİSK</v>
      </c>
      <c r="O7" s="8"/>
      <c r="P7" s="8"/>
      <c r="Q7" s="10"/>
      <c r="R7" s="22"/>
      <c r="S7" s="8"/>
      <c r="T7" s="22"/>
      <c r="U7" s="8">
        <f t="shared" si="2"/>
        <v>0</v>
      </c>
      <c r="V7" s="8" t="str">
        <f t="shared" si="3"/>
        <v>DÜŞÜK RİSK</v>
      </c>
      <c r="W7" s="8"/>
      <c r="X7" s="8"/>
      <c r="Y7" s="8"/>
      <c r="AH7" s="7"/>
      <c r="AI7" s="6"/>
      <c r="AJ7" s="5"/>
      <c r="AP7" s="4"/>
      <c r="AQ7" s="4"/>
      <c r="AS7" s="3"/>
    </row>
    <row r="8" spans="1:45" ht="80.25" customHeight="1">
      <c r="A8" s="15">
        <v>9</v>
      </c>
      <c r="B8" s="8"/>
      <c r="C8" s="13"/>
      <c r="D8" s="20"/>
      <c r="E8" s="19"/>
      <c r="F8" s="13"/>
      <c r="G8" s="8"/>
      <c r="H8" s="8"/>
      <c r="I8" s="11"/>
      <c r="J8" s="22"/>
      <c r="K8" s="8"/>
      <c r="L8" s="22"/>
      <c r="M8" s="8">
        <f t="shared" si="0"/>
        <v>0</v>
      </c>
      <c r="N8" s="8" t="str">
        <f t="shared" si="1"/>
        <v>DÜŞÜK RİSK</v>
      </c>
      <c r="O8" s="8"/>
      <c r="P8" s="8"/>
      <c r="Q8" s="10"/>
      <c r="R8" s="22"/>
      <c r="S8" s="8"/>
      <c r="T8" s="22"/>
      <c r="U8" s="8">
        <f t="shared" si="2"/>
        <v>0</v>
      </c>
      <c r="V8" s="8" t="str">
        <f t="shared" si="3"/>
        <v>DÜŞÜK RİSK</v>
      </c>
      <c r="W8" s="8"/>
      <c r="X8" s="8"/>
      <c r="Y8" s="8"/>
      <c r="AH8" s="7"/>
      <c r="AI8" s="6"/>
      <c r="AJ8" s="5"/>
      <c r="AP8" s="4"/>
      <c r="AQ8" s="4"/>
      <c r="AS8" s="3"/>
    </row>
    <row r="9" spans="1:45" ht="80.25" customHeight="1">
      <c r="A9" s="15">
        <v>10</v>
      </c>
      <c r="B9" s="14"/>
      <c r="C9" s="13"/>
      <c r="D9" s="13"/>
      <c r="E9" s="21"/>
      <c r="F9" s="13"/>
      <c r="G9" s="8"/>
      <c r="H9" s="8"/>
      <c r="I9" s="8"/>
      <c r="J9" s="8"/>
      <c r="K9" s="8"/>
      <c r="L9" s="8"/>
      <c r="M9" s="8">
        <f t="shared" si="0"/>
        <v>0</v>
      </c>
      <c r="N9" s="8" t="str">
        <f t="shared" si="1"/>
        <v>DÜŞÜK RİSK</v>
      </c>
      <c r="O9" s="8"/>
      <c r="P9" s="8"/>
      <c r="Q9" s="18"/>
      <c r="R9" s="8"/>
      <c r="S9" s="8"/>
      <c r="T9" s="8"/>
      <c r="U9" s="8">
        <f t="shared" si="2"/>
        <v>0</v>
      </c>
      <c r="V9" s="17" t="str">
        <f t="shared" si="3"/>
        <v>DÜŞÜK RİSK</v>
      </c>
      <c r="W9" s="8"/>
      <c r="X9" s="8"/>
      <c r="Y9" s="8"/>
      <c r="AH9" s="7"/>
      <c r="AI9" s="6"/>
      <c r="AJ9" s="5"/>
      <c r="AP9" s="4"/>
      <c r="AQ9" s="4"/>
      <c r="AS9" s="3"/>
    </row>
    <row r="10" spans="1:45" ht="80.25" customHeight="1">
      <c r="A10" s="15">
        <v>11</v>
      </c>
      <c r="B10" s="14"/>
      <c r="C10" s="13"/>
      <c r="D10" s="13"/>
      <c r="E10" s="8"/>
      <c r="F10" s="13"/>
      <c r="G10" s="8"/>
      <c r="H10" s="8"/>
      <c r="I10" s="8"/>
      <c r="J10" s="8"/>
      <c r="K10" s="8"/>
      <c r="L10" s="8"/>
      <c r="M10" s="8">
        <f t="shared" si="0"/>
        <v>0</v>
      </c>
      <c r="N10" s="8" t="str">
        <f t="shared" si="1"/>
        <v>DÜŞÜK RİSK</v>
      </c>
      <c r="O10" s="8"/>
      <c r="P10" s="8"/>
      <c r="Q10" s="18"/>
      <c r="R10" s="8"/>
      <c r="S10" s="8"/>
      <c r="T10" s="8"/>
      <c r="U10" s="8">
        <f t="shared" si="2"/>
        <v>0</v>
      </c>
      <c r="V10" s="17" t="str">
        <f t="shared" si="3"/>
        <v>DÜŞÜK RİSK</v>
      </c>
      <c r="W10" s="8"/>
      <c r="X10" s="8"/>
      <c r="Y10" s="8"/>
      <c r="AH10" s="7"/>
      <c r="AI10" s="6"/>
      <c r="AJ10" s="5"/>
      <c r="AP10" s="4"/>
      <c r="AQ10" s="4"/>
      <c r="AS10" s="3"/>
    </row>
    <row r="11" spans="1:45" ht="80.25" customHeight="1">
      <c r="A11" s="15">
        <v>12</v>
      </c>
      <c r="B11" s="14"/>
      <c r="C11" s="13"/>
      <c r="D11" s="13"/>
      <c r="E11" s="8"/>
      <c r="F11" s="13"/>
      <c r="G11" s="8"/>
      <c r="H11" s="8"/>
      <c r="I11" s="8"/>
      <c r="J11" s="8"/>
      <c r="K11" s="8"/>
      <c r="L11" s="8"/>
      <c r="M11" s="8">
        <f t="shared" si="0"/>
        <v>0</v>
      </c>
      <c r="N11" s="8" t="str">
        <f t="shared" si="1"/>
        <v>DÜŞÜK RİSK</v>
      </c>
      <c r="O11" s="8"/>
      <c r="P11" s="8"/>
      <c r="Q11" s="18"/>
      <c r="R11" s="8"/>
      <c r="S11" s="8"/>
      <c r="T11" s="8"/>
      <c r="U11" s="8">
        <f t="shared" si="2"/>
        <v>0</v>
      </c>
      <c r="V11" s="17" t="str">
        <f t="shared" si="3"/>
        <v>DÜŞÜK RİSK</v>
      </c>
      <c r="W11" s="8"/>
      <c r="X11" s="8"/>
      <c r="Y11" s="8"/>
      <c r="AH11" s="7"/>
      <c r="AI11" s="6"/>
      <c r="AJ11" s="5"/>
      <c r="AP11" s="4"/>
      <c r="AQ11" s="4"/>
      <c r="AS11" s="3"/>
    </row>
    <row r="12" spans="1:45" ht="80.25" customHeight="1">
      <c r="A12" s="15">
        <v>13</v>
      </c>
      <c r="B12" s="14"/>
      <c r="C12" s="13"/>
      <c r="D12" s="13"/>
      <c r="E12" s="19"/>
      <c r="F12" s="13"/>
      <c r="G12" s="8"/>
      <c r="H12" s="8"/>
      <c r="I12" s="8"/>
      <c r="J12" s="8"/>
      <c r="K12" s="8"/>
      <c r="L12" s="8"/>
      <c r="M12" s="8">
        <f t="shared" si="0"/>
        <v>0</v>
      </c>
      <c r="N12" s="8" t="str">
        <f t="shared" si="1"/>
        <v>DÜŞÜK RİSK</v>
      </c>
      <c r="O12" s="8"/>
      <c r="P12" s="8"/>
      <c r="Q12" s="18"/>
      <c r="R12" s="8"/>
      <c r="S12" s="8"/>
      <c r="T12" s="8"/>
      <c r="U12" s="8">
        <f t="shared" si="2"/>
        <v>0</v>
      </c>
      <c r="V12" s="17" t="str">
        <f t="shared" si="3"/>
        <v>DÜŞÜK RİSK</v>
      </c>
      <c r="W12" s="8"/>
      <c r="X12" s="8"/>
      <c r="Y12" s="8"/>
      <c r="AH12" s="7"/>
      <c r="AI12" s="6"/>
      <c r="AJ12" s="5"/>
      <c r="AP12" s="4"/>
      <c r="AQ12" s="4"/>
      <c r="AS12" s="3"/>
    </row>
    <row r="13" spans="1:45" ht="80.25" customHeight="1">
      <c r="A13" s="15">
        <v>14</v>
      </c>
      <c r="B13" s="14"/>
      <c r="C13" s="13"/>
      <c r="D13" s="20"/>
      <c r="E13" s="19"/>
      <c r="F13" s="13"/>
      <c r="G13" s="8"/>
      <c r="H13" s="8"/>
      <c r="I13" s="8"/>
      <c r="J13" s="8"/>
      <c r="K13" s="8"/>
      <c r="L13" s="8"/>
      <c r="M13" s="8">
        <f t="shared" si="0"/>
        <v>0</v>
      </c>
      <c r="N13" s="8" t="str">
        <f t="shared" si="1"/>
        <v>DÜŞÜK RİSK</v>
      </c>
      <c r="O13" s="8"/>
      <c r="P13" s="8"/>
      <c r="Q13" s="18"/>
      <c r="R13" s="8"/>
      <c r="S13" s="8"/>
      <c r="T13" s="8"/>
      <c r="U13" s="8">
        <f t="shared" si="2"/>
        <v>0</v>
      </c>
      <c r="V13" s="17" t="str">
        <f t="shared" si="3"/>
        <v>DÜŞÜK RİSK</v>
      </c>
      <c r="W13" s="8"/>
      <c r="X13" s="8"/>
      <c r="Y13" s="8"/>
      <c r="AH13" s="7"/>
      <c r="AI13" s="6"/>
      <c r="AJ13" s="5"/>
      <c r="AP13" s="4"/>
      <c r="AQ13" s="4"/>
      <c r="AS13" s="3"/>
    </row>
    <row r="14" spans="1:45" ht="80.25" customHeight="1">
      <c r="A14" s="15">
        <v>15</v>
      </c>
      <c r="B14" s="14"/>
      <c r="C14" s="13"/>
      <c r="D14" s="13"/>
      <c r="E14" s="8"/>
      <c r="F14" s="13"/>
      <c r="G14" s="8"/>
      <c r="H14" s="8"/>
      <c r="I14" s="8"/>
      <c r="J14" s="8"/>
      <c r="K14" s="8"/>
      <c r="L14" s="8"/>
      <c r="M14" s="8">
        <f t="shared" si="0"/>
        <v>0</v>
      </c>
      <c r="N14" s="8" t="str">
        <f t="shared" si="1"/>
        <v>DÜŞÜK RİSK</v>
      </c>
      <c r="O14" s="8"/>
      <c r="P14" s="8"/>
      <c r="Q14" s="10"/>
      <c r="R14" s="8"/>
      <c r="S14" s="8"/>
      <c r="T14" s="8"/>
      <c r="U14" s="8">
        <f t="shared" si="2"/>
        <v>0</v>
      </c>
      <c r="V14" s="16" t="str">
        <f t="shared" si="3"/>
        <v>DÜŞÜK RİSK</v>
      </c>
      <c r="W14" s="8"/>
      <c r="X14" s="8"/>
      <c r="Y14" s="8"/>
      <c r="AH14" s="7"/>
      <c r="AI14" s="6"/>
      <c r="AJ14" s="5"/>
      <c r="AP14" s="4"/>
      <c r="AQ14" s="4"/>
      <c r="AS14" s="3"/>
    </row>
    <row r="15" spans="1:45" ht="80.25" customHeight="1">
      <c r="A15" s="15">
        <v>16</v>
      </c>
      <c r="B15" s="14"/>
      <c r="C15" s="13"/>
      <c r="D15" s="13"/>
      <c r="E15" s="8"/>
      <c r="F15" s="13"/>
      <c r="G15" s="8"/>
      <c r="H15" s="8"/>
      <c r="I15" s="8"/>
      <c r="J15" s="8"/>
      <c r="K15" s="8"/>
      <c r="L15" s="8"/>
      <c r="M15" s="8">
        <f t="shared" si="0"/>
        <v>0</v>
      </c>
      <c r="N15" s="8" t="str">
        <f t="shared" si="1"/>
        <v>DÜŞÜK RİSK</v>
      </c>
      <c r="O15" s="8"/>
      <c r="P15" s="8"/>
      <c r="Q15" s="18"/>
      <c r="R15" s="8"/>
      <c r="S15" s="8"/>
      <c r="T15" s="8"/>
      <c r="U15" s="8">
        <f t="shared" si="2"/>
        <v>0</v>
      </c>
      <c r="V15" s="17" t="str">
        <f t="shared" si="3"/>
        <v>DÜŞÜK RİSK</v>
      </c>
      <c r="W15" s="16"/>
      <c r="X15" s="16"/>
      <c r="Y15" s="16"/>
      <c r="AH15" s="7"/>
      <c r="AI15" s="6"/>
      <c r="AJ15" s="5"/>
      <c r="AP15" s="4"/>
      <c r="AQ15" s="4"/>
      <c r="AS15" s="3"/>
    </row>
    <row r="16" spans="1:45" ht="80.25" customHeight="1">
      <c r="A16" s="15">
        <v>17</v>
      </c>
      <c r="B16" s="14"/>
      <c r="C16" s="11"/>
      <c r="D16" s="13"/>
      <c r="E16" s="12"/>
      <c r="F16" s="11"/>
      <c r="G16" s="11"/>
      <c r="H16" s="8"/>
      <c r="I16" s="11"/>
      <c r="J16" s="8"/>
      <c r="K16" s="8"/>
      <c r="L16" s="8"/>
      <c r="M16" s="8">
        <f t="shared" si="0"/>
        <v>0</v>
      </c>
      <c r="N16" s="8" t="str">
        <f t="shared" si="1"/>
        <v>DÜŞÜK RİSK</v>
      </c>
      <c r="O16" s="11"/>
      <c r="P16" s="8"/>
      <c r="Q16" s="10"/>
      <c r="R16" s="8"/>
      <c r="S16" s="8"/>
      <c r="T16" s="8"/>
      <c r="U16" s="8">
        <f t="shared" si="2"/>
        <v>0</v>
      </c>
      <c r="V16" s="9" t="str">
        <f t="shared" si="3"/>
        <v>DÜŞÜK RİSK</v>
      </c>
      <c r="W16" s="8"/>
      <c r="X16" s="8"/>
      <c r="Y16" s="8"/>
      <c r="AH16" s="7"/>
      <c r="AI16" s="6"/>
      <c r="AJ16" s="5"/>
      <c r="AP16" s="4"/>
      <c r="AQ16" s="4"/>
      <c r="AS16" s="3"/>
    </row>
    <row r="17" spans="1:45" ht="30.75" customHeight="1">
      <c r="A17" s="248" t="s">
        <v>39</v>
      </c>
      <c r="B17" s="249"/>
      <c r="C17" s="249"/>
      <c r="D17" s="250"/>
      <c r="E17" s="248" t="s">
        <v>40</v>
      </c>
      <c r="F17" s="249"/>
      <c r="G17" s="250"/>
      <c r="H17" s="249" t="s">
        <v>41</v>
      </c>
      <c r="I17" s="249"/>
      <c r="J17" s="249"/>
      <c r="K17" s="249"/>
      <c r="L17" s="249"/>
      <c r="M17" s="249"/>
      <c r="N17" s="248" t="s">
        <v>42</v>
      </c>
      <c r="O17" s="249"/>
      <c r="P17" s="250"/>
      <c r="Q17" s="249" t="s">
        <v>43</v>
      </c>
      <c r="R17" s="249"/>
      <c r="S17" s="249"/>
      <c r="T17" s="249"/>
      <c r="U17" s="249"/>
      <c r="V17" s="249"/>
      <c r="W17" s="248" t="s">
        <v>44</v>
      </c>
      <c r="X17" s="249"/>
      <c r="Y17" s="250"/>
      <c r="AH17" s="7"/>
      <c r="AI17" s="6"/>
      <c r="AJ17" s="5"/>
      <c r="AP17" s="4"/>
      <c r="AQ17" s="4"/>
      <c r="AS17" s="3"/>
    </row>
    <row r="18" spans="1:45" ht="130.5" customHeight="1">
      <c r="A18" s="282"/>
      <c r="B18" s="283"/>
      <c r="C18" s="283"/>
      <c r="D18" s="284"/>
      <c r="E18" s="282"/>
      <c r="F18" s="283"/>
      <c r="G18" s="284"/>
      <c r="H18" s="283"/>
      <c r="I18" s="283"/>
      <c r="J18" s="283"/>
      <c r="K18" s="283"/>
      <c r="L18" s="283"/>
      <c r="M18" s="283"/>
      <c r="N18" s="282"/>
      <c r="O18" s="283"/>
      <c r="P18" s="284"/>
      <c r="Q18" s="283"/>
      <c r="R18" s="283"/>
      <c r="S18" s="283"/>
      <c r="T18" s="283"/>
      <c r="U18" s="283"/>
      <c r="V18" s="283"/>
      <c r="W18" s="282"/>
      <c r="X18" s="283"/>
      <c r="Y18" s="284"/>
      <c r="AH18" s="7"/>
      <c r="AI18" s="6"/>
      <c r="AJ18" s="5"/>
      <c r="AP18" s="4"/>
      <c r="AQ18" s="4"/>
      <c r="AS18" s="3"/>
    </row>
    <row r="19" spans="1:45" ht="26.25" customHeight="1">
      <c r="A19" s="227" t="s">
        <v>45</v>
      </c>
      <c r="B19" s="228"/>
      <c r="C19" s="228"/>
      <c r="D19" s="228"/>
      <c r="E19" s="228"/>
      <c r="F19" s="228"/>
      <c r="G19" s="228"/>
      <c r="H19" s="228"/>
      <c r="I19" s="228"/>
      <c r="J19" s="228"/>
      <c r="K19" s="228"/>
      <c r="L19" s="228"/>
      <c r="M19" s="228"/>
      <c r="N19" s="228"/>
      <c r="O19" s="228"/>
      <c r="P19" s="228"/>
      <c r="Q19" s="228"/>
      <c r="R19" s="228"/>
      <c r="S19" s="228"/>
      <c r="T19" s="228"/>
      <c r="U19" s="228"/>
      <c r="V19" s="228"/>
      <c r="W19" s="228"/>
      <c r="X19" s="228"/>
      <c r="Y19" s="229"/>
      <c r="AH19" s="7"/>
      <c r="AI19" s="6"/>
      <c r="AJ19" s="5"/>
      <c r="AP19" s="4"/>
      <c r="AQ19" s="4"/>
      <c r="AS19" s="3"/>
    </row>
    <row r="20" spans="1:45" ht="28.5" customHeight="1">
      <c r="A20" s="230" t="s">
        <v>1</v>
      </c>
      <c r="B20" s="231"/>
      <c r="C20" s="232"/>
      <c r="D20" s="232"/>
      <c r="E20" s="232"/>
      <c r="F20" s="232"/>
      <c r="G20" s="232"/>
      <c r="H20" s="232"/>
      <c r="I20" s="232"/>
      <c r="J20" s="232"/>
      <c r="K20" s="232"/>
      <c r="L20" s="232"/>
      <c r="M20" s="232"/>
      <c r="N20" s="232"/>
      <c r="O20" s="232"/>
      <c r="P20" s="234"/>
      <c r="Q20" s="235"/>
      <c r="R20" s="236"/>
      <c r="S20" s="240"/>
      <c r="T20" s="240"/>
      <c r="U20" s="240"/>
      <c r="V20" s="240"/>
      <c r="W20" s="241"/>
      <c r="X20" s="241"/>
      <c r="Y20" s="242"/>
      <c r="AH20" s="7"/>
      <c r="AI20" s="6"/>
      <c r="AJ20" s="5"/>
      <c r="AP20" s="4"/>
      <c r="AQ20" s="4"/>
      <c r="AS20" s="3"/>
    </row>
    <row r="21" spans="1:45" ht="42" customHeight="1">
      <c r="A21" s="246" t="s">
        <v>0</v>
      </c>
      <c r="B21" s="247"/>
      <c r="C21" s="233"/>
      <c r="D21" s="233"/>
      <c r="E21" s="233"/>
      <c r="F21" s="233"/>
      <c r="G21" s="233"/>
      <c r="H21" s="233"/>
      <c r="I21" s="233"/>
      <c r="J21" s="233"/>
      <c r="K21" s="233"/>
      <c r="L21" s="233"/>
      <c r="M21" s="233"/>
      <c r="N21" s="233"/>
      <c r="O21" s="233"/>
      <c r="P21" s="237"/>
      <c r="Q21" s="238"/>
      <c r="R21" s="239"/>
      <c r="S21" s="243"/>
      <c r="T21" s="243"/>
      <c r="U21" s="243"/>
      <c r="V21" s="243"/>
      <c r="W21" s="244"/>
      <c r="X21" s="244"/>
      <c r="Y21" s="245"/>
      <c r="AH21" s="7"/>
      <c r="AI21" s="6"/>
      <c r="AJ21" s="5"/>
      <c r="AP21" s="4"/>
      <c r="AQ21" s="4"/>
      <c r="AS21" s="3"/>
    </row>
  </sheetData>
  <mergeCells count="44">
    <mergeCell ref="W17:Y17"/>
    <mergeCell ref="W18:Y18"/>
    <mergeCell ref="A18:D18"/>
    <mergeCell ref="E18:G18"/>
    <mergeCell ref="H18:M18"/>
    <mergeCell ref="N18:P18"/>
    <mergeCell ref="Q18:V18"/>
    <mergeCell ref="A1:Y1"/>
    <mergeCell ref="A2:C2"/>
    <mergeCell ref="D2:I2"/>
    <mergeCell ref="J2:N2"/>
    <mergeCell ref="Q2:Y2"/>
    <mergeCell ref="A3:C3"/>
    <mergeCell ref="D3:O3"/>
    <mergeCell ref="Q3:Y3"/>
    <mergeCell ref="A4:A5"/>
    <mergeCell ref="B4:B5"/>
    <mergeCell ref="C4:C5"/>
    <mergeCell ref="D4:D5"/>
    <mergeCell ref="E4:E5"/>
    <mergeCell ref="F4:F5"/>
    <mergeCell ref="R4:V4"/>
    <mergeCell ref="Y4:Y5"/>
    <mergeCell ref="G4:G5"/>
    <mergeCell ref="H4:H5"/>
    <mergeCell ref="I4:I5"/>
    <mergeCell ref="J4:N4"/>
    <mergeCell ref="P4:P5"/>
    <mergeCell ref="Q4:Q5"/>
    <mergeCell ref="A19:Y19"/>
    <mergeCell ref="A20:B20"/>
    <mergeCell ref="C20:E21"/>
    <mergeCell ref="F20:I21"/>
    <mergeCell ref="J20:O21"/>
    <mergeCell ref="P20:R21"/>
    <mergeCell ref="S20:Y21"/>
    <mergeCell ref="A21:B21"/>
    <mergeCell ref="W4:W5"/>
    <mergeCell ref="X4:X5"/>
    <mergeCell ref="A17:D17"/>
    <mergeCell ref="E17:G17"/>
    <mergeCell ref="H17:M17"/>
    <mergeCell ref="N17:P17"/>
    <mergeCell ref="Q17:V17"/>
  </mergeCells>
  <conditionalFormatting sqref="N6">
    <cfRule type="cellIs" dxfId="220" priority="117" operator="equal">
      <formula>"DÜŞÜK"</formula>
    </cfRule>
    <cfRule type="cellIs" dxfId="219" priority="114" stopIfTrue="1" operator="equal">
      <formula>"DÜŞÜK RİSK"</formula>
    </cfRule>
    <cfRule type="cellIs" dxfId="218" priority="116" operator="equal">
      <formula>"DÜŞÜK"</formula>
    </cfRule>
    <cfRule type="cellIs" dxfId="217" priority="107" stopIfTrue="1" operator="equal">
      <formula>"YÜKSEK RİSK"</formula>
    </cfRule>
    <cfRule type="cellIs" dxfId="216" priority="108" stopIfTrue="1" operator="equal">
      <formula>"ÖNEMLİ RİSK"</formula>
    </cfRule>
    <cfRule type="cellIs" dxfId="215" priority="109" stopIfTrue="1" operator="equal">
      <formula>"OLASI RİSK"</formula>
    </cfRule>
    <cfRule type="cellIs" dxfId="214" priority="110" operator="equal">
      <formula>"DÜŞÜK RİSK"</formula>
    </cfRule>
    <cfRule type="cellIs" dxfId="213" priority="111" stopIfTrue="1" operator="equal">
      <formula>"ACİL MÜDAHALE"</formula>
    </cfRule>
    <cfRule type="cellIs" dxfId="212" priority="112" stopIfTrue="1" operator="equal">
      <formula>"YÜKSEK RİSK"</formula>
    </cfRule>
    <cfRule type="cellIs" dxfId="211" priority="113" stopIfTrue="1" operator="equal">
      <formula>"ORTA RİSK"</formula>
    </cfRule>
    <cfRule type="cellIs" dxfId="210" priority="115" operator="equal">
      <formula>"ÖNEMSİZ RİSK"</formula>
    </cfRule>
    <cfRule type="containsText" dxfId="209" priority="120" operator="containsText" text="DÜŞÜK">
      <formula>NOT(ISERROR(SEARCH("DÜŞÜK",N6)))</formula>
    </cfRule>
    <cfRule type="cellIs" dxfId="208" priority="119" operator="equal">
      <formula>"ORTA"</formula>
    </cfRule>
    <cfRule type="cellIs" dxfId="207" priority="118" operator="equal">
      <formula>"YÜKSEK"</formula>
    </cfRule>
  </conditionalFormatting>
  <conditionalFormatting sqref="N6:N16">
    <cfRule type="cellIs" dxfId="206" priority="21" stopIfTrue="1" operator="equal">
      <formula>"KABUL EDİLEMEZ RİSK"</formula>
    </cfRule>
  </conditionalFormatting>
  <conditionalFormatting sqref="N7">
    <cfRule type="cellIs" dxfId="205" priority="254" stopIfTrue="1" operator="equal">
      <formula>"OLASI RİSK"</formula>
    </cfRule>
    <cfRule type="cellIs" dxfId="204" priority="259" stopIfTrue="1" operator="equal">
      <formula>"DÜŞÜK RİSK"</formula>
    </cfRule>
    <cfRule type="cellIs" dxfId="203" priority="260" operator="equal">
      <formula>"ÖNEMSİZ RİSK"</formula>
    </cfRule>
    <cfRule type="cellIs" dxfId="202" priority="261" operator="equal">
      <formula>"DÜŞÜK"</formula>
    </cfRule>
    <cfRule type="cellIs" dxfId="201" priority="262" operator="equal">
      <formula>"DÜŞÜK"</formula>
    </cfRule>
    <cfRule type="cellIs" dxfId="200" priority="263" operator="equal">
      <formula>"YÜKSEK"</formula>
    </cfRule>
    <cfRule type="cellIs" dxfId="199" priority="264" operator="equal">
      <formula>"ORTA"</formula>
    </cfRule>
    <cfRule type="containsText" dxfId="198" priority="265" operator="containsText" text="DÜŞÜK">
      <formula>NOT(ISERROR(SEARCH("DÜŞÜK",N7)))</formula>
    </cfRule>
    <cfRule type="cellIs" dxfId="197" priority="253" stopIfTrue="1" operator="equal">
      <formula>"ÖNEMLİ RİSK"</formula>
    </cfRule>
    <cfRule type="cellIs" dxfId="196" priority="258" stopIfTrue="1" operator="equal">
      <formula>"ORTA RİSK"</formula>
    </cfRule>
    <cfRule type="cellIs" dxfId="195" priority="257" stopIfTrue="1" operator="equal">
      <formula>"YÜKSEK RİSK"</formula>
    </cfRule>
    <cfRule type="cellIs" dxfId="194" priority="256" stopIfTrue="1" operator="equal">
      <formula>"ACİL MÜDAHALE"</formula>
    </cfRule>
    <cfRule type="cellIs" dxfId="193" priority="255" operator="equal">
      <formula>"DÜŞÜK RİSK"</formula>
    </cfRule>
  </conditionalFormatting>
  <conditionalFormatting sqref="N7:N8 V7:V8">
    <cfRule type="cellIs" dxfId="192" priority="227" stopIfTrue="1" operator="equal">
      <formula>"YÜKSEK RİSK"</formula>
    </cfRule>
  </conditionalFormatting>
  <conditionalFormatting sqref="N8 V8">
    <cfRule type="cellIs" dxfId="191" priority="225" operator="equal">
      <formula>"DÜŞÜK RİSK"</formula>
    </cfRule>
    <cfRule type="cellIs" dxfId="190" priority="224" stopIfTrue="1" operator="equal">
      <formula>"OLASI RİSK"</formula>
    </cfRule>
    <cfRule type="containsText" dxfId="189" priority="235" operator="containsText" text="DÜŞÜK">
      <formula>NOT(ISERROR(SEARCH("DÜŞÜK",N8)))</formula>
    </cfRule>
    <cfRule type="cellIs" dxfId="188" priority="234" operator="equal">
      <formula>"ORTA"</formula>
    </cfRule>
    <cfRule type="cellIs" dxfId="187" priority="233" operator="equal">
      <formula>"YÜKSEK"</formula>
    </cfRule>
    <cfRule type="cellIs" dxfId="186" priority="232" operator="equal">
      <formula>"DÜŞÜK"</formula>
    </cfRule>
    <cfRule type="cellIs" dxfId="185" priority="226" stopIfTrue="1" operator="equal">
      <formula>"ACİL MÜDAHALE"</formula>
    </cfRule>
    <cfRule type="cellIs" dxfId="184" priority="228" stopIfTrue="1" operator="equal">
      <formula>"ORTA RİSK"</formula>
    </cfRule>
    <cfRule type="cellIs" dxfId="183" priority="229" stopIfTrue="1" operator="equal">
      <formula>"DÜŞÜK RİSK"</formula>
    </cfRule>
    <cfRule type="cellIs" dxfId="182" priority="230" operator="equal">
      <formula>"ÖNEMSİZ RİSK"</formula>
    </cfRule>
    <cfRule type="cellIs" dxfId="181" priority="231" operator="equal">
      <formula>"DÜŞÜK"</formula>
    </cfRule>
  </conditionalFormatting>
  <conditionalFormatting sqref="N8:N9">
    <cfRule type="cellIs" dxfId="180" priority="97" stopIfTrue="1" operator="equal">
      <formula>"YÜKSEK RİSK"</formula>
    </cfRule>
  </conditionalFormatting>
  <conditionalFormatting sqref="N9">
    <cfRule type="cellIs" dxfId="179" priority="93" stopIfTrue="1" operator="equal">
      <formula>"ÖNEMLİ RİSK"</formula>
    </cfRule>
    <cfRule type="containsText" dxfId="178" priority="105" operator="containsText" text="DÜŞÜK">
      <formula>NOT(ISERROR(SEARCH("DÜŞÜK",N9)))</formula>
    </cfRule>
    <cfRule type="cellIs" dxfId="177" priority="104" operator="equal">
      <formula>"ORTA"</formula>
    </cfRule>
    <cfRule type="cellIs" dxfId="176" priority="103" operator="equal">
      <formula>"YÜKSEK"</formula>
    </cfRule>
    <cfRule type="cellIs" dxfId="175" priority="102" operator="equal">
      <formula>"DÜŞÜK"</formula>
    </cfRule>
    <cfRule type="cellIs" dxfId="174" priority="101" operator="equal">
      <formula>"DÜŞÜK"</formula>
    </cfRule>
    <cfRule type="cellIs" dxfId="173" priority="100" operator="equal">
      <formula>"ÖNEMSİZ RİSK"</formula>
    </cfRule>
    <cfRule type="cellIs" dxfId="172" priority="99" stopIfTrue="1" operator="equal">
      <formula>"DÜŞÜK RİSK"</formula>
    </cfRule>
    <cfRule type="cellIs" dxfId="171" priority="98" stopIfTrue="1" operator="equal">
      <formula>"ORTA RİSK"</formula>
    </cfRule>
    <cfRule type="cellIs" dxfId="170" priority="96" stopIfTrue="1" operator="equal">
      <formula>"ACİL MÜDAHALE"</formula>
    </cfRule>
    <cfRule type="cellIs" dxfId="169" priority="95" operator="equal">
      <formula>"DÜŞÜK RİSK"</formula>
    </cfRule>
    <cfRule type="cellIs" dxfId="168" priority="94" stopIfTrue="1" operator="equal">
      <formula>"OLASI RİSK"</formula>
    </cfRule>
  </conditionalFormatting>
  <conditionalFormatting sqref="N9:N10">
    <cfRule type="cellIs" dxfId="167" priority="82" stopIfTrue="1" operator="equal">
      <formula>"YÜKSEK RİSK"</formula>
    </cfRule>
  </conditionalFormatting>
  <conditionalFormatting sqref="N10">
    <cfRule type="containsText" dxfId="166" priority="90" operator="containsText" text="DÜŞÜK">
      <formula>NOT(ISERROR(SEARCH("DÜŞÜK",N10)))</formula>
    </cfRule>
    <cfRule type="cellIs" dxfId="165" priority="89" operator="equal">
      <formula>"ORTA"</formula>
    </cfRule>
    <cfRule type="cellIs" dxfId="164" priority="88" operator="equal">
      <formula>"YÜKSEK"</formula>
    </cfRule>
    <cfRule type="cellIs" dxfId="163" priority="87" operator="equal">
      <formula>"DÜŞÜK"</formula>
    </cfRule>
    <cfRule type="cellIs" dxfId="162" priority="86" operator="equal">
      <formula>"DÜŞÜK"</formula>
    </cfRule>
    <cfRule type="cellIs" dxfId="161" priority="85" operator="equal">
      <formula>"ÖNEMSİZ RİSK"</formula>
    </cfRule>
    <cfRule type="cellIs" dxfId="160" priority="84" stopIfTrue="1" operator="equal">
      <formula>"DÜŞÜK RİSK"</formula>
    </cfRule>
    <cfRule type="cellIs" dxfId="159" priority="78" stopIfTrue="1" operator="equal">
      <formula>"ÖNEMLİ RİSK"</formula>
    </cfRule>
    <cfRule type="cellIs" dxfId="158" priority="79" stopIfTrue="1" operator="equal">
      <formula>"OLASI RİSK"</formula>
    </cfRule>
    <cfRule type="cellIs" dxfId="157" priority="80" operator="equal">
      <formula>"DÜŞÜK RİSK"</formula>
    </cfRule>
    <cfRule type="cellIs" dxfId="156" priority="81" stopIfTrue="1" operator="equal">
      <formula>"ACİL MÜDAHALE"</formula>
    </cfRule>
    <cfRule type="cellIs" dxfId="155" priority="83" stopIfTrue="1" operator="equal">
      <formula>"ORTA RİSK"</formula>
    </cfRule>
  </conditionalFormatting>
  <conditionalFormatting sqref="N10:N11">
    <cfRule type="cellIs" dxfId="154" priority="27" stopIfTrue="1" operator="equal">
      <formula>"YÜKSEK RİSK"</formula>
    </cfRule>
  </conditionalFormatting>
  <conditionalFormatting sqref="N11">
    <cfRule type="containsText" dxfId="153" priority="35" operator="containsText" text="DÜŞÜK">
      <formula>NOT(ISERROR(SEARCH("DÜŞÜK",N11)))</formula>
    </cfRule>
    <cfRule type="cellIs" dxfId="152" priority="34" operator="equal">
      <formula>"ORTA"</formula>
    </cfRule>
    <cfRule type="cellIs" dxfId="151" priority="22" stopIfTrue="1" operator="equal">
      <formula>"YÜKSEK RİSK"</formula>
    </cfRule>
    <cfRule type="cellIs" dxfId="150" priority="23" stopIfTrue="1" operator="equal">
      <formula>"ÖNEMLİ RİSK"</formula>
    </cfRule>
    <cfRule type="cellIs" dxfId="149" priority="24" stopIfTrue="1" operator="equal">
      <formula>"OLASI RİSK"</formula>
    </cfRule>
    <cfRule type="cellIs" dxfId="148" priority="25" operator="equal">
      <formula>"DÜŞÜK RİSK"</formula>
    </cfRule>
    <cfRule type="cellIs" dxfId="147" priority="26" stopIfTrue="1" operator="equal">
      <formula>"ACİL MÜDAHALE"</formula>
    </cfRule>
    <cfRule type="cellIs" dxfId="146" priority="28" stopIfTrue="1" operator="equal">
      <formula>"ORTA RİSK"</formula>
    </cfRule>
    <cfRule type="cellIs" dxfId="145" priority="29" stopIfTrue="1" operator="equal">
      <formula>"DÜŞÜK RİSK"</formula>
    </cfRule>
    <cfRule type="cellIs" dxfId="144" priority="30" operator="equal">
      <formula>"ÖNEMSİZ RİSK"</formula>
    </cfRule>
    <cfRule type="cellIs" dxfId="143" priority="31" operator="equal">
      <formula>"DÜŞÜK"</formula>
    </cfRule>
    <cfRule type="cellIs" dxfId="142" priority="32" operator="equal">
      <formula>"DÜŞÜK"</formula>
    </cfRule>
    <cfRule type="cellIs" dxfId="141" priority="33" operator="equal">
      <formula>"YÜKSEK"</formula>
    </cfRule>
  </conditionalFormatting>
  <conditionalFormatting sqref="N12">
    <cfRule type="cellIs" dxfId="140" priority="67" stopIfTrue="1" operator="equal">
      <formula>"YÜKSEK RİSK"</formula>
    </cfRule>
    <cfRule type="cellIs" dxfId="139" priority="69" stopIfTrue="1" operator="equal">
      <formula>"DÜŞÜK RİSK"</formula>
    </cfRule>
    <cfRule type="cellIs" dxfId="138" priority="74" operator="equal">
      <formula>"ORTA"</formula>
    </cfRule>
    <cfRule type="cellIs" dxfId="137" priority="73" operator="equal">
      <formula>"YÜKSEK"</formula>
    </cfRule>
    <cfRule type="cellIs" dxfId="136" priority="72" operator="equal">
      <formula>"DÜŞÜK"</formula>
    </cfRule>
    <cfRule type="cellIs" dxfId="135" priority="71" operator="equal">
      <formula>"DÜŞÜK"</formula>
    </cfRule>
    <cfRule type="cellIs" dxfId="134" priority="70" operator="equal">
      <formula>"ÖNEMSİZ RİSK"</formula>
    </cfRule>
    <cfRule type="containsText" dxfId="133" priority="75" operator="containsText" text="DÜŞÜK">
      <formula>NOT(ISERROR(SEARCH("DÜŞÜK",N12)))</formula>
    </cfRule>
    <cfRule type="cellIs" dxfId="132" priority="63" stopIfTrue="1" operator="equal">
      <formula>"ÖNEMLİ RİSK"</formula>
    </cfRule>
    <cfRule type="cellIs" dxfId="131" priority="64" stopIfTrue="1" operator="equal">
      <formula>"OLASI RİSK"</formula>
    </cfRule>
    <cfRule type="cellIs" dxfId="130" priority="65" operator="equal">
      <formula>"DÜŞÜK RİSK"</formula>
    </cfRule>
    <cfRule type="cellIs" dxfId="129" priority="66" stopIfTrue="1" operator="equal">
      <formula>"ACİL MÜDAHALE"</formula>
    </cfRule>
    <cfRule type="cellIs" dxfId="128" priority="68" stopIfTrue="1" operator="equal">
      <formula>"ORTA RİSK"</formula>
    </cfRule>
  </conditionalFormatting>
  <conditionalFormatting sqref="N12:N13">
    <cfRule type="cellIs" dxfId="127" priority="52" stopIfTrue="1" operator="equal">
      <formula>"YÜKSEK RİSK"</formula>
    </cfRule>
  </conditionalFormatting>
  <conditionalFormatting sqref="N13">
    <cfRule type="cellIs" dxfId="126" priority="59" operator="equal">
      <formula>"ORTA"</formula>
    </cfRule>
    <cfRule type="containsText" dxfId="125" priority="60" operator="containsText" text="DÜŞÜK">
      <formula>NOT(ISERROR(SEARCH("DÜŞÜK",N13)))</formula>
    </cfRule>
    <cfRule type="cellIs" dxfId="124" priority="51" stopIfTrue="1" operator="equal">
      <formula>"ACİL MÜDAHALE"</formula>
    </cfRule>
    <cfRule type="cellIs" dxfId="123" priority="50" operator="equal">
      <formula>"DÜŞÜK RİSK"</formula>
    </cfRule>
    <cfRule type="cellIs" dxfId="122" priority="54" stopIfTrue="1" operator="equal">
      <formula>"DÜŞÜK RİSK"</formula>
    </cfRule>
    <cfRule type="cellIs" dxfId="121" priority="55" operator="equal">
      <formula>"ÖNEMSİZ RİSK"</formula>
    </cfRule>
    <cfRule type="cellIs" dxfId="120" priority="56" operator="equal">
      <formula>"DÜŞÜK"</formula>
    </cfRule>
    <cfRule type="cellIs" dxfId="119" priority="57" operator="equal">
      <formula>"DÜŞÜK"</formula>
    </cfRule>
    <cfRule type="cellIs" dxfId="118" priority="49" stopIfTrue="1" operator="equal">
      <formula>"OLASI RİSK"</formula>
    </cfRule>
    <cfRule type="cellIs" dxfId="117" priority="48" stopIfTrue="1" operator="equal">
      <formula>"ÖNEMLİ RİSK"</formula>
    </cfRule>
    <cfRule type="cellIs" dxfId="116" priority="58" operator="equal">
      <formula>"YÜKSEK"</formula>
    </cfRule>
    <cfRule type="cellIs" dxfId="115" priority="47" stopIfTrue="1" operator="equal">
      <formula>"YÜKSEK RİSK"</formula>
    </cfRule>
    <cfRule type="cellIs" dxfId="114" priority="53" stopIfTrue="1" operator="equal">
      <formula>"ORTA RİSK"</formula>
    </cfRule>
  </conditionalFormatting>
  <conditionalFormatting sqref="N14">
    <cfRule type="containsText" dxfId="113" priority="300" operator="containsText" text="DÜŞÜK">
      <formula>NOT(ISERROR(SEARCH("DÜŞÜK",N14)))</formula>
    </cfRule>
    <cfRule type="cellIs" dxfId="112" priority="288" stopIfTrue="1" operator="equal">
      <formula>"ÖNEMLİ RİSK"</formula>
    </cfRule>
    <cfRule type="cellIs" dxfId="111" priority="290" operator="equal">
      <formula>"DÜŞÜK RİSK"</formula>
    </cfRule>
    <cfRule type="cellIs" dxfId="110" priority="291" stopIfTrue="1" operator="equal">
      <formula>"ACİL MÜDAHALE"</formula>
    </cfRule>
    <cfRule type="cellIs" dxfId="109" priority="292" stopIfTrue="1" operator="equal">
      <formula>"YÜKSEK RİSK"</formula>
    </cfRule>
    <cfRule type="cellIs" dxfId="108" priority="293" stopIfTrue="1" operator="equal">
      <formula>"ORTA RİSK"</formula>
    </cfRule>
    <cfRule type="cellIs" dxfId="107" priority="294" stopIfTrue="1" operator="equal">
      <formula>"DÜŞÜK RİSK"</formula>
    </cfRule>
    <cfRule type="cellIs" dxfId="106" priority="295" operator="equal">
      <formula>"ÖNEMSİZ RİSK"</formula>
    </cfRule>
    <cfRule type="cellIs" dxfId="105" priority="296" operator="equal">
      <formula>"DÜŞÜK"</formula>
    </cfRule>
    <cfRule type="cellIs" dxfId="104" priority="297" operator="equal">
      <formula>"DÜŞÜK"</formula>
    </cfRule>
    <cfRule type="cellIs" dxfId="103" priority="299" operator="equal">
      <formula>"ORTA"</formula>
    </cfRule>
    <cfRule type="cellIs" dxfId="102" priority="298" operator="equal">
      <formula>"YÜKSEK"</formula>
    </cfRule>
    <cfRule type="cellIs" dxfId="101" priority="289" stopIfTrue="1" operator="equal">
      <formula>"OLASI RİSK"</formula>
    </cfRule>
  </conditionalFormatting>
  <conditionalFormatting sqref="N14:N15">
    <cfRule type="cellIs" dxfId="100" priority="152" stopIfTrue="1" operator="equal">
      <formula>"YÜKSEK RİSK"</formula>
    </cfRule>
  </conditionalFormatting>
  <conditionalFormatting sqref="N15">
    <cfRule type="cellIs" dxfId="99" priority="151" stopIfTrue="1" operator="equal">
      <formula>"ACİL MÜDAHALE"</formula>
    </cfRule>
    <cfRule type="cellIs" dxfId="98" priority="153" stopIfTrue="1" operator="equal">
      <formula>"ORTA RİSK"</formula>
    </cfRule>
    <cfRule type="cellIs" dxfId="97" priority="154" stopIfTrue="1" operator="equal">
      <formula>"DÜŞÜK RİSK"</formula>
    </cfRule>
    <cfRule type="cellIs" dxfId="96" priority="155" operator="equal">
      <formula>"ÖNEMSİZ RİSK"</formula>
    </cfRule>
    <cfRule type="cellIs" dxfId="95" priority="156" operator="equal">
      <formula>"DÜŞÜK"</formula>
    </cfRule>
    <cfRule type="cellIs" dxfId="94" priority="157" operator="equal">
      <formula>"DÜŞÜK"</formula>
    </cfRule>
    <cfRule type="cellIs" dxfId="93" priority="158" operator="equal">
      <formula>"YÜKSEK"</formula>
    </cfRule>
    <cfRule type="cellIs" dxfId="92" priority="159" operator="equal">
      <formula>"ORTA"</formula>
    </cfRule>
    <cfRule type="containsText" dxfId="91" priority="160" operator="containsText" text="DÜŞÜK">
      <formula>NOT(ISERROR(SEARCH("DÜŞÜK",N15)))</formula>
    </cfRule>
    <cfRule type="cellIs" dxfId="90" priority="148" stopIfTrue="1" operator="equal">
      <formula>"ÖNEMLİ RİSK"</formula>
    </cfRule>
    <cfRule type="cellIs" dxfId="89" priority="149" stopIfTrue="1" operator="equal">
      <formula>"OLASI RİSK"</formula>
    </cfRule>
    <cfRule type="cellIs" dxfId="88" priority="150" operator="equal">
      <formula>"DÜŞÜK RİSK"</formula>
    </cfRule>
  </conditionalFormatting>
  <conditionalFormatting sqref="N15:N16">
    <cfRule type="cellIs" dxfId="87" priority="137" stopIfTrue="1" operator="equal">
      <formula>"YÜKSEK RİSK"</formula>
    </cfRule>
  </conditionalFormatting>
  <conditionalFormatting sqref="N16">
    <cfRule type="cellIs" dxfId="86" priority="133" stopIfTrue="1" operator="equal">
      <formula>"ÖNEMLİ RİSK"</formula>
    </cfRule>
    <cfRule type="cellIs" dxfId="85" priority="143" operator="equal">
      <formula>"YÜKSEK"</formula>
    </cfRule>
    <cfRule type="cellIs" dxfId="84" priority="139" stopIfTrue="1" operator="equal">
      <formula>"DÜŞÜK RİSK"</formula>
    </cfRule>
    <cfRule type="cellIs" dxfId="83" priority="140" operator="equal">
      <formula>"ÖNEMSİZ RİSK"</formula>
    </cfRule>
    <cfRule type="cellIs" dxfId="82" priority="136" stopIfTrue="1" operator="equal">
      <formula>"ACİL MÜDAHALE"</formula>
    </cfRule>
    <cfRule type="cellIs" dxfId="81" priority="135" operator="equal">
      <formula>"DÜŞÜK RİSK"</formula>
    </cfRule>
    <cfRule type="cellIs" dxfId="80" priority="134" stopIfTrue="1" operator="equal">
      <formula>"OLASI RİSK"</formula>
    </cfRule>
    <cfRule type="cellIs" dxfId="79" priority="132" stopIfTrue="1" operator="equal">
      <formula>"YÜKSEK RİSK"</formula>
    </cfRule>
    <cfRule type="cellIs" dxfId="78" priority="138" stopIfTrue="1" operator="equal">
      <formula>"ORTA RİSK"</formula>
    </cfRule>
    <cfRule type="containsText" dxfId="77" priority="145" operator="containsText" text="DÜŞÜK">
      <formula>NOT(ISERROR(SEARCH("DÜŞÜK",N16)))</formula>
    </cfRule>
    <cfRule type="cellIs" dxfId="76" priority="144" operator="equal">
      <formula>"ORTA"</formula>
    </cfRule>
    <cfRule type="cellIs" dxfId="75" priority="141" operator="equal">
      <formula>"DÜŞÜK"</formula>
    </cfRule>
    <cfRule type="cellIs" dxfId="74" priority="142" operator="equal">
      <formula>"DÜŞÜK"</formula>
    </cfRule>
  </conditionalFormatting>
  <conditionalFormatting sqref="V6">
    <cfRule type="cellIs" dxfId="73" priority="218" operator="equal">
      <formula>"YÜKSEK"</formula>
    </cfRule>
    <cfRule type="cellIs" dxfId="72" priority="219" operator="equal">
      <formula>"ORTA"</formula>
    </cfRule>
    <cfRule type="containsText" dxfId="71" priority="220" operator="containsText" text="DÜŞÜK">
      <formula>NOT(ISERROR(SEARCH("DÜŞÜK",V6)))</formula>
    </cfRule>
    <cfRule type="cellIs" dxfId="70" priority="216" operator="equal">
      <formula>"DÜŞÜK"</formula>
    </cfRule>
    <cfRule type="cellIs" dxfId="69" priority="215" operator="equal">
      <formula>"ÖNEMSİZ RİSK"</formula>
    </cfRule>
    <cfRule type="cellIs" dxfId="68" priority="214" stopIfTrue="1" operator="equal">
      <formula>"DÜŞÜK RİSK"</formula>
    </cfRule>
    <cfRule type="cellIs" dxfId="67" priority="213" stopIfTrue="1" operator="equal">
      <formula>"ORTA RİSK"</formula>
    </cfRule>
    <cfRule type="cellIs" dxfId="66" priority="212" stopIfTrue="1" operator="equal">
      <formula>"YÜKSEK RİSK"</formula>
    </cfRule>
    <cfRule type="cellIs" dxfId="65" priority="211" stopIfTrue="1" operator="equal">
      <formula>"ACİL MÜDAHALE"</formula>
    </cfRule>
    <cfRule type="cellIs" dxfId="64" priority="217" operator="equal">
      <formula>"DÜŞÜK"</formula>
    </cfRule>
  </conditionalFormatting>
  <conditionalFormatting sqref="V7">
    <cfRule type="cellIs" dxfId="63" priority="238" stopIfTrue="1" operator="equal">
      <formula>"ÖNEMLİ RİSK"</formula>
    </cfRule>
    <cfRule type="cellIs" dxfId="62" priority="242" stopIfTrue="1" operator="equal">
      <formula>"YÜKSEK RİSK"</formula>
    </cfRule>
    <cfRule type="cellIs" dxfId="61" priority="243" stopIfTrue="1" operator="equal">
      <formula>"ORTA RİSK"</formula>
    </cfRule>
    <cfRule type="cellIs" dxfId="60" priority="244" stopIfTrue="1" operator="equal">
      <formula>"DÜŞÜK RİSK"</formula>
    </cfRule>
    <cfRule type="cellIs" dxfId="59" priority="245" operator="equal">
      <formula>"ÖNEMSİZ RİSK"</formula>
    </cfRule>
    <cfRule type="cellIs" dxfId="58" priority="246" operator="equal">
      <formula>"DÜŞÜK"</formula>
    </cfRule>
    <cfRule type="cellIs" dxfId="57" priority="247" operator="equal">
      <formula>"DÜŞÜK"</formula>
    </cfRule>
    <cfRule type="cellIs" dxfId="56" priority="248" operator="equal">
      <formula>"YÜKSEK"</formula>
    </cfRule>
    <cfRule type="cellIs" dxfId="55" priority="249" operator="equal">
      <formula>"ORTA"</formula>
    </cfRule>
    <cfRule type="containsText" dxfId="54" priority="250" operator="containsText" text="DÜŞÜK">
      <formula>NOT(ISERROR(SEARCH("DÜŞÜK",V7)))</formula>
    </cfRule>
    <cfRule type="cellIs" dxfId="53" priority="241" stopIfTrue="1" operator="equal">
      <formula>"ACİL MÜDAHALE"</formula>
    </cfRule>
    <cfRule type="cellIs" dxfId="52" priority="240" operator="equal">
      <formula>"DÜŞÜK RİSK"</formula>
    </cfRule>
    <cfRule type="cellIs" dxfId="51" priority="239" stopIfTrue="1" operator="equal">
      <formula>"OLASI RİSK"</formula>
    </cfRule>
  </conditionalFormatting>
  <conditionalFormatting sqref="V7:V8">
    <cfRule type="cellIs" dxfId="50" priority="221" stopIfTrue="1" operator="equal">
      <formula>"KABUL EDİLEMEZ RİSK"</formula>
    </cfRule>
  </conditionalFormatting>
  <conditionalFormatting sqref="V8 N8">
    <cfRule type="cellIs" dxfId="49" priority="223" stopIfTrue="1" operator="equal">
      <formula>"ÖNEMLİ RİSK"</formula>
    </cfRule>
  </conditionalFormatting>
  <conditionalFormatting sqref="V8">
    <cfRule type="cellIs" dxfId="48" priority="222" stopIfTrue="1" operator="equal">
      <formula>"YÜKSEK RİSK"</formula>
    </cfRule>
  </conditionalFormatting>
  <conditionalFormatting sqref="V9:V16">
    <cfRule type="containsText" dxfId="47" priority="45" operator="containsText" text="DÜŞÜK">
      <formula>NOT(ISERROR(SEARCH("DÜŞÜK",V9)))</formula>
    </cfRule>
    <cfRule type="cellIs" dxfId="46" priority="36" stopIfTrue="1" operator="equal">
      <formula>"ACİL MÜDAHALE"</formula>
    </cfRule>
    <cfRule type="cellIs" dxfId="45" priority="37" stopIfTrue="1" operator="equal">
      <formula>"YÜKSEK RİSK"</formula>
    </cfRule>
    <cfRule type="cellIs" dxfId="44" priority="38" stopIfTrue="1" operator="equal">
      <formula>"ORTA RİSK"</formula>
    </cfRule>
    <cfRule type="cellIs" dxfId="43" priority="39" stopIfTrue="1" operator="equal">
      <formula>"DÜŞÜK RİSK"</formula>
    </cfRule>
    <cfRule type="cellIs" dxfId="42" priority="40" operator="equal">
      <formula>"ÖNEMSİZ RİSK"</formula>
    </cfRule>
    <cfRule type="cellIs" dxfId="41" priority="41" operator="equal">
      <formula>"DÜŞÜK"</formula>
    </cfRule>
    <cfRule type="cellIs" dxfId="40" priority="42" operator="equal">
      <formula>"DÜŞÜK"</formula>
    </cfRule>
    <cfRule type="cellIs" dxfId="39" priority="43" operator="equal">
      <formula>"YÜKSEK"</formula>
    </cfRule>
    <cfRule type="cellIs" dxfId="38" priority="44" operator="equal">
      <formula>"ORTA"</formula>
    </cfRule>
  </conditionalFormatting>
  <conditionalFormatting sqref="W15:Y15">
    <cfRule type="cellIs" dxfId="37" priority="9" operator="equal">
      <formula>"ORTA"</formula>
    </cfRule>
    <cfRule type="cellIs" dxfId="36" priority="8" operator="equal">
      <formula>"YÜKSEK"</formula>
    </cfRule>
    <cfRule type="cellIs" dxfId="35" priority="7" operator="equal">
      <formula>"DÜŞÜK"</formula>
    </cfRule>
    <cfRule type="cellIs" dxfId="34" priority="6" operator="equal">
      <formula>"DÜŞÜK"</formula>
    </cfRule>
    <cfRule type="cellIs" dxfId="33" priority="5" operator="equal">
      <formula>"ÖNEMSİZ RİSK"</formula>
    </cfRule>
    <cfRule type="cellIs" dxfId="32" priority="4" stopIfTrue="1" operator="equal">
      <formula>"DÜŞÜK RİSK"</formula>
    </cfRule>
    <cfRule type="containsText" dxfId="31" priority="10" operator="containsText" text="DÜŞÜK">
      <formula>NOT(ISERROR(SEARCH("DÜŞÜK",W15)))</formula>
    </cfRule>
    <cfRule type="cellIs" dxfId="30" priority="3" stopIfTrue="1" operator="equal">
      <formula>"ORTA RİSK"</formula>
    </cfRule>
    <cfRule type="cellIs" dxfId="29" priority="2" stopIfTrue="1" operator="equal">
      <formula>"YÜKSEK RİSK"</formula>
    </cfRule>
    <cfRule type="cellIs" dxfId="28" priority="1" stopIfTrue="1" operator="equal">
      <formula>"ACİL MÜDAHALE"</formula>
    </cfRule>
  </conditionalFormatting>
  <pageMargins left="0.19685039370078741" right="0.15748031496062992" top="0.23622047244094491" bottom="0.23622047244094491" header="0.19685039370078741" footer="0.15748031496062992"/>
  <pageSetup paperSize="9" scale="34" fitToHeight="0" orientation="landscape" r:id="rId1"/>
  <headerFooter>
    <oddFooter>&amp;L&amp;"Tahoma,Normal"&amp;8İSG-F13/02&amp;R&amp;"Tahoma,Normal"&amp;9&amp;P/&amp;N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8"/>
  <sheetViews>
    <sheetView showGridLines="0" tabSelected="1" zoomScale="60" zoomScaleNormal="60" workbookViewId="0">
      <selection activeCell="A4" sqref="A4"/>
    </sheetView>
  </sheetViews>
  <sheetFormatPr baseColWidth="10" defaultColWidth="8.6640625" defaultRowHeight="15"/>
  <cols>
    <col min="1" max="1" width="30" style="78" customWidth="1"/>
    <col min="2" max="2" width="44.1640625" style="78" bestFit="1" customWidth="1"/>
    <col min="3" max="3" width="135.5" style="77" customWidth="1"/>
    <col min="4" max="6" width="8.6640625" style="73"/>
    <col min="7" max="8" width="41.5" style="73" customWidth="1"/>
    <col min="9" max="16384" width="8.6640625" style="73"/>
  </cols>
  <sheetData>
    <row r="1" spans="1:8" s="75" customFormat="1" ht="25" customHeight="1">
      <c r="A1" s="285" t="s">
        <v>284</v>
      </c>
      <c r="B1" s="285"/>
      <c r="C1" s="285"/>
      <c r="G1" s="87"/>
      <c r="H1" s="74"/>
    </row>
    <row r="2" spans="1:8" s="75" customFormat="1" ht="44.5" customHeight="1">
      <c r="A2" s="286" t="s">
        <v>340</v>
      </c>
      <c r="B2" s="286"/>
      <c r="C2" s="286"/>
      <c r="G2" s="87"/>
      <c r="H2" s="74"/>
    </row>
    <row r="3" spans="1:8" s="75" customFormat="1" ht="28">
      <c r="A3" s="81" t="s">
        <v>263</v>
      </c>
      <c r="B3" s="81" t="s">
        <v>265</v>
      </c>
      <c r="C3" s="81" t="s">
        <v>151</v>
      </c>
      <c r="G3" s="76" t="s">
        <v>150</v>
      </c>
      <c r="H3" s="76"/>
    </row>
    <row r="4" spans="1:8" ht="120" customHeight="1">
      <c r="A4" s="79" t="s">
        <v>122</v>
      </c>
      <c r="B4" s="84" t="s">
        <v>258</v>
      </c>
      <c r="C4" s="80" t="s">
        <v>259</v>
      </c>
    </row>
    <row r="5" spans="1:8" ht="85" customHeight="1">
      <c r="A5" s="79" t="s">
        <v>123</v>
      </c>
      <c r="B5" s="84" t="s">
        <v>257</v>
      </c>
      <c r="C5" s="80" t="s">
        <v>260</v>
      </c>
    </row>
    <row r="6" spans="1:8" ht="400" customHeight="1">
      <c r="A6" s="79" t="s">
        <v>124</v>
      </c>
      <c r="B6" s="84" t="s">
        <v>302</v>
      </c>
      <c r="C6" s="80" t="s">
        <v>283</v>
      </c>
    </row>
    <row r="7" spans="1:8" ht="70" customHeight="1">
      <c r="A7" s="79" t="s">
        <v>125</v>
      </c>
      <c r="B7" s="84" t="s">
        <v>261</v>
      </c>
      <c r="C7" s="80" t="s">
        <v>262</v>
      </c>
    </row>
    <row r="8" spans="1:8" ht="160" customHeight="1">
      <c r="A8" s="79" t="s">
        <v>126</v>
      </c>
      <c r="B8" s="84" t="s">
        <v>342</v>
      </c>
      <c r="C8" s="80" t="s">
        <v>306</v>
      </c>
    </row>
  </sheetData>
  <mergeCells count="2">
    <mergeCell ref="A1:C1"/>
    <mergeCell ref="A2:C2"/>
  </mergeCells>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L27"/>
  <sheetViews>
    <sheetView showGridLines="0" zoomScale="70" zoomScaleNormal="70" workbookViewId="0">
      <selection activeCell="O5" sqref="O5"/>
    </sheetView>
  </sheetViews>
  <sheetFormatPr baseColWidth="10" defaultColWidth="8.6640625" defaultRowHeight="14"/>
  <cols>
    <col min="1" max="1" width="3.5" style="49" customWidth="1"/>
    <col min="2" max="2" width="11.5" style="49" customWidth="1"/>
    <col min="3" max="3" width="1.5" style="49" customWidth="1"/>
    <col min="4" max="4" width="45.5" style="49" customWidth="1"/>
    <col min="5" max="5" width="3.5" style="49" customWidth="1"/>
    <col min="6" max="6" width="11.5" style="49" customWidth="1"/>
    <col min="7" max="7" width="1.5" style="49" customWidth="1"/>
    <col min="8" max="8" width="45.5" style="49" customWidth="1"/>
    <col min="9" max="9" width="3.5" style="49" customWidth="1"/>
    <col min="10" max="10" width="11.5" style="49" customWidth="1"/>
    <col min="11" max="11" width="1.5" style="49" customWidth="1"/>
    <col min="12" max="12" width="45.5" style="49" customWidth="1"/>
    <col min="13" max="13" width="3.5" style="49" customWidth="1"/>
    <col min="14" max="16384" width="8.6640625" style="49"/>
  </cols>
  <sheetData>
    <row r="1" spans="2:12" ht="40" customHeight="1">
      <c r="B1" s="287" t="s">
        <v>177</v>
      </c>
      <c r="C1" s="288"/>
      <c r="D1" s="288"/>
      <c r="E1" s="288"/>
      <c r="F1" s="288"/>
      <c r="G1" s="288"/>
      <c r="H1" s="288"/>
      <c r="I1" s="288"/>
      <c r="J1" s="288"/>
      <c r="K1" s="288"/>
      <c r="L1" s="288"/>
    </row>
    <row r="3" spans="2:12" s="51" customFormat="1" ht="50.25" customHeight="1">
      <c r="B3" s="54" t="s">
        <v>77</v>
      </c>
      <c r="C3" s="52"/>
      <c r="D3" s="54" t="s">
        <v>80</v>
      </c>
      <c r="F3" s="57" t="s">
        <v>85</v>
      </c>
      <c r="G3" s="52"/>
      <c r="H3" s="57" t="s">
        <v>86</v>
      </c>
      <c r="J3" s="60" t="s">
        <v>93</v>
      </c>
      <c r="K3" s="52"/>
      <c r="L3" s="60" t="s">
        <v>94</v>
      </c>
    </row>
    <row r="4" spans="2:12" ht="3" customHeight="1">
      <c r="B4" s="50"/>
      <c r="C4" s="50"/>
      <c r="D4" s="50"/>
      <c r="F4" s="50"/>
      <c r="G4" s="50"/>
      <c r="H4" s="50"/>
      <c r="J4" s="50"/>
      <c r="K4" s="50"/>
      <c r="L4" s="50"/>
    </row>
    <row r="5" spans="2:12" ht="35.25" customHeight="1">
      <c r="B5" s="55">
        <v>10</v>
      </c>
      <c r="C5" s="50"/>
      <c r="D5" s="53" t="s">
        <v>78</v>
      </c>
      <c r="F5" s="58">
        <v>10</v>
      </c>
      <c r="G5" s="50"/>
      <c r="H5" s="59" t="s">
        <v>92</v>
      </c>
      <c r="J5" s="61">
        <v>100</v>
      </c>
      <c r="K5" s="50"/>
      <c r="L5" s="59" t="s">
        <v>96</v>
      </c>
    </row>
    <row r="6" spans="2:12" ht="3" customHeight="1">
      <c r="B6" s="50"/>
      <c r="C6" s="50"/>
      <c r="D6" s="50"/>
      <c r="F6" s="50"/>
      <c r="G6" s="50"/>
      <c r="H6" s="50"/>
      <c r="J6" s="50"/>
      <c r="K6" s="50"/>
      <c r="L6" s="50"/>
    </row>
    <row r="7" spans="2:12" ht="35.25" customHeight="1">
      <c r="B7" s="55">
        <v>6</v>
      </c>
      <c r="C7" s="50"/>
      <c r="D7" s="53" t="s">
        <v>79</v>
      </c>
      <c r="F7" s="58">
        <v>6</v>
      </c>
      <c r="G7" s="50"/>
      <c r="H7" s="59" t="s">
        <v>91</v>
      </c>
      <c r="J7" s="61">
        <v>40</v>
      </c>
      <c r="K7" s="50"/>
      <c r="L7" s="59" t="s">
        <v>97</v>
      </c>
    </row>
    <row r="8" spans="2:12" ht="3" customHeight="1">
      <c r="B8" s="50"/>
      <c r="C8" s="50"/>
      <c r="D8" s="50"/>
      <c r="F8" s="50"/>
      <c r="G8" s="50"/>
      <c r="H8" s="50"/>
      <c r="J8" s="50"/>
      <c r="K8" s="50"/>
      <c r="L8" s="50"/>
    </row>
    <row r="9" spans="2:12" ht="35.25" customHeight="1">
      <c r="B9" s="55">
        <v>3</v>
      </c>
      <c r="C9" s="50"/>
      <c r="D9" s="53" t="s">
        <v>81</v>
      </c>
      <c r="F9" s="58">
        <v>3</v>
      </c>
      <c r="G9" s="50"/>
      <c r="H9" s="59" t="s">
        <v>90</v>
      </c>
      <c r="J9" s="61">
        <v>15</v>
      </c>
      <c r="K9" s="50"/>
      <c r="L9" s="59" t="s">
        <v>98</v>
      </c>
    </row>
    <row r="10" spans="2:12" ht="3" customHeight="1">
      <c r="B10" s="50"/>
      <c r="C10" s="50"/>
      <c r="D10" s="50"/>
      <c r="F10" s="50"/>
      <c r="G10" s="50"/>
      <c r="H10" s="50"/>
      <c r="J10" s="50"/>
      <c r="K10" s="50"/>
      <c r="L10" s="50"/>
    </row>
    <row r="11" spans="2:12" ht="35.25" customHeight="1">
      <c r="B11" s="55">
        <v>1</v>
      </c>
      <c r="C11" s="50"/>
      <c r="D11" s="53" t="s">
        <v>82</v>
      </c>
      <c r="F11" s="58">
        <v>2</v>
      </c>
      <c r="G11" s="50"/>
      <c r="H11" s="59" t="s">
        <v>89</v>
      </c>
      <c r="J11" s="61">
        <v>7</v>
      </c>
      <c r="K11" s="50"/>
      <c r="L11" s="59" t="s">
        <v>99</v>
      </c>
    </row>
    <row r="12" spans="2:12" ht="3" customHeight="1">
      <c r="B12" s="50"/>
      <c r="C12" s="50"/>
      <c r="D12" s="50"/>
      <c r="F12" s="50"/>
      <c r="G12" s="50"/>
      <c r="H12" s="50"/>
      <c r="J12" s="50"/>
      <c r="K12" s="50"/>
      <c r="L12" s="50"/>
    </row>
    <row r="13" spans="2:12" ht="35.25" customHeight="1">
      <c r="B13" s="55">
        <v>0.5</v>
      </c>
      <c r="C13" s="50"/>
      <c r="D13" s="53" t="s">
        <v>83</v>
      </c>
      <c r="F13" s="58">
        <v>1</v>
      </c>
      <c r="G13" s="50"/>
      <c r="H13" s="59" t="s">
        <v>88</v>
      </c>
      <c r="J13" s="61">
        <v>3</v>
      </c>
      <c r="K13" s="50"/>
      <c r="L13" s="59" t="s">
        <v>95</v>
      </c>
    </row>
    <row r="14" spans="2:12" ht="3" customHeight="1">
      <c r="B14" s="50"/>
      <c r="C14" s="50"/>
      <c r="D14" s="50"/>
      <c r="F14" s="50"/>
      <c r="G14" s="50"/>
      <c r="H14" s="50"/>
      <c r="J14" s="50"/>
      <c r="K14" s="50"/>
      <c r="L14" s="50"/>
    </row>
    <row r="15" spans="2:12" ht="35.25" customHeight="1">
      <c r="B15" s="55">
        <v>0.2</v>
      </c>
      <c r="C15" s="50"/>
      <c r="D15" s="53" t="s">
        <v>84</v>
      </c>
      <c r="F15" s="58">
        <v>0.5</v>
      </c>
      <c r="G15" s="50"/>
      <c r="H15" s="59" t="s">
        <v>87</v>
      </c>
      <c r="J15" s="61">
        <v>1</v>
      </c>
      <c r="K15" s="50"/>
      <c r="L15" s="59" t="s">
        <v>100</v>
      </c>
    </row>
    <row r="16" spans="2:12">
      <c r="B16" s="56"/>
      <c r="C16" s="50"/>
      <c r="D16" s="50"/>
      <c r="F16" s="56"/>
      <c r="G16" s="50"/>
      <c r="H16" s="50"/>
      <c r="J16" s="56"/>
      <c r="K16" s="50"/>
      <c r="L16" s="50"/>
    </row>
    <row r="17" spans="2:12" ht="50.25" customHeight="1">
      <c r="B17" s="294" t="s">
        <v>102</v>
      </c>
      <c r="C17" s="294"/>
      <c r="D17" s="294"/>
      <c r="F17" s="294" t="s">
        <v>101</v>
      </c>
      <c r="G17" s="294"/>
      <c r="H17" s="294"/>
      <c r="I17" s="294"/>
      <c r="J17" s="294"/>
      <c r="K17" s="294"/>
      <c r="L17" s="294"/>
    </row>
    <row r="18" spans="2:12" ht="3" customHeight="1">
      <c r="B18" s="50"/>
      <c r="C18" s="50"/>
      <c r="D18" s="50"/>
      <c r="F18" s="50"/>
      <c r="G18" s="50"/>
      <c r="H18" s="50"/>
      <c r="J18" s="50"/>
      <c r="K18" s="50"/>
      <c r="L18" s="50"/>
    </row>
    <row r="19" spans="2:12" ht="35.25" customHeight="1">
      <c r="B19" s="289" t="s">
        <v>103</v>
      </c>
      <c r="C19" s="290"/>
      <c r="D19" s="291"/>
      <c r="F19" s="292" t="s">
        <v>107</v>
      </c>
      <c r="G19" s="293"/>
      <c r="H19" s="293"/>
      <c r="I19" s="293"/>
      <c r="J19" s="293"/>
      <c r="K19" s="293"/>
      <c r="L19" s="293"/>
    </row>
    <row r="20" spans="2:12" ht="3" customHeight="1">
      <c r="B20" s="50"/>
      <c r="C20" s="50"/>
      <c r="D20" s="50"/>
      <c r="F20" s="62"/>
      <c r="G20" s="62"/>
      <c r="H20" s="62"/>
      <c r="I20" s="63"/>
      <c r="J20" s="62"/>
      <c r="K20" s="62"/>
      <c r="L20" s="62"/>
    </row>
    <row r="21" spans="2:12" ht="35.25" customHeight="1">
      <c r="B21" s="289" t="s">
        <v>104</v>
      </c>
      <c r="C21" s="290"/>
      <c r="D21" s="291"/>
      <c r="F21" s="292" t="s">
        <v>108</v>
      </c>
      <c r="G21" s="293"/>
      <c r="H21" s="293"/>
      <c r="I21" s="293"/>
      <c r="J21" s="293"/>
      <c r="K21" s="293"/>
      <c r="L21" s="293"/>
    </row>
    <row r="22" spans="2:12" ht="3" customHeight="1">
      <c r="B22" s="50"/>
      <c r="C22" s="50"/>
      <c r="D22" s="50"/>
      <c r="F22" s="62"/>
      <c r="G22" s="62"/>
      <c r="H22" s="62"/>
      <c r="I22" s="63"/>
      <c r="J22" s="62"/>
      <c r="K22" s="62"/>
      <c r="L22" s="62"/>
    </row>
    <row r="23" spans="2:12" ht="35.25" customHeight="1">
      <c r="B23" s="289" t="s">
        <v>105</v>
      </c>
      <c r="C23" s="290"/>
      <c r="D23" s="291"/>
      <c r="F23" s="292" t="s">
        <v>109</v>
      </c>
      <c r="G23" s="293"/>
      <c r="H23" s="293"/>
      <c r="I23" s="293"/>
      <c r="J23" s="293"/>
      <c r="K23" s="293"/>
      <c r="L23" s="293"/>
    </row>
    <row r="24" spans="2:12" ht="3" customHeight="1">
      <c r="B24" s="50"/>
      <c r="C24" s="50"/>
      <c r="D24" s="50"/>
      <c r="F24" s="62"/>
      <c r="G24" s="62"/>
      <c r="H24" s="62"/>
      <c r="I24" s="63"/>
      <c r="J24" s="62"/>
      <c r="K24" s="62"/>
      <c r="L24" s="62"/>
    </row>
    <row r="25" spans="2:12" ht="35.25" customHeight="1">
      <c r="B25" s="289" t="s">
        <v>106</v>
      </c>
      <c r="C25" s="290"/>
      <c r="D25" s="291"/>
      <c r="F25" s="292" t="s">
        <v>110</v>
      </c>
      <c r="G25" s="293"/>
      <c r="H25" s="293"/>
      <c r="I25" s="293"/>
      <c r="J25" s="293"/>
      <c r="K25" s="293"/>
      <c r="L25" s="293"/>
    </row>
    <row r="26" spans="2:12" ht="3" customHeight="1">
      <c r="B26" s="50"/>
      <c r="C26" s="50"/>
      <c r="D26" s="50"/>
      <c r="F26" s="62"/>
      <c r="G26" s="62"/>
      <c r="H26" s="62"/>
      <c r="I26" s="63"/>
      <c r="J26" s="62"/>
      <c r="K26" s="62"/>
      <c r="L26" s="62"/>
    </row>
    <row r="27" spans="2:12" ht="35.25" customHeight="1">
      <c r="B27" s="289" t="s">
        <v>106</v>
      </c>
      <c r="C27" s="290"/>
      <c r="D27" s="291"/>
      <c r="F27" s="292" t="s">
        <v>111</v>
      </c>
      <c r="G27" s="293"/>
      <c r="H27" s="293"/>
      <c r="I27" s="293"/>
      <c r="J27" s="293"/>
      <c r="K27" s="293"/>
      <c r="L27" s="293"/>
    </row>
  </sheetData>
  <sheetProtection algorithmName="SHA-512" hashValue="b3GoUPkHYD/cfruLmyLRvs2U0GfWmUfIb7I7LhMSqZvFrK+Umz15jOtbUn9cMWj6wUWW0Gn7GQFM2wq8veTihg==" saltValue="50McSL+rZUGkg1/8I9RLOg==" spinCount="100000" sheet="1" objects="1" scenarios="1" selectLockedCells="1" selectUnlockedCells="1"/>
  <mergeCells count="13">
    <mergeCell ref="B1:L1"/>
    <mergeCell ref="B27:D27"/>
    <mergeCell ref="F19:L19"/>
    <mergeCell ref="F21:L21"/>
    <mergeCell ref="F23:L23"/>
    <mergeCell ref="F25:L25"/>
    <mergeCell ref="F27:L27"/>
    <mergeCell ref="B25:D25"/>
    <mergeCell ref="F17:L17"/>
    <mergeCell ref="B17:D17"/>
    <mergeCell ref="B19:D19"/>
    <mergeCell ref="B21:D21"/>
    <mergeCell ref="B23:D23"/>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7" tint="0.59999389629810485"/>
    <pageSetUpPr fitToPage="1"/>
  </sheetPr>
  <dimension ref="A1:AG120"/>
  <sheetViews>
    <sheetView showGridLines="0" zoomScale="50" zoomScaleNormal="50" workbookViewId="0">
      <pane ySplit="7" topLeftCell="A8" activePane="bottomLeft" state="frozen"/>
      <selection pane="bottomLeft" activeCell="E9" sqref="E9"/>
    </sheetView>
  </sheetViews>
  <sheetFormatPr baseColWidth="10" defaultColWidth="8.6640625" defaultRowHeight="15"/>
  <cols>
    <col min="1" max="1" width="8.6640625" style="181"/>
    <col min="2" max="2" width="15.5" style="181" customWidth="1"/>
    <col min="3" max="6" width="18.6640625" style="181" customWidth="1"/>
    <col min="7" max="7" width="20.83203125" style="181" customWidth="1"/>
    <col min="8" max="9" width="18.6640625" style="181" customWidth="1"/>
    <col min="10" max="10" width="15.6640625" style="181" customWidth="1"/>
    <col min="11" max="11" width="16.5" style="181" customWidth="1"/>
    <col min="12" max="12" width="40.5" style="181" customWidth="1"/>
    <col min="13" max="13" width="30.5" style="181" customWidth="1"/>
    <col min="14" max="17" width="7.5" style="181" customWidth="1"/>
    <col min="18" max="18" width="10.5" style="181" customWidth="1"/>
    <col min="19" max="19" width="40.5" style="181" customWidth="1"/>
    <col min="20" max="20" width="18.5" style="181" customWidth="1"/>
    <col min="21" max="21" width="15.5" style="181" customWidth="1"/>
    <col min="22" max="22" width="40.5" style="181" customWidth="1"/>
    <col min="23" max="23" width="15.5" style="181" customWidth="1"/>
    <col min="24" max="24" width="30.5" style="181" customWidth="1"/>
    <col min="25" max="28" width="7.5" style="181" customWidth="1"/>
    <col min="29" max="29" width="10.5" style="181" customWidth="1"/>
    <col min="30" max="30" width="20.5" style="181" customWidth="1"/>
    <col min="31" max="31" width="18.5" style="181" customWidth="1"/>
    <col min="32" max="33" width="25.5" style="181" customWidth="1"/>
    <col min="34" max="16384" width="8.6640625" style="181"/>
  </cols>
  <sheetData>
    <row r="1" spans="1:33" customFormat="1" ht="82.5" customHeight="1">
      <c r="A1" s="309" t="s">
        <v>38</v>
      </c>
      <c r="B1" s="309"/>
      <c r="C1" s="309"/>
      <c r="D1" s="309"/>
      <c r="E1" s="309"/>
      <c r="F1" s="309"/>
      <c r="G1" s="309"/>
      <c r="H1" s="309"/>
      <c r="I1" s="309"/>
      <c r="J1" s="309"/>
      <c r="K1" s="309"/>
      <c r="L1" s="309"/>
      <c r="M1" s="309"/>
      <c r="N1" s="309"/>
      <c r="O1" s="309"/>
      <c r="P1" s="309"/>
      <c r="Q1" s="309"/>
      <c r="R1" s="309"/>
      <c r="S1" s="309"/>
      <c r="T1" s="309"/>
      <c r="U1" s="309"/>
      <c r="V1" s="309"/>
      <c r="W1" s="309"/>
      <c r="X1" s="309"/>
      <c r="Y1" s="309"/>
      <c r="Z1" s="309"/>
      <c r="AA1" s="309"/>
      <c r="AB1" s="309"/>
      <c r="AC1" s="309"/>
      <c r="AD1" s="309"/>
      <c r="AE1" s="309"/>
      <c r="AF1" s="309"/>
      <c r="AG1" s="309"/>
    </row>
    <row r="2" spans="1:33" customFormat="1" ht="10" customHeight="1">
      <c r="A2" s="313"/>
      <c r="B2" s="314"/>
      <c r="C2" s="314"/>
      <c r="D2" s="315"/>
      <c r="E2" s="315"/>
      <c r="F2" s="315"/>
      <c r="G2" s="315"/>
      <c r="H2" s="315"/>
      <c r="I2" s="315"/>
      <c r="J2" s="314"/>
      <c r="K2" s="314"/>
      <c r="L2" s="314"/>
      <c r="M2" s="314"/>
      <c r="N2" s="314"/>
      <c r="O2" s="314"/>
      <c r="P2" s="314"/>
      <c r="Q2" s="314"/>
      <c r="R2" s="314"/>
      <c r="S2" s="314"/>
      <c r="T2" s="315"/>
      <c r="U2" s="315"/>
      <c r="V2" s="315"/>
      <c r="W2" s="315"/>
      <c r="X2" s="314"/>
      <c r="Y2" s="314"/>
      <c r="Z2" s="314"/>
      <c r="AA2" s="314"/>
      <c r="AB2" s="314"/>
      <c r="AC2" s="314"/>
      <c r="AD2" s="314"/>
      <c r="AE2" s="314"/>
      <c r="AF2" s="314"/>
      <c r="AG2" s="316"/>
    </row>
    <row r="3" spans="1:33" ht="30" customHeight="1">
      <c r="A3" s="341" t="s">
        <v>282</v>
      </c>
      <c r="B3" s="342"/>
      <c r="C3" s="342"/>
      <c r="D3" s="344"/>
      <c r="E3" s="345"/>
      <c r="F3" s="345"/>
      <c r="G3" s="345"/>
      <c r="H3" s="258" t="str">
        <f>IF(D3="Diğer","Diğer ise belirtiniz;","")</f>
        <v/>
      </c>
      <c r="I3" s="258"/>
      <c r="J3" s="345"/>
      <c r="K3" s="345"/>
      <c r="L3" s="345"/>
      <c r="M3" s="203"/>
      <c r="N3" s="203"/>
      <c r="O3" s="203"/>
      <c r="P3" s="203"/>
      <c r="Q3" s="203"/>
      <c r="R3" s="203"/>
      <c r="S3" s="203"/>
      <c r="T3" s="203"/>
      <c r="U3" s="203"/>
      <c r="V3" s="203"/>
      <c r="W3" s="204"/>
      <c r="X3" s="202" t="s">
        <v>147</v>
      </c>
      <c r="Y3" s="322">
        <v>44985</v>
      </c>
      <c r="Z3" s="323"/>
      <c r="AA3" s="323"/>
      <c r="AB3" s="324"/>
      <c r="AC3" s="317" t="s">
        <v>32</v>
      </c>
      <c r="AD3" s="318"/>
      <c r="AE3" s="319">
        <v>45716</v>
      </c>
      <c r="AF3" s="320"/>
      <c r="AG3" s="321"/>
    </row>
    <row r="4" spans="1:33" ht="30" customHeight="1">
      <c r="A4" s="341" t="s">
        <v>30</v>
      </c>
      <c r="B4" s="342"/>
      <c r="C4" s="343"/>
      <c r="D4" s="185"/>
      <c r="E4" s="214"/>
      <c r="F4" s="203"/>
      <c r="G4" s="203"/>
      <c r="H4" s="203"/>
      <c r="I4" s="203"/>
      <c r="J4" s="203"/>
      <c r="K4" s="203"/>
      <c r="L4" s="203"/>
      <c r="M4" s="203"/>
      <c r="N4" s="203"/>
      <c r="O4" s="203"/>
      <c r="P4" s="203"/>
      <c r="Q4" s="203"/>
      <c r="R4" s="203"/>
      <c r="S4" s="203"/>
      <c r="T4" s="203"/>
      <c r="U4" s="203"/>
      <c r="V4" s="203"/>
      <c r="W4" s="203"/>
      <c r="X4" s="203"/>
      <c r="Y4" s="203"/>
      <c r="Z4" s="203"/>
      <c r="AA4" s="203"/>
      <c r="AB4" s="204"/>
      <c r="AC4" s="317" t="s">
        <v>29</v>
      </c>
      <c r="AD4" s="318"/>
      <c r="AE4" s="338" t="s">
        <v>28</v>
      </c>
      <c r="AF4" s="339"/>
      <c r="AG4" s="340"/>
    </row>
    <row r="5" spans="1:33" ht="10" customHeight="1">
      <c r="A5" s="325"/>
      <c r="B5" s="326"/>
      <c r="C5" s="326"/>
      <c r="D5" s="326"/>
      <c r="E5" s="326"/>
      <c r="F5" s="326"/>
      <c r="G5" s="326"/>
      <c r="H5" s="326"/>
      <c r="I5" s="326"/>
      <c r="J5" s="326"/>
      <c r="K5" s="326"/>
      <c r="L5" s="326"/>
      <c r="M5" s="326"/>
      <c r="N5" s="326"/>
      <c r="O5" s="326"/>
      <c r="P5" s="326"/>
      <c r="Q5" s="326"/>
      <c r="R5" s="326"/>
      <c r="S5" s="326"/>
      <c r="T5" s="326"/>
      <c r="U5" s="326"/>
      <c r="V5" s="326"/>
      <c r="W5" s="326"/>
      <c r="X5" s="326"/>
      <c r="Y5" s="326"/>
      <c r="Z5" s="326"/>
      <c r="AA5" s="326"/>
      <c r="AB5" s="326"/>
      <c r="AC5" s="326"/>
      <c r="AD5" s="326"/>
      <c r="AE5" s="326"/>
      <c r="AF5" s="326"/>
      <c r="AG5" s="327"/>
    </row>
    <row r="6" spans="1:33" ht="20.25" customHeight="1">
      <c r="A6" s="310" t="s">
        <v>26</v>
      </c>
      <c r="B6" s="331" t="s">
        <v>289</v>
      </c>
      <c r="C6" s="312" t="s">
        <v>264</v>
      </c>
      <c r="D6" s="312" t="s">
        <v>265</v>
      </c>
      <c r="E6" s="213"/>
      <c r="F6" s="311" t="s">
        <v>155</v>
      </c>
      <c r="G6" s="311" t="s">
        <v>154</v>
      </c>
      <c r="H6" s="310" t="s">
        <v>23</v>
      </c>
      <c r="I6" s="310" t="s">
        <v>21</v>
      </c>
      <c r="J6" s="311" t="s">
        <v>20</v>
      </c>
      <c r="K6" s="311" t="s">
        <v>19</v>
      </c>
      <c r="L6" s="311" t="s">
        <v>288</v>
      </c>
      <c r="M6" s="311" t="s">
        <v>287</v>
      </c>
      <c r="N6" s="312" t="s">
        <v>148</v>
      </c>
      <c r="O6" s="312"/>
      <c r="P6" s="312"/>
      <c r="Q6" s="312"/>
      <c r="R6" s="312"/>
      <c r="S6" s="333" t="s">
        <v>290</v>
      </c>
      <c r="T6" s="334"/>
      <c r="U6" s="335"/>
      <c r="V6" s="331" t="s">
        <v>291</v>
      </c>
      <c r="W6" s="331" t="s">
        <v>292</v>
      </c>
      <c r="X6" s="331" t="s">
        <v>293</v>
      </c>
      <c r="Y6" s="310" t="s">
        <v>149</v>
      </c>
      <c r="Z6" s="310"/>
      <c r="AA6" s="310"/>
      <c r="AB6" s="310"/>
      <c r="AC6" s="310"/>
      <c r="AD6" s="333" t="s">
        <v>294</v>
      </c>
      <c r="AE6" s="334"/>
      <c r="AF6" s="335"/>
      <c r="AG6" s="336" t="s">
        <v>301</v>
      </c>
    </row>
    <row r="7" spans="1:33" ht="60" customHeight="1">
      <c r="A7" s="310"/>
      <c r="B7" s="332"/>
      <c r="C7" s="312"/>
      <c r="D7" s="312"/>
      <c r="E7" s="213"/>
      <c r="F7" s="311"/>
      <c r="G7" s="311"/>
      <c r="H7" s="310"/>
      <c r="I7" s="310"/>
      <c r="J7" s="311"/>
      <c r="K7" s="311"/>
      <c r="L7" s="311"/>
      <c r="M7" s="311"/>
      <c r="N7" s="198" t="s">
        <v>8</v>
      </c>
      <c r="O7" s="198" t="s">
        <v>7</v>
      </c>
      <c r="P7" s="198" t="s">
        <v>6</v>
      </c>
      <c r="Q7" s="199" t="s">
        <v>5</v>
      </c>
      <c r="R7" s="200" t="s">
        <v>4</v>
      </c>
      <c r="S7" s="200" t="s">
        <v>152</v>
      </c>
      <c r="T7" s="200" t="s">
        <v>16</v>
      </c>
      <c r="U7" s="200" t="s">
        <v>15</v>
      </c>
      <c r="V7" s="332"/>
      <c r="W7" s="332"/>
      <c r="X7" s="332"/>
      <c r="Y7" s="201" t="s">
        <v>8</v>
      </c>
      <c r="Z7" s="201" t="s">
        <v>7</v>
      </c>
      <c r="AA7" s="201" t="s">
        <v>6</v>
      </c>
      <c r="AB7" s="199" t="s">
        <v>5</v>
      </c>
      <c r="AC7" s="200" t="s">
        <v>4</v>
      </c>
      <c r="AD7" s="200" t="s">
        <v>295</v>
      </c>
      <c r="AE7" s="200" t="s">
        <v>153</v>
      </c>
      <c r="AF7" s="200" t="s">
        <v>12</v>
      </c>
      <c r="AG7" s="337"/>
    </row>
    <row r="8" spans="1:33" ht="125.25" customHeight="1">
      <c r="A8" s="186"/>
      <c r="B8" s="192"/>
      <c r="C8" s="187"/>
      <c r="D8" s="187"/>
      <c r="E8" s="187"/>
      <c r="F8" s="187"/>
      <c r="G8" s="187"/>
      <c r="H8" s="187"/>
      <c r="I8" s="187"/>
      <c r="J8" s="187"/>
      <c r="K8" s="187"/>
      <c r="L8" s="189"/>
      <c r="M8" s="189"/>
      <c r="N8" s="190"/>
      <c r="O8" s="190"/>
      <c r="P8" s="190"/>
      <c r="Q8" s="59" t="str">
        <f t="shared" ref="Q8:Q39" si="0">IF(OR(ISBLANK(N8)=TRUE,ISBLANK(O8)=TRUE,ISBLANK(P8)=TRUE),"",PRODUCT(N8,O8,P8))</f>
        <v/>
      </c>
      <c r="R8" s="59" t="str">
        <f t="shared" ref="R8:R39" si="1">IF(Q8="","",IF(AND(Q8&gt;=0,Q8&lt;20),"DÜŞÜK RİSK",IF(AND(Q8&gt;=20,Q8&lt;70),"OLASI RİSK",IF(AND(Q8&gt;=70,Q8&lt;200),"ÖNEMLİ RİSK",IF(AND(Q8&gt;=200,Q8&lt;400),"YÜKSEK RİSK",IF(Q8&gt;=400,"KABUL EDİLEMEZ RİSK",""))))))</f>
        <v/>
      </c>
      <c r="S8" s="191"/>
      <c r="T8" s="187"/>
      <c r="U8" s="192"/>
      <c r="V8" s="193"/>
      <c r="W8" s="192"/>
      <c r="X8" s="193"/>
      <c r="Y8" s="190"/>
      <c r="Z8" s="190"/>
      <c r="AA8" s="190"/>
      <c r="AB8" s="59" t="str">
        <f t="shared" ref="AB8:AB39" si="2">IF(OR(ISBLANK(Y8)=TRUE,ISBLANK(Z8)=TRUE,ISBLANK(AA8)=TRUE),"",PRODUCT(Y8,Z8,AA8))</f>
        <v/>
      </c>
      <c r="AC8" s="59" t="str">
        <f t="shared" ref="AC8:AC39" si="3">IF(AB8="","",IF(AND(AB8&gt;=0,AB8&lt;20),"DÜŞÜK RİSK",IF(AND(AB8&gt;=20,AB8&lt;70),"OLASI RİSK",IF(AND(AB8&gt;=70,AB8&lt;200),"ÖNEMLİ RİSK",IF(AND(AB8&gt;=200,AB8&lt;400),"YÜKSEK RİSK",IF(AB8&gt;=400,"KABUL EDİLEMEZ RİSK",""))))))</f>
        <v/>
      </c>
      <c r="AD8" s="187"/>
      <c r="AE8" s="187"/>
      <c r="AF8" s="187"/>
      <c r="AG8" s="190"/>
    </row>
    <row r="9" spans="1:33" ht="125.25" customHeight="1">
      <c r="A9" s="186"/>
      <c r="B9" s="186"/>
      <c r="C9" s="187"/>
      <c r="D9" s="187"/>
      <c r="E9" s="187"/>
      <c r="F9" s="188"/>
      <c r="G9" s="187"/>
      <c r="H9" s="187"/>
      <c r="I9" s="187"/>
      <c r="J9" s="187"/>
      <c r="K9" s="187"/>
      <c r="L9" s="189"/>
      <c r="M9" s="189"/>
      <c r="N9" s="190"/>
      <c r="O9" s="190"/>
      <c r="P9" s="190"/>
      <c r="Q9" s="59" t="str">
        <f t="shared" si="0"/>
        <v/>
      </c>
      <c r="R9" s="59" t="str">
        <f t="shared" si="1"/>
        <v/>
      </c>
      <c r="S9" s="191"/>
      <c r="T9" s="187"/>
      <c r="U9" s="192"/>
      <c r="V9" s="193"/>
      <c r="W9" s="192"/>
      <c r="X9" s="193"/>
      <c r="Y9" s="190"/>
      <c r="Z9" s="190"/>
      <c r="AA9" s="190"/>
      <c r="AB9" s="59" t="str">
        <f t="shared" si="2"/>
        <v/>
      </c>
      <c r="AC9" s="59" t="str">
        <f t="shared" si="3"/>
        <v/>
      </c>
      <c r="AD9" s="187"/>
      <c r="AE9" s="187"/>
      <c r="AF9" s="187"/>
      <c r="AG9" s="190"/>
    </row>
    <row r="10" spans="1:33" ht="125.25" customHeight="1">
      <c r="A10" s="186"/>
      <c r="B10" s="186"/>
      <c r="C10" s="187"/>
      <c r="D10" s="187"/>
      <c r="E10" s="187"/>
      <c r="F10" s="188"/>
      <c r="G10" s="187"/>
      <c r="H10" s="187"/>
      <c r="I10" s="187"/>
      <c r="J10" s="187"/>
      <c r="K10" s="187"/>
      <c r="L10" s="189"/>
      <c r="M10" s="189"/>
      <c r="N10" s="190"/>
      <c r="O10" s="190"/>
      <c r="P10" s="190"/>
      <c r="Q10" s="59" t="str">
        <f t="shared" si="0"/>
        <v/>
      </c>
      <c r="R10" s="59" t="str">
        <f t="shared" si="1"/>
        <v/>
      </c>
      <c r="S10" s="191"/>
      <c r="T10" s="187"/>
      <c r="U10" s="192"/>
      <c r="V10" s="193"/>
      <c r="W10" s="192"/>
      <c r="X10" s="193"/>
      <c r="Y10" s="190"/>
      <c r="Z10" s="190"/>
      <c r="AA10" s="190"/>
      <c r="AB10" s="59" t="str">
        <f t="shared" si="2"/>
        <v/>
      </c>
      <c r="AC10" s="59" t="str">
        <f t="shared" si="3"/>
        <v/>
      </c>
      <c r="AD10" s="187"/>
      <c r="AE10" s="187"/>
      <c r="AF10" s="187"/>
      <c r="AG10" s="190"/>
    </row>
    <row r="11" spans="1:33" ht="125.25" customHeight="1">
      <c r="A11" s="186"/>
      <c r="B11" s="186"/>
      <c r="C11" s="187"/>
      <c r="D11" s="187"/>
      <c r="E11" s="187"/>
      <c r="F11" s="188"/>
      <c r="G11" s="187"/>
      <c r="H11" s="187"/>
      <c r="I11" s="187"/>
      <c r="J11" s="187"/>
      <c r="K11" s="187"/>
      <c r="L11" s="189"/>
      <c r="M11" s="189"/>
      <c r="N11" s="190"/>
      <c r="O11" s="190"/>
      <c r="P11" s="190"/>
      <c r="Q11" s="59" t="str">
        <f t="shared" si="0"/>
        <v/>
      </c>
      <c r="R11" s="59" t="str">
        <f t="shared" si="1"/>
        <v/>
      </c>
      <c r="S11" s="191"/>
      <c r="T11" s="187"/>
      <c r="U11" s="192"/>
      <c r="V11" s="193"/>
      <c r="W11" s="192"/>
      <c r="X11" s="193"/>
      <c r="Y11" s="190"/>
      <c r="Z11" s="190"/>
      <c r="AA11" s="190"/>
      <c r="AB11" s="59" t="str">
        <f t="shared" si="2"/>
        <v/>
      </c>
      <c r="AC11" s="59" t="str">
        <f t="shared" si="3"/>
        <v/>
      </c>
      <c r="AD11" s="187"/>
      <c r="AE11" s="187"/>
      <c r="AF11" s="187"/>
      <c r="AG11" s="190"/>
    </row>
    <row r="12" spans="1:33" ht="125.25" customHeight="1">
      <c r="A12" s="186"/>
      <c r="B12" s="186"/>
      <c r="C12" s="187"/>
      <c r="D12" s="187"/>
      <c r="E12" s="187"/>
      <c r="F12" s="188"/>
      <c r="G12" s="187"/>
      <c r="H12" s="187"/>
      <c r="I12" s="187"/>
      <c r="J12" s="187"/>
      <c r="K12" s="187"/>
      <c r="L12" s="189"/>
      <c r="M12" s="189"/>
      <c r="N12" s="190"/>
      <c r="O12" s="190"/>
      <c r="P12" s="190"/>
      <c r="Q12" s="59" t="str">
        <f t="shared" si="0"/>
        <v/>
      </c>
      <c r="R12" s="59" t="str">
        <f t="shared" si="1"/>
        <v/>
      </c>
      <c r="S12" s="191"/>
      <c r="T12" s="187"/>
      <c r="U12" s="192"/>
      <c r="V12" s="193"/>
      <c r="W12" s="192"/>
      <c r="X12" s="193"/>
      <c r="Y12" s="190"/>
      <c r="Z12" s="190"/>
      <c r="AA12" s="190"/>
      <c r="AB12" s="59" t="str">
        <f t="shared" si="2"/>
        <v/>
      </c>
      <c r="AC12" s="59" t="str">
        <f t="shared" si="3"/>
        <v/>
      </c>
      <c r="AD12" s="187"/>
      <c r="AE12" s="187"/>
      <c r="AF12" s="187"/>
      <c r="AG12" s="190"/>
    </row>
    <row r="13" spans="1:33" ht="125.25" customHeight="1">
      <c r="A13" s="186"/>
      <c r="B13" s="186"/>
      <c r="C13" s="187"/>
      <c r="D13" s="187"/>
      <c r="E13" s="187"/>
      <c r="F13" s="188"/>
      <c r="G13" s="187"/>
      <c r="H13" s="187"/>
      <c r="I13" s="187"/>
      <c r="J13" s="187"/>
      <c r="K13" s="187"/>
      <c r="L13" s="189"/>
      <c r="M13" s="189"/>
      <c r="N13" s="190"/>
      <c r="O13" s="190"/>
      <c r="P13" s="190"/>
      <c r="Q13" s="59" t="str">
        <f t="shared" si="0"/>
        <v/>
      </c>
      <c r="R13" s="59" t="str">
        <f t="shared" si="1"/>
        <v/>
      </c>
      <c r="S13" s="191"/>
      <c r="T13" s="187"/>
      <c r="U13" s="192"/>
      <c r="V13" s="193"/>
      <c r="W13" s="192"/>
      <c r="X13" s="193"/>
      <c r="Y13" s="190"/>
      <c r="Z13" s="190"/>
      <c r="AA13" s="190"/>
      <c r="AB13" s="59" t="str">
        <f t="shared" si="2"/>
        <v/>
      </c>
      <c r="AC13" s="59" t="str">
        <f t="shared" si="3"/>
        <v/>
      </c>
      <c r="AD13" s="187"/>
      <c r="AE13" s="187"/>
      <c r="AF13" s="187"/>
      <c r="AG13" s="190"/>
    </row>
    <row r="14" spans="1:33" ht="125.25" customHeight="1">
      <c r="A14" s="186"/>
      <c r="B14" s="186"/>
      <c r="C14" s="187"/>
      <c r="D14" s="187"/>
      <c r="E14" s="187"/>
      <c r="F14" s="188"/>
      <c r="G14" s="187"/>
      <c r="H14" s="187"/>
      <c r="I14" s="187"/>
      <c r="J14" s="187"/>
      <c r="K14" s="187"/>
      <c r="L14" s="189"/>
      <c r="M14" s="189"/>
      <c r="N14" s="190"/>
      <c r="O14" s="190"/>
      <c r="P14" s="190"/>
      <c r="Q14" s="59" t="str">
        <f t="shared" si="0"/>
        <v/>
      </c>
      <c r="R14" s="59" t="str">
        <f t="shared" si="1"/>
        <v/>
      </c>
      <c r="S14" s="191"/>
      <c r="T14" s="187"/>
      <c r="U14" s="192"/>
      <c r="V14" s="193"/>
      <c r="W14" s="192"/>
      <c r="X14" s="193"/>
      <c r="Y14" s="190"/>
      <c r="Z14" s="190"/>
      <c r="AA14" s="190"/>
      <c r="AB14" s="59" t="str">
        <f t="shared" si="2"/>
        <v/>
      </c>
      <c r="AC14" s="59" t="str">
        <f t="shared" si="3"/>
        <v/>
      </c>
      <c r="AD14" s="187"/>
      <c r="AE14" s="187"/>
      <c r="AF14" s="187"/>
      <c r="AG14" s="190"/>
    </row>
    <row r="15" spans="1:33" ht="125.25" customHeight="1">
      <c r="A15" s="186"/>
      <c r="B15" s="186"/>
      <c r="C15" s="187"/>
      <c r="D15" s="187"/>
      <c r="E15" s="187"/>
      <c r="F15" s="188"/>
      <c r="G15" s="187"/>
      <c r="H15" s="187"/>
      <c r="I15" s="187"/>
      <c r="J15" s="187"/>
      <c r="K15" s="187"/>
      <c r="L15" s="189"/>
      <c r="M15" s="189"/>
      <c r="N15" s="190"/>
      <c r="O15" s="190"/>
      <c r="P15" s="190"/>
      <c r="Q15" s="59" t="str">
        <f t="shared" si="0"/>
        <v/>
      </c>
      <c r="R15" s="59" t="str">
        <f t="shared" si="1"/>
        <v/>
      </c>
      <c r="S15" s="191"/>
      <c r="T15" s="187"/>
      <c r="U15" s="192"/>
      <c r="V15" s="193"/>
      <c r="W15" s="192"/>
      <c r="X15" s="193"/>
      <c r="Y15" s="190"/>
      <c r="Z15" s="190"/>
      <c r="AA15" s="190"/>
      <c r="AB15" s="59" t="str">
        <f t="shared" si="2"/>
        <v/>
      </c>
      <c r="AC15" s="59" t="str">
        <f t="shared" si="3"/>
        <v/>
      </c>
      <c r="AD15" s="187"/>
      <c r="AE15" s="187"/>
      <c r="AF15" s="187"/>
      <c r="AG15" s="190"/>
    </row>
    <row r="16" spans="1:33" ht="125.25" customHeight="1">
      <c r="A16" s="186"/>
      <c r="B16" s="186"/>
      <c r="C16" s="187"/>
      <c r="D16" s="187"/>
      <c r="E16" s="187"/>
      <c r="F16" s="188"/>
      <c r="G16" s="187"/>
      <c r="H16" s="187"/>
      <c r="I16" s="187"/>
      <c r="J16" s="187"/>
      <c r="K16" s="187"/>
      <c r="L16" s="189"/>
      <c r="M16" s="189"/>
      <c r="N16" s="190"/>
      <c r="O16" s="190"/>
      <c r="P16" s="190"/>
      <c r="Q16" s="59" t="str">
        <f t="shared" si="0"/>
        <v/>
      </c>
      <c r="R16" s="59" t="str">
        <f t="shared" si="1"/>
        <v/>
      </c>
      <c r="S16" s="191"/>
      <c r="T16" s="187"/>
      <c r="U16" s="192"/>
      <c r="V16" s="193"/>
      <c r="W16" s="192"/>
      <c r="X16" s="193"/>
      <c r="Y16" s="190"/>
      <c r="Z16" s="190"/>
      <c r="AA16" s="190"/>
      <c r="AB16" s="59" t="str">
        <f t="shared" si="2"/>
        <v/>
      </c>
      <c r="AC16" s="59" t="str">
        <f t="shared" si="3"/>
        <v/>
      </c>
      <c r="AD16" s="187"/>
      <c r="AE16" s="187"/>
      <c r="AF16" s="187"/>
      <c r="AG16" s="190"/>
    </row>
    <row r="17" spans="1:33" ht="125.25" customHeight="1">
      <c r="A17" s="186"/>
      <c r="B17" s="186"/>
      <c r="C17" s="187"/>
      <c r="D17" s="187"/>
      <c r="E17" s="187"/>
      <c r="F17" s="188"/>
      <c r="G17" s="187"/>
      <c r="H17" s="187"/>
      <c r="I17" s="187"/>
      <c r="J17" s="187"/>
      <c r="K17" s="187"/>
      <c r="L17" s="189"/>
      <c r="M17" s="189"/>
      <c r="N17" s="190"/>
      <c r="O17" s="190"/>
      <c r="P17" s="190"/>
      <c r="Q17" s="59" t="str">
        <f t="shared" si="0"/>
        <v/>
      </c>
      <c r="R17" s="59" t="str">
        <f t="shared" si="1"/>
        <v/>
      </c>
      <c r="S17" s="191"/>
      <c r="T17" s="187"/>
      <c r="U17" s="192"/>
      <c r="V17" s="193"/>
      <c r="W17" s="192"/>
      <c r="X17" s="193"/>
      <c r="Y17" s="190"/>
      <c r="Z17" s="190"/>
      <c r="AA17" s="190"/>
      <c r="AB17" s="59" t="str">
        <f t="shared" si="2"/>
        <v/>
      </c>
      <c r="AC17" s="59" t="str">
        <f t="shared" si="3"/>
        <v/>
      </c>
      <c r="AD17" s="187"/>
      <c r="AE17" s="187"/>
      <c r="AF17" s="187"/>
      <c r="AG17" s="190"/>
    </row>
    <row r="18" spans="1:33" ht="125.25" customHeight="1">
      <c r="A18" s="186"/>
      <c r="B18" s="186"/>
      <c r="C18" s="187"/>
      <c r="D18" s="187"/>
      <c r="E18" s="187"/>
      <c r="F18" s="188"/>
      <c r="G18" s="187"/>
      <c r="H18" s="187"/>
      <c r="I18" s="187"/>
      <c r="J18" s="187"/>
      <c r="K18" s="187"/>
      <c r="L18" s="189"/>
      <c r="M18" s="189"/>
      <c r="N18" s="190"/>
      <c r="O18" s="190"/>
      <c r="P18" s="190"/>
      <c r="Q18" s="59" t="str">
        <f t="shared" si="0"/>
        <v/>
      </c>
      <c r="R18" s="59" t="str">
        <f t="shared" si="1"/>
        <v/>
      </c>
      <c r="S18" s="191"/>
      <c r="T18" s="187"/>
      <c r="U18" s="192"/>
      <c r="V18" s="193"/>
      <c r="W18" s="192"/>
      <c r="X18" s="193"/>
      <c r="Y18" s="190"/>
      <c r="Z18" s="190"/>
      <c r="AA18" s="190"/>
      <c r="AB18" s="59" t="str">
        <f t="shared" si="2"/>
        <v/>
      </c>
      <c r="AC18" s="59" t="str">
        <f t="shared" si="3"/>
        <v/>
      </c>
      <c r="AD18" s="187"/>
      <c r="AE18" s="187"/>
      <c r="AF18" s="187"/>
      <c r="AG18" s="190"/>
    </row>
    <row r="19" spans="1:33" ht="125.25" customHeight="1">
      <c r="A19" s="186"/>
      <c r="B19" s="186"/>
      <c r="C19" s="187"/>
      <c r="D19" s="187"/>
      <c r="E19" s="187"/>
      <c r="F19" s="188"/>
      <c r="G19" s="187"/>
      <c r="H19" s="187"/>
      <c r="I19" s="187"/>
      <c r="J19" s="187"/>
      <c r="K19" s="187"/>
      <c r="L19" s="189"/>
      <c r="M19" s="189"/>
      <c r="N19" s="190"/>
      <c r="O19" s="190"/>
      <c r="P19" s="190"/>
      <c r="Q19" s="59" t="str">
        <f t="shared" si="0"/>
        <v/>
      </c>
      <c r="R19" s="59" t="str">
        <f t="shared" si="1"/>
        <v/>
      </c>
      <c r="S19" s="191"/>
      <c r="T19" s="187"/>
      <c r="U19" s="192"/>
      <c r="V19" s="193"/>
      <c r="W19" s="192"/>
      <c r="X19" s="193"/>
      <c r="Y19" s="190"/>
      <c r="Z19" s="190"/>
      <c r="AA19" s="190"/>
      <c r="AB19" s="59" t="str">
        <f t="shared" si="2"/>
        <v/>
      </c>
      <c r="AC19" s="59" t="str">
        <f t="shared" si="3"/>
        <v/>
      </c>
      <c r="AD19" s="187"/>
      <c r="AE19" s="187"/>
      <c r="AF19" s="187"/>
      <c r="AG19" s="190"/>
    </row>
    <row r="20" spans="1:33" ht="125.25" customHeight="1">
      <c r="A20" s="186"/>
      <c r="B20" s="186"/>
      <c r="C20" s="187"/>
      <c r="D20" s="187"/>
      <c r="E20" s="187"/>
      <c r="F20" s="188"/>
      <c r="G20" s="187"/>
      <c r="H20" s="187"/>
      <c r="I20" s="187"/>
      <c r="J20" s="187"/>
      <c r="K20" s="187"/>
      <c r="L20" s="189"/>
      <c r="M20" s="189"/>
      <c r="N20" s="190"/>
      <c r="O20" s="190"/>
      <c r="P20" s="190"/>
      <c r="Q20" s="59" t="str">
        <f t="shared" si="0"/>
        <v/>
      </c>
      <c r="R20" s="59" t="str">
        <f t="shared" si="1"/>
        <v/>
      </c>
      <c r="S20" s="191"/>
      <c r="T20" s="187"/>
      <c r="U20" s="192"/>
      <c r="V20" s="193"/>
      <c r="W20" s="186"/>
      <c r="X20" s="193"/>
      <c r="Y20" s="190"/>
      <c r="Z20" s="190"/>
      <c r="AA20" s="190"/>
      <c r="AB20" s="59" t="str">
        <f t="shared" si="2"/>
        <v/>
      </c>
      <c r="AC20" s="59" t="str">
        <f t="shared" si="3"/>
        <v/>
      </c>
      <c r="AD20" s="187"/>
      <c r="AE20" s="187"/>
      <c r="AF20" s="187"/>
      <c r="AG20" s="190"/>
    </row>
    <row r="21" spans="1:33" ht="125.25" customHeight="1">
      <c r="A21" s="186"/>
      <c r="B21" s="186"/>
      <c r="C21" s="187"/>
      <c r="D21" s="187"/>
      <c r="E21" s="187"/>
      <c r="F21" s="188"/>
      <c r="G21" s="187"/>
      <c r="H21" s="187"/>
      <c r="I21" s="187"/>
      <c r="J21" s="187"/>
      <c r="K21" s="187"/>
      <c r="L21" s="189"/>
      <c r="M21" s="189"/>
      <c r="N21" s="190"/>
      <c r="O21" s="190"/>
      <c r="P21" s="190"/>
      <c r="Q21" s="59" t="str">
        <f t="shared" si="0"/>
        <v/>
      </c>
      <c r="R21" s="59" t="str">
        <f t="shared" si="1"/>
        <v/>
      </c>
      <c r="S21" s="191"/>
      <c r="T21" s="187"/>
      <c r="U21" s="192"/>
      <c r="V21" s="193"/>
      <c r="W21" s="186"/>
      <c r="X21" s="193"/>
      <c r="Y21" s="190"/>
      <c r="Z21" s="190"/>
      <c r="AA21" s="190"/>
      <c r="AB21" s="59" t="str">
        <f t="shared" si="2"/>
        <v/>
      </c>
      <c r="AC21" s="59" t="str">
        <f t="shared" si="3"/>
        <v/>
      </c>
      <c r="AD21" s="187"/>
      <c r="AE21" s="187"/>
      <c r="AF21" s="187"/>
      <c r="AG21" s="190"/>
    </row>
    <row r="22" spans="1:33" ht="125.25" customHeight="1">
      <c r="A22" s="186"/>
      <c r="B22" s="186"/>
      <c r="C22" s="187"/>
      <c r="D22" s="187"/>
      <c r="E22" s="187"/>
      <c r="F22" s="188"/>
      <c r="G22" s="187"/>
      <c r="H22" s="187"/>
      <c r="I22" s="187"/>
      <c r="J22" s="187"/>
      <c r="K22" s="187"/>
      <c r="L22" s="189"/>
      <c r="M22" s="189"/>
      <c r="N22" s="190"/>
      <c r="O22" s="190"/>
      <c r="P22" s="190"/>
      <c r="Q22" s="59" t="str">
        <f t="shared" si="0"/>
        <v/>
      </c>
      <c r="R22" s="59" t="str">
        <f t="shared" si="1"/>
        <v/>
      </c>
      <c r="S22" s="191"/>
      <c r="T22" s="187"/>
      <c r="U22" s="192"/>
      <c r="V22" s="193"/>
      <c r="W22" s="186"/>
      <c r="X22" s="193"/>
      <c r="Y22" s="190"/>
      <c r="Z22" s="190"/>
      <c r="AA22" s="190"/>
      <c r="AB22" s="59" t="str">
        <f t="shared" si="2"/>
        <v/>
      </c>
      <c r="AC22" s="59" t="str">
        <f t="shared" si="3"/>
        <v/>
      </c>
      <c r="AD22" s="187"/>
      <c r="AE22" s="187"/>
      <c r="AF22" s="187"/>
      <c r="AG22" s="190"/>
    </row>
    <row r="23" spans="1:33" ht="125.25" customHeight="1">
      <c r="A23" s="186"/>
      <c r="B23" s="186"/>
      <c r="C23" s="187"/>
      <c r="D23" s="187"/>
      <c r="E23" s="187"/>
      <c r="F23" s="188"/>
      <c r="G23" s="187"/>
      <c r="H23" s="187"/>
      <c r="I23" s="187"/>
      <c r="J23" s="187"/>
      <c r="K23" s="187"/>
      <c r="L23" s="189"/>
      <c r="M23" s="189"/>
      <c r="N23" s="190"/>
      <c r="O23" s="190"/>
      <c r="P23" s="190"/>
      <c r="Q23" s="59" t="str">
        <f t="shared" si="0"/>
        <v/>
      </c>
      <c r="R23" s="59" t="str">
        <f t="shared" si="1"/>
        <v/>
      </c>
      <c r="S23" s="191"/>
      <c r="T23" s="187"/>
      <c r="U23" s="192"/>
      <c r="V23" s="193"/>
      <c r="W23" s="186"/>
      <c r="X23" s="193"/>
      <c r="Y23" s="190"/>
      <c r="Z23" s="190"/>
      <c r="AA23" s="190"/>
      <c r="AB23" s="59" t="str">
        <f t="shared" si="2"/>
        <v/>
      </c>
      <c r="AC23" s="59" t="str">
        <f t="shared" si="3"/>
        <v/>
      </c>
      <c r="AD23" s="187"/>
      <c r="AE23" s="187"/>
      <c r="AF23" s="187"/>
      <c r="AG23" s="190"/>
    </row>
    <row r="24" spans="1:33" ht="125.25" customHeight="1">
      <c r="A24" s="186"/>
      <c r="B24" s="186"/>
      <c r="C24" s="187"/>
      <c r="D24" s="187"/>
      <c r="E24" s="187"/>
      <c r="F24" s="188"/>
      <c r="G24" s="187"/>
      <c r="H24" s="187"/>
      <c r="I24" s="187"/>
      <c r="J24" s="187"/>
      <c r="K24" s="187"/>
      <c r="L24" s="189"/>
      <c r="M24" s="189"/>
      <c r="N24" s="190"/>
      <c r="O24" s="190"/>
      <c r="P24" s="190"/>
      <c r="Q24" s="59" t="str">
        <f t="shared" si="0"/>
        <v/>
      </c>
      <c r="R24" s="59" t="str">
        <f t="shared" si="1"/>
        <v/>
      </c>
      <c r="S24" s="191"/>
      <c r="T24" s="187"/>
      <c r="U24" s="192"/>
      <c r="V24" s="193"/>
      <c r="W24" s="186"/>
      <c r="X24" s="193"/>
      <c r="Y24" s="190"/>
      <c r="Z24" s="190"/>
      <c r="AA24" s="190"/>
      <c r="AB24" s="59" t="str">
        <f t="shared" si="2"/>
        <v/>
      </c>
      <c r="AC24" s="59" t="str">
        <f t="shared" si="3"/>
        <v/>
      </c>
      <c r="AD24" s="187"/>
      <c r="AE24" s="187"/>
      <c r="AF24" s="187"/>
      <c r="AG24" s="190"/>
    </row>
    <row r="25" spans="1:33" ht="125.25" customHeight="1">
      <c r="A25" s="186"/>
      <c r="B25" s="186"/>
      <c r="C25" s="187"/>
      <c r="D25" s="187"/>
      <c r="E25" s="187"/>
      <c r="F25" s="188"/>
      <c r="G25" s="187"/>
      <c r="H25" s="187"/>
      <c r="I25" s="187"/>
      <c r="J25" s="187"/>
      <c r="K25" s="187"/>
      <c r="L25" s="189"/>
      <c r="M25" s="189"/>
      <c r="N25" s="190"/>
      <c r="O25" s="190"/>
      <c r="P25" s="190"/>
      <c r="Q25" s="59" t="str">
        <f t="shared" si="0"/>
        <v/>
      </c>
      <c r="R25" s="59" t="str">
        <f t="shared" si="1"/>
        <v/>
      </c>
      <c r="S25" s="191"/>
      <c r="T25" s="187"/>
      <c r="U25" s="192"/>
      <c r="V25" s="193"/>
      <c r="W25" s="186"/>
      <c r="X25" s="193"/>
      <c r="Y25" s="190"/>
      <c r="Z25" s="190"/>
      <c r="AA25" s="190"/>
      <c r="AB25" s="59" t="str">
        <f t="shared" si="2"/>
        <v/>
      </c>
      <c r="AC25" s="59" t="str">
        <f t="shared" si="3"/>
        <v/>
      </c>
      <c r="AD25" s="187"/>
      <c r="AE25" s="187"/>
      <c r="AF25" s="187"/>
      <c r="AG25" s="190"/>
    </row>
    <row r="26" spans="1:33" ht="125.25" customHeight="1">
      <c r="A26" s="186"/>
      <c r="B26" s="186"/>
      <c r="C26" s="187"/>
      <c r="D26" s="187"/>
      <c r="E26" s="187"/>
      <c r="F26" s="188"/>
      <c r="G26" s="187"/>
      <c r="H26" s="187"/>
      <c r="I26" s="187"/>
      <c r="J26" s="187"/>
      <c r="K26" s="187"/>
      <c r="L26" s="189"/>
      <c r="M26" s="189"/>
      <c r="N26" s="190"/>
      <c r="O26" s="190"/>
      <c r="P26" s="190"/>
      <c r="Q26" s="59" t="str">
        <f t="shared" si="0"/>
        <v/>
      </c>
      <c r="R26" s="59" t="str">
        <f t="shared" si="1"/>
        <v/>
      </c>
      <c r="S26" s="191"/>
      <c r="T26" s="187"/>
      <c r="U26" s="192"/>
      <c r="V26" s="193"/>
      <c r="W26" s="186"/>
      <c r="X26" s="193"/>
      <c r="Y26" s="190"/>
      <c r="Z26" s="190"/>
      <c r="AA26" s="190"/>
      <c r="AB26" s="59" t="str">
        <f t="shared" si="2"/>
        <v/>
      </c>
      <c r="AC26" s="59" t="str">
        <f t="shared" si="3"/>
        <v/>
      </c>
      <c r="AD26" s="187"/>
      <c r="AE26" s="187"/>
      <c r="AF26" s="187"/>
      <c r="AG26" s="190"/>
    </row>
    <row r="27" spans="1:33" ht="125.25" customHeight="1">
      <c r="A27" s="186"/>
      <c r="B27" s="186"/>
      <c r="C27" s="187"/>
      <c r="D27" s="187"/>
      <c r="E27" s="187"/>
      <c r="F27" s="188"/>
      <c r="G27" s="187"/>
      <c r="H27" s="187"/>
      <c r="I27" s="187"/>
      <c r="J27" s="187"/>
      <c r="K27" s="187"/>
      <c r="L27" s="189"/>
      <c r="M27" s="189"/>
      <c r="N27" s="190"/>
      <c r="O27" s="190"/>
      <c r="P27" s="190"/>
      <c r="Q27" s="59" t="str">
        <f t="shared" si="0"/>
        <v/>
      </c>
      <c r="R27" s="59" t="str">
        <f t="shared" si="1"/>
        <v/>
      </c>
      <c r="S27" s="191"/>
      <c r="T27" s="187"/>
      <c r="U27" s="192"/>
      <c r="V27" s="193"/>
      <c r="W27" s="186"/>
      <c r="X27" s="193"/>
      <c r="Y27" s="190"/>
      <c r="Z27" s="190"/>
      <c r="AA27" s="190"/>
      <c r="AB27" s="59" t="str">
        <f t="shared" si="2"/>
        <v/>
      </c>
      <c r="AC27" s="59" t="str">
        <f t="shared" si="3"/>
        <v/>
      </c>
      <c r="AD27" s="187"/>
      <c r="AE27" s="187"/>
      <c r="AF27" s="187"/>
      <c r="AG27" s="190"/>
    </row>
    <row r="28" spans="1:33" ht="125.25" customHeight="1">
      <c r="A28" s="186"/>
      <c r="B28" s="186"/>
      <c r="C28" s="187"/>
      <c r="D28" s="187"/>
      <c r="E28" s="187"/>
      <c r="F28" s="188"/>
      <c r="G28" s="187"/>
      <c r="H28" s="187"/>
      <c r="I28" s="187"/>
      <c r="J28" s="187"/>
      <c r="K28" s="187"/>
      <c r="L28" s="189"/>
      <c r="M28" s="189"/>
      <c r="N28" s="190"/>
      <c r="O28" s="190"/>
      <c r="P28" s="190"/>
      <c r="Q28" s="59" t="str">
        <f t="shared" si="0"/>
        <v/>
      </c>
      <c r="R28" s="59" t="str">
        <f t="shared" si="1"/>
        <v/>
      </c>
      <c r="S28" s="191"/>
      <c r="T28" s="187"/>
      <c r="U28" s="192"/>
      <c r="V28" s="193"/>
      <c r="W28" s="186"/>
      <c r="X28" s="193"/>
      <c r="Y28" s="190"/>
      <c r="Z28" s="190"/>
      <c r="AA28" s="190"/>
      <c r="AB28" s="59" t="str">
        <f t="shared" si="2"/>
        <v/>
      </c>
      <c r="AC28" s="59" t="str">
        <f t="shared" si="3"/>
        <v/>
      </c>
      <c r="AD28" s="187"/>
      <c r="AE28" s="187"/>
      <c r="AF28" s="187"/>
      <c r="AG28" s="190"/>
    </row>
    <row r="29" spans="1:33" ht="125.25" customHeight="1">
      <c r="A29" s="186"/>
      <c r="B29" s="186"/>
      <c r="C29" s="187"/>
      <c r="D29" s="187"/>
      <c r="E29" s="187"/>
      <c r="F29" s="188"/>
      <c r="G29" s="187"/>
      <c r="H29" s="187"/>
      <c r="I29" s="187"/>
      <c r="J29" s="187"/>
      <c r="K29" s="187"/>
      <c r="L29" s="189"/>
      <c r="M29" s="189"/>
      <c r="N29" s="190"/>
      <c r="O29" s="190"/>
      <c r="P29" s="190"/>
      <c r="Q29" s="59" t="str">
        <f t="shared" si="0"/>
        <v/>
      </c>
      <c r="R29" s="59" t="str">
        <f t="shared" si="1"/>
        <v/>
      </c>
      <c r="S29" s="191"/>
      <c r="T29" s="187"/>
      <c r="U29" s="192"/>
      <c r="V29" s="193"/>
      <c r="W29" s="186"/>
      <c r="X29" s="193"/>
      <c r="Y29" s="190"/>
      <c r="Z29" s="190"/>
      <c r="AA29" s="190"/>
      <c r="AB29" s="59" t="str">
        <f t="shared" si="2"/>
        <v/>
      </c>
      <c r="AC29" s="59" t="str">
        <f t="shared" si="3"/>
        <v/>
      </c>
      <c r="AD29" s="187"/>
      <c r="AE29" s="187"/>
      <c r="AF29" s="187"/>
      <c r="AG29" s="190"/>
    </row>
    <row r="30" spans="1:33" ht="125.25" customHeight="1">
      <c r="A30" s="186"/>
      <c r="B30" s="186"/>
      <c r="C30" s="187"/>
      <c r="D30" s="187"/>
      <c r="E30" s="187"/>
      <c r="F30" s="188"/>
      <c r="G30" s="187"/>
      <c r="H30" s="187"/>
      <c r="I30" s="187"/>
      <c r="J30" s="187"/>
      <c r="K30" s="187"/>
      <c r="L30" s="189"/>
      <c r="M30" s="189"/>
      <c r="N30" s="190"/>
      <c r="O30" s="190"/>
      <c r="P30" s="190"/>
      <c r="Q30" s="59" t="str">
        <f t="shared" si="0"/>
        <v/>
      </c>
      <c r="R30" s="59" t="str">
        <f t="shared" si="1"/>
        <v/>
      </c>
      <c r="S30" s="191"/>
      <c r="T30" s="187"/>
      <c r="U30" s="192"/>
      <c r="V30" s="193"/>
      <c r="W30" s="186"/>
      <c r="X30" s="193"/>
      <c r="Y30" s="190"/>
      <c r="Z30" s="190"/>
      <c r="AA30" s="190"/>
      <c r="AB30" s="59" t="str">
        <f t="shared" si="2"/>
        <v/>
      </c>
      <c r="AC30" s="59" t="str">
        <f t="shared" si="3"/>
        <v/>
      </c>
      <c r="AD30" s="187"/>
      <c r="AE30" s="187"/>
      <c r="AF30" s="187"/>
      <c r="AG30" s="190"/>
    </row>
    <row r="31" spans="1:33" ht="125.25" customHeight="1">
      <c r="A31" s="186"/>
      <c r="B31" s="186"/>
      <c r="C31" s="187"/>
      <c r="D31" s="187"/>
      <c r="E31" s="187"/>
      <c r="F31" s="188"/>
      <c r="G31" s="187"/>
      <c r="H31" s="187"/>
      <c r="I31" s="187"/>
      <c r="J31" s="187"/>
      <c r="K31" s="187"/>
      <c r="L31" s="189"/>
      <c r="M31" s="189"/>
      <c r="N31" s="190"/>
      <c r="O31" s="190"/>
      <c r="P31" s="190"/>
      <c r="Q31" s="59" t="str">
        <f t="shared" si="0"/>
        <v/>
      </c>
      <c r="R31" s="59" t="str">
        <f t="shared" si="1"/>
        <v/>
      </c>
      <c r="S31" s="191"/>
      <c r="T31" s="187"/>
      <c r="U31" s="192"/>
      <c r="V31" s="193"/>
      <c r="W31" s="186"/>
      <c r="X31" s="193"/>
      <c r="Y31" s="190"/>
      <c r="Z31" s="190"/>
      <c r="AA31" s="190"/>
      <c r="AB31" s="59" t="str">
        <f t="shared" si="2"/>
        <v/>
      </c>
      <c r="AC31" s="59" t="str">
        <f t="shared" si="3"/>
        <v/>
      </c>
      <c r="AD31" s="187"/>
      <c r="AE31" s="187"/>
      <c r="AF31" s="187"/>
      <c r="AG31" s="190"/>
    </row>
    <row r="32" spans="1:33" ht="125.25" customHeight="1">
      <c r="A32" s="186"/>
      <c r="B32" s="186"/>
      <c r="C32" s="187"/>
      <c r="D32" s="187"/>
      <c r="E32" s="187"/>
      <c r="F32" s="188"/>
      <c r="G32" s="187"/>
      <c r="H32" s="187"/>
      <c r="I32" s="187"/>
      <c r="J32" s="187"/>
      <c r="K32" s="187"/>
      <c r="L32" s="189"/>
      <c r="M32" s="189"/>
      <c r="N32" s="190"/>
      <c r="O32" s="190"/>
      <c r="P32" s="190"/>
      <c r="Q32" s="59" t="str">
        <f t="shared" si="0"/>
        <v/>
      </c>
      <c r="R32" s="59" t="str">
        <f t="shared" si="1"/>
        <v/>
      </c>
      <c r="S32" s="191"/>
      <c r="T32" s="187"/>
      <c r="U32" s="192"/>
      <c r="V32" s="193"/>
      <c r="W32" s="186"/>
      <c r="X32" s="193"/>
      <c r="Y32" s="190"/>
      <c r="Z32" s="190"/>
      <c r="AA32" s="190"/>
      <c r="AB32" s="59" t="str">
        <f t="shared" si="2"/>
        <v/>
      </c>
      <c r="AC32" s="59" t="str">
        <f t="shared" si="3"/>
        <v/>
      </c>
      <c r="AD32" s="187"/>
      <c r="AE32" s="187"/>
      <c r="AF32" s="187"/>
      <c r="AG32" s="190"/>
    </row>
    <row r="33" spans="1:33" ht="125.25" customHeight="1">
      <c r="A33" s="186"/>
      <c r="B33" s="186"/>
      <c r="C33" s="187"/>
      <c r="D33" s="187"/>
      <c r="E33" s="187"/>
      <c r="F33" s="188"/>
      <c r="G33" s="187"/>
      <c r="H33" s="187"/>
      <c r="I33" s="187"/>
      <c r="J33" s="187"/>
      <c r="K33" s="187"/>
      <c r="L33" s="189"/>
      <c r="M33" s="189"/>
      <c r="N33" s="190"/>
      <c r="O33" s="190"/>
      <c r="P33" s="190"/>
      <c r="Q33" s="59" t="str">
        <f t="shared" si="0"/>
        <v/>
      </c>
      <c r="R33" s="59" t="str">
        <f t="shared" si="1"/>
        <v/>
      </c>
      <c r="S33" s="191"/>
      <c r="T33" s="187"/>
      <c r="U33" s="192"/>
      <c r="V33" s="193"/>
      <c r="W33" s="186"/>
      <c r="X33" s="193"/>
      <c r="Y33" s="190"/>
      <c r="Z33" s="190"/>
      <c r="AA33" s="190"/>
      <c r="AB33" s="59" t="str">
        <f t="shared" si="2"/>
        <v/>
      </c>
      <c r="AC33" s="59" t="str">
        <f t="shared" si="3"/>
        <v/>
      </c>
      <c r="AD33" s="187"/>
      <c r="AE33" s="187"/>
      <c r="AF33" s="187"/>
      <c r="AG33" s="190"/>
    </row>
    <row r="34" spans="1:33" ht="125.25" customHeight="1">
      <c r="A34" s="186"/>
      <c r="B34" s="186"/>
      <c r="C34" s="187"/>
      <c r="D34" s="187"/>
      <c r="E34" s="187"/>
      <c r="F34" s="188"/>
      <c r="G34" s="187"/>
      <c r="H34" s="187"/>
      <c r="I34" s="187"/>
      <c r="J34" s="187"/>
      <c r="K34" s="187"/>
      <c r="L34" s="189"/>
      <c r="M34" s="189"/>
      <c r="N34" s="190"/>
      <c r="O34" s="190"/>
      <c r="P34" s="190"/>
      <c r="Q34" s="59" t="str">
        <f t="shared" si="0"/>
        <v/>
      </c>
      <c r="R34" s="59" t="str">
        <f t="shared" si="1"/>
        <v/>
      </c>
      <c r="S34" s="191"/>
      <c r="T34" s="187"/>
      <c r="U34" s="192"/>
      <c r="V34" s="193"/>
      <c r="W34" s="186"/>
      <c r="X34" s="193"/>
      <c r="Y34" s="190"/>
      <c r="Z34" s="190"/>
      <c r="AA34" s="190"/>
      <c r="AB34" s="59" t="str">
        <f t="shared" si="2"/>
        <v/>
      </c>
      <c r="AC34" s="59" t="str">
        <f t="shared" si="3"/>
        <v/>
      </c>
      <c r="AD34" s="187"/>
      <c r="AE34" s="187"/>
      <c r="AF34" s="187"/>
      <c r="AG34" s="190"/>
    </row>
    <row r="35" spans="1:33" ht="125.25" customHeight="1">
      <c r="A35" s="186"/>
      <c r="B35" s="186"/>
      <c r="C35" s="187"/>
      <c r="D35" s="187"/>
      <c r="E35" s="187"/>
      <c r="F35" s="188"/>
      <c r="G35" s="187"/>
      <c r="H35" s="187"/>
      <c r="I35" s="187"/>
      <c r="J35" s="187"/>
      <c r="K35" s="187"/>
      <c r="L35" s="189"/>
      <c r="M35" s="189"/>
      <c r="N35" s="190"/>
      <c r="O35" s="190"/>
      <c r="P35" s="190"/>
      <c r="Q35" s="59" t="str">
        <f t="shared" si="0"/>
        <v/>
      </c>
      <c r="R35" s="59" t="str">
        <f t="shared" si="1"/>
        <v/>
      </c>
      <c r="S35" s="191"/>
      <c r="T35" s="187"/>
      <c r="U35" s="192"/>
      <c r="V35" s="193"/>
      <c r="W35" s="186"/>
      <c r="X35" s="193"/>
      <c r="Y35" s="190"/>
      <c r="Z35" s="190"/>
      <c r="AA35" s="190"/>
      <c r="AB35" s="59" t="str">
        <f t="shared" si="2"/>
        <v/>
      </c>
      <c r="AC35" s="59" t="str">
        <f t="shared" si="3"/>
        <v/>
      </c>
      <c r="AD35" s="187"/>
      <c r="AE35" s="187"/>
      <c r="AF35" s="187"/>
      <c r="AG35" s="190"/>
    </row>
    <row r="36" spans="1:33" ht="125.25" customHeight="1">
      <c r="A36" s="186"/>
      <c r="B36" s="186"/>
      <c r="C36" s="187"/>
      <c r="D36" s="187"/>
      <c r="E36" s="187"/>
      <c r="F36" s="188"/>
      <c r="G36" s="187"/>
      <c r="H36" s="187"/>
      <c r="I36" s="187"/>
      <c r="J36" s="187"/>
      <c r="K36" s="187"/>
      <c r="L36" s="189"/>
      <c r="M36" s="189"/>
      <c r="N36" s="190"/>
      <c r="O36" s="190"/>
      <c r="P36" s="190"/>
      <c r="Q36" s="59" t="str">
        <f t="shared" si="0"/>
        <v/>
      </c>
      <c r="R36" s="59" t="str">
        <f t="shared" si="1"/>
        <v/>
      </c>
      <c r="S36" s="191"/>
      <c r="T36" s="187"/>
      <c r="U36" s="192"/>
      <c r="V36" s="193"/>
      <c r="W36" s="186"/>
      <c r="X36" s="193"/>
      <c r="Y36" s="190"/>
      <c r="Z36" s="190"/>
      <c r="AA36" s="190"/>
      <c r="AB36" s="59" t="str">
        <f t="shared" si="2"/>
        <v/>
      </c>
      <c r="AC36" s="59" t="str">
        <f t="shared" si="3"/>
        <v/>
      </c>
      <c r="AD36" s="187"/>
      <c r="AE36" s="187"/>
      <c r="AF36" s="187"/>
      <c r="AG36" s="190"/>
    </row>
    <row r="37" spans="1:33" ht="125.25" customHeight="1">
      <c r="A37" s="186"/>
      <c r="B37" s="186"/>
      <c r="C37" s="187"/>
      <c r="D37" s="187"/>
      <c r="E37" s="187"/>
      <c r="F37" s="188"/>
      <c r="G37" s="187"/>
      <c r="H37" s="187"/>
      <c r="I37" s="187"/>
      <c r="J37" s="187"/>
      <c r="K37" s="187"/>
      <c r="L37" s="189"/>
      <c r="M37" s="189"/>
      <c r="N37" s="190"/>
      <c r="O37" s="190"/>
      <c r="P37" s="190"/>
      <c r="Q37" s="59" t="str">
        <f t="shared" si="0"/>
        <v/>
      </c>
      <c r="R37" s="59" t="str">
        <f t="shared" si="1"/>
        <v/>
      </c>
      <c r="S37" s="191"/>
      <c r="T37" s="187"/>
      <c r="U37" s="192"/>
      <c r="V37" s="193"/>
      <c r="W37" s="186"/>
      <c r="X37" s="193"/>
      <c r="Y37" s="190"/>
      <c r="Z37" s="190"/>
      <c r="AA37" s="190"/>
      <c r="AB37" s="59" t="str">
        <f t="shared" si="2"/>
        <v/>
      </c>
      <c r="AC37" s="59" t="str">
        <f t="shared" si="3"/>
        <v/>
      </c>
      <c r="AD37" s="187"/>
      <c r="AE37" s="187"/>
      <c r="AF37" s="187"/>
      <c r="AG37" s="190"/>
    </row>
    <row r="38" spans="1:33" ht="125.25" customHeight="1">
      <c r="A38" s="186"/>
      <c r="B38" s="186"/>
      <c r="C38" s="187"/>
      <c r="D38" s="187"/>
      <c r="E38" s="187"/>
      <c r="F38" s="188"/>
      <c r="G38" s="187"/>
      <c r="H38" s="187"/>
      <c r="I38" s="187"/>
      <c r="J38" s="187"/>
      <c r="K38" s="187"/>
      <c r="L38" s="189"/>
      <c r="M38" s="189"/>
      <c r="N38" s="190"/>
      <c r="O38" s="190"/>
      <c r="P38" s="190"/>
      <c r="Q38" s="59" t="str">
        <f t="shared" si="0"/>
        <v/>
      </c>
      <c r="R38" s="59" t="str">
        <f t="shared" si="1"/>
        <v/>
      </c>
      <c r="S38" s="191"/>
      <c r="T38" s="187"/>
      <c r="U38" s="192"/>
      <c r="V38" s="193"/>
      <c r="W38" s="186"/>
      <c r="X38" s="193"/>
      <c r="Y38" s="190"/>
      <c r="Z38" s="190"/>
      <c r="AA38" s="190"/>
      <c r="AB38" s="59" t="str">
        <f t="shared" si="2"/>
        <v/>
      </c>
      <c r="AC38" s="59" t="str">
        <f t="shared" si="3"/>
        <v/>
      </c>
      <c r="AD38" s="187"/>
      <c r="AE38" s="187"/>
      <c r="AF38" s="187"/>
      <c r="AG38" s="190"/>
    </row>
    <row r="39" spans="1:33" ht="125.25" customHeight="1">
      <c r="A39" s="186"/>
      <c r="B39" s="186"/>
      <c r="C39" s="187"/>
      <c r="D39" s="187"/>
      <c r="E39" s="187"/>
      <c r="F39" s="188"/>
      <c r="G39" s="187"/>
      <c r="H39" s="187"/>
      <c r="I39" s="187"/>
      <c r="J39" s="187"/>
      <c r="K39" s="187"/>
      <c r="L39" s="189"/>
      <c r="M39" s="189"/>
      <c r="N39" s="190"/>
      <c r="O39" s="190"/>
      <c r="P39" s="190"/>
      <c r="Q39" s="59" t="str">
        <f t="shared" si="0"/>
        <v/>
      </c>
      <c r="R39" s="59" t="str">
        <f t="shared" si="1"/>
        <v/>
      </c>
      <c r="S39" s="191"/>
      <c r="T39" s="187"/>
      <c r="U39" s="192"/>
      <c r="V39" s="193"/>
      <c r="W39" s="186"/>
      <c r="X39" s="193"/>
      <c r="Y39" s="190"/>
      <c r="Z39" s="190"/>
      <c r="AA39" s="190"/>
      <c r="AB39" s="59" t="str">
        <f t="shared" si="2"/>
        <v/>
      </c>
      <c r="AC39" s="59" t="str">
        <f t="shared" si="3"/>
        <v/>
      </c>
      <c r="AD39" s="187"/>
      <c r="AE39" s="187"/>
      <c r="AF39" s="187"/>
      <c r="AG39" s="190"/>
    </row>
    <row r="40" spans="1:33" ht="125.25" customHeight="1">
      <c r="A40" s="186"/>
      <c r="B40" s="186"/>
      <c r="C40" s="187"/>
      <c r="D40" s="187"/>
      <c r="E40" s="187"/>
      <c r="F40" s="188"/>
      <c r="G40" s="187"/>
      <c r="H40" s="187"/>
      <c r="I40" s="187"/>
      <c r="J40" s="187"/>
      <c r="K40" s="187"/>
      <c r="L40" s="189"/>
      <c r="M40" s="189"/>
      <c r="N40" s="190"/>
      <c r="O40" s="190"/>
      <c r="P40" s="190"/>
      <c r="Q40" s="59" t="str">
        <f t="shared" ref="Q40:Q71" si="4">IF(OR(ISBLANK(N40)=TRUE,ISBLANK(O40)=TRUE,ISBLANK(P40)=TRUE),"",PRODUCT(N40,O40,P40))</f>
        <v/>
      </c>
      <c r="R40" s="59" t="str">
        <f t="shared" ref="R40:R71" si="5">IF(Q40="","",IF(AND(Q40&gt;=0,Q40&lt;20),"DÜŞÜK RİSK",IF(AND(Q40&gt;=20,Q40&lt;70),"OLASI RİSK",IF(AND(Q40&gt;=70,Q40&lt;200),"ÖNEMLİ RİSK",IF(AND(Q40&gt;=200,Q40&lt;400),"YÜKSEK RİSK",IF(Q40&gt;=400,"KABUL EDİLEMEZ RİSK",""))))))</f>
        <v/>
      </c>
      <c r="S40" s="191"/>
      <c r="T40" s="187"/>
      <c r="U40" s="192"/>
      <c r="V40" s="193"/>
      <c r="W40" s="186"/>
      <c r="X40" s="193"/>
      <c r="Y40" s="190"/>
      <c r="Z40" s="190"/>
      <c r="AA40" s="190"/>
      <c r="AB40" s="59" t="str">
        <f t="shared" ref="AB40:AB71" si="6">IF(OR(ISBLANK(Y40)=TRUE,ISBLANK(Z40)=TRUE,ISBLANK(AA40)=TRUE),"",PRODUCT(Y40,Z40,AA40))</f>
        <v/>
      </c>
      <c r="AC40" s="59" t="str">
        <f t="shared" ref="AC40:AC71" si="7">IF(AB40="","",IF(AND(AB40&gt;=0,AB40&lt;20),"DÜŞÜK RİSK",IF(AND(AB40&gt;=20,AB40&lt;70),"OLASI RİSK",IF(AND(AB40&gt;=70,AB40&lt;200),"ÖNEMLİ RİSK",IF(AND(AB40&gt;=200,AB40&lt;400),"YÜKSEK RİSK",IF(AB40&gt;=400,"KABUL EDİLEMEZ RİSK",""))))))</f>
        <v/>
      </c>
      <c r="AD40" s="187"/>
      <c r="AE40" s="187"/>
      <c r="AF40" s="187"/>
      <c r="AG40" s="190"/>
    </row>
    <row r="41" spans="1:33" ht="125.25" customHeight="1">
      <c r="A41" s="186"/>
      <c r="B41" s="186"/>
      <c r="C41" s="187"/>
      <c r="D41" s="187"/>
      <c r="E41" s="187"/>
      <c r="F41" s="188"/>
      <c r="G41" s="187"/>
      <c r="H41" s="187"/>
      <c r="I41" s="187"/>
      <c r="J41" s="187"/>
      <c r="K41" s="187"/>
      <c r="L41" s="189"/>
      <c r="M41" s="189"/>
      <c r="N41" s="190"/>
      <c r="O41" s="190"/>
      <c r="P41" s="190"/>
      <c r="Q41" s="59" t="str">
        <f t="shared" si="4"/>
        <v/>
      </c>
      <c r="R41" s="59" t="str">
        <f t="shared" si="5"/>
        <v/>
      </c>
      <c r="S41" s="191"/>
      <c r="T41" s="187"/>
      <c r="U41" s="192"/>
      <c r="V41" s="193"/>
      <c r="W41" s="186"/>
      <c r="X41" s="193"/>
      <c r="Y41" s="190"/>
      <c r="Z41" s="190"/>
      <c r="AA41" s="190"/>
      <c r="AB41" s="59" t="str">
        <f t="shared" si="6"/>
        <v/>
      </c>
      <c r="AC41" s="59" t="str">
        <f t="shared" si="7"/>
        <v/>
      </c>
      <c r="AD41" s="187"/>
      <c r="AE41" s="187"/>
      <c r="AF41" s="187"/>
      <c r="AG41" s="190"/>
    </row>
    <row r="42" spans="1:33" ht="125.25" customHeight="1">
      <c r="A42" s="186"/>
      <c r="B42" s="186"/>
      <c r="C42" s="187"/>
      <c r="D42" s="187"/>
      <c r="E42" s="187"/>
      <c r="F42" s="188"/>
      <c r="G42" s="187"/>
      <c r="H42" s="187"/>
      <c r="I42" s="187"/>
      <c r="J42" s="187"/>
      <c r="K42" s="187"/>
      <c r="L42" s="189"/>
      <c r="M42" s="189"/>
      <c r="N42" s="190"/>
      <c r="O42" s="190"/>
      <c r="P42" s="190"/>
      <c r="Q42" s="59" t="str">
        <f t="shared" si="4"/>
        <v/>
      </c>
      <c r="R42" s="59" t="str">
        <f t="shared" si="5"/>
        <v/>
      </c>
      <c r="S42" s="191"/>
      <c r="T42" s="187"/>
      <c r="U42" s="192"/>
      <c r="V42" s="193"/>
      <c r="W42" s="186"/>
      <c r="X42" s="193"/>
      <c r="Y42" s="190"/>
      <c r="Z42" s="190"/>
      <c r="AA42" s="190"/>
      <c r="AB42" s="59" t="str">
        <f t="shared" si="6"/>
        <v/>
      </c>
      <c r="AC42" s="59" t="str">
        <f t="shared" si="7"/>
        <v/>
      </c>
      <c r="AD42" s="187"/>
      <c r="AE42" s="187"/>
      <c r="AF42" s="187"/>
      <c r="AG42" s="190"/>
    </row>
    <row r="43" spans="1:33" ht="125.25" customHeight="1">
      <c r="A43" s="186"/>
      <c r="B43" s="186"/>
      <c r="C43" s="187"/>
      <c r="D43" s="187"/>
      <c r="E43" s="187"/>
      <c r="F43" s="188"/>
      <c r="G43" s="187"/>
      <c r="H43" s="187"/>
      <c r="I43" s="187"/>
      <c r="J43" s="187"/>
      <c r="K43" s="187"/>
      <c r="L43" s="189"/>
      <c r="M43" s="189"/>
      <c r="N43" s="190"/>
      <c r="O43" s="190"/>
      <c r="P43" s="190"/>
      <c r="Q43" s="59" t="str">
        <f t="shared" si="4"/>
        <v/>
      </c>
      <c r="R43" s="59" t="str">
        <f t="shared" si="5"/>
        <v/>
      </c>
      <c r="S43" s="191"/>
      <c r="T43" s="187"/>
      <c r="U43" s="192"/>
      <c r="V43" s="193"/>
      <c r="W43" s="186"/>
      <c r="X43" s="193"/>
      <c r="Y43" s="190"/>
      <c r="Z43" s="190"/>
      <c r="AA43" s="190"/>
      <c r="AB43" s="59" t="str">
        <f t="shared" si="6"/>
        <v/>
      </c>
      <c r="AC43" s="59" t="str">
        <f t="shared" si="7"/>
        <v/>
      </c>
      <c r="AD43" s="187"/>
      <c r="AE43" s="187"/>
      <c r="AF43" s="187"/>
      <c r="AG43" s="190"/>
    </row>
    <row r="44" spans="1:33" ht="125.25" customHeight="1">
      <c r="A44" s="186"/>
      <c r="B44" s="186"/>
      <c r="C44" s="187"/>
      <c r="D44" s="187"/>
      <c r="E44" s="187"/>
      <c r="F44" s="188"/>
      <c r="G44" s="187"/>
      <c r="H44" s="187"/>
      <c r="I44" s="187"/>
      <c r="J44" s="187"/>
      <c r="K44" s="187"/>
      <c r="L44" s="189"/>
      <c r="M44" s="189"/>
      <c r="N44" s="190"/>
      <c r="O44" s="190"/>
      <c r="P44" s="190"/>
      <c r="Q44" s="59" t="str">
        <f t="shared" si="4"/>
        <v/>
      </c>
      <c r="R44" s="59" t="str">
        <f t="shared" si="5"/>
        <v/>
      </c>
      <c r="S44" s="191"/>
      <c r="T44" s="187"/>
      <c r="U44" s="192"/>
      <c r="V44" s="193"/>
      <c r="W44" s="186"/>
      <c r="X44" s="193"/>
      <c r="Y44" s="190"/>
      <c r="Z44" s="190"/>
      <c r="AA44" s="190"/>
      <c r="AB44" s="59" t="str">
        <f t="shared" si="6"/>
        <v/>
      </c>
      <c r="AC44" s="59" t="str">
        <f t="shared" si="7"/>
        <v/>
      </c>
      <c r="AD44" s="187"/>
      <c r="AE44" s="187"/>
      <c r="AF44" s="187"/>
      <c r="AG44" s="190"/>
    </row>
    <row r="45" spans="1:33" ht="125.25" customHeight="1">
      <c r="A45" s="186"/>
      <c r="B45" s="186"/>
      <c r="C45" s="187"/>
      <c r="D45" s="187"/>
      <c r="E45" s="187"/>
      <c r="F45" s="188"/>
      <c r="G45" s="187"/>
      <c r="H45" s="187"/>
      <c r="I45" s="187"/>
      <c r="J45" s="187"/>
      <c r="K45" s="187"/>
      <c r="L45" s="189"/>
      <c r="M45" s="189"/>
      <c r="N45" s="190"/>
      <c r="O45" s="190"/>
      <c r="P45" s="190"/>
      <c r="Q45" s="59" t="str">
        <f t="shared" si="4"/>
        <v/>
      </c>
      <c r="R45" s="59" t="str">
        <f t="shared" si="5"/>
        <v/>
      </c>
      <c r="S45" s="191"/>
      <c r="T45" s="187"/>
      <c r="U45" s="192"/>
      <c r="V45" s="193"/>
      <c r="W45" s="186"/>
      <c r="X45" s="193"/>
      <c r="Y45" s="190"/>
      <c r="Z45" s="190"/>
      <c r="AA45" s="190"/>
      <c r="AB45" s="59" t="str">
        <f t="shared" si="6"/>
        <v/>
      </c>
      <c r="AC45" s="59" t="str">
        <f t="shared" si="7"/>
        <v/>
      </c>
      <c r="AD45" s="187"/>
      <c r="AE45" s="187"/>
      <c r="AF45" s="187"/>
      <c r="AG45" s="190"/>
    </row>
    <row r="46" spans="1:33" ht="125.25" customHeight="1">
      <c r="A46" s="186"/>
      <c r="B46" s="186"/>
      <c r="C46" s="187"/>
      <c r="D46" s="187"/>
      <c r="E46" s="187"/>
      <c r="F46" s="188"/>
      <c r="G46" s="187"/>
      <c r="H46" s="187"/>
      <c r="I46" s="187"/>
      <c r="J46" s="187"/>
      <c r="K46" s="187"/>
      <c r="L46" s="189"/>
      <c r="M46" s="189"/>
      <c r="N46" s="190"/>
      <c r="O46" s="190"/>
      <c r="P46" s="190"/>
      <c r="Q46" s="59" t="str">
        <f t="shared" si="4"/>
        <v/>
      </c>
      <c r="R46" s="59" t="str">
        <f t="shared" si="5"/>
        <v/>
      </c>
      <c r="S46" s="191"/>
      <c r="T46" s="187"/>
      <c r="U46" s="192"/>
      <c r="V46" s="193"/>
      <c r="W46" s="186"/>
      <c r="X46" s="193"/>
      <c r="Y46" s="190"/>
      <c r="Z46" s="190"/>
      <c r="AA46" s="190"/>
      <c r="AB46" s="59" t="str">
        <f t="shared" si="6"/>
        <v/>
      </c>
      <c r="AC46" s="59" t="str">
        <f t="shared" si="7"/>
        <v/>
      </c>
      <c r="AD46" s="187"/>
      <c r="AE46" s="187"/>
      <c r="AF46" s="187"/>
      <c r="AG46" s="190"/>
    </row>
    <row r="47" spans="1:33" ht="125.25" customHeight="1">
      <c r="A47" s="186"/>
      <c r="B47" s="186"/>
      <c r="C47" s="187"/>
      <c r="D47" s="187"/>
      <c r="E47" s="187"/>
      <c r="F47" s="188"/>
      <c r="G47" s="187"/>
      <c r="H47" s="187"/>
      <c r="I47" s="187"/>
      <c r="J47" s="187"/>
      <c r="K47" s="187"/>
      <c r="L47" s="189"/>
      <c r="M47" s="189"/>
      <c r="N47" s="190"/>
      <c r="O47" s="190"/>
      <c r="P47" s="190"/>
      <c r="Q47" s="59" t="str">
        <f t="shared" si="4"/>
        <v/>
      </c>
      <c r="R47" s="59" t="str">
        <f t="shared" si="5"/>
        <v/>
      </c>
      <c r="S47" s="191"/>
      <c r="T47" s="187"/>
      <c r="U47" s="192"/>
      <c r="V47" s="193"/>
      <c r="W47" s="186"/>
      <c r="X47" s="193"/>
      <c r="Y47" s="190"/>
      <c r="Z47" s="190"/>
      <c r="AA47" s="190"/>
      <c r="AB47" s="59" t="str">
        <f t="shared" si="6"/>
        <v/>
      </c>
      <c r="AC47" s="59" t="str">
        <f t="shared" si="7"/>
        <v/>
      </c>
      <c r="AD47" s="187"/>
      <c r="AE47" s="187"/>
      <c r="AF47" s="187"/>
      <c r="AG47" s="190"/>
    </row>
    <row r="48" spans="1:33" ht="125.25" customHeight="1">
      <c r="A48" s="186"/>
      <c r="B48" s="186"/>
      <c r="C48" s="187"/>
      <c r="D48" s="187"/>
      <c r="E48" s="187"/>
      <c r="F48" s="188"/>
      <c r="G48" s="187"/>
      <c r="H48" s="187"/>
      <c r="I48" s="187"/>
      <c r="J48" s="187"/>
      <c r="K48" s="187"/>
      <c r="L48" s="189"/>
      <c r="M48" s="189"/>
      <c r="N48" s="190"/>
      <c r="O48" s="190"/>
      <c r="P48" s="190"/>
      <c r="Q48" s="59" t="str">
        <f t="shared" si="4"/>
        <v/>
      </c>
      <c r="R48" s="59" t="str">
        <f t="shared" si="5"/>
        <v/>
      </c>
      <c r="S48" s="191"/>
      <c r="T48" s="187"/>
      <c r="U48" s="192"/>
      <c r="V48" s="193"/>
      <c r="W48" s="186"/>
      <c r="X48" s="193"/>
      <c r="Y48" s="190"/>
      <c r="Z48" s="190"/>
      <c r="AA48" s="190"/>
      <c r="AB48" s="59" t="str">
        <f t="shared" si="6"/>
        <v/>
      </c>
      <c r="AC48" s="59" t="str">
        <f t="shared" si="7"/>
        <v/>
      </c>
      <c r="AD48" s="187"/>
      <c r="AE48" s="187"/>
      <c r="AF48" s="187"/>
      <c r="AG48" s="190"/>
    </row>
    <row r="49" spans="1:33" ht="125.25" customHeight="1">
      <c r="A49" s="186"/>
      <c r="B49" s="186"/>
      <c r="C49" s="187"/>
      <c r="D49" s="187"/>
      <c r="E49" s="187"/>
      <c r="F49" s="188"/>
      <c r="G49" s="187"/>
      <c r="H49" s="187"/>
      <c r="I49" s="187"/>
      <c r="J49" s="187"/>
      <c r="K49" s="187"/>
      <c r="L49" s="189"/>
      <c r="M49" s="189"/>
      <c r="N49" s="190"/>
      <c r="O49" s="190"/>
      <c r="P49" s="190"/>
      <c r="Q49" s="59" t="str">
        <f t="shared" si="4"/>
        <v/>
      </c>
      <c r="R49" s="59" t="str">
        <f t="shared" si="5"/>
        <v/>
      </c>
      <c r="S49" s="191"/>
      <c r="T49" s="187"/>
      <c r="U49" s="192"/>
      <c r="V49" s="193"/>
      <c r="W49" s="186"/>
      <c r="X49" s="193"/>
      <c r="Y49" s="190"/>
      <c r="Z49" s="190"/>
      <c r="AA49" s="190"/>
      <c r="AB49" s="59" t="str">
        <f t="shared" si="6"/>
        <v/>
      </c>
      <c r="AC49" s="59" t="str">
        <f t="shared" si="7"/>
        <v/>
      </c>
      <c r="AD49" s="187"/>
      <c r="AE49" s="187"/>
      <c r="AF49" s="187"/>
      <c r="AG49" s="190"/>
    </row>
    <row r="50" spans="1:33" ht="125.25" customHeight="1">
      <c r="A50" s="186"/>
      <c r="B50" s="186"/>
      <c r="C50" s="187"/>
      <c r="D50" s="187"/>
      <c r="E50" s="187"/>
      <c r="F50" s="188"/>
      <c r="G50" s="187"/>
      <c r="H50" s="187"/>
      <c r="I50" s="187"/>
      <c r="J50" s="187"/>
      <c r="K50" s="187"/>
      <c r="L50" s="189"/>
      <c r="M50" s="189"/>
      <c r="N50" s="190"/>
      <c r="O50" s="190"/>
      <c r="P50" s="190"/>
      <c r="Q50" s="59" t="str">
        <f t="shared" si="4"/>
        <v/>
      </c>
      <c r="R50" s="59" t="str">
        <f t="shared" si="5"/>
        <v/>
      </c>
      <c r="S50" s="191"/>
      <c r="T50" s="187"/>
      <c r="U50" s="192"/>
      <c r="V50" s="193"/>
      <c r="W50" s="186"/>
      <c r="X50" s="193"/>
      <c r="Y50" s="190"/>
      <c r="Z50" s="190"/>
      <c r="AA50" s="190"/>
      <c r="AB50" s="59" t="str">
        <f t="shared" si="6"/>
        <v/>
      </c>
      <c r="AC50" s="59" t="str">
        <f t="shared" si="7"/>
        <v/>
      </c>
      <c r="AD50" s="187"/>
      <c r="AE50" s="187"/>
      <c r="AF50" s="187"/>
      <c r="AG50" s="190"/>
    </row>
    <row r="51" spans="1:33" ht="125.25" customHeight="1">
      <c r="A51" s="186"/>
      <c r="B51" s="186"/>
      <c r="C51" s="187"/>
      <c r="D51" s="187"/>
      <c r="E51" s="187"/>
      <c r="F51" s="188"/>
      <c r="G51" s="187"/>
      <c r="H51" s="187"/>
      <c r="I51" s="187"/>
      <c r="J51" s="187"/>
      <c r="K51" s="187"/>
      <c r="L51" s="189"/>
      <c r="M51" s="189"/>
      <c r="N51" s="190"/>
      <c r="O51" s="190"/>
      <c r="P51" s="190"/>
      <c r="Q51" s="59" t="str">
        <f t="shared" si="4"/>
        <v/>
      </c>
      <c r="R51" s="59" t="str">
        <f t="shared" si="5"/>
        <v/>
      </c>
      <c r="S51" s="191"/>
      <c r="T51" s="187"/>
      <c r="U51" s="192"/>
      <c r="V51" s="193"/>
      <c r="W51" s="186"/>
      <c r="X51" s="193"/>
      <c r="Y51" s="190"/>
      <c r="Z51" s="190"/>
      <c r="AA51" s="190"/>
      <c r="AB51" s="59" t="str">
        <f t="shared" si="6"/>
        <v/>
      </c>
      <c r="AC51" s="59" t="str">
        <f t="shared" si="7"/>
        <v/>
      </c>
      <c r="AD51" s="187"/>
      <c r="AE51" s="187"/>
      <c r="AF51" s="187"/>
      <c r="AG51" s="190"/>
    </row>
    <row r="52" spans="1:33" ht="125.25" customHeight="1">
      <c r="A52" s="186"/>
      <c r="B52" s="186"/>
      <c r="C52" s="187"/>
      <c r="D52" s="187"/>
      <c r="E52" s="187"/>
      <c r="F52" s="188"/>
      <c r="G52" s="187"/>
      <c r="H52" s="187"/>
      <c r="I52" s="187"/>
      <c r="J52" s="187"/>
      <c r="K52" s="187"/>
      <c r="L52" s="189"/>
      <c r="M52" s="189"/>
      <c r="N52" s="190"/>
      <c r="O52" s="190"/>
      <c r="P52" s="190"/>
      <c r="Q52" s="59" t="str">
        <f t="shared" si="4"/>
        <v/>
      </c>
      <c r="R52" s="59" t="str">
        <f t="shared" si="5"/>
        <v/>
      </c>
      <c r="S52" s="191"/>
      <c r="T52" s="187"/>
      <c r="U52" s="192"/>
      <c r="V52" s="193"/>
      <c r="W52" s="186"/>
      <c r="X52" s="193"/>
      <c r="Y52" s="190"/>
      <c r="Z52" s="190"/>
      <c r="AA52" s="190"/>
      <c r="AB52" s="59" t="str">
        <f t="shared" si="6"/>
        <v/>
      </c>
      <c r="AC52" s="59" t="str">
        <f t="shared" si="7"/>
        <v/>
      </c>
      <c r="AD52" s="187"/>
      <c r="AE52" s="187"/>
      <c r="AF52" s="187"/>
      <c r="AG52" s="190"/>
    </row>
    <row r="53" spans="1:33" ht="125.25" customHeight="1">
      <c r="A53" s="186"/>
      <c r="B53" s="186"/>
      <c r="C53" s="187"/>
      <c r="D53" s="187"/>
      <c r="E53" s="187"/>
      <c r="F53" s="188"/>
      <c r="G53" s="187"/>
      <c r="H53" s="187"/>
      <c r="I53" s="187"/>
      <c r="J53" s="187"/>
      <c r="K53" s="187"/>
      <c r="L53" s="189"/>
      <c r="M53" s="189"/>
      <c r="N53" s="190"/>
      <c r="O53" s="190"/>
      <c r="P53" s="190"/>
      <c r="Q53" s="59" t="str">
        <f t="shared" si="4"/>
        <v/>
      </c>
      <c r="R53" s="59" t="str">
        <f t="shared" si="5"/>
        <v/>
      </c>
      <c r="S53" s="191"/>
      <c r="T53" s="187"/>
      <c r="U53" s="192"/>
      <c r="V53" s="193"/>
      <c r="W53" s="186"/>
      <c r="X53" s="193"/>
      <c r="Y53" s="190"/>
      <c r="Z53" s="190"/>
      <c r="AA53" s="190"/>
      <c r="AB53" s="59" t="str">
        <f t="shared" si="6"/>
        <v/>
      </c>
      <c r="AC53" s="59" t="str">
        <f t="shared" si="7"/>
        <v/>
      </c>
      <c r="AD53" s="187"/>
      <c r="AE53" s="187"/>
      <c r="AF53" s="187"/>
      <c r="AG53" s="190"/>
    </row>
    <row r="54" spans="1:33" ht="125.25" customHeight="1">
      <c r="A54" s="186"/>
      <c r="B54" s="186"/>
      <c r="C54" s="187"/>
      <c r="D54" s="187"/>
      <c r="E54" s="187"/>
      <c r="F54" s="188"/>
      <c r="G54" s="187"/>
      <c r="H54" s="187"/>
      <c r="I54" s="187"/>
      <c r="J54" s="187"/>
      <c r="K54" s="187"/>
      <c r="L54" s="189"/>
      <c r="M54" s="189"/>
      <c r="N54" s="190"/>
      <c r="O54" s="190"/>
      <c r="P54" s="190"/>
      <c r="Q54" s="59" t="str">
        <f t="shared" si="4"/>
        <v/>
      </c>
      <c r="R54" s="59" t="str">
        <f t="shared" si="5"/>
        <v/>
      </c>
      <c r="S54" s="191"/>
      <c r="T54" s="187"/>
      <c r="U54" s="192"/>
      <c r="V54" s="193"/>
      <c r="W54" s="186"/>
      <c r="X54" s="193"/>
      <c r="Y54" s="190"/>
      <c r="Z54" s="190"/>
      <c r="AA54" s="190"/>
      <c r="AB54" s="59" t="str">
        <f t="shared" si="6"/>
        <v/>
      </c>
      <c r="AC54" s="59" t="str">
        <f t="shared" si="7"/>
        <v/>
      </c>
      <c r="AD54" s="187"/>
      <c r="AE54" s="187"/>
      <c r="AF54" s="187"/>
      <c r="AG54" s="190"/>
    </row>
    <row r="55" spans="1:33" ht="125.25" customHeight="1">
      <c r="A55" s="186"/>
      <c r="B55" s="186"/>
      <c r="C55" s="187"/>
      <c r="D55" s="187"/>
      <c r="E55" s="187"/>
      <c r="F55" s="188"/>
      <c r="G55" s="187"/>
      <c r="H55" s="187"/>
      <c r="I55" s="187"/>
      <c r="J55" s="187"/>
      <c r="K55" s="187"/>
      <c r="L55" s="189"/>
      <c r="M55" s="189"/>
      <c r="N55" s="190"/>
      <c r="O55" s="190"/>
      <c r="P55" s="190"/>
      <c r="Q55" s="59" t="str">
        <f t="shared" si="4"/>
        <v/>
      </c>
      <c r="R55" s="59" t="str">
        <f t="shared" si="5"/>
        <v/>
      </c>
      <c r="S55" s="191"/>
      <c r="T55" s="187"/>
      <c r="U55" s="192"/>
      <c r="V55" s="193"/>
      <c r="W55" s="186"/>
      <c r="X55" s="193"/>
      <c r="Y55" s="190"/>
      <c r="Z55" s="190"/>
      <c r="AA55" s="190"/>
      <c r="AB55" s="59" t="str">
        <f t="shared" si="6"/>
        <v/>
      </c>
      <c r="AC55" s="59" t="str">
        <f t="shared" si="7"/>
        <v/>
      </c>
      <c r="AD55" s="187"/>
      <c r="AE55" s="187"/>
      <c r="AF55" s="187"/>
      <c r="AG55" s="190"/>
    </row>
    <row r="56" spans="1:33" ht="125.25" customHeight="1">
      <c r="A56" s="186"/>
      <c r="B56" s="186"/>
      <c r="C56" s="187"/>
      <c r="D56" s="187"/>
      <c r="E56" s="187"/>
      <c r="F56" s="188"/>
      <c r="G56" s="187"/>
      <c r="H56" s="187"/>
      <c r="I56" s="187"/>
      <c r="J56" s="187"/>
      <c r="K56" s="187"/>
      <c r="L56" s="189"/>
      <c r="M56" s="189"/>
      <c r="N56" s="190"/>
      <c r="O56" s="190"/>
      <c r="P56" s="190"/>
      <c r="Q56" s="59" t="str">
        <f t="shared" si="4"/>
        <v/>
      </c>
      <c r="R56" s="59" t="str">
        <f t="shared" si="5"/>
        <v/>
      </c>
      <c r="S56" s="191"/>
      <c r="T56" s="187"/>
      <c r="U56" s="192"/>
      <c r="V56" s="193"/>
      <c r="W56" s="186"/>
      <c r="X56" s="193"/>
      <c r="Y56" s="190"/>
      <c r="Z56" s="190"/>
      <c r="AA56" s="190"/>
      <c r="AB56" s="59" t="str">
        <f t="shared" si="6"/>
        <v/>
      </c>
      <c r="AC56" s="59" t="str">
        <f t="shared" si="7"/>
        <v/>
      </c>
      <c r="AD56" s="187"/>
      <c r="AE56" s="187"/>
      <c r="AF56" s="187"/>
      <c r="AG56" s="190"/>
    </row>
    <row r="57" spans="1:33" ht="125.25" customHeight="1">
      <c r="A57" s="186"/>
      <c r="B57" s="186"/>
      <c r="C57" s="187"/>
      <c r="D57" s="187"/>
      <c r="E57" s="187"/>
      <c r="F57" s="188"/>
      <c r="G57" s="187"/>
      <c r="H57" s="187"/>
      <c r="I57" s="187"/>
      <c r="J57" s="187"/>
      <c r="K57" s="187"/>
      <c r="L57" s="189"/>
      <c r="M57" s="189"/>
      <c r="N57" s="190"/>
      <c r="O57" s="190"/>
      <c r="P57" s="190"/>
      <c r="Q57" s="59" t="str">
        <f t="shared" si="4"/>
        <v/>
      </c>
      <c r="R57" s="59" t="str">
        <f t="shared" si="5"/>
        <v/>
      </c>
      <c r="S57" s="191"/>
      <c r="T57" s="187"/>
      <c r="U57" s="192"/>
      <c r="V57" s="193"/>
      <c r="W57" s="186"/>
      <c r="X57" s="193"/>
      <c r="Y57" s="190"/>
      <c r="Z57" s="190"/>
      <c r="AA57" s="190"/>
      <c r="AB57" s="59" t="str">
        <f t="shared" si="6"/>
        <v/>
      </c>
      <c r="AC57" s="59" t="str">
        <f t="shared" si="7"/>
        <v/>
      </c>
      <c r="AD57" s="187"/>
      <c r="AE57" s="187"/>
      <c r="AF57" s="187"/>
      <c r="AG57" s="190"/>
    </row>
    <row r="58" spans="1:33" ht="125.25" customHeight="1">
      <c r="A58" s="186"/>
      <c r="B58" s="186"/>
      <c r="C58" s="187"/>
      <c r="D58" s="187"/>
      <c r="E58" s="187"/>
      <c r="F58" s="188"/>
      <c r="G58" s="187"/>
      <c r="H58" s="187"/>
      <c r="I58" s="187"/>
      <c r="J58" s="187"/>
      <c r="K58" s="187"/>
      <c r="L58" s="189"/>
      <c r="M58" s="189"/>
      <c r="N58" s="190"/>
      <c r="O58" s="190"/>
      <c r="P58" s="190"/>
      <c r="Q58" s="59" t="str">
        <f t="shared" si="4"/>
        <v/>
      </c>
      <c r="R58" s="59" t="str">
        <f t="shared" si="5"/>
        <v/>
      </c>
      <c r="S58" s="191"/>
      <c r="T58" s="187"/>
      <c r="U58" s="192"/>
      <c r="V58" s="193"/>
      <c r="W58" s="186"/>
      <c r="X58" s="193"/>
      <c r="Y58" s="190"/>
      <c r="Z58" s="190"/>
      <c r="AA58" s="190"/>
      <c r="AB58" s="59" t="str">
        <f t="shared" si="6"/>
        <v/>
      </c>
      <c r="AC58" s="59" t="str">
        <f t="shared" si="7"/>
        <v/>
      </c>
      <c r="AD58" s="187"/>
      <c r="AE58" s="187"/>
      <c r="AF58" s="187"/>
      <c r="AG58" s="190"/>
    </row>
    <row r="59" spans="1:33" ht="125.25" customHeight="1">
      <c r="A59" s="186"/>
      <c r="B59" s="186"/>
      <c r="C59" s="187"/>
      <c r="D59" s="187"/>
      <c r="E59" s="187"/>
      <c r="F59" s="188"/>
      <c r="G59" s="187"/>
      <c r="H59" s="187"/>
      <c r="I59" s="187"/>
      <c r="J59" s="187"/>
      <c r="K59" s="187"/>
      <c r="L59" s="189"/>
      <c r="M59" s="189"/>
      <c r="N59" s="190"/>
      <c r="O59" s="190"/>
      <c r="P59" s="190"/>
      <c r="Q59" s="59" t="str">
        <f t="shared" si="4"/>
        <v/>
      </c>
      <c r="R59" s="59" t="str">
        <f t="shared" si="5"/>
        <v/>
      </c>
      <c r="S59" s="191"/>
      <c r="T59" s="187"/>
      <c r="U59" s="192"/>
      <c r="V59" s="193"/>
      <c r="W59" s="186"/>
      <c r="X59" s="193"/>
      <c r="Y59" s="190"/>
      <c r="Z59" s="190"/>
      <c r="AA59" s="190"/>
      <c r="AB59" s="59" t="str">
        <f t="shared" si="6"/>
        <v/>
      </c>
      <c r="AC59" s="59" t="str">
        <f t="shared" si="7"/>
        <v/>
      </c>
      <c r="AD59" s="187"/>
      <c r="AE59" s="187"/>
      <c r="AF59" s="187"/>
      <c r="AG59" s="190"/>
    </row>
    <row r="60" spans="1:33" ht="125.25" customHeight="1">
      <c r="A60" s="186"/>
      <c r="B60" s="186"/>
      <c r="C60" s="187"/>
      <c r="D60" s="187"/>
      <c r="E60" s="187"/>
      <c r="F60" s="188"/>
      <c r="G60" s="187"/>
      <c r="H60" s="187"/>
      <c r="I60" s="187"/>
      <c r="J60" s="187"/>
      <c r="K60" s="187"/>
      <c r="L60" s="189"/>
      <c r="M60" s="189"/>
      <c r="N60" s="190"/>
      <c r="O60" s="190"/>
      <c r="P60" s="190"/>
      <c r="Q60" s="59" t="str">
        <f t="shared" si="4"/>
        <v/>
      </c>
      <c r="R60" s="59" t="str">
        <f t="shared" si="5"/>
        <v/>
      </c>
      <c r="S60" s="191"/>
      <c r="T60" s="187"/>
      <c r="U60" s="192"/>
      <c r="V60" s="193"/>
      <c r="W60" s="186"/>
      <c r="X60" s="193"/>
      <c r="Y60" s="190"/>
      <c r="Z60" s="190"/>
      <c r="AA60" s="190"/>
      <c r="AB60" s="59" t="str">
        <f t="shared" si="6"/>
        <v/>
      </c>
      <c r="AC60" s="59" t="str">
        <f t="shared" si="7"/>
        <v/>
      </c>
      <c r="AD60" s="187"/>
      <c r="AE60" s="187"/>
      <c r="AF60" s="187"/>
      <c r="AG60" s="190"/>
    </row>
    <row r="61" spans="1:33" ht="125.25" customHeight="1">
      <c r="A61" s="186"/>
      <c r="B61" s="186"/>
      <c r="C61" s="187"/>
      <c r="D61" s="187"/>
      <c r="E61" s="187"/>
      <c r="F61" s="188"/>
      <c r="G61" s="187"/>
      <c r="H61" s="187"/>
      <c r="I61" s="187"/>
      <c r="J61" s="187"/>
      <c r="K61" s="187"/>
      <c r="L61" s="189"/>
      <c r="M61" s="189"/>
      <c r="N61" s="190"/>
      <c r="O61" s="190"/>
      <c r="P61" s="190"/>
      <c r="Q61" s="59" t="str">
        <f t="shared" si="4"/>
        <v/>
      </c>
      <c r="R61" s="59" t="str">
        <f t="shared" si="5"/>
        <v/>
      </c>
      <c r="S61" s="191"/>
      <c r="T61" s="187"/>
      <c r="U61" s="192"/>
      <c r="V61" s="193"/>
      <c r="W61" s="186"/>
      <c r="X61" s="193"/>
      <c r="Y61" s="190"/>
      <c r="Z61" s="190"/>
      <c r="AA61" s="190"/>
      <c r="AB61" s="59" t="str">
        <f t="shared" si="6"/>
        <v/>
      </c>
      <c r="AC61" s="59" t="str">
        <f t="shared" si="7"/>
        <v/>
      </c>
      <c r="AD61" s="187"/>
      <c r="AE61" s="187"/>
      <c r="AF61" s="187"/>
      <c r="AG61" s="190"/>
    </row>
    <row r="62" spans="1:33" ht="125.25" customHeight="1">
      <c r="A62" s="186"/>
      <c r="B62" s="186"/>
      <c r="C62" s="187"/>
      <c r="D62" s="187"/>
      <c r="E62" s="187"/>
      <c r="F62" s="188"/>
      <c r="G62" s="187"/>
      <c r="H62" s="187"/>
      <c r="I62" s="187"/>
      <c r="J62" s="187"/>
      <c r="K62" s="187"/>
      <c r="L62" s="189"/>
      <c r="M62" s="189"/>
      <c r="N62" s="190"/>
      <c r="O62" s="190"/>
      <c r="P62" s="190"/>
      <c r="Q62" s="59" t="str">
        <f t="shared" si="4"/>
        <v/>
      </c>
      <c r="R62" s="59" t="str">
        <f t="shared" si="5"/>
        <v/>
      </c>
      <c r="S62" s="191"/>
      <c r="T62" s="187"/>
      <c r="U62" s="192"/>
      <c r="V62" s="193"/>
      <c r="W62" s="186"/>
      <c r="X62" s="193"/>
      <c r="Y62" s="190"/>
      <c r="Z62" s="190"/>
      <c r="AA62" s="190"/>
      <c r="AB62" s="59" t="str">
        <f t="shared" si="6"/>
        <v/>
      </c>
      <c r="AC62" s="59" t="str">
        <f t="shared" si="7"/>
        <v/>
      </c>
      <c r="AD62" s="187"/>
      <c r="AE62" s="187"/>
      <c r="AF62" s="187"/>
      <c r="AG62" s="190"/>
    </row>
    <row r="63" spans="1:33" ht="125.25" customHeight="1">
      <c r="A63" s="186"/>
      <c r="B63" s="186"/>
      <c r="C63" s="187"/>
      <c r="D63" s="187"/>
      <c r="E63" s="187"/>
      <c r="F63" s="188"/>
      <c r="G63" s="187"/>
      <c r="H63" s="187"/>
      <c r="I63" s="187"/>
      <c r="J63" s="187"/>
      <c r="K63" s="187"/>
      <c r="L63" s="189"/>
      <c r="M63" s="189"/>
      <c r="N63" s="190"/>
      <c r="O63" s="190"/>
      <c r="P63" s="190"/>
      <c r="Q63" s="59" t="str">
        <f t="shared" si="4"/>
        <v/>
      </c>
      <c r="R63" s="59" t="str">
        <f t="shared" si="5"/>
        <v/>
      </c>
      <c r="S63" s="191"/>
      <c r="T63" s="187"/>
      <c r="U63" s="192"/>
      <c r="V63" s="193"/>
      <c r="W63" s="186"/>
      <c r="X63" s="193"/>
      <c r="Y63" s="190"/>
      <c r="Z63" s="190"/>
      <c r="AA63" s="190"/>
      <c r="AB63" s="59" t="str">
        <f t="shared" si="6"/>
        <v/>
      </c>
      <c r="AC63" s="59" t="str">
        <f t="shared" si="7"/>
        <v/>
      </c>
      <c r="AD63" s="187"/>
      <c r="AE63" s="187"/>
      <c r="AF63" s="187"/>
      <c r="AG63" s="190"/>
    </row>
    <row r="64" spans="1:33" ht="125.25" customHeight="1">
      <c r="A64" s="186"/>
      <c r="B64" s="186"/>
      <c r="C64" s="187"/>
      <c r="D64" s="187"/>
      <c r="E64" s="187"/>
      <c r="F64" s="188"/>
      <c r="G64" s="187"/>
      <c r="H64" s="187"/>
      <c r="I64" s="187"/>
      <c r="J64" s="187"/>
      <c r="K64" s="187"/>
      <c r="L64" s="189"/>
      <c r="M64" s="189"/>
      <c r="N64" s="190"/>
      <c r="O64" s="190"/>
      <c r="P64" s="190"/>
      <c r="Q64" s="59" t="str">
        <f t="shared" si="4"/>
        <v/>
      </c>
      <c r="R64" s="59" t="str">
        <f t="shared" si="5"/>
        <v/>
      </c>
      <c r="S64" s="191"/>
      <c r="T64" s="187"/>
      <c r="U64" s="192"/>
      <c r="V64" s="193"/>
      <c r="W64" s="186"/>
      <c r="X64" s="193"/>
      <c r="Y64" s="190"/>
      <c r="Z64" s="190"/>
      <c r="AA64" s="190"/>
      <c r="AB64" s="59" t="str">
        <f t="shared" si="6"/>
        <v/>
      </c>
      <c r="AC64" s="59" t="str">
        <f t="shared" si="7"/>
        <v/>
      </c>
      <c r="AD64" s="187"/>
      <c r="AE64" s="187"/>
      <c r="AF64" s="187"/>
      <c r="AG64" s="190"/>
    </row>
    <row r="65" spans="1:33" ht="125.25" customHeight="1">
      <c r="A65" s="186"/>
      <c r="B65" s="186"/>
      <c r="C65" s="187"/>
      <c r="D65" s="187"/>
      <c r="E65" s="187"/>
      <c r="F65" s="188"/>
      <c r="G65" s="187"/>
      <c r="H65" s="187"/>
      <c r="I65" s="187"/>
      <c r="J65" s="187"/>
      <c r="K65" s="187"/>
      <c r="L65" s="189"/>
      <c r="M65" s="189"/>
      <c r="N65" s="190"/>
      <c r="O65" s="190"/>
      <c r="P65" s="190"/>
      <c r="Q65" s="59" t="str">
        <f t="shared" si="4"/>
        <v/>
      </c>
      <c r="R65" s="59" t="str">
        <f t="shared" si="5"/>
        <v/>
      </c>
      <c r="S65" s="191"/>
      <c r="T65" s="187"/>
      <c r="U65" s="192"/>
      <c r="V65" s="193"/>
      <c r="W65" s="186"/>
      <c r="X65" s="193"/>
      <c r="Y65" s="190"/>
      <c r="Z65" s="190"/>
      <c r="AA65" s="190"/>
      <c r="AB65" s="59" t="str">
        <f t="shared" si="6"/>
        <v/>
      </c>
      <c r="AC65" s="59" t="str">
        <f t="shared" si="7"/>
        <v/>
      </c>
      <c r="AD65" s="187"/>
      <c r="AE65" s="187"/>
      <c r="AF65" s="187"/>
      <c r="AG65" s="190"/>
    </row>
    <row r="66" spans="1:33" ht="125.25" customHeight="1">
      <c r="A66" s="186"/>
      <c r="B66" s="186"/>
      <c r="C66" s="187"/>
      <c r="D66" s="187"/>
      <c r="E66" s="187"/>
      <c r="F66" s="188"/>
      <c r="G66" s="187"/>
      <c r="H66" s="187"/>
      <c r="I66" s="187"/>
      <c r="J66" s="187"/>
      <c r="K66" s="187"/>
      <c r="L66" s="189"/>
      <c r="M66" s="189"/>
      <c r="N66" s="190"/>
      <c r="O66" s="190"/>
      <c r="P66" s="190"/>
      <c r="Q66" s="59" t="str">
        <f t="shared" si="4"/>
        <v/>
      </c>
      <c r="R66" s="59" t="str">
        <f t="shared" si="5"/>
        <v/>
      </c>
      <c r="S66" s="191"/>
      <c r="T66" s="187"/>
      <c r="U66" s="192"/>
      <c r="V66" s="193"/>
      <c r="W66" s="186"/>
      <c r="X66" s="193"/>
      <c r="Y66" s="190"/>
      <c r="Z66" s="190"/>
      <c r="AA66" s="190"/>
      <c r="AB66" s="59" t="str">
        <f t="shared" si="6"/>
        <v/>
      </c>
      <c r="AC66" s="59" t="str">
        <f t="shared" si="7"/>
        <v/>
      </c>
      <c r="AD66" s="187"/>
      <c r="AE66" s="187"/>
      <c r="AF66" s="187"/>
      <c r="AG66" s="190"/>
    </row>
    <row r="67" spans="1:33" ht="125.25" customHeight="1">
      <c r="A67" s="186"/>
      <c r="B67" s="186"/>
      <c r="C67" s="187"/>
      <c r="D67" s="187"/>
      <c r="E67" s="187"/>
      <c r="F67" s="188"/>
      <c r="G67" s="187"/>
      <c r="H67" s="187"/>
      <c r="I67" s="187"/>
      <c r="J67" s="187"/>
      <c r="K67" s="187"/>
      <c r="L67" s="189"/>
      <c r="M67" s="189"/>
      <c r="N67" s="190"/>
      <c r="O67" s="190"/>
      <c r="P67" s="190"/>
      <c r="Q67" s="59" t="str">
        <f t="shared" si="4"/>
        <v/>
      </c>
      <c r="R67" s="59" t="str">
        <f t="shared" si="5"/>
        <v/>
      </c>
      <c r="S67" s="191"/>
      <c r="T67" s="187"/>
      <c r="U67" s="192"/>
      <c r="V67" s="193"/>
      <c r="W67" s="186"/>
      <c r="X67" s="193"/>
      <c r="Y67" s="190"/>
      <c r="Z67" s="190"/>
      <c r="AA67" s="190"/>
      <c r="AB67" s="59" t="str">
        <f t="shared" si="6"/>
        <v/>
      </c>
      <c r="AC67" s="59" t="str">
        <f t="shared" si="7"/>
        <v/>
      </c>
      <c r="AD67" s="187"/>
      <c r="AE67" s="187"/>
      <c r="AF67" s="187"/>
      <c r="AG67" s="190"/>
    </row>
    <row r="68" spans="1:33" ht="125.25" customHeight="1">
      <c r="A68" s="186"/>
      <c r="B68" s="186"/>
      <c r="C68" s="187"/>
      <c r="D68" s="187"/>
      <c r="E68" s="187"/>
      <c r="F68" s="188"/>
      <c r="G68" s="187"/>
      <c r="H68" s="187"/>
      <c r="I68" s="187"/>
      <c r="J68" s="187"/>
      <c r="K68" s="187"/>
      <c r="L68" s="189"/>
      <c r="M68" s="189"/>
      <c r="N68" s="190"/>
      <c r="O68" s="190"/>
      <c r="P68" s="190"/>
      <c r="Q68" s="59" t="str">
        <f t="shared" si="4"/>
        <v/>
      </c>
      <c r="R68" s="59" t="str">
        <f t="shared" si="5"/>
        <v/>
      </c>
      <c r="S68" s="191"/>
      <c r="T68" s="187"/>
      <c r="U68" s="192"/>
      <c r="V68" s="193"/>
      <c r="W68" s="186"/>
      <c r="X68" s="193"/>
      <c r="Y68" s="190"/>
      <c r="Z68" s="190"/>
      <c r="AA68" s="190"/>
      <c r="AB68" s="59" t="str">
        <f t="shared" si="6"/>
        <v/>
      </c>
      <c r="AC68" s="59" t="str">
        <f t="shared" si="7"/>
        <v/>
      </c>
      <c r="AD68" s="187"/>
      <c r="AE68" s="187"/>
      <c r="AF68" s="187"/>
      <c r="AG68" s="190"/>
    </row>
    <row r="69" spans="1:33" ht="125.25" customHeight="1">
      <c r="A69" s="186"/>
      <c r="B69" s="186"/>
      <c r="C69" s="187"/>
      <c r="D69" s="187"/>
      <c r="E69" s="187"/>
      <c r="F69" s="188"/>
      <c r="G69" s="187"/>
      <c r="H69" s="187"/>
      <c r="I69" s="187"/>
      <c r="J69" s="187"/>
      <c r="K69" s="187"/>
      <c r="L69" s="189"/>
      <c r="M69" s="189"/>
      <c r="N69" s="190"/>
      <c r="O69" s="190"/>
      <c r="P69" s="190"/>
      <c r="Q69" s="59" t="str">
        <f t="shared" si="4"/>
        <v/>
      </c>
      <c r="R69" s="59" t="str">
        <f t="shared" si="5"/>
        <v/>
      </c>
      <c r="S69" s="191"/>
      <c r="T69" s="187"/>
      <c r="U69" s="192"/>
      <c r="V69" s="193"/>
      <c r="W69" s="186"/>
      <c r="X69" s="193"/>
      <c r="Y69" s="190"/>
      <c r="Z69" s="190"/>
      <c r="AA69" s="190"/>
      <c r="AB69" s="59" t="str">
        <f t="shared" si="6"/>
        <v/>
      </c>
      <c r="AC69" s="59" t="str">
        <f t="shared" si="7"/>
        <v/>
      </c>
      <c r="AD69" s="187"/>
      <c r="AE69" s="187"/>
      <c r="AF69" s="187"/>
      <c r="AG69" s="190"/>
    </row>
    <row r="70" spans="1:33" ht="125.25" customHeight="1">
      <c r="A70" s="186"/>
      <c r="B70" s="186"/>
      <c r="C70" s="187"/>
      <c r="D70" s="187"/>
      <c r="E70" s="187"/>
      <c r="F70" s="188"/>
      <c r="G70" s="187"/>
      <c r="H70" s="187"/>
      <c r="I70" s="187"/>
      <c r="J70" s="187"/>
      <c r="K70" s="187"/>
      <c r="L70" s="189"/>
      <c r="M70" s="189"/>
      <c r="N70" s="190"/>
      <c r="O70" s="190"/>
      <c r="P70" s="190"/>
      <c r="Q70" s="59" t="str">
        <f t="shared" si="4"/>
        <v/>
      </c>
      <c r="R70" s="59" t="str">
        <f t="shared" si="5"/>
        <v/>
      </c>
      <c r="S70" s="191"/>
      <c r="T70" s="187"/>
      <c r="U70" s="192"/>
      <c r="V70" s="193"/>
      <c r="W70" s="186"/>
      <c r="X70" s="193"/>
      <c r="Y70" s="190"/>
      <c r="Z70" s="190"/>
      <c r="AA70" s="190"/>
      <c r="AB70" s="59" t="str">
        <f t="shared" si="6"/>
        <v/>
      </c>
      <c r="AC70" s="59" t="str">
        <f t="shared" si="7"/>
        <v/>
      </c>
      <c r="AD70" s="187"/>
      <c r="AE70" s="187"/>
      <c r="AF70" s="187"/>
      <c r="AG70" s="190"/>
    </row>
    <row r="71" spans="1:33" ht="125.25" customHeight="1">
      <c r="A71" s="186"/>
      <c r="B71" s="186"/>
      <c r="C71" s="187"/>
      <c r="D71" s="187"/>
      <c r="E71" s="187"/>
      <c r="F71" s="188"/>
      <c r="G71" s="187"/>
      <c r="H71" s="187"/>
      <c r="I71" s="187"/>
      <c r="J71" s="187"/>
      <c r="K71" s="187"/>
      <c r="L71" s="189"/>
      <c r="M71" s="189"/>
      <c r="N71" s="190"/>
      <c r="O71" s="190"/>
      <c r="P71" s="190"/>
      <c r="Q71" s="59" t="str">
        <f t="shared" si="4"/>
        <v/>
      </c>
      <c r="R71" s="59" t="str">
        <f t="shared" si="5"/>
        <v/>
      </c>
      <c r="S71" s="191"/>
      <c r="T71" s="187"/>
      <c r="U71" s="192"/>
      <c r="V71" s="193"/>
      <c r="W71" s="186"/>
      <c r="X71" s="193"/>
      <c r="Y71" s="190"/>
      <c r="Z71" s="190"/>
      <c r="AA71" s="190"/>
      <c r="AB71" s="59" t="str">
        <f t="shared" si="6"/>
        <v/>
      </c>
      <c r="AC71" s="59" t="str">
        <f t="shared" si="7"/>
        <v/>
      </c>
      <c r="AD71" s="187"/>
      <c r="AE71" s="187"/>
      <c r="AF71" s="187"/>
      <c r="AG71" s="190"/>
    </row>
    <row r="72" spans="1:33" ht="125.25" customHeight="1">
      <c r="A72" s="186"/>
      <c r="B72" s="186"/>
      <c r="C72" s="187"/>
      <c r="D72" s="187"/>
      <c r="E72" s="187"/>
      <c r="F72" s="188"/>
      <c r="G72" s="187"/>
      <c r="H72" s="187"/>
      <c r="I72" s="187"/>
      <c r="J72" s="187"/>
      <c r="K72" s="187"/>
      <c r="L72" s="189"/>
      <c r="M72" s="189"/>
      <c r="N72" s="190"/>
      <c r="O72" s="190"/>
      <c r="P72" s="190"/>
      <c r="Q72" s="59" t="str">
        <f t="shared" ref="Q72:Q100" si="8">IF(OR(ISBLANK(N72)=TRUE,ISBLANK(O72)=TRUE,ISBLANK(P72)=TRUE),"",PRODUCT(N72,O72,P72))</f>
        <v/>
      </c>
      <c r="R72" s="59" t="str">
        <f t="shared" ref="R72:R100" si="9">IF(Q72="","",IF(AND(Q72&gt;=0,Q72&lt;20),"DÜŞÜK RİSK",IF(AND(Q72&gt;=20,Q72&lt;70),"OLASI RİSK",IF(AND(Q72&gt;=70,Q72&lt;200),"ÖNEMLİ RİSK",IF(AND(Q72&gt;=200,Q72&lt;400),"YÜKSEK RİSK",IF(Q72&gt;=400,"KABUL EDİLEMEZ RİSK",""))))))</f>
        <v/>
      </c>
      <c r="S72" s="191"/>
      <c r="T72" s="187"/>
      <c r="U72" s="192"/>
      <c r="V72" s="193"/>
      <c r="W72" s="186"/>
      <c r="X72" s="193"/>
      <c r="Y72" s="190"/>
      <c r="Z72" s="190"/>
      <c r="AA72" s="190"/>
      <c r="AB72" s="59" t="str">
        <f t="shared" ref="AB72:AB100" si="10">IF(OR(ISBLANK(Y72)=TRUE,ISBLANK(Z72)=TRUE,ISBLANK(AA72)=TRUE),"",PRODUCT(Y72,Z72,AA72))</f>
        <v/>
      </c>
      <c r="AC72" s="59" t="str">
        <f t="shared" ref="AC72:AC100" si="11">IF(AB72="","",IF(AND(AB72&gt;=0,AB72&lt;20),"DÜŞÜK RİSK",IF(AND(AB72&gt;=20,AB72&lt;70),"OLASI RİSK",IF(AND(AB72&gt;=70,AB72&lt;200),"ÖNEMLİ RİSK",IF(AND(AB72&gt;=200,AB72&lt;400),"YÜKSEK RİSK",IF(AB72&gt;=400,"KABUL EDİLEMEZ RİSK",""))))))</f>
        <v/>
      </c>
      <c r="AD72" s="187"/>
      <c r="AE72" s="187"/>
      <c r="AF72" s="187"/>
      <c r="AG72" s="190"/>
    </row>
    <row r="73" spans="1:33" ht="125.25" customHeight="1">
      <c r="A73" s="186"/>
      <c r="B73" s="186"/>
      <c r="C73" s="187"/>
      <c r="D73" s="187"/>
      <c r="E73" s="187"/>
      <c r="F73" s="188"/>
      <c r="G73" s="187"/>
      <c r="H73" s="187"/>
      <c r="I73" s="187"/>
      <c r="J73" s="187"/>
      <c r="K73" s="187"/>
      <c r="L73" s="189"/>
      <c r="M73" s="189"/>
      <c r="N73" s="190"/>
      <c r="O73" s="190"/>
      <c r="P73" s="190"/>
      <c r="Q73" s="59" t="str">
        <f t="shared" si="8"/>
        <v/>
      </c>
      <c r="R73" s="59" t="str">
        <f t="shared" si="9"/>
        <v/>
      </c>
      <c r="S73" s="191"/>
      <c r="T73" s="187"/>
      <c r="U73" s="192"/>
      <c r="V73" s="193"/>
      <c r="W73" s="186"/>
      <c r="X73" s="193"/>
      <c r="Y73" s="190"/>
      <c r="Z73" s="190"/>
      <c r="AA73" s="190"/>
      <c r="AB73" s="59" t="str">
        <f t="shared" si="10"/>
        <v/>
      </c>
      <c r="AC73" s="59" t="str">
        <f t="shared" si="11"/>
        <v/>
      </c>
      <c r="AD73" s="187"/>
      <c r="AE73" s="187"/>
      <c r="AF73" s="187"/>
      <c r="AG73" s="190"/>
    </row>
    <row r="74" spans="1:33" ht="125.25" customHeight="1">
      <c r="A74" s="186"/>
      <c r="B74" s="186"/>
      <c r="C74" s="187"/>
      <c r="D74" s="187"/>
      <c r="E74" s="187"/>
      <c r="F74" s="188"/>
      <c r="G74" s="187"/>
      <c r="H74" s="187"/>
      <c r="I74" s="187"/>
      <c r="J74" s="187"/>
      <c r="K74" s="187"/>
      <c r="L74" s="189"/>
      <c r="M74" s="189"/>
      <c r="N74" s="190"/>
      <c r="O74" s="190"/>
      <c r="P74" s="190"/>
      <c r="Q74" s="59" t="str">
        <f t="shared" si="8"/>
        <v/>
      </c>
      <c r="R74" s="59" t="str">
        <f t="shared" si="9"/>
        <v/>
      </c>
      <c r="S74" s="191"/>
      <c r="T74" s="187"/>
      <c r="U74" s="192"/>
      <c r="V74" s="193"/>
      <c r="W74" s="186"/>
      <c r="X74" s="193"/>
      <c r="Y74" s="190"/>
      <c r="Z74" s="190"/>
      <c r="AA74" s="190"/>
      <c r="AB74" s="59" t="str">
        <f t="shared" si="10"/>
        <v/>
      </c>
      <c r="AC74" s="59" t="str">
        <f t="shared" si="11"/>
        <v/>
      </c>
      <c r="AD74" s="187"/>
      <c r="AE74" s="187"/>
      <c r="AF74" s="187"/>
      <c r="AG74" s="190"/>
    </row>
    <row r="75" spans="1:33" ht="125.25" customHeight="1">
      <c r="A75" s="186"/>
      <c r="B75" s="186"/>
      <c r="C75" s="187"/>
      <c r="D75" s="187"/>
      <c r="E75" s="187"/>
      <c r="F75" s="188"/>
      <c r="G75" s="187"/>
      <c r="H75" s="187"/>
      <c r="I75" s="187"/>
      <c r="J75" s="187"/>
      <c r="K75" s="187"/>
      <c r="L75" s="189"/>
      <c r="M75" s="189"/>
      <c r="N75" s="190"/>
      <c r="O75" s="190"/>
      <c r="P75" s="190"/>
      <c r="Q75" s="59" t="str">
        <f t="shared" si="8"/>
        <v/>
      </c>
      <c r="R75" s="59" t="str">
        <f t="shared" si="9"/>
        <v/>
      </c>
      <c r="S75" s="191"/>
      <c r="T75" s="187"/>
      <c r="U75" s="192"/>
      <c r="V75" s="193"/>
      <c r="W75" s="186"/>
      <c r="X75" s="193"/>
      <c r="Y75" s="190"/>
      <c r="Z75" s="190"/>
      <c r="AA75" s="190"/>
      <c r="AB75" s="59" t="str">
        <f t="shared" si="10"/>
        <v/>
      </c>
      <c r="AC75" s="59" t="str">
        <f t="shared" si="11"/>
        <v/>
      </c>
      <c r="AD75" s="187"/>
      <c r="AE75" s="187"/>
      <c r="AF75" s="187"/>
      <c r="AG75" s="190"/>
    </row>
    <row r="76" spans="1:33" ht="125.25" customHeight="1">
      <c r="A76" s="186"/>
      <c r="B76" s="186"/>
      <c r="C76" s="187"/>
      <c r="D76" s="187"/>
      <c r="E76" s="187"/>
      <c r="F76" s="188"/>
      <c r="G76" s="187"/>
      <c r="H76" s="187"/>
      <c r="I76" s="187"/>
      <c r="J76" s="187"/>
      <c r="K76" s="187"/>
      <c r="L76" s="189"/>
      <c r="M76" s="189"/>
      <c r="N76" s="190"/>
      <c r="O76" s="190"/>
      <c r="P76" s="190"/>
      <c r="Q76" s="59" t="str">
        <f t="shared" si="8"/>
        <v/>
      </c>
      <c r="R76" s="59" t="str">
        <f t="shared" si="9"/>
        <v/>
      </c>
      <c r="S76" s="191"/>
      <c r="T76" s="187"/>
      <c r="U76" s="192"/>
      <c r="V76" s="193"/>
      <c r="W76" s="186"/>
      <c r="X76" s="193"/>
      <c r="Y76" s="190"/>
      <c r="Z76" s="190"/>
      <c r="AA76" s="190"/>
      <c r="AB76" s="59" t="str">
        <f t="shared" si="10"/>
        <v/>
      </c>
      <c r="AC76" s="59" t="str">
        <f t="shared" si="11"/>
        <v/>
      </c>
      <c r="AD76" s="187"/>
      <c r="AE76" s="187"/>
      <c r="AF76" s="187"/>
      <c r="AG76" s="190"/>
    </row>
    <row r="77" spans="1:33" ht="125.25" customHeight="1">
      <c r="A77" s="186"/>
      <c r="B77" s="186"/>
      <c r="C77" s="187"/>
      <c r="D77" s="187"/>
      <c r="E77" s="187"/>
      <c r="F77" s="188"/>
      <c r="G77" s="187"/>
      <c r="H77" s="187"/>
      <c r="I77" s="187"/>
      <c r="J77" s="187"/>
      <c r="K77" s="187"/>
      <c r="L77" s="189"/>
      <c r="M77" s="189"/>
      <c r="N77" s="190"/>
      <c r="O77" s="190"/>
      <c r="P77" s="190"/>
      <c r="Q77" s="59" t="str">
        <f t="shared" si="8"/>
        <v/>
      </c>
      <c r="R77" s="59" t="str">
        <f t="shared" si="9"/>
        <v/>
      </c>
      <c r="S77" s="191"/>
      <c r="T77" s="187"/>
      <c r="U77" s="192"/>
      <c r="V77" s="193"/>
      <c r="W77" s="186"/>
      <c r="X77" s="193"/>
      <c r="Y77" s="190"/>
      <c r="Z77" s="190"/>
      <c r="AA77" s="190"/>
      <c r="AB77" s="59" t="str">
        <f t="shared" si="10"/>
        <v/>
      </c>
      <c r="AC77" s="59" t="str">
        <f t="shared" si="11"/>
        <v/>
      </c>
      <c r="AD77" s="187"/>
      <c r="AE77" s="187"/>
      <c r="AF77" s="187"/>
      <c r="AG77" s="190"/>
    </row>
    <row r="78" spans="1:33" ht="125.25" customHeight="1">
      <c r="A78" s="186"/>
      <c r="B78" s="186"/>
      <c r="C78" s="187"/>
      <c r="D78" s="187"/>
      <c r="E78" s="187"/>
      <c r="F78" s="188"/>
      <c r="G78" s="187"/>
      <c r="H78" s="187"/>
      <c r="I78" s="187"/>
      <c r="J78" s="187"/>
      <c r="K78" s="187"/>
      <c r="L78" s="189"/>
      <c r="M78" s="189"/>
      <c r="N78" s="190"/>
      <c r="O78" s="190"/>
      <c r="P78" s="190"/>
      <c r="Q78" s="59" t="str">
        <f t="shared" si="8"/>
        <v/>
      </c>
      <c r="R78" s="59" t="str">
        <f t="shared" si="9"/>
        <v/>
      </c>
      <c r="S78" s="191"/>
      <c r="T78" s="187"/>
      <c r="U78" s="192"/>
      <c r="V78" s="193"/>
      <c r="W78" s="186"/>
      <c r="X78" s="193"/>
      <c r="Y78" s="190"/>
      <c r="Z78" s="190"/>
      <c r="AA78" s="190"/>
      <c r="AB78" s="59" t="str">
        <f t="shared" si="10"/>
        <v/>
      </c>
      <c r="AC78" s="59" t="str">
        <f t="shared" si="11"/>
        <v/>
      </c>
      <c r="AD78" s="187"/>
      <c r="AE78" s="187"/>
      <c r="AF78" s="187"/>
      <c r="AG78" s="190"/>
    </row>
    <row r="79" spans="1:33" ht="125.25" customHeight="1">
      <c r="A79" s="186"/>
      <c r="B79" s="186"/>
      <c r="C79" s="187"/>
      <c r="D79" s="187"/>
      <c r="E79" s="187"/>
      <c r="F79" s="188"/>
      <c r="G79" s="187"/>
      <c r="H79" s="187"/>
      <c r="I79" s="187"/>
      <c r="J79" s="187"/>
      <c r="K79" s="187"/>
      <c r="L79" s="189"/>
      <c r="M79" s="189"/>
      <c r="N79" s="190"/>
      <c r="O79" s="190"/>
      <c r="P79" s="190"/>
      <c r="Q79" s="59" t="str">
        <f t="shared" si="8"/>
        <v/>
      </c>
      <c r="R79" s="59" t="str">
        <f t="shared" si="9"/>
        <v/>
      </c>
      <c r="S79" s="191"/>
      <c r="T79" s="187"/>
      <c r="U79" s="192"/>
      <c r="V79" s="193"/>
      <c r="W79" s="186"/>
      <c r="X79" s="193"/>
      <c r="Y79" s="190"/>
      <c r="Z79" s="190"/>
      <c r="AA79" s="190"/>
      <c r="AB79" s="59" t="str">
        <f t="shared" si="10"/>
        <v/>
      </c>
      <c r="AC79" s="59" t="str">
        <f t="shared" si="11"/>
        <v/>
      </c>
      <c r="AD79" s="187"/>
      <c r="AE79" s="187"/>
      <c r="AF79" s="187"/>
      <c r="AG79" s="190"/>
    </row>
    <row r="80" spans="1:33" ht="125.25" customHeight="1">
      <c r="A80" s="186"/>
      <c r="B80" s="186"/>
      <c r="C80" s="187"/>
      <c r="D80" s="187"/>
      <c r="E80" s="187"/>
      <c r="F80" s="188"/>
      <c r="G80" s="187"/>
      <c r="H80" s="187"/>
      <c r="I80" s="187"/>
      <c r="J80" s="187"/>
      <c r="K80" s="187"/>
      <c r="L80" s="189"/>
      <c r="M80" s="189"/>
      <c r="N80" s="190"/>
      <c r="O80" s="190"/>
      <c r="P80" s="190"/>
      <c r="Q80" s="59" t="str">
        <f t="shared" si="8"/>
        <v/>
      </c>
      <c r="R80" s="59" t="str">
        <f t="shared" si="9"/>
        <v/>
      </c>
      <c r="S80" s="191"/>
      <c r="T80" s="187"/>
      <c r="U80" s="192"/>
      <c r="V80" s="193"/>
      <c r="W80" s="186"/>
      <c r="X80" s="193"/>
      <c r="Y80" s="190"/>
      <c r="Z80" s="190"/>
      <c r="AA80" s="190"/>
      <c r="AB80" s="59" t="str">
        <f t="shared" si="10"/>
        <v/>
      </c>
      <c r="AC80" s="59" t="str">
        <f t="shared" si="11"/>
        <v/>
      </c>
      <c r="AD80" s="187"/>
      <c r="AE80" s="187"/>
      <c r="AF80" s="187"/>
      <c r="AG80" s="190"/>
    </row>
    <row r="81" spans="1:33" ht="125.25" customHeight="1">
      <c r="A81" s="186"/>
      <c r="B81" s="186"/>
      <c r="C81" s="187"/>
      <c r="D81" s="187"/>
      <c r="E81" s="187"/>
      <c r="F81" s="188"/>
      <c r="G81" s="187"/>
      <c r="H81" s="187"/>
      <c r="I81" s="187"/>
      <c r="J81" s="187"/>
      <c r="K81" s="187"/>
      <c r="L81" s="189"/>
      <c r="M81" s="189"/>
      <c r="N81" s="190"/>
      <c r="O81" s="190"/>
      <c r="P81" s="190"/>
      <c r="Q81" s="59" t="str">
        <f t="shared" si="8"/>
        <v/>
      </c>
      <c r="R81" s="59" t="str">
        <f t="shared" si="9"/>
        <v/>
      </c>
      <c r="S81" s="191"/>
      <c r="T81" s="187"/>
      <c r="U81" s="192"/>
      <c r="V81" s="193"/>
      <c r="W81" s="186"/>
      <c r="X81" s="193"/>
      <c r="Y81" s="190"/>
      <c r="Z81" s="190"/>
      <c r="AA81" s="190"/>
      <c r="AB81" s="59" t="str">
        <f t="shared" si="10"/>
        <v/>
      </c>
      <c r="AC81" s="59" t="str">
        <f t="shared" si="11"/>
        <v/>
      </c>
      <c r="AD81" s="187"/>
      <c r="AE81" s="187"/>
      <c r="AF81" s="187"/>
      <c r="AG81" s="190"/>
    </row>
    <row r="82" spans="1:33" ht="125.25" customHeight="1">
      <c r="A82" s="186"/>
      <c r="B82" s="186"/>
      <c r="C82" s="187"/>
      <c r="D82" s="187"/>
      <c r="E82" s="187"/>
      <c r="F82" s="188"/>
      <c r="G82" s="187"/>
      <c r="H82" s="187"/>
      <c r="I82" s="187"/>
      <c r="J82" s="187"/>
      <c r="K82" s="187"/>
      <c r="L82" s="189"/>
      <c r="M82" s="189"/>
      <c r="N82" s="190"/>
      <c r="O82" s="190"/>
      <c r="P82" s="190"/>
      <c r="Q82" s="59" t="str">
        <f t="shared" si="8"/>
        <v/>
      </c>
      <c r="R82" s="59" t="str">
        <f t="shared" si="9"/>
        <v/>
      </c>
      <c r="S82" s="191"/>
      <c r="T82" s="187"/>
      <c r="U82" s="192"/>
      <c r="V82" s="193"/>
      <c r="W82" s="186"/>
      <c r="X82" s="193"/>
      <c r="Y82" s="190"/>
      <c r="Z82" s="190"/>
      <c r="AA82" s="190"/>
      <c r="AB82" s="59" t="str">
        <f t="shared" si="10"/>
        <v/>
      </c>
      <c r="AC82" s="59" t="str">
        <f t="shared" si="11"/>
        <v/>
      </c>
      <c r="AD82" s="187"/>
      <c r="AE82" s="187"/>
      <c r="AF82" s="187"/>
      <c r="AG82" s="190"/>
    </row>
    <row r="83" spans="1:33" ht="125.25" customHeight="1">
      <c r="A83" s="186"/>
      <c r="B83" s="186"/>
      <c r="C83" s="187"/>
      <c r="D83" s="187"/>
      <c r="E83" s="187"/>
      <c r="F83" s="188"/>
      <c r="G83" s="187"/>
      <c r="H83" s="187"/>
      <c r="I83" s="187"/>
      <c r="J83" s="187"/>
      <c r="K83" s="187"/>
      <c r="L83" s="189"/>
      <c r="M83" s="189"/>
      <c r="N83" s="190"/>
      <c r="O83" s="190"/>
      <c r="P83" s="190"/>
      <c r="Q83" s="59" t="str">
        <f t="shared" si="8"/>
        <v/>
      </c>
      <c r="R83" s="59" t="str">
        <f t="shared" si="9"/>
        <v/>
      </c>
      <c r="S83" s="191"/>
      <c r="T83" s="187"/>
      <c r="U83" s="192"/>
      <c r="V83" s="193"/>
      <c r="W83" s="186"/>
      <c r="X83" s="193"/>
      <c r="Y83" s="190"/>
      <c r="Z83" s="190"/>
      <c r="AA83" s="190"/>
      <c r="AB83" s="59" t="str">
        <f t="shared" si="10"/>
        <v/>
      </c>
      <c r="AC83" s="59" t="str">
        <f t="shared" si="11"/>
        <v/>
      </c>
      <c r="AD83" s="187"/>
      <c r="AE83" s="187"/>
      <c r="AF83" s="187"/>
      <c r="AG83" s="190"/>
    </row>
    <row r="84" spans="1:33" ht="125.25" customHeight="1">
      <c r="A84" s="186"/>
      <c r="B84" s="186"/>
      <c r="C84" s="187"/>
      <c r="D84" s="187"/>
      <c r="E84" s="187"/>
      <c r="F84" s="188"/>
      <c r="G84" s="187"/>
      <c r="H84" s="187"/>
      <c r="I84" s="187"/>
      <c r="J84" s="187"/>
      <c r="K84" s="187"/>
      <c r="L84" s="189"/>
      <c r="M84" s="189"/>
      <c r="N84" s="190"/>
      <c r="O84" s="190"/>
      <c r="P84" s="190"/>
      <c r="Q84" s="59" t="str">
        <f t="shared" si="8"/>
        <v/>
      </c>
      <c r="R84" s="59" t="str">
        <f t="shared" si="9"/>
        <v/>
      </c>
      <c r="S84" s="191"/>
      <c r="T84" s="187"/>
      <c r="U84" s="192"/>
      <c r="V84" s="193"/>
      <c r="W84" s="186"/>
      <c r="X84" s="193"/>
      <c r="Y84" s="190"/>
      <c r="Z84" s="190"/>
      <c r="AA84" s="190"/>
      <c r="AB84" s="59" t="str">
        <f t="shared" si="10"/>
        <v/>
      </c>
      <c r="AC84" s="59" t="str">
        <f t="shared" si="11"/>
        <v/>
      </c>
      <c r="AD84" s="187"/>
      <c r="AE84" s="187"/>
      <c r="AF84" s="187"/>
      <c r="AG84" s="190"/>
    </row>
    <row r="85" spans="1:33" ht="125.25" customHeight="1">
      <c r="A85" s="186"/>
      <c r="B85" s="186"/>
      <c r="C85" s="187"/>
      <c r="D85" s="187"/>
      <c r="E85" s="187"/>
      <c r="F85" s="188"/>
      <c r="G85" s="187"/>
      <c r="H85" s="187"/>
      <c r="I85" s="187"/>
      <c r="J85" s="187"/>
      <c r="K85" s="187"/>
      <c r="L85" s="189"/>
      <c r="M85" s="189"/>
      <c r="N85" s="190"/>
      <c r="O85" s="190"/>
      <c r="P85" s="190"/>
      <c r="Q85" s="59" t="str">
        <f t="shared" si="8"/>
        <v/>
      </c>
      <c r="R85" s="59" t="str">
        <f t="shared" si="9"/>
        <v/>
      </c>
      <c r="S85" s="191"/>
      <c r="T85" s="187"/>
      <c r="U85" s="192"/>
      <c r="V85" s="193"/>
      <c r="W85" s="186"/>
      <c r="X85" s="193"/>
      <c r="Y85" s="190"/>
      <c r="Z85" s="190"/>
      <c r="AA85" s="190"/>
      <c r="AB85" s="59" t="str">
        <f t="shared" si="10"/>
        <v/>
      </c>
      <c r="AC85" s="59" t="str">
        <f t="shared" si="11"/>
        <v/>
      </c>
      <c r="AD85" s="187"/>
      <c r="AE85" s="187"/>
      <c r="AF85" s="187"/>
      <c r="AG85" s="190"/>
    </row>
    <row r="86" spans="1:33" ht="125.25" customHeight="1">
      <c r="A86" s="186"/>
      <c r="B86" s="186"/>
      <c r="C86" s="187"/>
      <c r="D86" s="187"/>
      <c r="E86" s="187"/>
      <c r="F86" s="188"/>
      <c r="G86" s="187"/>
      <c r="H86" s="187"/>
      <c r="I86" s="187"/>
      <c r="J86" s="187"/>
      <c r="K86" s="187"/>
      <c r="L86" s="189"/>
      <c r="M86" s="189"/>
      <c r="N86" s="190"/>
      <c r="O86" s="190"/>
      <c r="P86" s="190"/>
      <c r="Q86" s="59" t="str">
        <f t="shared" si="8"/>
        <v/>
      </c>
      <c r="R86" s="59" t="str">
        <f t="shared" si="9"/>
        <v/>
      </c>
      <c r="S86" s="191"/>
      <c r="T86" s="187"/>
      <c r="U86" s="192"/>
      <c r="V86" s="193"/>
      <c r="W86" s="186"/>
      <c r="X86" s="193"/>
      <c r="Y86" s="190"/>
      <c r="Z86" s="190"/>
      <c r="AA86" s="190"/>
      <c r="AB86" s="59" t="str">
        <f t="shared" si="10"/>
        <v/>
      </c>
      <c r="AC86" s="59" t="str">
        <f t="shared" si="11"/>
        <v/>
      </c>
      <c r="AD86" s="187"/>
      <c r="AE86" s="187"/>
      <c r="AF86" s="187"/>
      <c r="AG86" s="190"/>
    </row>
    <row r="87" spans="1:33" ht="125.25" customHeight="1">
      <c r="A87" s="186"/>
      <c r="B87" s="186"/>
      <c r="C87" s="187"/>
      <c r="D87" s="187"/>
      <c r="E87" s="187"/>
      <c r="F87" s="188"/>
      <c r="G87" s="187"/>
      <c r="H87" s="187"/>
      <c r="I87" s="187"/>
      <c r="J87" s="187"/>
      <c r="K87" s="187"/>
      <c r="L87" s="189"/>
      <c r="M87" s="189"/>
      <c r="N87" s="190"/>
      <c r="O87" s="190"/>
      <c r="P87" s="190"/>
      <c r="Q87" s="59" t="str">
        <f t="shared" si="8"/>
        <v/>
      </c>
      <c r="R87" s="59" t="str">
        <f t="shared" si="9"/>
        <v/>
      </c>
      <c r="S87" s="191"/>
      <c r="T87" s="187"/>
      <c r="U87" s="192"/>
      <c r="V87" s="193"/>
      <c r="W87" s="186"/>
      <c r="X87" s="193"/>
      <c r="Y87" s="190"/>
      <c r="Z87" s="190"/>
      <c r="AA87" s="190"/>
      <c r="AB87" s="59" t="str">
        <f t="shared" si="10"/>
        <v/>
      </c>
      <c r="AC87" s="59" t="str">
        <f t="shared" si="11"/>
        <v/>
      </c>
      <c r="AD87" s="187"/>
      <c r="AE87" s="187"/>
      <c r="AF87" s="187"/>
      <c r="AG87" s="190"/>
    </row>
    <row r="88" spans="1:33" ht="125.25" customHeight="1">
      <c r="A88" s="186"/>
      <c r="B88" s="186"/>
      <c r="C88" s="187"/>
      <c r="D88" s="187"/>
      <c r="E88" s="187"/>
      <c r="F88" s="188"/>
      <c r="G88" s="187"/>
      <c r="H88" s="187"/>
      <c r="I88" s="187"/>
      <c r="J88" s="187"/>
      <c r="K88" s="187"/>
      <c r="L88" s="189"/>
      <c r="M88" s="189"/>
      <c r="N88" s="190"/>
      <c r="O88" s="190"/>
      <c r="P88" s="190"/>
      <c r="Q88" s="59" t="str">
        <f t="shared" si="8"/>
        <v/>
      </c>
      <c r="R88" s="59" t="str">
        <f t="shared" si="9"/>
        <v/>
      </c>
      <c r="S88" s="191"/>
      <c r="T88" s="187"/>
      <c r="U88" s="192"/>
      <c r="V88" s="193"/>
      <c r="W88" s="186"/>
      <c r="X88" s="193"/>
      <c r="Y88" s="190"/>
      <c r="Z88" s="190"/>
      <c r="AA88" s="190"/>
      <c r="AB88" s="59" t="str">
        <f t="shared" si="10"/>
        <v/>
      </c>
      <c r="AC88" s="59" t="str">
        <f t="shared" si="11"/>
        <v/>
      </c>
      <c r="AD88" s="187"/>
      <c r="AE88" s="187"/>
      <c r="AF88" s="187"/>
      <c r="AG88" s="190"/>
    </row>
    <row r="89" spans="1:33" ht="125.25" customHeight="1">
      <c r="A89" s="186"/>
      <c r="B89" s="186"/>
      <c r="C89" s="187"/>
      <c r="D89" s="187"/>
      <c r="E89" s="187"/>
      <c r="F89" s="188"/>
      <c r="G89" s="187"/>
      <c r="H89" s="187"/>
      <c r="I89" s="187"/>
      <c r="J89" s="187"/>
      <c r="K89" s="187"/>
      <c r="L89" s="189"/>
      <c r="M89" s="189"/>
      <c r="N89" s="190"/>
      <c r="O89" s="190"/>
      <c r="P89" s="190"/>
      <c r="Q89" s="59" t="str">
        <f t="shared" si="8"/>
        <v/>
      </c>
      <c r="R89" s="59" t="str">
        <f t="shared" si="9"/>
        <v/>
      </c>
      <c r="S89" s="191"/>
      <c r="T89" s="187"/>
      <c r="U89" s="192"/>
      <c r="V89" s="193"/>
      <c r="W89" s="186"/>
      <c r="X89" s="193"/>
      <c r="Y89" s="190"/>
      <c r="Z89" s="190"/>
      <c r="AA89" s="190"/>
      <c r="AB89" s="59" t="str">
        <f t="shared" si="10"/>
        <v/>
      </c>
      <c r="AC89" s="59" t="str">
        <f t="shared" si="11"/>
        <v/>
      </c>
      <c r="AD89" s="187"/>
      <c r="AE89" s="187"/>
      <c r="AF89" s="187"/>
      <c r="AG89" s="190"/>
    </row>
    <row r="90" spans="1:33" ht="125.25" customHeight="1">
      <c r="A90" s="186"/>
      <c r="B90" s="186"/>
      <c r="C90" s="187"/>
      <c r="D90" s="187"/>
      <c r="E90" s="187"/>
      <c r="F90" s="188"/>
      <c r="G90" s="187"/>
      <c r="H90" s="187"/>
      <c r="I90" s="187"/>
      <c r="J90" s="187"/>
      <c r="K90" s="187"/>
      <c r="L90" s="189"/>
      <c r="M90" s="189"/>
      <c r="N90" s="190"/>
      <c r="O90" s="190"/>
      <c r="P90" s="190"/>
      <c r="Q90" s="59" t="str">
        <f t="shared" si="8"/>
        <v/>
      </c>
      <c r="R90" s="59" t="str">
        <f t="shared" si="9"/>
        <v/>
      </c>
      <c r="S90" s="191"/>
      <c r="T90" s="187"/>
      <c r="U90" s="192"/>
      <c r="V90" s="193"/>
      <c r="W90" s="186"/>
      <c r="X90" s="193"/>
      <c r="Y90" s="190"/>
      <c r="Z90" s="190"/>
      <c r="AA90" s="190"/>
      <c r="AB90" s="59" t="str">
        <f t="shared" si="10"/>
        <v/>
      </c>
      <c r="AC90" s="59" t="str">
        <f t="shared" si="11"/>
        <v/>
      </c>
      <c r="AD90" s="187"/>
      <c r="AE90" s="187"/>
      <c r="AF90" s="187"/>
      <c r="AG90" s="190"/>
    </row>
    <row r="91" spans="1:33" ht="125.25" customHeight="1">
      <c r="A91" s="186"/>
      <c r="B91" s="186"/>
      <c r="C91" s="187"/>
      <c r="D91" s="187"/>
      <c r="E91" s="187"/>
      <c r="F91" s="188"/>
      <c r="G91" s="187"/>
      <c r="H91" s="187"/>
      <c r="I91" s="187"/>
      <c r="J91" s="187"/>
      <c r="K91" s="187"/>
      <c r="L91" s="189"/>
      <c r="M91" s="189"/>
      <c r="N91" s="190"/>
      <c r="O91" s="190"/>
      <c r="P91" s="190"/>
      <c r="Q91" s="59" t="str">
        <f t="shared" si="8"/>
        <v/>
      </c>
      <c r="R91" s="59" t="str">
        <f t="shared" si="9"/>
        <v/>
      </c>
      <c r="S91" s="191"/>
      <c r="T91" s="187"/>
      <c r="U91" s="192"/>
      <c r="V91" s="193"/>
      <c r="W91" s="186"/>
      <c r="X91" s="193"/>
      <c r="Y91" s="190"/>
      <c r="Z91" s="190"/>
      <c r="AA91" s="190"/>
      <c r="AB91" s="59" t="str">
        <f t="shared" si="10"/>
        <v/>
      </c>
      <c r="AC91" s="59" t="str">
        <f t="shared" si="11"/>
        <v/>
      </c>
      <c r="AD91" s="187"/>
      <c r="AE91" s="187"/>
      <c r="AF91" s="187"/>
      <c r="AG91" s="190"/>
    </row>
    <row r="92" spans="1:33" ht="125.25" customHeight="1">
      <c r="A92" s="186"/>
      <c r="B92" s="186"/>
      <c r="C92" s="187"/>
      <c r="D92" s="187"/>
      <c r="E92" s="187"/>
      <c r="F92" s="188"/>
      <c r="G92" s="187"/>
      <c r="H92" s="187"/>
      <c r="I92" s="187"/>
      <c r="J92" s="187"/>
      <c r="K92" s="187"/>
      <c r="L92" s="189"/>
      <c r="M92" s="189"/>
      <c r="N92" s="190"/>
      <c r="O92" s="190"/>
      <c r="P92" s="190"/>
      <c r="Q92" s="59" t="str">
        <f t="shared" si="8"/>
        <v/>
      </c>
      <c r="R92" s="59" t="str">
        <f t="shared" si="9"/>
        <v/>
      </c>
      <c r="S92" s="191"/>
      <c r="T92" s="187"/>
      <c r="U92" s="192"/>
      <c r="V92" s="193"/>
      <c r="W92" s="186"/>
      <c r="X92" s="193"/>
      <c r="Y92" s="190"/>
      <c r="Z92" s="190"/>
      <c r="AA92" s="190"/>
      <c r="AB92" s="59" t="str">
        <f t="shared" si="10"/>
        <v/>
      </c>
      <c r="AC92" s="59" t="str">
        <f t="shared" si="11"/>
        <v/>
      </c>
      <c r="AD92" s="187"/>
      <c r="AE92" s="187"/>
      <c r="AF92" s="187"/>
      <c r="AG92" s="190"/>
    </row>
    <row r="93" spans="1:33" ht="125.25" customHeight="1">
      <c r="A93" s="186"/>
      <c r="B93" s="186"/>
      <c r="C93" s="187"/>
      <c r="D93" s="187"/>
      <c r="E93" s="187"/>
      <c r="F93" s="188"/>
      <c r="G93" s="187"/>
      <c r="H93" s="187"/>
      <c r="I93" s="187"/>
      <c r="J93" s="187"/>
      <c r="K93" s="187"/>
      <c r="L93" s="189"/>
      <c r="M93" s="189"/>
      <c r="N93" s="190"/>
      <c r="O93" s="190"/>
      <c r="P93" s="190"/>
      <c r="Q93" s="59" t="str">
        <f t="shared" si="8"/>
        <v/>
      </c>
      <c r="R93" s="59" t="str">
        <f t="shared" si="9"/>
        <v/>
      </c>
      <c r="S93" s="191"/>
      <c r="T93" s="187"/>
      <c r="U93" s="192"/>
      <c r="V93" s="193"/>
      <c r="W93" s="186"/>
      <c r="X93" s="193"/>
      <c r="Y93" s="190"/>
      <c r="Z93" s="190"/>
      <c r="AA93" s="190"/>
      <c r="AB93" s="59" t="str">
        <f t="shared" si="10"/>
        <v/>
      </c>
      <c r="AC93" s="59" t="str">
        <f t="shared" si="11"/>
        <v/>
      </c>
      <c r="AD93" s="187"/>
      <c r="AE93" s="187"/>
      <c r="AF93" s="187"/>
      <c r="AG93" s="190"/>
    </row>
    <row r="94" spans="1:33" ht="125.25" customHeight="1">
      <c r="A94" s="186"/>
      <c r="B94" s="186"/>
      <c r="C94" s="187"/>
      <c r="D94" s="187"/>
      <c r="E94" s="187"/>
      <c r="F94" s="188"/>
      <c r="G94" s="187"/>
      <c r="H94" s="187"/>
      <c r="I94" s="187"/>
      <c r="J94" s="187"/>
      <c r="K94" s="187"/>
      <c r="L94" s="189"/>
      <c r="M94" s="189"/>
      <c r="N94" s="190"/>
      <c r="O94" s="190"/>
      <c r="P94" s="190"/>
      <c r="Q94" s="59" t="str">
        <f t="shared" si="8"/>
        <v/>
      </c>
      <c r="R94" s="59" t="str">
        <f t="shared" si="9"/>
        <v/>
      </c>
      <c r="S94" s="191"/>
      <c r="T94" s="187"/>
      <c r="U94" s="192"/>
      <c r="V94" s="193"/>
      <c r="W94" s="186"/>
      <c r="X94" s="193"/>
      <c r="Y94" s="190"/>
      <c r="Z94" s="190"/>
      <c r="AA94" s="190"/>
      <c r="AB94" s="59" t="str">
        <f t="shared" si="10"/>
        <v/>
      </c>
      <c r="AC94" s="59" t="str">
        <f t="shared" si="11"/>
        <v/>
      </c>
      <c r="AD94" s="187"/>
      <c r="AE94" s="187"/>
      <c r="AF94" s="187"/>
      <c r="AG94" s="190"/>
    </row>
    <row r="95" spans="1:33" ht="125.25" customHeight="1">
      <c r="A95" s="186"/>
      <c r="B95" s="186"/>
      <c r="C95" s="187"/>
      <c r="D95" s="187"/>
      <c r="E95" s="187"/>
      <c r="F95" s="188"/>
      <c r="G95" s="187"/>
      <c r="H95" s="187"/>
      <c r="I95" s="187"/>
      <c r="J95" s="187"/>
      <c r="K95" s="187"/>
      <c r="L95" s="189"/>
      <c r="M95" s="189"/>
      <c r="N95" s="190"/>
      <c r="O95" s="190"/>
      <c r="P95" s="190"/>
      <c r="Q95" s="59" t="str">
        <f t="shared" si="8"/>
        <v/>
      </c>
      <c r="R95" s="59" t="str">
        <f t="shared" si="9"/>
        <v/>
      </c>
      <c r="S95" s="191"/>
      <c r="T95" s="187"/>
      <c r="U95" s="192"/>
      <c r="V95" s="193"/>
      <c r="W95" s="186"/>
      <c r="X95" s="193"/>
      <c r="Y95" s="190"/>
      <c r="Z95" s="190"/>
      <c r="AA95" s="190"/>
      <c r="AB95" s="59" t="str">
        <f t="shared" si="10"/>
        <v/>
      </c>
      <c r="AC95" s="59" t="str">
        <f t="shared" si="11"/>
        <v/>
      </c>
      <c r="AD95" s="187"/>
      <c r="AE95" s="187"/>
      <c r="AF95" s="187"/>
      <c r="AG95" s="190"/>
    </row>
    <row r="96" spans="1:33" ht="125.25" customHeight="1">
      <c r="A96" s="186"/>
      <c r="B96" s="186"/>
      <c r="C96" s="187"/>
      <c r="D96" s="187"/>
      <c r="E96" s="187"/>
      <c r="F96" s="188"/>
      <c r="G96" s="187"/>
      <c r="H96" s="187"/>
      <c r="I96" s="187"/>
      <c r="J96" s="187"/>
      <c r="K96" s="187"/>
      <c r="L96" s="189"/>
      <c r="M96" s="189"/>
      <c r="N96" s="190"/>
      <c r="O96" s="190"/>
      <c r="P96" s="190"/>
      <c r="Q96" s="59" t="str">
        <f t="shared" si="8"/>
        <v/>
      </c>
      <c r="R96" s="59" t="str">
        <f t="shared" si="9"/>
        <v/>
      </c>
      <c r="S96" s="191"/>
      <c r="T96" s="187"/>
      <c r="U96" s="192"/>
      <c r="V96" s="193"/>
      <c r="W96" s="186"/>
      <c r="X96" s="193"/>
      <c r="Y96" s="190"/>
      <c r="Z96" s="190"/>
      <c r="AA96" s="190"/>
      <c r="AB96" s="59" t="str">
        <f t="shared" si="10"/>
        <v/>
      </c>
      <c r="AC96" s="59" t="str">
        <f t="shared" si="11"/>
        <v/>
      </c>
      <c r="AD96" s="187"/>
      <c r="AE96" s="187"/>
      <c r="AF96" s="187"/>
      <c r="AG96" s="190"/>
    </row>
    <row r="97" spans="1:33" ht="125.25" customHeight="1">
      <c r="A97" s="186"/>
      <c r="B97" s="186"/>
      <c r="C97" s="187"/>
      <c r="D97" s="187"/>
      <c r="E97" s="187"/>
      <c r="F97" s="188"/>
      <c r="G97" s="187"/>
      <c r="H97" s="187"/>
      <c r="I97" s="187"/>
      <c r="J97" s="187"/>
      <c r="K97" s="187"/>
      <c r="L97" s="189"/>
      <c r="M97" s="189"/>
      <c r="N97" s="190"/>
      <c r="O97" s="190"/>
      <c r="P97" s="190"/>
      <c r="Q97" s="59" t="str">
        <f t="shared" si="8"/>
        <v/>
      </c>
      <c r="R97" s="59" t="str">
        <f t="shared" si="9"/>
        <v/>
      </c>
      <c r="S97" s="191"/>
      <c r="T97" s="187"/>
      <c r="U97" s="192"/>
      <c r="V97" s="193"/>
      <c r="W97" s="186"/>
      <c r="X97" s="193"/>
      <c r="Y97" s="190"/>
      <c r="Z97" s="190"/>
      <c r="AA97" s="190"/>
      <c r="AB97" s="59" t="str">
        <f t="shared" si="10"/>
        <v/>
      </c>
      <c r="AC97" s="59" t="str">
        <f t="shared" si="11"/>
        <v/>
      </c>
      <c r="AD97" s="187"/>
      <c r="AE97" s="187"/>
      <c r="AF97" s="187"/>
      <c r="AG97" s="190"/>
    </row>
    <row r="98" spans="1:33" ht="125.25" customHeight="1">
      <c r="A98" s="186"/>
      <c r="B98" s="186"/>
      <c r="C98" s="187"/>
      <c r="D98" s="187"/>
      <c r="E98" s="187"/>
      <c r="F98" s="188"/>
      <c r="G98" s="187"/>
      <c r="H98" s="187"/>
      <c r="I98" s="187"/>
      <c r="J98" s="187"/>
      <c r="K98" s="187"/>
      <c r="L98" s="189"/>
      <c r="M98" s="189"/>
      <c r="N98" s="190"/>
      <c r="O98" s="190"/>
      <c r="P98" s="190"/>
      <c r="Q98" s="59" t="str">
        <f t="shared" si="8"/>
        <v/>
      </c>
      <c r="R98" s="59" t="str">
        <f t="shared" si="9"/>
        <v/>
      </c>
      <c r="S98" s="191"/>
      <c r="T98" s="187"/>
      <c r="U98" s="192"/>
      <c r="V98" s="193"/>
      <c r="W98" s="186"/>
      <c r="X98" s="193"/>
      <c r="Y98" s="190"/>
      <c r="Z98" s="190"/>
      <c r="AA98" s="190"/>
      <c r="AB98" s="59" t="str">
        <f t="shared" si="10"/>
        <v/>
      </c>
      <c r="AC98" s="59" t="str">
        <f t="shared" si="11"/>
        <v/>
      </c>
      <c r="AD98" s="187"/>
      <c r="AE98" s="187"/>
      <c r="AF98" s="187"/>
      <c r="AG98" s="190"/>
    </row>
    <row r="99" spans="1:33" ht="125.25" customHeight="1">
      <c r="A99" s="186"/>
      <c r="B99" s="186"/>
      <c r="C99" s="187"/>
      <c r="D99" s="187"/>
      <c r="E99" s="187"/>
      <c r="F99" s="188"/>
      <c r="G99" s="187"/>
      <c r="H99" s="187"/>
      <c r="I99" s="187"/>
      <c r="J99" s="187"/>
      <c r="K99" s="187"/>
      <c r="L99" s="189"/>
      <c r="M99" s="189"/>
      <c r="N99" s="190"/>
      <c r="O99" s="190"/>
      <c r="P99" s="190"/>
      <c r="Q99" s="59" t="str">
        <f t="shared" si="8"/>
        <v/>
      </c>
      <c r="R99" s="59" t="str">
        <f t="shared" si="9"/>
        <v/>
      </c>
      <c r="S99" s="191"/>
      <c r="T99" s="187"/>
      <c r="U99" s="192"/>
      <c r="V99" s="193"/>
      <c r="W99" s="186"/>
      <c r="X99" s="193"/>
      <c r="Y99" s="190"/>
      <c r="Z99" s="190"/>
      <c r="AA99" s="190"/>
      <c r="AB99" s="59" t="str">
        <f t="shared" si="10"/>
        <v/>
      </c>
      <c r="AC99" s="59" t="str">
        <f t="shared" si="11"/>
        <v/>
      </c>
      <c r="AD99" s="187"/>
      <c r="AE99" s="187"/>
      <c r="AF99" s="187"/>
      <c r="AG99" s="190"/>
    </row>
    <row r="100" spans="1:33" ht="125.25" customHeight="1">
      <c r="A100" s="186"/>
      <c r="B100" s="186"/>
      <c r="C100" s="187"/>
      <c r="D100" s="187"/>
      <c r="E100" s="187"/>
      <c r="F100" s="188"/>
      <c r="G100" s="187"/>
      <c r="H100" s="187"/>
      <c r="I100" s="187"/>
      <c r="J100" s="187"/>
      <c r="K100" s="187"/>
      <c r="L100" s="189"/>
      <c r="M100" s="189"/>
      <c r="N100" s="190"/>
      <c r="O100" s="190"/>
      <c r="P100" s="190"/>
      <c r="Q100" s="59" t="str">
        <f t="shared" si="8"/>
        <v/>
      </c>
      <c r="R100" s="59" t="str">
        <f t="shared" si="9"/>
        <v/>
      </c>
      <c r="S100" s="191"/>
      <c r="T100" s="187"/>
      <c r="U100" s="192"/>
      <c r="V100" s="193"/>
      <c r="W100" s="186"/>
      <c r="X100" s="193"/>
      <c r="Y100" s="190"/>
      <c r="Z100" s="190"/>
      <c r="AA100" s="190"/>
      <c r="AB100" s="59" t="str">
        <f t="shared" si="10"/>
        <v/>
      </c>
      <c r="AC100" s="59" t="str">
        <f t="shared" si="11"/>
        <v/>
      </c>
      <c r="AD100" s="187"/>
      <c r="AE100" s="187"/>
      <c r="AF100" s="187"/>
      <c r="AG100" s="190"/>
    </row>
    <row r="101" spans="1:33" ht="50.25" customHeight="1">
      <c r="A101" s="328" t="s">
        <v>370</v>
      </c>
      <c r="B101" s="329"/>
      <c r="C101" s="329"/>
      <c r="D101" s="329"/>
      <c r="E101" s="329"/>
      <c r="F101" s="329"/>
      <c r="G101" s="329"/>
      <c r="H101" s="329"/>
      <c r="I101" s="329"/>
      <c r="J101" s="329"/>
      <c r="K101" s="329"/>
      <c r="L101" s="329"/>
      <c r="M101" s="329"/>
      <c r="N101" s="329"/>
      <c r="O101" s="329"/>
      <c r="P101" s="329"/>
      <c r="Q101" s="329"/>
      <c r="R101" s="329"/>
      <c r="S101" s="329"/>
      <c r="T101" s="329"/>
      <c r="U101" s="329"/>
      <c r="V101" s="329"/>
      <c r="W101" s="329"/>
      <c r="X101" s="329"/>
      <c r="Y101" s="329"/>
      <c r="Z101" s="329"/>
      <c r="AA101" s="329"/>
      <c r="AB101" s="329"/>
      <c r="AC101" s="329"/>
      <c r="AD101" s="329"/>
      <c r="AE101" s="329"/>
      <c r="AF101" s="329"/>
      <c r="AG101" s="330"/>
    </row>
    <row r="102" spans="1:33" ht="50.25" customHeight="1">
      <c r="A102" s="295" t="s">
        <v>371</v>
      </c>
      <c r="B102" s="295"/>
      <c r="C102" s="295"/>
      <c r="D102" s="295"/>
      <c r="E102" s="211"/>
      <c r="F102" s="295" t="s">
        <v>372</v>
      </c>
      <c r="G102" s="295"/>
      <c r="H102" s="295"/>
      <c r="I102" s="295"/>
      <c r="J102" s="297" t="s">
        <v>373</v>
      </c>
      <c r="K102" s="298"/>
      <c r="L102" s="298"/>
      <c r="M102" s="299"/>
      <c r="N102" s="297" t="s">
        <v>374</v>
      </c>
      <c r="O102" s="298"/>
      <c r="P102" s="298"/>
      <c r="Q102" s="298"/>
      <c r="R102" s="298"/>
      <c r="S102" s="299"/>
      <c r="T102" s="295" t="s">
        <v>375</v>
      </c>
      <c r="U102" s="295"/>
      <c r="V102" s="295"/>
      <c r="W102" s="295" t="s">
        <v>377</v>
      </c>
      <c r="X102" s="295"/>
      <c r="Y102" s="295"/>
      <c r="Z102" s="295"/>
      <c r="AA102" s="295"/>
      <c r="AB102" s="295"/>
      <c r="AC102" s="295"/>
      <c r="AD102" s="295" t="s">
        <v>376</v>
      </c>
      <c r="AE102" s="295"/>
      <c r="AF102" s="295"/>
      <c r="AG102" s="295"/>
    </row>
    <row r="103" spans="1:33" ht="100" customHeight="1">
      <c r="A103" s="303"/>
      <c r="B103" s="304"/>
      <c r="C103" s="304"/>
      <c r="D103" s="305"/>
      <c r="E103" s="212"/>
      <c r="F103" s="300"/>
      <c r="G103" s="301"/>
      <c r="H103" s="301"/>
      <c r="I103" s="302"/>
      <c r="J103" s="306"/>
      <c r="K103" s="307"/>
      <c r="L103" s="307"/>
      <c r="M103" s="308"/>
      <c r="N103" s="306"/>
      <c r="O103" s="307"/>
      <c r="P103" s="307"/>
      <c r="Q103" s="307"/>
      <c r="R103" s="307"/>
      <c r="S103" s="308"/>
      <c r="T103" s="296"/>
      <c r="U103" s="296"/>
      <c r="V103" s="296"/>
      <c r="W103" s="296"/>
      <c r="X103" s="296"/>
      <c r="Y103" s="296"/>
      <c r="Z103" s="296"/>
      <c r="AA103" s="296"/>
      <c r="AB103" s="296"/>
      <c r="AC103" s="296"/>
      <c r="AD103" s="296"/>
      <c r="AE103" s="296"/>
      <c r="AF103" s="296"/>
      <c r="AG103" s="296"/>
    </row>
    <row r="104" spans="1:33" ht="50.25" customHeight="1">
      <c r="A104" s="297" t="s">
        <v>378</v>
      </c>
      <c r="B104" s="298"/>
      <c r="C104" s="298"/>
      <c r="D104" s="298"/>
      <c r="E104" s="298"/>
      <c r="F104" s="298"/>
      <c r="G104" s="298"/>
      <c r="H104" s="298"/>
      <c r="I104" s="298"/>
      <c r="J104" s="298"/>
      <c r="K104" s="298"/>
      <c r="L104" s="298"/>
      <c r="M104" s="298"/>
      <c r="N104" s="298"/>
      <c r="O104" s="298"/>
      <c r="P104" s="298"/>
      <c r="Q104" s="298"/>
      <c r="R104" s="298"/>
      <c r="S104" s="298"/>
      <c r="T104" s="298"/>
      <c r="U104" s="298"/>
      <c r="V104" s="298"/>
      <c r="W104" s="298"/>
      <c r="X104" s="298"/>
      <c r="Y104" s="298"/>
      <c r="Z104" s="298"/>
      <c r="AA104" s="298"/>
      <c r="AB104" s="298"/>
      <c r="AC104" s="298"/>
      <c r="AD104" s="298"/>
      <c r="AE104" s="298"/>
      <c r="AF104" s="298"/>
      <c r="AG104" s="299"/>
    </row>
    <row r="105" spans="1:33" ht="100" customHeight="1">
      <c r="A105" s="300"/>
      <c r="B105" s="301"/>
      <c r="C105" s="301"/>
      <c r="D105" s="301"/>
      <c r="E105" s="301"/>
      <c r="F105" s="301"/>
      <c r="G105" s="301"/>
      <c r="H105" s="301"/>
      <c r="I105" s="301"/>
      <c r="J105" s="301"/>
      <c r="K105" s="301"/>
      <c r="L105" s="301"/>
      <c r="M105" s="301"/>
      <c r="N105" s="301"/>
      <c r="O105" s="301"/>
      <c r="P105" s="301"/>
      <c r="Q105" s="301"/>
      <c r="R105" s="301"/>
      <c r="S105" s="301"/>
      <c r="T105" s="301"/>
      <c r="U105" s="301"/>
      <c r="V105" s="301"/>
      <c r="W105" s="301"/>
      <c r="X105" s="301"/>
      <c r="Y105" s="301"/>
      <c r="Z105" s="301"/>
      <c r="AA105" s="301"/>
      <c r="AB105" s="301"/>
      <c r="AC105" s="301"/>
      <c r="AD105" s="301"/>
      <c r="AE105" s="301"/>
      <c r="AF105" s="301"/>
      <c r="AG105" s="302"/>
    </row>
    <row r="106" spans="1:33" s="195" customFormat="1" ht="16.5" customHeight="1">
      <c r="A106" s="194"/>
      <c r="AG106" s="196"/>
    </row>
    <row r="107" spans="1:33" s="195" customFormat="1" ht="16.5" customHeight="1">
      <c r="A107" s="194"/>
      <c r="AG107" s="196"/>
    </row>
    <row r="108" spans="1:33" s="195" customFormat="1" ht="16.5" customHeight="1">
      <c r="A108" s="194"/>
      <c r="AG108" s="196"/>
    </row>
    <row r="109" spans="1:33" s="195" customFormat="1" ht="16.5" customHeight="1">
      <c r="A109" s="194"/>
      <c r="AG109" s="196"/>
    </row>
    <row r="110" spans="1:33" s="195" customFormat="1" ht="16.5" customHeight="1">
      <c r="A110" s="194"/>
      <c r="AG110" s="196"/>
    </row>
    <row r="111" spans="1:33" s="195" customFormat="1" ht="16.5" customHeight="1">
      <c r="A111" s="194"/>
      <c r="AG111" s="196"/>
    </row>
    <row r="112" spans="1:33" s="195" customFormat="1" ht="16.5" customHeight="1">
      <c r="A112" s="194"/>
      <c r="AG112" s="196"/>
    </row>
    <row r="113" spans="1:33" s="195" customFormat="1" ht="16.5" customHeight="1">
      <c r="A113" s="194"/>
      <c r="AG113" s="196"/>
    </row>
    <row r="114" spans="1:33" s="195" customFormat="1" ht="16.5" customHeight="1">
      <c r="A114" s="194"/>
      <c r="AG114" s="196"/>
    </row>
    <row r="115" spans="1:33" s="195" customFormat="1" ht="16.5" customHeight="1">
      <c r="A115" s="194"/>
      <c r="AG115" s="196"/>
    </row>
    <row r="116" spans="1:33" s="195" customFormat="1" ht="16.5" customHeight="1">
      <c r="A116" s="194"/>
      <c r="AG116" s="196"/>
    </row>
    <row r="117" spans="1:33" s="195" customFormat="1" ht="16.5" customHeight="1">
      <c r="A117" s="194"/>
      <c r="AG117" s="196"/>
    </row>
    <row r="118" spans="1:33" s="195" customFormat="1" ht="16.5" customHeight="1">
      <c r="A118" s="194"/>
      <c r="AG118" s="196"/>
    </row>
    <row r="119" spans="1:33">
      <c r="AG119" s="197"/>
    </row>
    <row r="120" spans="1:33">
      <c r="AG120" s="197"/>
    </row>
  </sheetData>
  <sheetProtection insertRows="0" autoFilter="0"/>
  <autoFilter ref="A7:AG7" xr:uid="{00000000-0009-0000-0000-000004000000}"/>
  <mergeCells count="50">
    <mergeCell ref="AE4:AG4"/>
    <mergeCell ref="M6:M7"/>
    <mergeCell ref="AC4:AD4"/>
    <mergeCell ref="A4:C4"/>
    <mergeCell ref="A3:C3"/>
    <mergeCell ref="D3:G3"/>
    <mergeCell ref="H3:I3"/>
    <mergeCell ref="J3:L3"/>
    <mergeCell ref="A6:A7"/>
    <mergeCell ref="F6:F7"/>
    <mergeCell ref="C6:C7"/>
    <mergeCell ref="G6:G7"/>
    <mergeCell ref="A101:AG101"/>
    <mergeCell ref="B6:B7"/>
    <mergeCell ref="S6:U6"/>
    <mergeCell ref="V6:V7"/>
    <mergeCell ref="W6:W7"/>
    <mergeCell ref="H6:H7"/>
    <mergeCell ref="I6:I7"/>
    <mergeCell ref="X6:X7"/>
    <mergeCell ref="AD6:AF6"/>
    <mergeCell ref="AG6:AG7"/>
    <mergeCell ref="N102:S102"/>
    <mergeCell ref="J102:M102"/>
    <mergeCell ref="A102:D102"/>
    <mergeCell ref="F102:I102"/>
    <mergeCell ref="A1:AG1"/>
    <mergeCell ref="Y6:AC6"/>
    <mergeCell ref="J6:J7"/>
    <mergeCell ref="K6:K7"/>
    <mergeCell ref="L6:L7"/>
    <mergeCell ref="N6:R6"/>
    <mergeCell ref="D6:D7"/>
    <mergeCell ref="A2:AG2"/>
    <mergeCell ref="AC3:AD3"/>
    <mergeCell ref="AE3:AG3"/>
    <mergeCell ref="Y3:AB3"/>
    <mergeCell ref="A5:AG5"/>
    <mergeCell ref="A104:AG104"/>
    <mergeCell ref="A105:AG105"/>
    <mergeCell ref="A103:D103"/>
    <mergeCell ref="F103:I103"/>
    <mergeCell ref="N103:S103"/>
    <mergeCell ref="J103:M103"/>
    <mergeCell ref="AD102:AG102"/>
    <mergeCell ref="AD103:AG103"/>
    <mergeCell ref="W102:AC102"/>
    <mergeCell ref="W103:AC103"/>
    <mergeCell ref="T102:V102"/>
    <mergeCell ref="T103:V103"/>
  </mergeCells>
  <conditionalFormatting sqref="H3:I3">
    <cfRule type="cellIs" dxfId="27" priority="1" operator="equal">
      <formula>"Diğer ise belirtiniz;"</formula>
    </cfRule>
  </conditionalFormatting>
  <conditionalFormatting sqref="R8:R100">
    <cfRule type="cellIs" dxfId="26" priority="1422" stopIfTrue="1" operator="equal">
      <formula>"KABUL EDİLEMEZ RİSK"</formula>
    </cfRule>
    <cfRule type="cellIs" dxfId="25" priority="1423" stopIfTrue="1" operator="equal">
      <formula>"YÜKSEK RİSK"</formula>
    </cfRule>
    <cfRule type="cellIs" dxfId="24" priority="1424" stopIfTrue="1" operator="equal">
      <formula>"ÖNEMLİ RİSK"</formula>
    </cfRule>
    <cfRule type="cellIs" dxfId="23" priority="1425" stopIfTrue="1" operator="equal">
      <formula>"OLASI RİSK"</formula>
    </cfRule>
    <cfRule type="cellIs" dxfId="22" priority="1426" operator="equal">
      <formula>"DÜŞÜK RİSK"</formula>
    </cfRule>
  </conditionalFormatting>
  <conditionalFormatting sqref="AC8:AC100">
    <cfRule type="cellIs" dxfId="21" priority="22" stopIfTrue="1" operator="equal">
      <formula>"KABUL EDİLEMEZ RİSK"</formula>
    </cfRule>
    <cfRule type="cellIs" dxfId="20" priority="23" stopIfTrue="1" operator="equal">
      <formula>"YÜKSEK RİSK"</formula>
    </cfRule>
    <cfRule type="cellIs" dxfId="19" priority="24" stopIfTrue="1" operator="equal">
      <formula>"ÖNEMLİ RİSK"</formula>
    </cfRule>
    <cfRule type="cellIs" dxfId="18" priority="25" stopIfTrue="1" operator="equal">
      <formula>"OLASI RİSK"</formula>
    </cfRule>
    <cfRule type="cellIs" dxfId="17" priority="26" operator="equal">
      <formula>"DÜŞÜK RİSK"</formula>
    </cfRule>
  </conditionalFormatting>
  <dataValidations count="5">
    <dataValidation type="list" allowBlank="1" showInputMessage="1" showErrorMessage="1" sqref="P8:P100 AA8:AA100" xr:uid="{00000000-0002-0000-0400-000000000000}">
      <formula1>"1,3,7,15,40,100"</formula1>
    </dataValidation>
    <dataValidation type="list" allowBlank="1" showInputMessage="1" showErrorMessage="1" sqref="N8:N100 Y8:Y100" xr:uid="{00000000-0002-0000-0400-000001000000}">
      <mc:AlternateContent xmlns:x12ac="http://schemas.microsoft.com/office/spreadsheetml/2011/1/ac" xmlns:mc="http://schemas.openxmlformats.org/markup-compatibility/2006">
        <mc:Choice Requires="x12ac">
          <x12ac:list>"0,2","0,5",1,3,6,10</x12ac:list>
        </mc:Choice>
        <mc:Fallback>
          <formula1>"0,2,0,5,1,3,6,10"</formula1>
        </mc:Fallback>
      </mc:AlternateContent>
    </dataValidation>
    <dataValidation type="list" allowBlank="1" showInputMessage="1" showErrorMessage="1" sqref="O8:O100 Z8:Z100" xr:uid="{00000000-0002-0000-0400-000002000000}">
      <mc:AlternateContent xmlns:x12ac="http://schemas.microsoft.com/office/spreadsheetml/2011/1/ac" xmlns:mc="http://schemas.openxmlformats.org/markup-compatibility/2006">
        <mc:Choice Requires="x12ac">
          <x12ac:list>"0,5",1,2,3,6,10</x12ac:list>
        </mc:Choice>
        <mc:Fallback>
          <formula1>"0,5,1,2,3,6,10"</formula1>
        </mc:Fallback>
      </mc:AlternateContent>
    </dataValidation>
    <dataValidation type="date" errorStyle="information" operator="greaterThan" allowBlank="1" showInputMessage="1" showErrorMessage="1" error="01.01.2000 formatında değer giriniz." sqref="B8:B100 AE3:AG3 Y3:AB3 W8:W100" xr:uid="{00000000-0002-0000-0400-000003000000}">
      <formula1>36526</formula1>
    </dataValidation>
    <dataValidation errorStyle="information" operator="greaterThan" allowBlank="1" showInputMessage="1" showErrorMessage="1" error="01.01.2000 formatında değer giriniz." prompt="- Belirli bir tarih için &quot;01.01.2000&quot; formatında bir tarih giriniz_x000a_- Her zaman devam edecek eylemler için &quot;Sürekli&quot; ifadesi kullanınız." sqref="U8:U100" xr:uid="{00000000-0002-0000-0400-000004000000}"/>
  </dataValidations>
  <printOptions horizontalCentered="1"/>
  <pageMargins left="0.23622047244094491" right="0.23622047244094491" top="0.35433070866141736" bottom="0.35433070866141736" header="0.31496062992125984" footer="0.31496062992125984"/>
  <pageSetup paperSize="8" scale="35" fitToHeight="0" orientation="landscape" r:id="rId1"/>
  <drawing r:id="rId2"/>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400-000005000000}">
          <x14:formula1>
            <xm:f>Veri!$E$2:$I$2</xm:f>
          </x14:formula1>
          <xm:sqref>C8:C100</xm:sqref>
        </x14:dataValidation>
        <x14:dataValidation type="list" allowBlank="1" showInputMessage="1" showErrorMessage="1" xr:uid="{00000000-0002-0000-0400-000006000000}">
          <x14:formula1>
            <xm:f>Veri!$K$2:$K$5</xm:f>
          </x14:formula1>
          <xm:sqref>AD8:AD100</xm:sqref>
        </x14:dataValidation>
        <x14:dataValidation type="list" allowBlank="1" showInputMessage="1" showErrorMessage="1" xr:uid="{00000000-0002-0000-0400-000007000000}">
          <x14:formula1>
            <xm:f>Veri!$A$19:$A$47</xm:f>
          </x14:formula1>
          <xm:sqref>D4:E4</xm:sqref>
        </x14:dataValidation>
        <x14:dataValidation type="list" allowBlank="1" showInputMessage="1" showErrorMessage="1" xr:uid="{00000000-0002-0000-0400-000008000000}">
          <x14:formula1>
            <xm:f>OFFSET(Veri!$E$2,1,MATCH(C8,Veri!$E$2:$I$2,0)-1,COUNTA(OFFSET(Veri!$E$2,1,MATCH(C8,Veri!$E$2:$I$2,0)-1,10,1)),1)</xm:f>
          </x14:formula1>
          <xm:sqref>D8:E100</xm:sqref>
        </x14:dataValidation>
        <x14:dataValidation type="list" allowBlank="1" showInputMessage="1" showErrorMessage="1" xr:uid="{00000000-0002-0000-0400-000009000000}">
          <x14:formula1>
            <xm:f>Veri!$M$2:$M$14</xm:f>
          </x14:formula1>
          <xm:sqref>T8:T100</xm:sqref>
        </x14:dataValidation>
        <x14:dataValidation type="list" allowBlank="1" showInputMessage="1" showErrorMessage="1" xr:uid="{00000000-0002-0000-0400-00000A000000}">
          <x14:formula1>
            <xm:f>Veri!$O$2:$O$42</xm:f>
          </x14:formula1>
          <xm:sqref>D3:G3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7" tint="0.59999389629810485"/>
    <pageSetUpPr fitToPage="1"/>
  </sheetPr>
  <dimension ref="B2:O118"/>
  <sheetViews>
    <sheetView showGridLines="0" topLeftCell="A43" zoomScale="85" zoomScaleNormal="85" zoomScaleSheetLayoutView="50" workbookViewId="0">
      <selection activeCell="O26" sqref="O26"/>
    </sheetView>
  </sheetViews>
  <sheetFormatPr baseColWidth="10" defaultColWidth="9.1640625" defaultRowHeight="15" outlineLevelRow="1"/>
  <cols>
    <col min="1" max="1" width="1.5" customWidth="1"/>
    <col min="2" max="2" width="40.5" style="36" customWidth="1"/>
    <col min="3" max="7" width="12.5" style="35" customWidth="1"/>
    <col min="8" max="8" width="8.1640625" style="35" customWidth="1"/>
    <col min="9" max="13" width="12.5" style="35" customWidth="1"/>
    <col min="14" max="14" width="8.1640625" style="35" customWidth="1"/>
    <col min="15" max="15" width="1.5" style="35" customWidth="1"/>
  </cols>
  <sheetData>
    <row r="2" spans="2:14">
      <c r="B2" s="215" t="s">
        <v>357</v>
      </c>
      <c r="C2" s="215"/>
      <c r="D2" s="215"/>
      <c r="E2" s="215"/>
      <c r="F2" s="215"/>
      <c r="G2" s="215"/>
      <c r="H2" s="215"/>
      <c r="I2" s="215"/>
      <c r="J2" s="215"/>
      <c r="K2" s="215"/>
      <c r="L2" s="215"/>
      <c r="M2" s="215"/>
      <c r="N2" s="215"/>
    </row>
    <row r="3" spans="2:14">
      <c r="B3" s="215"/>
      <c r="C3" s="215"/>
      <c r="D3" s="215"/>
      <c r="E3" s="215"/>
      <c r="F3" s="215"/>
      <c r="G3" s="215"/>
      <c r="H3" s="215"/>
      <c r="I3" s="215"/>
      <c r="J3" s="215"/>
      <c r="K3" s="215"/>
      <c r="L3" s="215"/>
      <c r="M3" s="215"/>
      <c r="N3" s="215"/>
    </row>
    <row r="5" spans="2:14" ht="19.5" customHeight="1" thickBot="1">
      <c r="B5" s="47"/>
      <c r="C5" s="219" t="s">
        <v>58</v>
      </c>
      <c r="D5" s="219"/>
      <c r="E5" s="219"/>
      <c r="F5" s="219"/>
      <c r="G5" s="219"/>
      <c r="H5" s="220"/>
      <c r="I5" s="219" t="s">
        <v>60</v>
      </c>
      <c r="J5" s="219"/>
      <c r="K5" s="219"/>
      <c r="L5" s="219"/>
      <c r="M5" s="219"/>
      <c r="N5" s="219"/>
    </row>
    <row r="6" spans="2:14" ht="29.5" customHeight="1" thickBot="1">
      <c r="B6" s="159" t="s">
        <v>286</v>
      </c>
      <c r="C6" s="160" t="s">
        <v>61</v>
      </c>
      <c r="D6" s="160" t="s">
        <v>62</v>
      </c>
      <c r="E6" s="161" t="s">
        <v>63</v>
      </c>
      <c r="F6" s="160" t="s">
        <v>64</v>
      </c>
      <c r="G6" s="162" t="s">
        <v>65</v>
      </c>
      <c r="H6" s="172" t="s">
        <v>59</v>
      </c>
      <c r="I6" s="163" t="s">
        <v>61</v>
      </c>
      <c r="J6" s="160" t="s">
        <v>62</v>
      </c>
      <c r="K6" s="161" t="s">
        <v>63</v>
      </c>
      <c r="L6" s="160" t="s">
        <v>64</v>
      </c>
      <c r="M6" s="162" t="s">
        <v>65</v>
      </c>
      <c r="N6" s="160" t="s">
        <v>59</v>
      </c>
    </row>
    <row r="7" spans="2:14" ht="18" customHeight="1" thickTop="1" thickBot="1">
      <c r="B7" s="125" t="s">
        <v>125</v>
      </c>
      <c r="C7" s="126">
        <f>COUNTIFS('RD Fine Kinney (Birim Bazlı)'!$C$8:$C$100,'Analiz (Birim Bazlı)'!$B7,'RD Fine Kinney (Birim Bazlı)'!$R$8:$R$100,'Analiz (Birim Bazlı)'!C$6)</f>
        <v>0</v>
      </c>
      <c r="D7" s="126">
        <f>COUNTIFS('RD Fine Kinney (Birim Bazlı)'!$C$8:$C$100,'Analiz (Birim Bazlı)'!$B7,'RD Fine Kinney (Birim Bazlı)'!$R$8:$R$100,'Analiz (Birim Bazlı)'!D$6)</f>
        <v>0</v>
      </c>
      <c r="E7" s="126">
        <f>COUNTIFS('RD Fine Kinney (Birim Bazlı)'!$C$8:$C$100,'Analiz (Birim Bazlı)'!$B7,'RD Fine Kinney (Birim Bazlı)'!$R$8:$R$100,'Analiz (Birim Bazlı)'!E$6)</f>
        <v>0</v>
      </c>
      <c r="F7" s="126">
        <f>COUNTIFS('RD Fine Kinney (Birim Bazlı)'!$C$8:$C$100,'Analiz (Birim Bazlı)'!$B7,'RD Fine Kinney (Birim Bazlı)'!$R$8:$R$100,'Analiz (Birim Bazlı)'!F$6)</f>
        <v>0</v>
      </c>
      <c r="G7" s="138">
        <f>COUNTIFS('RD Fine Kinney (Birim Bazlı)'!$C$8:$C$100,'Analiz (Birim Bazlı)'!$B7,'RD Fine Kinney (Birim Bazlı)'!$R$8:$R$100,'Analiz (Birim Bazlı)'!G$6)</f>
        <v>0</v>
      </c>
      <c r="H7" s="173">
        <f>SUM(C7:G7)</f>
        <v>0</v>
      </c>
      <c r="I7" s="139">
        <f>COUNTIFS('RD Fine Kinney (Birim Bazlı)'!$C$8:$C$100,'Analiz (Birim Bazlı)'!$B7,'RD Fine Kinney (Birim Bazlı)'!$AC$8:$AC$100,'Analiz (Birim Bazlı)'!I$6)</f>
        <v>0</v>
      </c>
      <c r="J7" s="126">
        <f>COUNTIFS('RD Fine Kinney (Birim Bazlı)'!$C$8:$C$100,'Analiz (Birim Bazlı)'!$B7,'RD Fine Kinney (Birim Bazlı)'!$AC$8:$AC$100,'Analiz (Birim Bazlı)'!J$6)</f>
        <v>0</v>
      </c>
      <c r="K7" s="126">
        <f>COUNTIFS('RD Fine Kinney (Birim Bazlı)'!$C$8:$C$100,'Analiz (Birim Bazlı)'!$B7,'RD Fine Kinney (Birim Bazlı)'!$AC$8:$AC$100,'Analiz (Birim Bazlı)'!K$6)</f>
        <v>0</v>
      </c>
      <c r="L7" s="126">
        <f>COUNTIFS('RD Fine Kinney (Birim Bazlı)'!$C$8:$C$100,'Analiz (Birim Bazlı)'!$B7,'RD Fine Kinney (Birim Bazlı)'!$AC$8:$AC$100,'Analiz (Birim Bazlı)'!L$6)</f>
        <v>0</v>
      </c>
      <c r="M7" s="138">
        <f>COUNTIFS('RD Fine Kinney (Birim Bazlı)'!$C$8:$C$100,'Analiz (Birim Bazlı)'!$B7,'RD Fine Kinney (Birim Bazlı)'!$AC$8:$AC$100,'Analiz (Birim Bazlı)'!M$6)</f>
        <v>0</v>
      </c>
      <c r="N7" s="139">
        <f>SUM(I7:M7)</f>
        <v>0</v>
      </c>
    </row>
    <row r="8" spans="2:14" ht="18" hidden="1" customHeight="1" outlineLevel="1" thickTop="1" thickBot="1">
      <c r="B8" s="127" t="s">
        <v>278</v>
      </c>
      <c r="C8" s="128">
        <f>COUNTIFS('RD Fine Kinney (Birim Bazlı)'!$D$8:$D$100,'Analiz (Birim Bazlı)'!$B8,'RD Fine Kinney (Birim Bazlı)'!$R$8:$R$100,'Analiz (Birim Bazlı)'!C$6)</f>
        <v>0</v>
      </c>
      <c r="D8" s="128">
        <f>COUNTIFS('RD Fine Kinney (Birim Bazlı)'!$D$8:$D$100,'Analiz (Birim Bazlı)'!$B8,'RD Fine Kinney (Birim Bazlı)'!$R$8:$R$100,'Analiz (Birim Bazlı)'!D$6)</f>
        <v>0</v>
      </c>
      <c r="E8" s="128">
        <f>COUNTIFS('RD Fine Kinney (Birim Bazlı)'!$D$8:$D$100,'Analiz (Birim Bazlı)'!$B8,'RD Fine Kinney (Birim Bazlı)'!$R$8:$R$100,'Analiz (Birim Bazlı)'!E$6)</f>
        <v>0</v>
      </c>
      <c r="F8" s="128">
        <f>COUNTIFS('RD Fine Kinney (Birim Bazlı)'!$D$8:$D$100,'Analiz (Birim Bazlı)'!$B8,'RD Fine Kinney (Birim Bazlı)'!$R$8:$R$100,'Analiz (Birim Bazlı)'!F$6)</f>
        <v>0</v>
      </c>
      <c r="G8" s="128">
        <f>COUNTIFS('RD Fine Kinney (Birim Bazlı)'!$D$8:$D$100,'Analiz (Birim Bazlı)'!$B8,'RD Fine Kinney (Birim Bazlı)'!$R$8:$R$100,'Analiz (Birim Bazlı)'!G$6)</f>
        <v>0</v>
      </c>
      <c r="H8" s="179">
        <f t="shared" ref="H8:H40" si="0">SUM(C8:G8)</f>
        <v>0</v>
      </c>
      <c r="I8" s="128">
        <f>COUNTIFS('RD Fine Kinney (Birim Bazlı)'!$D$8:$D$100,'Analiz (Birim Bazlı)'!$B8,'RD Fine Kinney (Birim Bazlı)'!$AC$8:$AC$100,'Analiz (Birim Bazlı)'!I$6)</f>
        <v>0</v>
      </c>
      <c r="J8" s="128">
        <f>COUNTIFS('RD Fine Kinney (Birim Bazlı)'!$D$8:$D$100,'Analiz (Birim Bazlı)'!$B8,'RD Fine Kinney (Birim Bazlı)'!$AC$8:$AC$100,'Analiz (Birim Bazlı)'!J$6)</f>
        <v>0</v>
      </c>
      <c r="K8" s="128">
        <f>COUNTIFS('RD Fine Kinney (Birim Bazlı)'!$D$8:$D$100,'Analiz (Birim Bazlı)'!$B8,'RD Fine Kinney (Birim Bazlı)'!$AC$8:$AC$100,'Analiz (Birim Bazlı)'!K$6)</f>
        <v>0</v>
      </c>
      <c r="L8" s="128">
        <f>COUNTIFS('RD Fine Kinney (Birim Bazlı)'!$D$8:$D$100,'Analiz (Birim Bazlı)'!$B8,'RD Fine Kinney (Birim Bazlı)'!$AC$8:$AC$100,'Analiz (Birim Bazlı)'!L$6)</f>
        <v>0</v>
      </c>
      <c r="M8" s="128">
        <f>COUNTIFS('RD Fine Kinney (Birim Bazlı)'!$D$8:$D$100,'Analiz (Birim Bazlı)'!$B8,'RD Fine Kinney (Birim Bazlı)'!$AC$8:$AC$100,'Analiz (Birim Bazlı)'!M$6)</f>
        <v>0</v>
      </c>
      <c r="N8" s="140">
        <f t="shared" ref="N8:N40" si="1">SUM(I8:M8)</f>
        <v>0</v>
      </c>
    </row>
    <row r="9" spans="2:14" ht="18" hidden="1" customHeight="1" outlineLevel="1" thickTop="1" thickBot="1">
      <c r="B9" s="127" t="s">
        <v>279</v>
      </c>
      <c r="C9" s="128">
        <f>COUNTIFS('RD Fine Kinney (Birim Bazlı)'!$D$8:$D$100,'Analiz (Birim Bazlı)'!$B9,'RD Fine Kinney (Birim Bazlı)'!$R$8:$R$100,'Analiz (Birim Bazlı)'!C$6)</f>
        <v>0</v>
      </c>
      <c r="D9" s="128">
        <f>COUNTIFS('RD Fine Kinney (Birim Bazlı)'!$D$8:$D$100,'Analiz (Birim Bazlı)'!$B9,'RD Fine Kinney (Birim Bazlı)'!$R$8:$R$100,'Analiz (Birim Bazlı)'!D$6)</f>
        <v>0</v>
      </c>
      <c r="E9" s="128">
        <f>COUNTIFS('RD Fine Kinney (Birim Bazlı)'!$D$8:$D$100,'Analiz (Birim Bazlı)'!$B9,'RD Fine Kinney (Birim Bazlı)'!$R$8:$R$100,'Analiz (Birim Bazlı)'!E$6)</f>
        <v>0</v>
      </c>
      <c r="F9" s="128">
        <f>COUNTIFS('RD Fine Kinney (Birim Bazlı)'!$D$8:$D$100,'Analiz (Birim Bazlı)'!$B9,'RD Fine Kinney (Birim Bazlı)'!$R$8:$R$100,'Analiz (Birim Bazlı)'!F$6)</f>
        <v>0</v>
      </c>
      <c r="G9" s="128">
        <f>COUNTIFS('RD Fine Kinney (Birim Bazlı)'!$D$8:$D$100,'Analiz (Birim Bazlı)'!$B9,'RD Fine Kinney (Birim Bazlı)'!$R$8:$R$100,'Analiz (Birim Bazlı)'!G$6)</f>
        <v>0</v>
      </c>
      <c r="H9" s="179">
        <f t="shared" si="0"/>
        <v>0</v>
      </c>
      <c r="I9" s="128">
        <f>COUNTIFS('RD Fine Kinney (Birim Bazlı)'!$D$8:$D$100,'Analiz (Birim Bazlı)'!$B9,'RD Fine Kinney (Birim Bazlı)'!$AC$8:$AC$100,'Analiz (Birim Bazlı)'!I$6)</f>
        <v>0</v>
      </c>
      <c r="J9" s="128">
        <f>COUNTIFS('RD Fine Kinney (Birim Bazlı)'!$D$8:$D$100,'Analiz (Birim Bazlı)'!$B9,'RD Fine Kinney (Birim Bazlı)'!$AC$8:$AC$100,'Analiz (Birim Bazlı)'!J$6)</f>
        <v>0</v>
      </c>
      <c r="K9" s="128">
        <f>COUNTIFS('RD Fine Kinney (Birim Bazlı)'!$D$8:$D$100,'Analiz (Birim Bazlı)'!$B9,'RD Fine Kinney (Birim Bazlı)'!$AC$8:$AC$100,'Analiz (Birim Bazlı)'!K$6)</f>
        <v>0</v>
      </c>
      <c r="L9" s="128">
        <f>COUNTIFS('RD Fine Kinney (Birim Bazlı)'!$D$8:$D$100,'Analiz (Birim Bazlı)'!$B9,'RD Fine Kinney (Birim Bazlı)'!$AC$8:$AC$100,'Analiz (Birim Bazlı)'!L$6)</f>
        <v>0</v>
      </c>
      <c r="M9" s="128">
        <f>COUNTIFS('RD Fine Kinney (Birim Bazlı)'!$D$8:$D$100,'Analiz (Birim Bazlı)'!$B9,'RD Fine Kinney (Birim Bazlı)'!$AC$8:$AC$100,'Analiz (Birim Bazlı)'!M$6)</f>
        <v>0</v>
      </c>
      <c r="N9" s="140">
        <f t="shared" si="1"/>
        <v>0</v>
      </c>
    </row>
    <row r="10" spans="2:14" ht="18" hidden="1" customHeight="1" outlineLevel="1" thickTop="1" thickBot="1">
      <c r="B10" s="127" t="s">
        <v>280</v>
      </c>
      <c r="C10" s="128">
        <f>COUNTIFS('RD Fine Kinney (Birim Bazlı)'!$D$8:$D$100,'Analiz (Birim Bazlı)'!$B10,'RD Fine Kinney (Birim Bazlı)'!$R$8:$R$100,'Analiz (Birim Bazlı)'!C$6)</f>
        <v>0</v>
      </c>
      <c r="D10" s="128">
        <f>COUNTIFS('RD Fine Kinney (Birim Bazlı)'!$D$8:$D$100,'Analiz (Birim Bazlı)'!$B10,'RD Fine Kinney (Birim Bazlı)'!$R$8:$R$100,'Analiz (Birim Bazlı)'!D$6)</f>
        <v>0</v>
      </c>
      <c r="E10" s="128">
        <f>COUNTIFS('RD Fine Kinney (Birim Bazlı)'!$D$8:$D$100,'Analiz (Birim Bazlı)'!$B10,'RD Fine Kinney (Birim Bazlı)'!$R$8:$R$100,'Analiz (Birim Bazlı)'!E$6)</f>
        <v>0</v>
      </c>
      <c r="F10" s="128">
        <f>COUNTIFS('RD Fine Kinney (Birim Bazlı)'!$D$8:$D$100,'Analiz (Birim Bazlı)'!$B10,'RD Fine Kinney (Birim Bazlı)'!$R$8:$R$100,'Analiz (Birim Bazlı)'!F$6)</f>
        <v>0</v>
      </c>
      <c r="G10" s="128">
        <f>COUNTIFS('RD Fine Kinney (Birim Bazlı)'!$D$8:$D$100,'Analiz (Birim Bazlı)'!$B10,'RD Fine Kinney (Birim Bazlı)'!$R$8:$R$100,'Analiz (Birim Bazlı)'!G$6)</f>
        <v>0</v>
      </c>
      <c r="H10" s="179">
        <f t="shared" si="0"/>
        <v>0</v>
      </c>
      <c r="I10" s="128">
        <f>COUNTIFS('RD Fine Kinney (Birim Bazlı)'!$D$8:$D$100,'Analiz (Birim Bazlı)'!$B10,'RD Fine Kinney (Birim Bazlı)'!$AC$8:$AC$100,'Analiz (Birim Bazlı)'!I$6)</f>
        <v>0</v>
      </c>
      <c r="J10" s="128">
        <f>COUNTIFS('RD Fine Kinney (Birim Bazlı)'!$D$8:$D$100,'Analiz (Birim Bazlı)'!$B10,'RD Fine Kinney (Birim Bazlı)'!$AC$8:$AC$100,'Analiz (Birim Bazlı)'!J$6)</f>
        <v>0</v>
      </c>
      <c r="K10" s="128">
        <f>COUNTIFS('RD Fine Kinney (Birim Bazlı)'!$D$8:$D$100,'Analiz (Birim Bazlı)'!$B10,'RD Fine Kinney (Birim Bazlı)'!$AC$8:$AC$100,'Analiz (Birim Bazlı)'!K$6)</f>
        <v>0</v>
      </c>
      <c r="L10" s="128">
        <f>COUNTIFS('RD Fine Kinney (Birim Bazlı)'!$D$8:$D$100,'Analiz (Birim Bazlı)'!$B10,'RD Fine Kinney (Birim Bazlı)'!$AC$8:$AC$100,'Analiz (Birim Bazlı)'!L$6)</f>
        <v>0</v>
      </c>
      <c r="M10" s="128">
        <f>COUNTIFS('RD Fine Kinney (Birim Bazlı)'!$D$8:$D$100,'Analiz (Birim Bazlı)'!$B10,'RD Fine Kinney (Birim Bazlı)'!$AC$8:$AC$100,'Analiz (Birim Bazlı)'!M$6)</f>
        <v>0</v>
      </c>
      <c r="N10" s="140">
        <f t="shared" si="1"/>
        <v>0</v>
      </c>
    </row>
    <row r="11" spans="2:14" ht="18" hidden="1" customHeight="1" outlineLevel="1" thickTop="1" thickBot="1">
      <c r="B11" s="127" t="s">
        <v>281</v>
      </c>
      <c r="C11" s="128">
        <f>COUNTIFS('RD Fine Kinney (Birim Bazlı)'!$D$8:$D$100,'Analiz (Birim Bazlı)'!$B11,'RD Fine Kinney (Birim Bazlı)'!$R$8:$R$100,'Analiz (Birim Bazlı)'!C$6)</f>
        <v>0</v>
      </c>
      <c r="D11" s="128">
        <f>COUNTIFS('RD Fine Kinney (Birim Bazlı)'!$D$8:$D$100,'Analiz (Birim Bazlı)'!$B11,'RD Fine Kinney (Birim Bazlı)'!$R$8:$R$100,'Analiz (Birim Bazlı)'!D$6)</f>
        <v>0</v>
      </c>
      <c r="E11" s="128">
        <f>COUNTIFS('RD Fine Kinney (Birim Bazlı)'!$D$8:$D$100,'Analiz (Birim Bazlı)'!$B11,'RD Fine Kinney (Birim Bazlı)'!$R$8:$R$100,'Analiz (Birim Bazlı)'!E$6)</f>
        <v>0</v>
      </c>
      <c r="F11" s="142">
        <f>COUNTIFS('RD Fine Kinney (Birim Bazlı)'!$D$8:$D$100,'Analiz (Birim Bazlı)'!$B11,'RD Fine Kinney (Birim Bazlı)'!$R$8:$R$100,'Analiz (Birim Bazlı)'!F$6)</f>
        <v>0</v>
      </c>
      <c r="G11" s="128">
        <f>COUNTIFS('RD Fine Kinney (Birim Bazlı)'!$D$8:$D$100,'Analiz (Birim Bazlı)'!$B11,'RD Fine Kinney (Birim Bazlı)'!$R$8:$R$100,'Analiz (Birim Bazlı)'!G$6)</f>
        <v>0</v>
      </c>
      <c r="H11" s="180">
        <f t="shared" si="0"/>
        <v>0</v>
      </c>
      <c r="I11" s="142">
        <f>COUNTIFS('RD Fine Kinney (Birim Bazlı)'!$D$8:$D$100,'Analiz (Birim Bazlı)'!$B11,'RD Fine Kinney (Birim Bazlı)'!$AC$8:$AC$100,'Analiz (Birim Bazlı)'!I$6)</f>
        <v>0</v>
      </c>
      <c r="J11" s="128">
        <f>COUNTIFS('RD Fine Kinney (Birim Bazlı)'!$D$8:$D$100,'Analiz (Birim Bazlı)'!$B11,'RD Fine Kinney (Birim Bazlı)'!$AC$8:$AC$100,'Analiz (Birim Bazlı)'!J$6)</f>
        <v>0</v>
      </c>
      <c r="K11" s="128">
        <f>COUNTIFS('RD Fine Kinney (Birim Bazlı)'!$D$8:$D$100,'Analiz (Birim Bazlı)'!$B11,'RD Fine Kinney (Birim Bazlı)'!$AC$8:$AC$100,'Analiz (Birim Bazlı)'!K$6)</f>
        <v>0</v>
      </c>
      <c r="L11" s="128">
        <f>COUNTIFS('RD Fine Kinney (Birim Bazlı)'!$D$8:$D$100,'Analiz (Birim Bazlı)'!$B11,'RD Fine Kinney (Birim Bazlı)'!$AC$8:$AC$100,'Analiz (Birim Bazlı)'!L$6)</f>
        <v>0</v>
      </c>
      <c r="M11" s="128">
        <f>COUNTIFS('RD Fine Kinney (Birim Bazlı)'!$D$8:$D$100,'Analiz (Birim Bazlı)'!$B11,'RD Fine Kinney (Birim Bazlı)'!$AC$8:$AC$100,'Analiz (Birim Bazlı)'!M$6)</f>
        <v>0</v>
      </c>
      <c r="N11" s="140">
        <f t="shared" si="1"/>
        <v>0</v>
      </c>
    </row>
    <row r="12" spans="2:14" ht="18" customHeight="1" collapsed="1" thickTop="1" thickBot="1">
      <c r="B12" s="129" t="s">
        <v>126</v>
      </c>
      <c r="C12" s="143">
        <f>COUNTIFS('RD Fine Kinney (Birim Bazlı)'!$C$8:$C$100,'Analiz (Birim Bazlı)'!$B12,'RD Fine Kinney (Birim Bazlı)'!$R$8:$R$100,'Analiz (Birim Bazlı)'!C$6)</f>
        <v>0</v>
      </c>
      <c r="D12" s="143">
        <f>COUNTIFS('RD Fine Kinney (Birim Bazlı)'!$C$8:$C$100,'Analiz (Birim Bazlı)'!$B12,'RD Fine Kinney (Birim Bazlı)'!$R$8:$R$100,'Analiz (Birim Bazlı)'!D$6)</f>
        <v>0</v>
      </c>
      <c r="E12" s="143">
        <f>COUNTIFS('RD Fine Kinney (Birim Bazlı)'!$C$8:$C$100,'Analiz (Birim Bazlı)'!$B12,'RD Fine Kinney (Birim Bazlı)'!$R$8:$R$100,'Analiz (Birim Bazlı)'!E$6)</f>
        <v>0</v>
      </c>
      <c r="F12" s="143">
        <f>COUNTIFS('RD Fine Kinney (Birim Bazlı)'!$C$8:$C$100,'Analiz (Birim Bazlı)'!$B12,'RD Fine Kinney (Birim Bazlı)'!$R$8:$R$100,'Analiz (Birim Bazlı)'!F$6)</f>
        <v>0</v>
      </c>
      <c r="G12" s="143">
        <f>COUNTIFS('RD Fine Kinney (Birim Bazlı)'!$C$8:$C$100,'Analiz (Birim Bazlı)'!$B12,'RD Fine Kinney (Birim Bazlı)'!$R$8:$R$100,'Analiz (Birim Bazlı)'!G$6)</f>
        <v>0</v>
      </c>
      <c r="H12" s="174">
        <f t="shared" si="0"/>
        <v>0</v>
      </c>
      <c r="I12" s="168">
        <f>COUNTIFS('RD Fine Kinney (Birim Bazlı)'!$C$8:$C$100,'Analiz (Birim Bazlı)'!$B12,'RD Fine Kinney (Birim Bazlı)'!$AC$8:$AC$100,'Analiz (Birim Bazlı)'!I$6)</f>
        <v>0</v>
      </c>
      <c r="J12" s="143">
        <f>COUNTIFS('RD Fine Kinney (Birim Bazlı)'!$C$8:$C$100,'Analiz (Birim Bazlı)'!$B12,'RD Fine Kinney (Birim Bazlı)'!$AC$8:$AC$100,'Analiz (Birim Bazlı)'!J$6)</f>
        <v>0</v>
      </c>
      <c r="K12" s="143">
        <f>COUNTIFS('RD Fine Kinney (Birim Bazlı)'!$C$8:$C$100,'Analiz (Birim Bazlı)'!$B12,'RD Fine Kinney (Birim Bazlı)'!$AC$8:$AC$100,'Analiz (Birim Bazlı)'!K$6)</f>
        <v>0</v>
      </c>
      <c r="L12" s="143">
        <f>COUNTIFS('RD Fine Kinney (Birim Bazlı)'!$C$8:$C$100,'Analiz (Birim Bazlı)'!$B12,'RD Fine Kinney (Birim Bazlı)'!$AC$8:$AC$100,'Analiz (Birim Bazlı)'!L$6)</f>
        <v>0</v>
      </c>
      <c r="M12" s="143">
        <f>COUNTIFS('RD Fine Kinney (Birim Bazlı)'!$C$8:$C$100,'Analiz (Birim Bazlı)'!$B12,'RD Fine Kinney (Birim Bazlı)'!$AC$8:$AC$100,'Analiz (Birim Bazlı)'!M$6)</f>
        <v>0</v>
      </c>
      <c r="N12" s="143">
        <f t="shared" si="1"/>
        <v>0</v>
      </c>
    </row>
    <row r="13" spans="2:14" ht="18" customHeight="1" outlineLevel="1" thickTop="1" thickBot="1">
      <c r="B13" s="131" t="s">
        <v>297</v>
      </c>
      <c r="C13" s="128">
        <f>COUNTIFS('RD Fine Kinney (Birim Bazlı)'!$D$8:$D$100,'Analiz (Birim Bazlı)'!$B13,'RD Fine Kinney (Birim Bazlı)'!$R$8:$R$100,'Analiz (Birim Bazlı)'!C$6)</f>
        <v>0</v>
      </c>
      <c r="D13" s="128">
        <f>COUNTIFS('RD Fine Kinney (Birim Bazlı)'!$D$8:$D$100,'Analiz (Birim Bazlı)'!$B13,'RD Fine Kinney (Birim Bazlı)'!$R$8:$R$100,'Analiz (Birim Bazlı)'!D$6)</f>
        <v>0</v>
      </c>
      <c r="E13" s="128">
        <f>COUNTIFS('RD Fine Kinney (Birim Bazlı)'!$D$8:$D$100,'Analiz (Birim Bazlı)'!$B13,'RD Fine Kinney (Birim Bazlı)'!$R$8:$R$100,'Analiz (Birim Bazlı)'!E$6)</f>
        <v>0</v>
      </c>
      <c r="F13" s="128">
        <f>COUNTIFS('RD Fine Kinney (Birim Bazlı)'!$D$8:$D$100,'Analiz (Birim Bazlı)'!$B13,'RD Fine Kinney (Birim Bazlı)'!$R$8:$R$100,'Analiz (Birim Bazlı)'!F$6)</f>
        <v>0</v>
      </c>
      <c r="G13" s="128">
        <f>COUNTIFS('RD Fine Kinney (Birim Bazlı)'!$D$8:$D$100,'Analiz (Birim Bazlı)'!$B13,'RD Fine Kinney (Birim Bazlı)'!$R$8:$R$100,'Analiz (Birim Bazlı)'!G$6)</f>
        <v>0</v>
      </c>
      <c r="H13" s="179">
        <f t="shared" si="0"/>
        <v>0</v>
      </c>
      <c r="I13" s="128">
        <f>COUNTIFS('RD Fine Kinney (Birim Bazlı)'!$D$8:$D$100,'Analiz (Birim Bazlı)'!$B13,'RD Fine Kinney (Birim Bazlı)'!$AC$8:$AC$100,'Analiz (Birim Bazlı)'!I$6)</f>
        <v>0</v>
      </c>
      <c r="J13" s="128">
        <f>COUNTIFS('RD Fine Kinney (Birim Bazlı)'!$D$8:$D$100,'Analiz (Birim Bazlı)'!$B13,'RD Fine Kinney (Birim Bazlı)'!$AC$8:$AC$100,'Analiz (Birim Bazlı)'!J$6)</f>
        <v>0</v>
      </c>
      <c r="K13" s="128">
        <f>COUNTIFS('RD Fine Kinney (Birim Bazlı)'!$D$8:$D$100,'Analiz (Birim Bazlı)'!$B13,'RD Fine Kinney (Birim Bazlı)'!$AC$8:$AC$100,'Analiz (Birim Bazlı)'!K$6)</f>
        <v>0</v>
      </c>
      <c r="L13" s="128">
        <f>COUNTIFS('RD Fine Kinney (Birim Bazlı)'!$D$8:$D$100,'Analiz (Birim Bazlı)'!$B13,'RD Fine Kinney (Birim Bazlı)'!$AC$8:$AC$100,'Analiz (Birim Bazlı)'!L$6)</f>
        <v>0</v>
      </c>
      <c r="M13" s="128">
        <f>COUNTIFS('RD Fine Kinney (Birim Bazlı)'!$D$8:$D$100,'Analiz (Birim Bazlı)'!$B13,'RD Fine Kinney (Birim Bazlı)'!$AC$8:$AC$100,'Analiz (Birim Bazlı)'!M$6)</f>
        <v>0</v>
      </c>
      <c r="N13" s="140">
        <f t="shared" si="1"/>
        <v>0</v>
      </c>
    </row>
    <row r="14" spans="2:14" ht="18" customHeight="1" outlineLevel="1" thickTop="1" thickBot="1">
      <c r="B14" s="131" t="s">
        <v>298</v>
      </c>
      <c r="C14" s="128">
        <f>COUNTIFS('RD Fine Kinney (Birim Bazlı)'!$D$8:$D$100,'Analiz (Birim Bazlı)'!$B14,'RD Fine Kinney (Birim Bazlı)'!$R$8:$R$100,'Analiz (Birim Bazlı)'!C$6)</f>
        <v>0</v>
      </c>
      <c r="D14" s="128">
        <f>COUNTIFS('RD Fine Kinney (Birim Bazlı)'!$D$8:$D$100,'Analiz (Birim Bazlı)'!$B14,'RD Fine Kinney (Birim Bazlı)'!$R$8:$R$100,'Analiz (Birim Bazlı)'!D$6)</f>
        <v>0</v>
      </c>
      <c r="E14" s="128">
        <f>COUNTIFS('RD Fine Kinney (Birim Bazlı)'!$D$8:$D$100,'Analiz (Birim Bazlı)'!$B14,'RD Fine Kinney (Birim Bazlı)'!$R$8:$R$100,'Analiz (Birim Bazlı)'!E$6)</f>
        <v>0</v>
      </c>
      <c r="F14" s="128">
        <f>COUNTIFS('RD Fine Kinney (Birim Bazlı)'!$D$8:$D$100,'Analiz (Birim Bazlı)'!$B14,'RD Fine Kinney (Birim Bazlı)'!$R$8:$R$100,'Analiz (Birim Bazlı)'!F$6)</f>
        <v>0</v>
      </c>
      <c r="G14" s="128">
        <f>COUNTIFS('RD Fine Kinney (Birim Bazlı)'!$D$8:$D$100,'Analiz (Birim Bazlı)'!$B14,'RD Fine Kinney (Birim Bazlı)'!$R$8:$R$100,'Analiz (Birim Bazlı)'!G$6)</f>
        <v>0</v>
      </c>
      <c r="H14" s="179">
        <f t="shared" si="0"/>
        <v>0</v>
      </c>
      <c r="I14" s="128">
        <f>COUNTIFS('RD Fine Kinney (Birim Bazlı)'!$D$8:$D$100,'Analiz (Birim Bazlı)'!$B14,'RD Fine Kinney (Birim Bazlı)'!$AC$8:$AC$100,'Analiz (Birim Bazlı)'!I$6)</f>
        <v>0</v>
      </c>
      <c r="J14" s="128">
        <f>COUNTIFS('RD Fine Kinney (Birim Bazlı)'!$D$8:$D$100,'Analiz (Birim Bazlı)'!$B14,'RD Fine Kinney (Birim Bazlı)'!$AC$8:$AC$100,'Analiz (Birim Bazlı)'!J$6)</f>
        <v>0</v>
      </c>
      <c r="K14" s="128">
        <f>COUNTIFS('RD Fine Kinney (Birim Bazlı)'!$D$8:$D$100,'Analiz (Birim Bazlı)'!$B14,'RD Fine Kinney (Birim Bazlı)'!$AC$8:$AC$100,'Analiz (Birim Bazlı)'!K$6)</f>
        <v>0</v>
      </c>
      <c r="L14" s="128">
        <f>COUNTIFS('RD Fine Kinney (Birim Bazlı)'!$D$8:$D$100,'Analiz (Birim Bazlı)'!$B14,'RD Fine Kinney (Birim Bazlı)'!$AC$8:$AC$100,'Analiz (Birim Bazlı)'!L$6)</f>
        <v>0</v>
      </c>
      <c r="M14" s="128">
        <f>COUNTIFS('RD Fine Kinney (Birim Bazlı)'!$D$8:$D$100,'Analiz (Birim Bazlı)'!$B14,'RD Fine Kinney (Birim Bazlı)'!$AC$8:$AC$100,'Analiz (Birim Bazlı)'!M$6)</f>
        <v>0</v>
      </c>
      <c r="N14" s="140">
        <f t="shared" si="1"/>
        <v>0</v>
      </c>
    </row>
    <row r="15" spans="2:14" ht="18" customHeight="1" outlineLevel="1" thickTop="1" thickBot="1">
      <c r="B15" s="131" t="s">
        <v>299</v>
      </c>
      <c r="C15" s="128">
        <f>COUNTIFS('RD Fine Kinney (Birim Bazlı)'!$D$8:$D$100,'Analiz (Birim Bazlı)'!$B15,'RD Fine Kinney (Birim Bazlı)'!$R$8:$R$100,'Analiz (Birim Bazlı)'!C$6)</f>
        <v>0</v>
      </c>
      <c r="D15" s="128">
        <f>COUNTIFS('RD Fine Kinney (Birim Bazlı)'!$D$8:$D$100,'Analiz (Birim Bazlı)'!$B15,'RD Fine Kinney (Birim Bazlı)'!$R$8:$R$100,'Analiz (Birim Bazlı)'!D$6)</f>
        <v>0</v>
      </c>
      <c r="E15" s="128">
        <f>COUNTIFS('RD Fine Kinney (Birim Bazlı)'!$D$8:$D$100,'Analiz (Birim Bazlı)'!$B15,'RD Fine Kinney (Birim Bazlı)'!$R$8:$R$100,'Analiz (Birim Bazlı)'!E$6)</f>
        <v>0</v>
      </c>
      <c r="F15" s="128">
        <f>COUNTIFS('RD Fine Kinney (Birim Bazlı)'!$D$8:$D$100,'Analiz (Birim Bazlı)'!$B15,'RD Fine Kinney (Birim Bazlı)'!$R$8:$R$100,'Analiz (Birim Bazlı)'!F$6)</f>
        <v>0</v>
      </c>
      <c r="G15" s="128">
        <f>COUNTIFS('RD Fine Kinney (Birim Bazlı)'!$D$8:$D$100,'Analiz (Birim Bazlı)'!$B15,'RD Fine Kinney (Birim Bazlı)'!$R$8:$R$100,'Analiz (Birim Bazlı)'!G$6)</f>
        <v>0</v>
      </c>
      <c r="H15" s="179">
        <f t="shared" si="0"/>
        <v>0</v>
      </c>
      <c r="I15" s="128">
        <f>COUNTIFS('RD Fine Kinney (Birim Bazlı)'!$D$8:$D$100,'Analiz (Birim Bazlı)'!$B15,'RD Fine Kinney (Birim Bazlı)'!$AC$8:$AC$100,'Analiz (Birim Bazlı)'!I$6)</f>
        <v>0</v>
      </c>
      <c r="J15" s="128">
        <f>COUNTIFS('RD Fine Kinney (Birim Bazlı)'!$D$8:$D$100,'Analiz (Birim Bazlı)'!$B15,'RD Fine Kinney (Birim Bazlı)'!$AC$8:$AC$100,'Analiz (Birim Bazlı)'!J$6)</f>
        <v>0</v>
      </c>
      <c r="K15" s="128">
        <f>COUNTIFS('RD Fine Kinney (Birim Bazlı)'!$D$8:$D$100,'Analiz (Birim Bazlı)'!$B15,'RD Fine Kinney (Birim Bazlı)'!$AC$8:$AC$100,'Analiz (Birim Bazlı)'!K$6)</f>
        <v>0</v>
      </c>
      <c r="L15" s="128">
        <f>COUNTIFS('RD Fine Kinney (Birim Bazlı)'!$D$8:$D$100,'Analiz (Birim Bazlı)'!$B15,'RD Fine Kinney (Birim Bazlı)'!$AC$8:$AC$100,'Analiz (Birim Bazlı)'!L$6)</f>
        <v>0</v>
      </c>
      <c r="M15" s="128">
        <f>COUNTIFS('RD Fine Kinney (Birim Bazlı)'!$D$8:$D$100,'Analiz (Birim Bazlı)'!$B15,'RD Fine Kinney (Birim Bazlı)'!$AC$8:$AC$100,'Analiz (Birim Bazlı)'!M$6)</f>
        <v>0</v>
      </c>
      <c r="N15" s="140">
        <f t="shared" si="1"/>
        <v>0</v>
      </c>
    </row>
    <row r="16" spans="2:14" ht="18" customHeight="1" outlineLevel="1" thickTop="1" thickBot="1">
      <c r="B16" s="131" t="s">
        <v>300</v>
      </c>
      <c r="C16" s="128">
        <f>COUNTIFS('RD Fine Kinney (Birim Bazlı)'!$D$8:$D$100,'Analiz (Birim Bazlı)'!$B16,'RD Fine Kinney (Birim Bazlı)'!$R$8:$R$100,'Analiz (Birim Bazlı)'!C$6)</f>
        <v>0</v>
      </c>
      <c r="D16" s="128">
        <f>COUNTIFS('RD Fine Kinney (Birim Bazlı)'!$D$8:$D$100,'Analiz (Birim Bazlı)'!$B16,'RD Fine Kinney (Birim Bazlı)'!$R$8:$R$100,'Analiz (Birim Bazlı)'!D$6)</f>
        <v>0</v>
      </c>
      <c r="E16" s="128">
        <f>COUNTIFS('RD Fine Kinney (Birim Bazlı)'!$D$8:$D$100,'Analiz (Birim Bazlı)'!$B16,'RD Fine Kinney (Birim Bazlı)'!$R$8:$R$100,'Analiz (Birim Bazlı)'!E$6)</f>
        <v>0</v>
      </c>
      <c r="F16" s="128">
        <f>COUNTIFS('RD Fine Kinney (Birim Bazlı)'!$D$8:$D$100,'Analiz (Birim Bazlı)'!$B16,'RD Fine Kinney (Birim Bazlı)'!$R$8:$R$100,'Analiz (Birim Bazlı)'!F$6)</f>
        <v>0</v>
      </c>
      <c r="G16" s="128">
        <f>COUNTIFS('RD Fine Kinney (Birim Bazlı)'!$D$8:$D$100,'Analiz (Birim Bazlı)'!$B16,'RD Fine Kinney (Birim Bazlı)'!$R$8:$R$100,'Analiz (Birim Bazlı)'!G$6)</f>
        <v>0</v>
      </c>
      <c r="H16" s="179">
        <f t="shared" si="0"/>
        <v>0</v>
      </c>
      <c r="I16" s="128">
        <f>COUNTIFS('RD Fine Kinney (Birim Bazlı)'!$D$8:$D$100,'Analiz (Birim Bazlı)'!$B16,'RD Fine Kinney (Birim Bazlı)'!$AC$8:$AC$100,'Analiz (Birim Bazlı)'!I$6)</f>
        <v>0</v>
      </c>
      <c r="J16" s="128">
        <f>COUNTIFS('RD Fine Kinney (Birim Bazlı)'!$D$8:$D$100,'Analiz (Birim Bazlı)'!$B16,'RD Fine Kinney (Birim Bazlı)'!$AC$8:$AC$100,'Analiz (Birim Bazlı)'!J$6)</f>
        <v>0</v>
      </c>
      <c r="K16" s="128">
        <f>COUNTIFS('RD Fine Kinney (Birim Bazlı)'!$D$8:$D$100,'Analiz (Birim Bazlı)'!$B16,'RD Fine Kinney (Birim Bazlı)'!$AC$8:$AC$100,'Analiz (Birim Bazlı)'!K$6)</f>
        <v>0</v>
      </c>
      <c r="L16" s="128">
        <f>COUNTIFS('RD Fine Kinney (Birim Bazlı)'!$D$8:$D$100,'Analiz (Birim Bazlı)'!$B16,'RD Fine Kinney (Birim Bazlı)'!$AC$8:$AC$100,'Analiz (Birim Bazlı)'!L$6)</f>
        <v>0</v>
      </c>
      <c r="M16" s="128">
        <f>COUNTIFS('RD Fine Kinney (Birim Bazlı)'!$D$8:$D$100,'Analiz (Birim Bazlı)'!$B16,'RD Fine Kinney (Birim Bazlı)'!$AC$8:$AC$100,'Analiz (Birim Bazlı)'!M$6)</f>
        <v>0</v>
      </c>
      <c r="N16" s="140">
        <f t="shared" si="1"/>
        <v>0</v>
      </c>
    </row>
    <row r="17" spans="2:14" ht="18" customHeight="1" outlineLevel="1" thickTop="1" thickBot="1">
      <c r="B17" s="131" t="s">
        <v>341</v>
      </c>
      <c r="C17" s="144">
        <f>COUNTIFS('RD Fine Kinney (Birim Bazlı)'!$D$8:$D$100,'Analiz (Birim Bazlı)'!$B17,'RD Fine Kinney (Birim Bazlı)'!$R$8:$R$100,'Analiz (Birim Bazlı)'!C$6)</f>
        <v>0</v>
      </c>
      <c r="D17" s="128">
        <f>COUNTIFS('RD Fine Kinney (Birim Bazlı)'!$D$8:$D$100,'Analiz (Birim Bazlı)'!$B17,'RD Fine Kinney (Birim Bazlı)'!$R$8:$R$100,'Analiz (Birim Bazlı)'!D$6)</f>
        <v>0</v>
      </c>
      <c r="E17" s="128">
        <f>COUNTIFS('RD Fine Kinney (Birim Bazlı)'!$D$8:$D$100,'Analiz (Birim Bazlı)'!$B17,'RD Fine Kinney (Birim Bazlı)'!$R$8:$R$100,'Analiz (Birim Bazlı)'!E$6)</f>
        <v>0</v>
      </c>
      <c r="F17" s="128">
        <f>COUNTIFS('RD Fine Kinney (Birim Bazlı)'!$D$8:$D$100,'Analiz (Birim Bazlı)'!$B17,'RD Fine Kinney (Birim Bazlı)'!$R$8:$R$100,'Analiz (Birim Bazlı)'!F$6)</f>
        <v>0</v>
      </c>
      <c r="G17" s="128">
        <f>COUNTIFS('RD Fine Kinney (Birim Bazlı)'!$D$8:$D$100,'Analiz (Birim Bazlı)'!$B17,'RD Fine Kinney (Birim Bazlı)'!$R$8:$R$100,'Analiz (Birim Bazlı)'!G$6)</f>
        <v>0</v>
      </c>
      <c r="H17" s="179">
        <f t="shared" si="0"/>
        <v>0</v>
      </c>
      <c r="I17" s="128">
        <f>COUNTIFS('RD Fine Kinney (Birim Bazlı)'!$D$8:$D$100,'Analiz (Birim Bazlı)'!$B17,'RD Fine Kinney (Birim Bazlı)'!$AC$8:$AC$100,'Analiz (Birim Bazlı)'!I$6)</f>
        <v>0</v>
      </c>
      <c r="J17" s="128">
        <f>COUNTIFS('RD Fine Kinney (Birim Bazlı)'!$D$8:$D$100,'Analiz (Birim Bazlı)'!$B17,'RD Fine Kinney (Birim Bazlı)'!$AC$8:$AC$100,'Analiz (Birim Bazlı)'!J$6)</f>
        <v>0</v>
      </c>
      <c r="K17" s="128">
        <f>COUNTIFS('RD Fine Kinney (Birim Bazlı)'!$D$8:$D$100,'Analiz (Birim Bazlı)'!$B17,'RD Fine Kinney (Birim Bazlı)'!$AC$8:$AC$100,'Analiz (Birim Bazlı)'!K$6)</f>
        <v>0</v>
      </c>
      <c r="L17" s="146">
        <f>COUNTIFS('RD Fine Kinney (Birim Bazlı)'!$D$8:$D$100,'Analiz (Birim Bazlı)'!$B17,'RD Fine Kinney (Birim Bazlı)'!$AC$8:$AC$100,'Analiz (Birim Bazlı)'!L$6)</f>
        <v>0</v>
      </c>
      <c r="M17" s="128">
        <f>COUNTIFS('RD Fine Kinney (Birim Bazlı)'!$D$8:$D$100,'Analiz (Birim Bazlı)'!$B17,'RD Fine Kinney (Birim Bazlı)'!$AC$8:$AC$100,'Analiz (Birim Bazlı)'!M$6)</f>
        <v>0</v>
      </c>
      <c r="N17" s="140">
        <f t="shared" si="1"/>
        <v>0</v>
      </c>
    </row>
    <row r="18" spans="2:14" ht="18" customHeight="1" thickTop="1" thickBot="1">
      <c r="B18" s="132" t="s">
        <v>124</v>
      </c>
      <c r="C18" s="130">
        <f>COUNTIFS('RD Fine Kinney (Birim Bazlı)'!$C$8:$C$100,'Analiz (Birim Bazlı)'!$B18,'RD Fine Kinney (Birim Bazlı)'!$R$8:$R$100,'Analiz (Birim Bazlı)'!C$6)</f>
        <v>0</v>
      </c>
      <c r="D18" s="145">
        <f>COUNTIFS('RD Fine Kinney (Birim Bazlı)'!$C$8:$C$100,'Analiz (Birim Bazlı)'!$B18,'RD Fine Kinney (Birim Bazlı)'!$R$8:$R$100,'Analiz (Birim Bazlı)'!D$6)</f>
        <v>0</v>
      </c>
      <c r="E18" s="145">
        <f>COUNTIFS('RD Fine Kinney (Birim Bazlı)'!$C$8:$C$100,'Analiz (Birim Bazlı)'!$B18,'RD Fine Kinney (Birim Bazlı)'!$R$8:$R$100,'Analiz (Birim Bazlı)'!E$6)</f>
        <v>0</v>
      </c>
      <c r="F18" s="145">
        <f>COUNTIFS('RD Fine Kinney (Birim Bazlı)'!$C$8:$C$100,'Analiz (Birim Bazlı)'!$B18,'RD Fine Kinney (Birim Bazlı)'!$R$8:$R$100,'Analiz (Birim Bazlı)'!F$6)</f>
        <v>0</v>
      </c>
      <c r="G18" s="145">
        <f>COUNTIFS('RD Fine Kinney (Birim Bazlı)'!$C$8:$C$100,'Analiz (Birim Bazlı)'!$B18,'RD Fine Kinney (Birim Bazlı)'!$R$8:$R$100,'Analiz (Birim Bazlı)'!G$6)</f>
        <v>0</v>
      </c>
      <c r="H18" s="175">
        <f t="shared" si="0"/>
        <v>0</v>
      </c>
      <c r="I18" s="169">
        <f>COUNTIFS('RD Fine Kinney (Birim Bazlı)'!$C$8:$C$100,'Analiz (Birim Bazlı)'!$B18,'RD Fine Kinney (Birim Bazlı)'!$AC$8:$AC$100,'Analiz (Birim Bazlı)'!I$6)</f>
        <v>0</v>
      </c>
      <c r="J18" s="145">
        <f>COUNTIFS('RD Fine Kinney (Birim Bazlı)'!$C$8:$C$100,'Analiz (Birim Bazlı)'!$B18,'RD Fine Kinney (Birim Bazlı)'!$AC$8:$AC$100,'Analiz (Birim Bazlı)'!J$6)</f>
        <v>0</v>
      </c>
      <c r="K18" s="145">
        <f>COUNTIFS('RD Fine Kinney (Birim Bazlı)'!$C$8:$C$100,'Analiz (Birim Bazlı)'!$B18,'RD Fine Kinney (Birim Bazlı)'!$AC$8:$AC$100,'Analiz (Birim Bazlı)'!K$6)</f>
        <v>0</v>
      </c>
      <c r="L18" s="130">
        <f>COUNTIFS('RD Fine Kinney (Birim Bazlı)'!$C$8:$C$100,'Analiz (Birim Bazlı)'!$B18,'RD Fine Kinney (Birim Bazlı)'!$AC$8:$AC$100,'Analiz (Birim Bazlı)'!L$6)</f>
        <v>0</v>
      </c>
      <c r="M18" s="145">
        <f>COUNTIFS('RD Fine Kinney (Birim Bazlı)'!$C$8:$C$100,'Analiz (Birim Bazlı)'!$B18,'RD Fine Kinney (Birim Bazlı)'!$AC$8:$AC$100,'Analiz (Birim Bazlı)'!M$6)</f>
        <v>0</v>
      </c>
      <c r="N18" s="145">
        <f t="shared" si="1"/>
        <v>0</v>
      </c>
    </row>
    <row r="19" spans="2:14" ht="18" customHeight="1" outlineLevel="1" thickTop="1" thickBot="1">
      <c r="B19" s="133" t="s">
        <v>303</v>
      </c>
      <c r="C19" s="128">
        <f>COUNTIFS('RD Fine Kinney (Birim Bazlı)'!$D$8:$D$100,'Analiz (Birim Bazlı)'!$B19,'RD Fine Kinney (Birim Bazlı)'!$R$8:$R$100,'Analiz (Birim Bazlı)'!C$6)</f>
        <v>0</v>
      </c>
      <c r="D19" s="128">
        <f>COUNTIFS('RD Fine Kinney (Birim Bazlı)'!$D$8:$D$100,'Analiz (Birim Bazlı)'!$B19,'RD Fine Kinney (Birim Bazlı)'!$R$8:$R$100,'Analiz (Birim Bazlı)'!D$6)</f>
        <v>0</v>
      </c>
      <c r="E19" s="128">
        <f>COUNTIFS('RD Fine Kinney (Birim Bazlı)'!$D$8:$D$100,'Analiz (Birim Bazlı)'!$B19,'RD Fine Kinney (Birim Bazlı)'!$R$8:$R$100,'Analiz (Birim Bazlı)'!E$6)</f>
        <v>0</v>
      </c>
      <c r="F19" s="128">
        <f>COUNTIFS('RD Fine Kinney (Birim Bazlı)'!$D$8:$D$100,'Analiz (Birim Bazlı)'!$B19,'RD Fine Kinney (Birim Bazlı)'!$R$8:$R$100,'Analiz (Birim Bazlı)'!F$6)</f>
        <v>0</v>
      </c>
      <c r="G19" s="128">
        <f>COUNTIFS('RD Fine Kinney (Birim Bazlı)'!$D$8:$D$100,'Analiz (Birim Bazlı)'!$B19,'RD Fine Kinney (Birim Bazlı)'!$R$8:$R$100,'Analiz (Birim Bazlı)'!G$6)</f>
        <v>0</v>
      </c>
      <c r="H19" s="179">
        <f t="shared" si="0"/>
        <v>0</v>
      </c>
      <c r="I19" s="128">
        <f>COUNTIFS('RD Fine Kinney (Birim Bazlı)'!$D$8:$D$100,'Analiz (Birim Bazlı)'!$B19,'RD Fine Kinney (Birim Bazlı)'!$AC$8:$AC$100,'Analiz (Birim Bazlı)'!I$6)</f>
        <v>0</v>
      </c>
      <c r="J19" s="128">
        <f>COUNTIFS('RD Fine Kinney (Birim Bazlı)'!$D$8:$D$100,'Analiz (Birim Bazlı)'!$B19,'RD Fine Kinney (Birim Bazlı)'!$AC$8:$AC$100,'Analiz (Birim Bazlı)'!J$6)</f>
        <v>0</v>
      </c>
      <c r="K19" s="128">
        <f>COUNTIFS('RD Fine Kinney (Birim Bazlı)'!$D$8:$D$100,'Analiz (Birim Bazlı)'!$B19,'RD Fine Kinney (Birim Bazlı)'!$AC$8:$AC$100,'Analiz (Birim Bazlı)'!K$6)</f>
        <v>0</v>
      </c>
      <c r="L19" s="128">
        <f>COUNTIFS('RD Fine Kinney (Birim Bazlı)'!$D$8:$D$100,'Analiz (Birim Bazlı)'!$B19,'RD Fine Kinney (Birim Bazlı)'!$AC$8:$AC$100,'Analiz (Birim Bazlı)'!L$6)</f>
        <v>0</v>
      </c>
      <c r="M19" s="128">
        <f>COUNTIFS('RD Fine Kinney (Birim Bazlı)'!$D$8:$D$100,'Analiz (Birim Bazlı)'!$B19,'RD Fine Kinney (Birim Bazlı)'!$AC$8:$AC$100,'Analiz (Birim Bazlı)'!M$6)</f>
        <v>0</v>
      </c>
      <c r="N19" s="140">
        <f t="shared" si="1"/>
        <v>0</v>
      </c>
    </row>
    <row r="20" spans="2:14" ht="18" customHeight="1" outlineLevel="1" thickTop="1" thickBot="1">
      <c r="B20" s="133" t="s">
        <v>304</v>
      </c>
      <c r="C20" s="128">
        <f>COUNTIFS('RD Fine Kinney (Birim Bazlı)'!$D$8:$D$100,'Analiz (Birim Bazlı)'!$B20,'RD Fine Kinney (Birim Bazlı)'!$R$8:$R$100,'Analiz (Birim Bazlı)'!C$6)</f>
        <v>0</v>
      </c>
      <c r="D20" s="128">
        <f>COUNTIFS('RD Fine Kinney (Birim Bazlı)'!$D$8:$D$100,'Analiz (Birim Bazlı)'!$B20,'RD Fine Kinney (Birim Bazlı)'!$R$8:$R$100,'Analiz (Birim Bazlı)'!D$6)</f>
        <v>0</v>
      </c>
      <c r="E20" s="128">
        <f>COUNTIFS('RD Fine Kinney (Birim Bazlı)'!$D$8:$D$100,'Analiz (Birim Bazlı)'!$B20,'RD Fine Kinney (Birim Bazlı)'!$R$8:$R$100,'Analiz (Birim Bazlı)'!E$6)</f>
        <v>0</v>
      </c>
      <c r="F20" s="128">
        <f>COUNTIFS('RD Fine Kinney (Birim Bazlı)'!$D$8:$D$100,'Analiz (Birim Bazlı)'!$B20,'RD Fine Kinney (Birim Bazlı)'!$R$8:$R$100,'Analiz (Birim Bazlı)'!F$6)</f>
        <v>0</v>
      </c>
      <c r="G20" s="128">
        <f>COUNTIFS('RD Fine Kinney (Birim Bazlı)'!$D$8:$D$100,'Analiz (Birim Bazlı)'!$B20,'RD Fine Kinney (Birim Bazlı)'!$R$8:$R$100,'Analiz (Birim Bazlı)'!G$6)</f>
        <v>0</v>
      </c>
      <c r="H20" s="179">
        <f t="shared" si="0"/>
        <v>0</v>
      </c>
      <c r="I20" s="128">
        <f>COUNTIFS('RD Fine Kinney (Birim Bazlı)'!$D$8:$D$100,'Analiz (Birim Bazlı)'!$B20,'RD Fine Kinney (Birim Bazlı)'!$AC$8:$AC$100,'Analiz (Birim Bazlı)'!I$6)</f>
        <v>0</v>
      </c>
      <c r="J20" s="128">
        <f>COUNTIFS('RD Fine Kinney (Birim Bazlı)'!$D$8:$D$100,'Analiz (Birim Bazlı)'!$B20,'RD Fine Kinney (Birim Bazlı)'!$AC$8:$AC$100,'Analiz (Birim Bazlı)'!J$6)</f>
        <v>0</v>
      </c>
      <c r="K20" s="128">
        <f>COUNTIFS('RD Fine Kinney (Birim Bazlı)'!$D$8:$D$100,'Analiz (Birim Bazlı)'!$B20,'RD Fine Kinney (Birim Bazlı)'!$AC$8:$AC$100,'Analiz (Birim Bazlı)'!K$6)</f>
        <v>0</v>
      </c>
      <c r="L20" s="128">
        <f>COUNTIFS('RD Fine Kinney (Birim Bazlı)'!$D$8:$D$100,'Analiz (Birim Bazlı)'!$B20,'RD Fine Kinney (Birim Bazlı)'!$AC$8:$AC$100,'Analiz (Birim Bazlı)'!L$6)</f>
        <v>0</v>
      </c>
      <c r="M20" s="128">
        <f>COUNTIFS('RD Fine Kinney (Birim Bazlı)'!$D$8:$D$100,'Analiz (Birim Bazlı)'!$B20,'RD Fine Kinney (Birim Bazlı)'!$AC$8:$AC$100,'Analiz (Birim Bazlı)'!M$6)</f>
        <v>0</v>
      </c>
      <c r="N20" s="140">
        <f t="shared" si="1"/>
        <v>0</v>
      </c>
    </row>
    <row r="21" spans="2:14" ht="18" customHeight="1" outlineLevel="1" thickTop="1" thickBot="1">
      <c r="B21" s="133" t="s">
        <v>305</v>
      </c>
      <c r="C21" s="128">
        <f>COUNTIFS('RD Fine Kinney (Birim Bazlı)'!$D$8:$D$100,'Analiz (Birim Bazlı)'!$B21,'RD Fine Kinney (Birim Bazlı)'!$R$8:$R$100,'Analiz (Birim Bazlı)'!C$6)</f>
        <v>0</v>
      </c>
      <c r="D21" s="128">
        <f>COUNTIFS('RD Fine Kinney (Birim Bazlı)'!$D$8:$D$100,'Analiz (Birim Bazlı)'!$B21,'RD Fine Kinney (Birim Bazlı)'!$R$8:$R$100,'Analiz (Birim Bazlı)'!D$6)</f>
        <v>0</v>
      </c>
      <c r="E21" s="128">
        <f>COUNTIFS('RD Fine Kinney (Birim Bazlı)'!$D$8:$D$100,'Analiz (Birim Bazlı)'!$B21,'RD Fine Kinney (Birim Bazlı)'!$R$8:$R$100,'Analiz (Birim Bazlı)'!E$6)</f>
        <v>0</v>
      </c>
      <c r="F21" s="128">
        <f>COUNTIFS('RD Fine Kinney (Birim Bazlı)'!$D$8:$D$100,'Analiz (Birim Bazlı)'!$B21,'RD Fine Kinney (Birim Bazlı)'!$R$8:$R$100,'Analiz (Birim Bazlı)'!F$6)</f>
        <v>0</v>
      </c>
      <c r="G21" s="128">
        <f>COUNTIFS('RD Fine Kinney (Birim Bazlı)'!$D$8:$D$100,'Analiz (Birim Bazlı)'!$B21,'RD Fine Kinney (Birim Bazlı)'!$R$8:$R$100,'Analiz (Birim Bazlı)'!G$6)</f>
        <v>0</v>
      </c>
      <c r="H21" s="179">
        <f t="shared" si="0"/>
        <v>0</v>
      </c>
      <c r="I21" s="128">
        <f>COUNTIFS('RD Fine Kinney (Birim Bazlı)'!$D$8:$D$100,'Analiz (Birim Bazlı)'!$B21,'RD Fine Kinney (Birim Bazlı)'!$AC$8:$AC$100,'Analiz (Birim Bazlı)'!I$6)</f>
        <v>0</v>
      </c>
      <c r="J21" s="128">
        <f>COUNTIFS('RD Fine Kinney (Birim Bazlı)'!$D$8:$D$100,'Analiz (Birim Bazlı)'!$B21,'RD Fine Kinney (Birim Bazlı)'!$AC$8:$AC$100,'Analiz (Birim Bazlı)'!J$6)</f>
        <v>0</v>
      </c>
      <c r="K21" s="128">
        <f>COUNTIFS('RD Fine Kinney (Birim Bazlı)'!$D$8:$D$100,'Analiz (Birim Bazlı)'!$B21,'RD Fine Kinney (Birim Bazlı)'!$AC$8:$AC$100,'Analiz (Birim Bazlı)'!K$6)</f>
        <v>0</v>
      </c>
      <c r="L21" s="128">
        <f>COUNTIFS('RD Fine Kinney (Birim Bazlı)'!$D$8:$D$100,'Analiz (Birim Bazlı)'!$B21,'RD Fine Kinney (Birim Bazlı)'!$AC$8:$AC$100,'Analiz (Birim Bazlı)'!L$6)</f>
        <v>0</v>
      </c>
      <c r="M21" s="128">
        <f>COUNTIFS('RD Fine Kinney (Birim Bazlı)'!$D$8:$D$100,'Analiz (Birim Bazlı)'!$B21,'RD Fine Kinney (Birim Bazlı)'!$AC$8:$AC$100,'Analiz (Birim Bazlı)'!M$6)</f>
        <v>0</v>
      </c>
      <c r="N21" s="140">
        <f t="shared" si="1"/>
        <v>0</v>
      </c>
    </row>
    <row r="22" spans="2:14" ht="18" customHeight="1" outlineLevel="1" thickTop="1" thickBot="1">
      <c r="B22" s="133" t="s">
        <v>53</v>
      </c>
      <c r="C22" s="128">
        <f>COUNTIFS('RD Fine Kinney (Birim Bazlı)'!$D$8:$D$100,'Analiz (Birim Bazlı)'!$B22,'RD Fine Kinney (Birim Bazlı)'!$R$8:$R$100,'Analiz (Birim Bazlı)'!C$6)</f>
        <v>0</v>
      </c>
      <c r="D22" s="128">
        <f>COUNTIFS('RD Fine Kinney (Birim Bazlı)'!$D$8:$D$100,'Analiz (Birim Bazlı)'!$B22,'RD Fine Kinney (Birim Bazlı)'!$R$8:$R$100,'Analiz (Birim Bazlı)'!D$6)</f>
        <v>0</v>
      </c>
      <c r="E22" s="128">
        <f>COUNTIFS('RD Fine Kinney (Birim Bazlı)'!$D$8:$D$100,'Analiz (Birim Bazlı)'!$B22,'RD Fine Kinney (Birim Bazlı)'!$R$8:$R$100,'Analiz (Birim Bazlı)'!E$6)</f>
        <v>0</v>
      </c>
      <c r="F22" s="128">
        <f>COUNTIFS('RD Fine Kinney (Birim Bazlı)'!$D$8:$D$100,'Analiz (Birim Bazlı)'!$B22,'RD Fine Kinney (Birim Bazlı)'!$R$8:$R$100,'Analiz (Birim Bazlı)'!F$6)</f>
        <v>0</v>
      </c>
      <c r="G22" s="128">
        <f>COUNTIFS('RD Fine Kinney (Birim Bazlı)'!$D$8:$D$100,'Analiz (Birim Bazlı)'!$B22,'RD Fine Kinney (Birim Bazlı)'!$R$8:$R$100,'Analiz (Birim Bazlı)'!G$6)</f>
        <v>0</v>
      </c>
      <c r="H22" s="179">
        <f t="shared" si="0"/>
        <v>0</v>
      </c>
      <c r="I22" s="128">
        <f>COUNTIFS('RD Fine Kinney (Birim Bazlı)'!$D$8:$D$100,'Analiz (Birim Bazlı)'!$B22,'RD Fine Kinney (Birim Bazlı)'!$AC$8:$AC$100,'Analiz (Birim Bazlı)'!I$6)</f>
        <v>0</v>
      </c>
      <c r="J22" s="128">
        <f>COUNTIFS('RD Fine Kinney (Birim Bazlı)'!$D$8:$D$100,'Analiz (Birim Bazlı)'!$B22,'RD Fine Kinney (Birim Bazlı)'!$AC$8:$AC$100,'Analiz (Birim Bazlı)'!J$6)</f>
        <v>0</v>
      </c>
      <c r="K22" s="128">
        <f>COUNTIFS('RD Fine Kinney (Birim Bazlı)'!$D$8:$D$100,'Analiz (Birim Bazlı)'!$B22,'RD Fine Kinney (Birim Bazlı)'!$AC$8:$AC$100,'Analiz (Birim Bazlı)'!K$6)</f>
        <v>0</v>
      </c>
      <c r="L22" s="128">
        <f>COUNTIFS('RD Fine Kinney (Birim Bazlı)'!$D$8:$D$100,'Analiz (Birim Bazlı)'!$B22,'RD Fine Kinney (Birim Bazlı)'!$AC$8:$AC$100,'Analiz (Birim Bazlı)'!L$6)</f>
        <v>0</v>
      </c>
      <c r="M22" s="128">
        <f>COUNTIFS('RD Fine Kinney (Birim Bazlı)'!$D$8:$D$100,'Analiz (Birim Bazlı)'!$B22,'RD Fine Kinney (Birim Bazlı)'!$AC$8:$AC$100,'Analiz (Birim Bazlı)'!M$6)</f>
        <v>0</v>
      </c>
      <c r="N22" s="140">
        <f t="shared" si="1"/>
        <v>0</v>
      </c>
    </row>
    <row r="23" spans="2:14" ht="18" customHeight="1" outlineLevel="1" thickTop="1" thickBot="1">
      <c r="B23" s="133" t="s">
        <v>55</v>
      </c>
      <c r="C23" s="128">
        <f>COUNTIFS('RD Fine Kinney (Birim Bazlı)'!$D$8:$D$100,'Analiz (Birim Bazlı)'!$B23,'RD Fine Kinney (Birim Bazlı)'!$R$8:$R$100,'Analiz (Birim Bazlı)'!C$6)</f>
        <v>0</v>
      </c>
      <c r="D23" s="128">
        <f>COUNTIFS('RD Fine Kinney (Birim Bazlı)'!$D$8:$D$100,'Analiz (Birim Bazlı)'!$B23,'RD Fine Kinney (Birim Bazlı)'!$R$8:$R$100,'Analiz (Birim Bazlı)'!D$6)</f>
        <v>0</v>
      </c>
      <c r="E23" s="128">
        <f>COUNTIFS('RD Fine Kinney (Birim Bazlı)'!$D$8:$D$100,'Analiz (Birim Bazlı)'!$B23,'RD Fine Kinney (Birim Bazlı)'!$R$8:$R$100,'Analiz (Birim Bazlı)'!E$6)</f>
        <v>0</v>
      </c>
      <c r="F23" s="128">
        <f>COUNTIFS('RD Fine Kinney (Birim Bazlı)'!$D$8:$D$100,'Analiz (Birim Bazlı)'!$B23,'RD Fine Kinney (Birim Bazlı)'!$R$8:$R$100,'Analiz (Birim Bazlı)'!F$6)</f>
        <v>0</v>
      </c>
      <c r="G23" s="128">
        <f>COUNTIFS('RD Fine Kinney (Birim Bazlı)'!$D$8:$D$100,'Analiz (Birim Bazlı)'!$B23,'RD Fine Kinney (Birim Bazlı)'!$R$8:$R$100,'Analiz (Birim Bazlı)'!G$6)</f>
        <v>0</v>
      </c>
      <c r="H23" s="179">
        <f t="shared" si="0"/>
        <v>0</v>
      </c>
      <c r="I23" s="128">
        <f>COUNTIFS('RD Fine Kinney (Birim Bazlı)'!$D$8:$D$100,'Analiz (Birim Bazlı)'!$B23,'RD Fine Kinney (Birim Bazlı)'!$AC$8:$AC$100,'Analiz (Birim Bazlı)'!I$6)</f>
        <v>0</v>
      </c>
      <c r="J23" s="128">
        <f>COUNTIFS('RD Fine Kinney (Birim Bazlı)'!$D$8:$D$100,'Analiz (Birim Bazlı)'!$B23,'RD Fine Kinney (Birim Bazlı)'!$AC$8:$AC$100,'Analiz (Birim Bazlı)'!J$6)</f>
        <v>0</v>
      </c>
      <c r="K23" s="128">
        <f>COUNTIFS('RD Fine Kinney (Birim Bazlı)'!$D$8:$D$100,'Analiz (Birim Bazlı)'!$B23,'RD Fine Kinney (Birim Bazlı)'!$AC$8:$AC$100,'Analiz (Birim Bazlı)'!K$6)</f>
        <v>0</v>
      </c>
      <c r="L23" s="128">
        <f>COUNTIFS('RD Fine Kinney (Birim Bazlı)'!$D$8:$D$100,'Analiz (Birim Bazlı)'!$B23,'RD Fine Kinney (Birim Bazlı)'!$AC$8:$AC$100,'Analiz (Birim Bazlı)'!L$6)</f>
        <v>0</v>
      </c>
      <c r="M23" s="128">
        <f>COUNTIFS('RD Fine Kinney (Birim Bazlı)'!$D$8:$D$100,'Analiz (Birim Bazlı)'!$B23,'RD Fine Kinney (Birim Bazlı)'!$AC$8:$AC$100,'Analiz (Birim Bazlı)'!M$6)</f>
        <v>0</v>
      </c>
      <c r="N23" s="140">
        <f t="shared" si="1"/>
        <v>0</v>
      </c>
    </row>
    <row r="24" spans="2:14" ht="18" customHeight="1" outlineLevel="1" thickTop="1" thickBot="1">
      <c r="B24" s="133" t="s">
        <v>57</v>
      </c>
      <c r="C24" s="128">
        <f>COUNTIFS('RD Fine Kinney (Birim Bazlı)'!$D$8:$D$100,'Analiz (Birim Bazlı)'!$B24,'RD Fine Kinney (Birim Bazlı)'!$R$8:$R$100,'Analiz (Birim Bazlı)'!C$6)</f>
        <v>0</v>
      </c>
      <c r="D24" s="128">
        <f>COUNTIFS('RD Fine Kinney (Birim Bazlı)'!$D$8:$D$100,'Analiz (Birim Bazlı)'!$B24,'RD Fine Kinney (Birim Bazlı)'!$R$8:$R$100,'Analiz (Birim Bazlı)'!D$6)</f>
        <v>0</v>
      </c>
      <c r="E24" s="128">
        <f>COUNTIFS('RD Fine Kinney (Birim Bazlı)'!$D$8:$D$100,'Analiz (Birim Bazlı)'!$B24,'RD Fine Kinney (Birim Bazlı)'!$R$8:$R$100,'Analiz (Birim Bazlı)'!E$6)</f>
        <v>0</v>
      </c>
      <c r="F24" s="128">
        <f>COUNTIFS('RD Fine Kinney (Birim Bazlı)'!$D$8:$D$100,'Analiz (Birim Bazlı)'!$B24,'RD Fine Kinney (Birim Bazlı)'!$R$8:$R$100,'Analiz (Birim Bazlı)'!F$6)</f>
        <v>0</v>
      </c>
      <c r="G24" s="128">
        <f>COUNTIFS('RD Fine Kinney (Birim Bazlı)'!$D$8:$D$100,'Analiz (Birim Bazlı)'!$B24,'RD Fine Kinney (Birim Bazlı)'!$R$8:$R$100,'Analiz (Birim Bazlı)'!G$6)</f>
        <v>0</v>
      </c>
      <c r="H24" s="179">
        <f t="shared" si="0"/>
        <v>0</v>
      </c>
      <c r="I24" s="128">
        <f>COUNTIFS('RD Fine Kinney (Birim Bazlı)'!$D$8:$D$100,'Analiz (Birim Bazlı)'!$B24,'RD Fine Kinney (Birim Bazlı)'!$AC$8:$AC$100,'Analiz (Birim Bazlı)'!I$6)</f>
        <v>0</v>
      </c>
      <c r="J24" s="128">
        <f>COUNTIFS('RD Fine Kinney (Birim Bazlı)'!$D$8:$D$100,'Analiz (Birim Bazlı)'!$B24,'RD Fine Kinney (Birim Bazlı)'!$AC$8:$AC$100,'Analiz (Birim Bazlı)'!J$6)</f>
        <v>0</v>
      </c>
      <c r="K24" s="128">
        <f>COUNTIFS('RD Fine Kinney (Birim Bazlı)'!$D$8:$D$100,'Analiz (Birim Bazlı)'!$B24,'RD Fine Kinney (Birim Bazlı)'!$AC$8:$AC$100,'Analiz (Birim Bazlı)'!K$6)</f>
        <v>0</v>
      </c>
      <c r="L24" s="128">
        <f>COUNTIFS('RD Fine Kinney (Birim Bazlı)'!$D$8:$D$100,'Analiz (Birim Bazlı)'!$B24,'RD Fine Kinney (Birim Bazlı)'!$AC$8:$AC$100,'Analiz (Birim Bazlı)'!L$6)</f>
        <v>0</v>
      </c>
      <c r="M24" s="128">
        <f>COUNTIFS('RD Fine Kinney (Birim Bazlı)'!$D$8:$D$100,'Analiz (Birim Bazlı)'!$B24,'RD Fine Kinney (Birim Bazlı)'!$AC$8:$AC$100,'Analiz (Birim Bazlı)'!M$6)</f>
        <v>0</v>
      </c>
      <c r="N24" s="140">
        <f t="shared" si="1"/>
        <v>0</v>
      </c>
    </row>
    <row r="25" spans="2:14" ht="18" customHeight="1" outlineLevel="1" thickTop="1" thickBot="1">
      <c r="B25" s="133" t="s">
        <v>56</v>
      </c>
      <c r="C25" s="128">
        <f>COUNTIFS('RD Fine Kinney (Birim Bazlı)'!$D$8:$D$100,'Analiz (Birim Bazlı)'!$B25,'RD Fine Kinney (Birim Bazlı)'!$R$8:$R$100,'Analiz (Birim Bazlı)'!C$6)</f>
        <v>0</v>
      </c>
      <c r="D25" s="128">
        <f>COUNTIFS('RD Fine Kinney (Birim Bazlı)'!$D$8:$D$100,'Analiz (Birim Bazlı)'!$B25,'RD Fine Kinney (Birim Bazlı)'!$R$8:$R$100,'Analiz (Birim Bazlı)'!D$6)</f>
        <v>0</v>
      </c>
      <c r="E25" s="128">
        <f>COUNTIFS('RD Fine Kinney (Birim Bazlı)'!$D$8:$D$100,'Analiz (Birim Bazlı)'!$B25,'RD Fine Kinney (Birim Bazlı)'!$R$8:$R$100,'Analiz (Birim Bazlı)'!E$6)</f>
        <v>0</v>
      </c>
      <c r="F25" s="128">
        <f>COUNTIFS('RD Fine Kinney (Birim Bazlı)'!$D$8:$D$100,'Analiz (Birim Bazlı)'!$B25,'RD Fine Kinney (Birim Bazlı)'!$R$8:$R$100,'Analiz (Birim Bazlı)'!F$6)</f>
        <v>0</v>
      </c>
      <c r="G25" s="128">
        <f>COUNTIFS('RD Fine Kinney (Birim Bazlı)'!$D$8:$D$100,'Analiz (Birim Bazlı)'!$B25,'RD Fine Kinney (Birim Bazlı)'!$R$8:$R$100,'Analiz (Birim Bazlı)'!G$6)</f>
        <v>0</v>
      </c>
      <c r="H25" s="179">
        <f t="shared" si="0"/>
        <v>0</v>
      </c>
      <c r="I25" s="128">
        <f>COUNTIFS('RD Fine Kinney (Birim Bazlı)'!$D$8:$D$100,'Analiz (Birim Bazlı)'!$B25,'RD Fine Kinney (Birim Bazlı)'!$AC$8:$AC$100,'Analiz (Birim Bazlı)'!I$6)</f>
        <v>0</v>
      </c>
      <c r="J25" s="128">
        <f>COUNTIFS('RD Fine Kinney (Birim Bazlı)'!$D$8:$D$100,'Analiz (Birim Bazlı)'!$B25,'RD Fine Kinney (Birim Bazlı)'!$AC$8:$AC$100,'Analiz (Birim Bazlı)'!J$6)</f>
        <v>0</v>
      </c>
      <c r="K25" s="128">
        <f>COUNTIFS('RD Fine Kinney (Birim Bazlı)'!$D$8:$D$100,'Analiz (Birim Bazlı)'!$B25,'RD Fine Kinney (Birim Bazlı)'!$AC$8:$AC$100,'Analiz (Birim Bazlı)'!K$6)</f>
        <v>0</v>
      </c>
      <c r="L25" s="128">
        <f>COUNTIFS('RD Fine Kinney (Birim Bazlı)'!$D$8:$D$100,'Analiz (Birim Bazlı)'!$B25,'RD Fine Kinney (Birim Bazlı)'!$AC$8:$AC$100,'Analiz (Birim Bazlı)'!L$6)</f>
        <v>0</v>
      </c>
      <c r="M25" s="128">
        <f>COUNTIFS('RD Fine Kinney (Birim Bazlı)'!$D$8:$D$100,'Analiz (Birim Bazlı)'!$B25,'RD Fine Kinney (Birim Bazlı)'!$AC$8:$AC$100,'Analiz (Birim Bazlı)'!M$6)</f>
        <v>0</v>
      </c>
      <c r="N25" s="140">
        <f t="shared" si="1"/>
        <v>0</v>
      </c>
    </row>
    <row r="26" spans="2:14" ht="18" customHeight="1" outlineLevel="1" thickTop="1" thickBot="1">
      <c r="B26" s="133" t="s">
        <v>54</v>
      </c>
      <c r="C26" s="128">
        <f>COUNTIFS('RD Fine Kinney (Birim Bazlı)'!$D$8:$D$100,'Analiz (Birim Bazlı)'!$B26,'RD Fine Kinney (Birim Bazlı)'!$R$8:$R$100,'Analiz (Birim Bazlı)'!C$6)</f>
        <v>0</v>
      </c>
      <c r="D26" s="128">
        <f>COUNTIFS('RD Fine Kinney (Birim Bazlı)'!$D$8:$D$100,'Analiz (Birim Bazlı)'!$B26,'RD Fine Kinney (Birim Bazlı)'!$R$8:$R$100,'Analiz (Birim Bazlı)'!D$6)</f>
        <v>0</v>
      </c>
      <c r="E26" s="128">
        <f>COUNTIFS('RD Fine Kinney (Birim Bazlı)'!$D$8:$D$100,'Analiz (Birim Bazlı)'!$B26,'RD Fine Kinney (Birim Bazlı)'!$R$8:$R$100,'Analiz (Birim Bazlı)'!E$6)</f>
        <v>0</v>
      </c>
      <c r="F26" s="128">
        <f>COUNTIFS('RD Fine Kinney (Birim Bazlı)'!$D$8:$D$100,'Analiz (Birim Bazlı)'!$B26,'RD Fine Kinney (Birim Bazlı)'!$R$8:$R$100,'Analiz (Birim Bazlı)'!F$6)</f>
        <v>0</v>
      </c>
      <c r="G26" s="128">
        <f>COUNTIFS('RD Fine Kinney (Birim Bazlı)'!$D$8:$D$100,'Analiz (Birim Bazlı)'!$B26,'RD Fine Kinney (Birim Bazlı)'!$R$8:$R$100,'Analiz (Birim Bazlı)'!G$6)</f>
        <v>0</v>
      </c>
      <c r="H26" s="179">
        <f t="shared" si="0"/>
        <v>0</v>
      </c>
      <c r="I26" s="148">
        <f>COUNTIFS('RD Fine Kinney (Birim Bazlı)'!$D$8:$D$100,'Analiz (Birim Bazlı)'!$B26,'RD Fine Kinney (Birim Bazlı)'!$AC$8:$AC$100,'Analiz (Birim Bazlı)'!I$6)</f>
        <v>0</v>
      </c>
      <c r="J26" s="148">
        <f>COUNTIFS('RD Fine Kinney (Birim Bazlı)'!$D$8:$D$100,'Analiz (Birim Bazlı)'!$B26,'RD Fine Kinney (Birim Bazlı)'!$AC$8:$AC$100,'Analiz (Birim Bazlı)'!J$6)</f>
        <v>0</v>
      </c>
      <c r="K26" s="128">
        <f>COUNTIFS('RD Fine Kinney (Birim Bazlı)'!$D$8:$D$100,'Analiz (Birim Bazlı)'!$B26,'RD Fine Kinney (Birim Bazlı)'!$AC$8:$AC$100,'Analiz (Birim Bazlı)'!K$6)</f>
        <v>0</v>
      </c>
      <c r="L26" s="148">
        <f>COUNTIFS('RD Fine Kinney (Birim Bazlı)'!$D$8:$D$100,'Analiz (Birim Bazlı)'!$B26,'RD Fine Kinney (Birim Bazlı)'!$AC$8:$AC$100,'Analiz (Birim Bazlı)'!L$6)</f>
        <v>0</v>
      </c>
      <c r="M26" s="148">
        <f>COUNTIFS('RD Fine Kinney (Birim Bazlı)'!$D$8:$D$100,'Analiz (Birim Bazlı)'!$B26,'RD Fine Kinney (Birim Bazlı)'!$AC$8:$AC$100,'Analiz (Birim Bazlı)'!M$6)</f>
        <v>0</v>
      </c>
      <c r="N26" s="140">
        <f t="shared" si="1"/>
        <v>0</v>
      </c>
    </row>
    <row r="27" spans="2:14" ht="18" customHeight="1" thickTop="1" thickBot="1">
      <c r="B27" s="134" t="s">
        <v>122</v>
      </c>
      <c r="C27" s="147">
        <f>COUNTIFS('RD Fine Kinney (Birim Bazlı)'!$C$8:$C$100,'Analiz (Birim Bazlı)'!$B27,'RD Fine Kinney (Birim Bazlı)'!$R$8:$R$100,'Analiz (Birim Bazlı)'!C$6)</f>
        <v>0</v>
      </c>
      <c r="D27" s="147">
        <f>COUNTIFS('RD Fine Kinney (Birim Bazlı)'!$C$8:$C$100,'Analiz (Birim Bazlı)'!$B27,'RD Fine Kinney (Birim Bazlı)'!$R$8:$R$100,'Analiz (Birim Bazlı)'!D$6)</f>
        <v>0</v>
      </c>
      <c r="E27" s="147">
        <f>COUNTIFS('RD Fine Kinney (Birim Bazlı)'!$C$8:$C$100,'Analiz (Birim Bazlı)'!$B27,'RD Fine Kinney (Birim Bazlı)'!$R$8:$R$100,'Analiz (Birim Bazlı)'!E$6)</f>
        <v>0</v>
      </c>
      <c r="F27" s="147">
        <f>COUNTIFS('RD Fine Kinney (Birim Bazlı)'!$C$8:$C$100,'Analiz (Birim Bazlı)'!$B27,'RD Fine Kinney (Birim Bazlı)'!$R$8:$R$100,'Analiz (Birim Bazlı)'!F$6)</f>
        <v>0</v>
      </c>
      <c r="G27" s="147">
        <f>COUNTIFS('RD Fine Kinney (Birim Bazlı)'!$C$8:$C$100,'Analiz (Birim Bazlı)'!$B27,'RD Fine Kinney (Birim Bazlı)'!$R$8:$R$100,'Analiz (Birim Bazlı)'!G$6)</f>
        <v>0</v>
      </c>
      <c r="H27" s="176">
        <f t="shared" si="0"/>
        <v>0</v>
      </c>
      <c r="I27" s="170">
        <f>COUNTIFS('RD Fine Kinney (Birim Bazlı)'!$C$8:$C$100,'Analiz (Birim Bazlı)'!$B27,'RD Fine Kinney (Birim Bazlı)'!$AC$8:$AC$100,'Analiz (Birim Bazlı)'!I$6)</f>
        <v>0</v>
      </c>
      <c r="J27" s="130">
        <f>COUNTIFS('RD Fine Kinney (Birim Bazlı)'!$C$8:$C$100,'Analiz (Birim Bazlı)'!$B27,'RD Fine Kinney (Birim Bazlı)'!$AC$8:$AC$100,'Analiz (Birim Bazlı)'!J$6)</f>
        <v>0</v>
      </c>
      <c r="K27" s="147">
        <f>COUNTIFS('RD Fine Kinney (Birim Bazlı)'!$C$8:$C$100,'Analiz (Birim Bazlı)'!$B27,'RD Fine Kinney (Birim Bazlı)'!$AC$8:$AC$100,'Analiz (Birim Bazlı)'!K$6)</f>
        <v>0</v>
      </c>
      <c r="L27" s="130">
        <f>COUNTIFS('RD Fine Kinney (Birim Bazlı)'!$C$8:$C$100,'Analiz (Birim Bazlı)'!$B27,'RD Fine Kinney (Birim Bazlı)'!$AC$8:$AC$100,'Analiz (Birim Bazlı)'!L$6)</f>
        <v>0</v>
      </c>
      <c r="M27" s="130">
        <f>COUNTIFS('RD Fine Kinney (Birim Bazlı)'!$C$8:$C$100,'Analiz (Birim Bazlı)'!$B27,'RD Fine Kinney (Birim Bazlı)'!$AC$8:$AC$100,'Analiz (Birim Bazlı)'!M$6)</f>
        <v>0</v>
      </c>
      <c r="N27" s="147">
        <f t="shared" si="1"/>
        <v>0</v>
      </c>
    </row>
    <row r="28" spans="2:14" ht="18" hidden="1" customHeight="1" outlineLevel="1" thickTop="1" thickBot="1">
      <c r="B28" s="135" t="s">
        <v>267</v>
      </c>
      <c r="C28" s="128">
        <f>COUNTIFS('RD Fine Kinney (Birim Bazlı)'!$D$8:$D$100,'Analiz (Birim Bazlı)'!$B28,'RD Fine Kinney (Birim Bazlı)'!$R$8:$R$100,'Analiz (Birim Bazlı)'!C$6)</f>
        <v>0</v>
      </c>
      <c r="D28" s="128">
        <f>COUNTIFS('RD Fine Kinney (Birim Bazlı)'!$D$8:$D$100,'Analiz (Birim Bazlı)'!$B28,'RD Fine Kinney (Birim Bazlı)'!$R$8:$R$100,'Analiz (Birim Bazlı)'!D$6)</f>
        <v>0</v>
      </c>
      <c r="E28" s="128">
        <f>COUNTIFS('RD Fine Kinney (Birim Bazlı)'!$D$8:$D$100,'Analiz (Birim Bazlı)'!$B28,'RD Fine Kinney (Birim Bazlı)'!$R$8:$R$100,'Analiz (Birim Bazlı)'!E$6)</f>
        <v>0</v>
      </c>
      <c r="F28" s="128">
        <f>COUNTIFS('RD Fine Kinney (Birim Bazlı)'!$D$8:$D$100,'Analiz (Birim Bazlı)'!$B28,'RD Fine Kinney (Birim Bazlı)'!$R$8:$R$100,'Analiz (Birim Bazlı)'!F$6)</f>
        <v>0</v>
      </c>
      <c r="G28" s="128">
        <f>COUNTIFS('RD Fine Kinney (Birim Bazlı)'!$D$8:$D$100,'Analiz (Birim Bazlı)'!$B28,'RD Fine Kinney (Birim Bazlı)'!$R$8:$R$100,'Analiz (Birim Bazlı)'!G$6)</f>
        <v>0</v>
      </c>
      <c r="H28" s="179">
        <f t="shared" si="0"/>
        <v>0</v>
      </c>
      <c r="I28" s="128">
        <f>COUNTIFS('RD Fine Kinney (Birim Bazlı)'!$D$8:$D$100,'Analiz (Birim Bazlı)'!$B28,'RD Fine Kinney (Birim Bazlı)'!$AC$8:$AC$100,'Analiz (Birim Bazlı)'!I$6)</f>
        <v>0</v>
      </c>
      <c r="J28" s="128">
        <f>COUNTIFS('RD Fine Kinney (Birim Bazlı)'!$D$8:$D$100,'Analiz (Birim Bazlı)'!$B28,'RD Fine Kinney (Birim Bazlı)'!$AC$8:$AC$100,'Analiz (Birim Bazlı)'!J$6)</f>
        <v>0</v>
      </c>
      <c r="K28" s="128">
        <f>COUNTIFS('RD Fine Kinney (Birim Bazlı)'!$D$8:$D$100,'Analiz (Birim Bazlı)'!$B28,'RD Fine Kinney (Birim Bazlı)'!$AC$8:$AC$100,'Analiz (Birim Bazlı)'!K$6)</f>
        <v>0</v>
      </c>
      <c r="L28" s="128">
        <f>COUNTIFS('RD Fine Kinney (Birim Bazlı)'!$D$8:$D$100,'Analiz (Birim Bazlı)'!$B28,'RD Fine Kinney (Birim Bazlı)'!$AC$8:$AC$100,'Analiz (Birim Bazlı)'!L$6)</f>
        <v>0</v>
      </c>
      <c r="M28" s="128">
        <f>COUNTIFS('RD Fine Kinney (Birim Bazlı)'!$D$8:$D$100,'Analiz (Birim Bazlı)'!$B28,'RD Fine Kinney (Birim Bazlı)'!$AC$8:$AC$100,'Analiz (Birim Bazlı)'!M$6)</f>
        <v>0</v>
      </c>
      <c r="N28" s="140">
        <f t="shared" si="1"/>
        <v>0</v>
      </c>
    </row>
    <row r="29" spans="2:14" ht="18" hidden="1" customHeight="1" outlineLevel="1" thickTop="1" thickBot="1">
      <c r="B29" s="135" t="s">
        <v>268</v>
      </c>
      <c r="C29" s="128">
        <f>COUNTIFS('RD Fine Kinney (Birim Bazlı)'!$D$8:$D$100,'Analiz (Birim Bazlı)'!$B29,'RD Fine Kinney (Birim Bazlı)'!$R$8:$R$100,'Analiz (Birim Bazlı)'!C$6)</f>
        <v>0</v>
      </c>
      <c r="D29" s="128">
        <f>COUNTIFS('RD Fine Kinney (Birim Bazlı)'!$D$8:$D$100,'Analiz (Birim Bazlı)'!$B29,'RD Fine Kinney (Birim Bazlı)'!$R$8:$R$100,'Analiz (Birim Bazlı)'!D$6)</f>
        <v>0</v>
      </c>
      <c r="E29" s="128">
        <f>COUNTIFS('RD Fine Kinney (Birim Bazlı)'!$D$8:$D$100,'Analiz (Birim Bazlı)'!$B29,'RD Fine Kinney (Birim Bazlı)'!$R$8:$R$100,'Analiz (Birim Bazlı)'!E$6)</f>
        <v>0</v>
      </c>
      <c r="F29" s="128">
        <f>COUNTIFS('RD Fine Kinney (Birim Bazlı)'!$D$8:$D$100,'Analiz (Birim Bazlı)'!$B29,'RD Fine Kinney (Birim Bazlı)'!$R$8:$R$100,'Analiz (Birim Bazlı)'!F$6)</f>
        <v>0</v>
      </c>
      <c r="G29" s="128">
        <f>COUNTIFS('RD Fine Kinney (Birim Bazlı)'!$D$8:$D$100,'Analiz (Birim Bazlı)'!$B29,'RD Fine Kinney (Birim Bazlı)'!$R$8:$R$100,'Analiz (Birim Bazlı)'!G$6)</f>
        <v>0</v>
      </c>
      <c r="H29" s="179">
        <f t="shared" si="0"/>
        <v>0</v>
      </c>
      <c r="I29" s="128">
        <f>COUNTIFS('RD Fine Kinney (Birim Bazlı)'!$D$8:$D$100,'Analiz (Birim Bazlı)'!$B29,'RD Fine Kinney (Birim Bazlı)'!$AC$8:$AC$100,'Analiz (Birim Bazlı)'!I$6)</f>
        <v>0</v>
      </c>
      <c r="J29" s="128">
        <f>COUNTIFS('RD Fine Kinney (Birim Bazlı)'!$D$8:$D$100,'Analiz (Birim Bazlı)'!$B29,'RD Fine Kinney (Birim Bazlı)'!$AC$8:$AC$100,'Analiz (Birim Bazlı)'!J$6)</f>
        <v>0</v>
      </c>
      <c r="K29" s="128">
        <f>COUNTIFS('RD Fine Kinney (Birim Bazlı)'!$D$8:$D$100,'Analiz (Birim Bazlı)'!$B29,'RD Fine Kinney (Birim Bazlı)'!$AC$8:$AC$100,'Analiz (Birim Bazlı)'!K$6)</f>
        <v>0</v>
      </c>
      <c r="L29" s="128">
        <f>COUNTIFS('RD Fine Kinney (Birim Bazlı)'!$D$8:$D$100,'Analiz (Birim Bazlı)'!$B29,'RD Fine Kinney (Birim Bazlı)'!$AC$8:$AC$100,'Analiz (Birim Bazlı)'!L$6)</f>
        <v>0</v>
      </c>
      <c r="M29" s="128">
        <f>COUNTIFS('RD Fine Kinney (Birim Bazlı)'!$D$8:$D$100,'Analiz (Birim Bazlı)'!$B29,'RD Fine Kinney (Birim Bazlı)'!$AC$8:$AC$100,'Analiz (Birim Bazlı)'!M$6)</f>
        <v>0</v>
      </c>
      <c r="N29" s="140">
        <f t="shared" si="1"/>
        <v>0</v>
      </c>
    </row>
    <row r="30" spans="2:14" ht="18" hidden="1" customHeight="1" outlineLevel="1" thickTop="1" thickBot="1">
      <c r="B30" s="135" t="s">
        <v>269</v>
      </c>
      <c r="C30" s="128">
        <f>COUNTIFS('RD Fine Kinney (Birim Bazlı)'!$D$8:$D$100,'Analiz (Birim Bazlı)'!$B30,'RD Fine Kinney (Birim Bazlı)'!$R$8:$R$100,'Analiz (Birim Bazlı)'!C$6)</f>
        <v>0</v>
      </c>
      <c r="D30" s="128">
        <f>COUNTIFS('RD Fine Kinney (Birim Bazlı)'!$D$8:$D$100,'Analiz (Birim Bazlı)'!$B30,'RD Fine Kinney (Birim Bazlı)'!$R$8:$R$100,'Analiz (Birim Bazlı)'!D$6)</f>
        <v>0</v>
      </c>
      <c r="E30" s="128">
        <f>COUNTIFS('RD Fine Kinney (Birim Bazlı)'!$D$8:$D$100,'Analiz (Birim Bazlı)'!$B30,'RD Fine Kinney (Birim Bazlı)'!$R$8:$R$100,'Analiz (Birim Bazlı)'!E$6)</f>
        <v>0</v>
      </c>
      <c r="F30" s="128">
        <f>COUNTIFS('RD Fine Kinney (Birim Bazlı)'!$D$8:$D$100,'Analiz (Birim Bazlı)'!$B30,'RD Fine Kinney (Birim Bazlı)'!$R$8:$R$100,'Analiz (Birim Bazlı)'!F$6)</f>
        <v>0</v>
      </c>
      <c r="G30" s="128">
        <f>COUNTIFS('RD Fine Kinney (Birim Bazlı)'!$D$8:$D$100,'Analiz (Birim Bazlı)'!$B30,'RD Fine Kinney (Birim Bazlı)'!$R$8:$R$100,'Analiz (Birim Bazlı)'!G$6)</f>
        <v>0</v>
      </c>
      <c r="H30" s="179">
        <f t="shared" si="0"/>
        <v>0</v>
      </c>
      <c r="I30" s="128">
        <f>COUNTIFS('RD Fine Kinney (Birim Bazlı)'!$D$8:$D$100,'Analiz (Birim Bazlı)'!$B30,'RD Fine Kinney (Birim Bazlı)'!$AC$8:$AC$100,'Analiz (Birim Bazlı)'!I$6)</f>
        <v>0</v>
      </c>
      <c r="J30" s="128">
        <f>COUNTIFS('RD Fine Kinney (Birim Bazlı)'!$D$8:$D$100,'Analiz (Birim Bazlı)'!$B30,'RD Fine Kinney (Birim Bazlı)'!$AC$8:$AC$100,'Analiz (Birim Bazlı)'!J$6)</f>
        <v>0</v>
      </c>
      <c r="K30" s="128">
        <f>COUNTIFS('RD Fine Kinney (Birim Bazlı)'!$D$8:$D$100,'Analiz (Birim Bazlı)'!$B30,'RD Fine Kinney (Birim Bazlı)'!$AC$8:$AC$100,'Analiz (Birim Bazlı)'!K$6)</f>
        <v>0</v>
      </c>
      <c r="L30" s="128">
        <f>COUNTIFS('RD Fine Kinney (Birim Bazlı)'!$D$8:$D$100,'Analiz (Birim Bazlı)'!$B30,'RD Fine Kinney (Birim Bazlı)'!$AC$8:$AC$100,'Analiz (Birim Bazlı)'!L$6)</f>
        <v>0</v>
      </c>
      <c r="M30" s="128">
        <f>COUNTIFS('RD Fine Kinney (Birim Bazlı)'!$D$8:$D$100,'Analiz (Birim Bazlı)'!$B30,'RD Fine Kinney (Birim Bazlı)'!$AC$8:$AC$100,'Analiz (Birim Bazlı)'!M$6)</f>
        <v>0</v>
      </c>
      <c r="N30" s="140">
        <f t="shared" si="1"/>
        <v>0</v>
      </c>
    </row>
    <row r="31" spans="2:14" ht="18" hidden="1" customHeight="1" outlineLevel="1" thickTop="1" thickBot="1">
      <c r="B31" s="135" t="s">
        <v>270</v>
      </c>
      <c r="C31" s="128">
        <f>COUNTIFS('RD Fine Kinney (Birim Bazlı)'!$D$8:$D$100,'Analiz (Birim Bazlı)'!$B31,'RD Fine Kinney (Birim Bazlı)'!$R$8:$R$100,'Analiz (Birim Bazlı)'!C$6)</f>
        <v>0</v>
      </c>
      <c r="D31" s="128">
        <f>COUNTIFS('RD Fine Kinney (Birim Bazlı)'!$D$8:$D$100,'Analiz (Birim Bazlı)'!$B31,'RD Fine Kinney (Birim Bazlı)'!$R$8:$R$100,'Analiz (Birim Bazlı)'!D$6)</f>
        <v>0</v>
      </c>
      <c r="E31" s="128">
        <f>COUNTIFS('RD Fine Kinney (Birim Bazlı)'!$D$8:$D$100,'Analiz (Birim Bazlı)'!$B31,'RD Fine Kinney (Birim Bazlı)'!$R$8:$R$100,'Analiz (Birim Bazlı)'!E$6)</f>
        <v>0</v>
      </c>
      <c r="F31" s="128">
        <f>COUNTIFS('RD Fine Kinney (Birim Bazlı)'!$D$8:$D$100,'Analiz (Birim Bazlı)'!$B31,'RD Fine Kinney (Birim Bazlı)'!$R$8:$R$100,'Analiz (Birim Bazlı)'!F$6)</f>
        <v>0</v>
      </c>
      <c r="G31" s="128">
        <f>COUNTIFS('RD Fine Kinney (Birim Bazlı)'!$D$8:$D$100,'Analiz (Birim Bazlı)'!$B31,'RD Fine Kinney (Birim Bazlı)'!$R$8:$R$100,'Analiz (Birim Bazlı)'!G$6)</f>
        <v>0</v>
      </c>
      <c r="H31" s="179">
        <f t="shared" si="0"/>
        <v>0</v>
      </c>
      <c r="I31" s="128">
        <f>COUNTIFS('RD Fine Kinney (Birim Bazlı)'!$D$8:$D$100,'Analiz (Birim Bazlı)'!$B31,'RD Fine Kinney (Birim Bazlı)'!$AC$8:$AC$100,'Analiz (Birim Bazlı)'!I$6)</f>
        <v>0</v>
      </c>
      <c r="J31" s="128">
        <f>COUNTIFS('RD Fine Kinney (Birim Bazlı)'!$D$8:$D$100,'Analiz (Birim Bazlı)'!$B31,'RD Fine Kinney (Birim Bazlı)'!$AC$8:$AC$100,'Analiz (Birim Bazlı)'!J$6)</f>
        <v>0</v>
      </c>
      <c r="K31" s="128">
        <f>COUNTIFS('RD Fine Kinney (Birim Bazlı)'!$D$8:$D$100,'Analiz (Birim Bazlı)'!$B31,'RD Fine Kinney (Birim Bazlı)'!$AC$8:$AC$100,'Analiz (Birim Bazlı)'!K$6)</f>
        <v>0</v>
      </c>
      <c r="L31" s="128">
        <f>COUNTIFS('RD Fine Kinney (Birim Bazlı)'!$D$8:$D$100,'Analiz (Birim Bazlı)'!$B31,'RD Fine Kinney (Birim Bazlı)'!$AC$8:$AC$100,'Analiz (Birim Bazlı)'!L$6)</f>
        <v>0</v>
      </c>
      <c r="M31" s="128">
        <f>COUNTIFS('RD Fine Kinney (Birim Bazlı)'!$D$8:$D$100,'Analiz (Birim Bazlı)'!$B31,'RD Fine Kinney (Birim Bazlı)'!$AC$8:$AC$100,'Analiz (Birim Bazlı)'!M$6)</f>
        <v>0</v>
      </c>
      <c r="N31" s="140">
        <f t="shared" si="1"/>
        <v>0</v>
      </c>
    </row>
    <row r="32" spans="2:14" ht="18" hidden="1" customHeight="1" outlineLevel="1" thickTop="1" thickBot="1">
      <c r="B32" s="135" t="s">
        <v>271</v>
      </c>
      <c r="C32" s="128">
        <f>COUNTIFS('RD Fine Kinney (Birim Bazlı)'!$D$8:$D$100,'Analiz (Birim Bazlı)'!$B32,'RD Fine Kinney (Birim Bazlı)'!$R$8:$R$100,'Analiz (Birim Bazlı)'!C$6)</f>
        <v>0</v>
      </c>
      <c r="D32" s="128">
        <f>COUNTIFS('RD Fine Kinney (Birim Bazlı)'!$D$8:$D$100,'Analiz (Birim Bazlı)'!$B32,'RD Fine Kinney (Birim Bazlı)'!$R$8:$R$100,'Analiz (Birim Bazlı)'!D$6)</f>
        <v>0</v>
      </c>
      <c r="E32" s="128">
        <f>COUNTIFS('RD Fine Kinney (Birim Bazlı)'!$D$8:$D$100,'Analiz (Birim Bazlı)'!$B32,'RD Fine Kinney (Birim Bazlı)'!$R$8:$R$100,'Analiz (Birim Bazlı)'!E$6)</f>
        <v>0</v>
      </c>
      <c r="F32" s="128">
        <f>COUNTIFS('RD Fine Kinney (Birim Bazlı)'!$D$8:$D$100,'Analiz (Birim Bazlı)'!$B32,'RD Fine Kinney (Birim Bazlı)'!$R$8:$R$100,'Analiz (Birim Bazlı)'!F$6)</f>
        <v>0</v>
      </c>
      <c r="G32" s="128">
        <f>COUNTIFS('RD Fine Kinney (Birim Bazlı)'!$D$8:$D$100,'Analiz (Birim Bazlı)'!$B32,'RD Fine Kinney (Birim Bazlı)'!$R$8:$R$100,'Analiz (Birim Bazlı)'!G$6)</f>
        <v>0</v>
      </c>
      <c r="H32" s="179">
        <f t="shared" si="0"/>
        <v>0</v>
      </c>
      <c r="I32" s="128">
        <f>COUNTIFS('RD Fine Kinney (Birim Bazlı)'!$D$8:$D$100,'Analiz (Birim Bazlı)'!$B32,'RD Fine Kinney (Birim Bazlı)'!$AC$8:$AC$100,'Analiz (Birim Bazlı)'!I$6)</f>
        <v>0</v>
      </c>
      <c r="J32" s="128">
        <f>COUNTIFS('RD Fine Kinney (Birim Bazlı)'!$D$8:$D$100,'Analiz (Birim Bazlı)'!$B32,'RD Fine Kinney (Birim Bazlı)'!$AC$8:$AC$100,'Analiz (Birim Bazlı)'!J$6)</f>
        <v>0</v>
      </c>
      <c r="K32" s="128">
        <f>COUNTIFS('RD Fine Kinney (Birim Bazlı)'!$D$8:$D$100,'Analiz (Birim Bazlı)'!$B32,'RD Fine Kinney (Birim Bazlı)'!$AC$8:$AC$100,'Analiz (Birim Bazlı)'!K$6)</f>
        <v>0</v>
      </c>
      <c r="L32" s="128">
        <f>COUNTIFS('RD Fine Kinney (Birim Bazlı)'!$D$8:$D$100,'Analiz (Birim Bazlı)'!$B32,'RD Fine Kinney (Birim Bazlı)'!$AC$8:$AC$100,'Analiz (Birim Bazlı)'!L$6)</f>
        <v>0</v>
      </c>
      <c r="M32" s="128">
        <f>COUNTIFS('RD Fine Kinney (Birim Bazlı)'!$D$8:$D$100,'Analiz (Birim Bazlı)'!$B32,'RD Fine Kinney (Birim Bazlı)'!$AC$8:$AC$100,'Analiz (Birim Bazlı)'!M$6)</f>
        <v>0</v>
      </c>
      <c r="N32" s="140">
        <f t="shared" si="1"/>
        <v>0</v>
      </c>
    </row>
    <row r="33" spans="2:14" ht="18" hidden="1" customHeight="1" outlineLevel="1" thickTop="1" thickBot="1">
      <c r="B33" s="135" t="s">
        <v>272</v>
      </c>
      <c r="C33" s="149">
        <f>COUNTIFS('RD Fine Kinney (Birim Bazlı)'!$D$8:$D$100,'Analiz (Birim Bazlı)'!$B33,'RD Fine Kinney (Birim Bazlı)'!$R$8:$R$100,'Analiz (Birim Bazlı)'!C$6)</f>
        <v>0</v>
      </c>
      <c r="D33" s="150">
        <f>COUNTIFS('RD Fine Kinney (Birim Bazlı)'!$D$8:$D$100,'Analiz (Birim Bazlı)'!$B33,'RD Fine Kinney (Birim Bazlı)'!$R$8:$R$100,'Analiz (Birim Bazlı)'!D$6)</f>
        <v>0</v>
      </c>
      <c r="E33" s="150">
        <f>COUNTIFS('RD Fine Kinney (Birim Bazlı)'!$D$8:$D$100,'Analiz (Birim Bazlı)'!$B33,'RD Fine Kinney (Birim Bazlı)'!$R$8:$R$100,'Analiz (Birim Bazlı)'!E$6)</f>
        <v>0</v>
      </c>
      <c r="F33" s="150">
        <f>COUNTIFS('RD Fine Kinney (Birim Bazlı)'!$D$8:$D$100,'Analiz (Birim Bazlı)'!$B33,'RD Fine Kinney (Birim Bazlı)'!$R$8:$R$100,'Analiz (Birim Bazlı)'!F$6)</f>
        <v>0</v>
      </c>
      <c r="G33" s="128">
        <f>COUNTIFS('RD Fine Kinney (Birim Bazlı)'!$D$8:$D$100,'Analiz (Birim Bazlı)'!$B33,'RD Fine Kinney (Birim Bazlı)'!$R$8:$R$100,'Analiz (Birim Bazlı)'!G$6)</f>
        <v>0</v>
      </c>
      <c r="H33" s="179">
        <f t="shared" si="0"/>
        <v>0</v>
      </c>
      <c r="I33" s="150">
        <f>COUNTIFS('RD Fine Kinney (Birim Bazlı)'!$D$8:$D$100,'Analiz (Birim Bazlı)'!$B33,'RD Fine Kinney (Birim Bazlı)'!$AC$8:$AC$100,'Analiz (Birim Bazlı)'!I$6)</f>
        <v>0</v>
      </c>
      <c r="J33" s="150">
        <f>COUNTIFS('RD Fine Kinney (Birim Bazlı)'!$D$8:$D$100,'Analiz (Birim Bazlı)'!$B33,'RD Fine Kinney (Birim Bazlı)'!$AC$8:$AC$100,'Analiz (Birim Bazlı)'!J$6)</f>
        <v>0</v>
      </c>
      <c r="K33" s="150">
        <f>COUNTIFS('RD Fine Kinney (Birim Bazlı)'!$D$8:$D$100,'Analiz (Birim Bazlı)'!$B33,'RD Fine Kinney (Birim Bazlı)'!$AC$8:$AC$100,'Analiz (Birim Bazlı)'!K$6)</f>
        <v>0</v>
      </c>
      <c r="L33" s="150">
        <f>COUNTIFS('RD Fine Kinney (Birim Bazlı)'!$D$8:$D$100,'Analiz (Birim Bazlı)'!$B33,'RD Fine Kinney (Birim Bazlı)'!$AC$8:$AC$100,'Analiz (Birim Bazlı)'!L$6)</f>
        <v>0</v>
      </c>
      <c r="M33" s="150">
        <f>COUNTIFS('RD Fine Kinney (Birim Bazlı)'!$D$8:$D$100,'Analiz (Birim Bazlı)'!$B33,'RD Fine Kinney (Birim Bazlı)'!$AC$8:$AC$100,'Analiz (Birim Bazlı)'!M$6)</f>
        <v>0</v>
      </c>
      <c r="N33" s="140">
        <f t="shared" si="1"/>
        <v>0</v>
      </c>
    </row>
    <row r="34" spans="2:14" ht="18" customHeight="1" collapsed="1" thickTop="1" thickBot="1">
      <c r="B34" s="136" t="s">
        <v>123</v>
      </c>
      <c r="C34" s="151">
        <f>COUNTIFS('RD Fine Kinney (Birim Bazlı)'!$C$8:$C$100,'Analiz (Birim Bazlı)'!$B34,'RD Fine Kinney (Birim Bazlı)'!$R$8:$R$100,'Analiz (Birim Bazlı)'!C$6)</f>
        <v>0</v>
      </c>
      <c r="D34" s="151">
        <f>COUNTIFS('RD Fine Kinney (Birim Bazlı)'!$C$8:$C$100,'Analiz (Birim Bazlı)'!$B34,'RD Fine Kinney (Birim Bazlı)'!$R$8:$R$100,'Analiz (Birim Bazlı)'!D$6)</f>
        <v>0</v>
      </c>
      <c r="E34" s="151">
        <f>COUNTIFS('RD Fine Kinney (Birim Bazlı)'!$C$8:$C$100,'Analiz (Birim Bazlı)'!$B34,'RD Fine Kinney (Birim Bazlı)'!$R$8:$R$100,'Analiz (Birim Bazlı)'!E$6)</f>
        <v>0</v>
      </c>
      <c r="F34" s="151">
        <f>COUNTIFS('RD Fine Kinney (Birim Bazlı)'!$C$8:$C$100,'Analiz (Birim Bazlı)'!$B34,'RD Fine Kinney (Birim Bazlı)'!$R$8:$R$100,'Analiz (Birim Bazlı)'!F$6)</f>
        <v>0</v>
      </c>
      <c r="G34" s="151">
        <f>COUNTIFS('RD Fine Kinney (Birim Bazlı)'!$C$8:$C$100,'Analiz (Birim Bazlı)'!$B34,'RD Fine Kinney (Birim Bazlı)'!$R$8:$R$100,'Analiz (Birim Bazlı)'!G$6)</f>
        <v>0</v>
      </c>
      <c r="H34" s="177">
        <f t="shared" si="0"/>
        <v>0</v>
      </c>
      <c r="I34" s="171">
        <f>COUNTIFS('RD Fine Kinney (Birim Bazlı)'!$C$8:$C$100,'Analiz (Birim Bazlı)'!$B34,'RD Fine Kinney (Birim Bazlı)'!$AC$8:$AC$100,'Analiz (Birim Bazlı)'!I$6)</f>
        <v>0</v>
      </c>
      <c r="J34" s="151">
        <f>COUNTIFS('RD Fine Kinney (Birim Bazlı)'!$C$8:$C$100,'Analiz (Birim Bazlı)'!$B34,'RD Fine Kinney (Birim Bazlı)'!$AC$8:$AC$100,'Analiz (Birim Bazlı)'!J$6)</f>
        <v>0</v>
      </c>
      <c r="K34" s="151">
        <f>COUNTIFS('RD Fine Kinney (Birim Bazlı)'!$C$8:$C$100,'Analiz (Birim Bazlı)'!$B34,'RD Fine Kinney (Birim Bazlı)'!$AC$8:$AC$100,'Analiz (Birim Bazlı)'!K$6)</f>
        <v>0</v>
      </c>
      <c r="L34" s="151">
        <f>COUNTIFS('RD Fine Kinney (Birim Bazlı)'!$C$8:$C$100,'Analiz (Birim Bazlı)'!$B34,'RD Fine Kinney (Birim Bazlı)'!$AC$8:$AC$100,'Analiz (Birim Bazlı)'!L$6)</f>
        <v>0</v>
      </c>
      <c r="M34" s="151">
        <f>COUNTIFS('RD Fine Kinney (Birim Bazlı)'!$C$8:$C$100,'Analiz (Birim Bazlı)'!$B34,'RD Fine Kinney (Birim Bazlı)'!$AC$8:$AC$100,'Analiz (Birim Bazlı)'!M$6)</f>
        <v>0</v>
      </c>
      <c r="N34" s="151">
        <f t="shared" si="1"/>
        <v>0</v>
      </c>
    </row>
    <row r="35" spans="2:14" ht="18" hidden="1" customHeight="1" outlineLevel="1" thickTop="1" thickBot="1">
      <c r="B35" s="137" t="s">
        <v>273</v>
      </c>
      <c r="C35" s="128">
        <f>COUNTIFS('RD Fine Kinney (Birim Bazlı)'!$D$8:$D$100,'Analiz (Birim Bazlı)'!$B35,'RD Fine Kinney (Birim Bazlı)'!$R$8:$R$100,'Analiz (Birim Bazlı)'!C$6)</f>
        <v>0</v>
      </c>
      <c r="D35" s="128">
        <f>COUNTIFS('RD Fine Kinney (Birim Bazlı)'!$D$8:$D$100,'Analiz (Birim Bazlı)'!$B35,'RD Fine Kinney (Birim Bazlı)'!$R$8:$R$100,'Analiz (Birim Bazlı)'!D$6)</f>
        <v>0</v>
      </c>
      <c r="E35" s="128">
        <f>COUNTIFS('RD Fine Kinney (Birim Bazlı)'!$D$8:$D$100,'Analiz (Birim Bazlı)'!$B35,'RD Fine Kinney (Birim Bazlı)'!$R$8:$R$100,'Analiz (Birim Bazlı)'!E$6)</f>
        <v>0</v>
      </c>
      <c r="F35" s="128">
        <f>COUNTIFS('RD Fine Kinney (Birim Bazlı)'!$D$8:$D$100,'Analiz (Birim Bazlı)'!$B35,'RD Fine Kinney (Birim Bazlı)'!$R$8:$R$100,'Analiz (Birim Bazlı)'!F$6)</f>
        <v>0</v>
      </c>
      <c r="G35" s="128">
        <f>COUNTIFS('RD Fine Kinney (Birim Bazlı)'!$D$8:$D$100,'Analiz (Birim Bazlı)'!$B35,'RD Fine Kinney (Birim Bazlı)'!$R$8:$R$100,'Analiz (Birim Bazlı)'!G$6)</f>
        <v>0</v>
      </c>
      <c r="H35" s="179">
        <f t="shared" si="0"/>
        <v>0</v>
      </c>
      <c r="I35" s="128">
        <f>COUNTIFS('RD Fine Kinney (Birim Bazlı)'!$D$8:$D$100,'Analiz (Birim Bazlı)'!$B35,'RD Fine Kinney (Birim Bazlı)'!$AC$8:$AC$100,'Analiz (Birim Bazlı)'!I$6)</f>
        <v>0</v>
      </c>
      <c r="J35" s="128">
        <f>COUNTIFS('RD Fine Kinney (Birim Bazlı)'!$D$8:$D$100,'Analiz (Birim Bazlı)'!$B35,'RD Fine Kinney (Birim Bazlı)'!$AC$8:$AC$100,'Analiz (Birim Bazlı)'!J$6)</f>
        <v>0</v>
      </c>
      <c r="K35" s="128">
        <f>COUNTIFS('RD Fine Kinney (Birim Bazlı)'!$D$8:$D$100,'Analiz (Birim Bazlı)'!$B35,'RD Fine Kinney (Birim Bazlı)'!$AC$8:$AC$100,'Analiz (Birim Bazlı)'!K$6)</f>
        <v>0</v>
      </c>
      <c r="L35" s="128">
        <f>COUNTIFS('RD Fine Kinney (Birim Bazlı)'!$D$8:$D$100,'Analiz (Birim Bazlı)'!$B35,'RD Fine Kinney (Birim Bazlı)'!$AC$8:$AC$100,'Analiz (Birim Bazlı)'!L$6)</f>
        <v>0</v>
      </c>
      <c r="M35" s="128">
        <f>COUNTIFS('RD Fine Kinney (Birim Bazlı)'!$D$8:$D$100,'Analiz (Birim Bazlı)'!$B35,'RD Fine Kinney (Birim Bazlı)'!$AC$8:$AC$100,'Analiz (Birim Bazlı)'!M$6)</f>
        <v>0</v>
      </c>
      <c r="N35" s="140">
        <f t="shared" si="1"/>
        <v>0</v>
      </c>
    </row>
    <row r="36" spans="2:14" ht="18" hidden="1" customHeight="1" outlineLevel="1" thickTop="1" thickBot="1">
      <c r="B36" s="137" t="s">
        <v>274</v>
      </c>
      <c r="C36" s="128">
        <f>COUNTIFS('RD Fine Kinney (Birim Bazlı)'!$D$8:$D$100,'Analiz (Birim Bazlı)'!$B36,'RD Fine Kinney (Birim Bazlı)'!$R$8:$R$100,'Analiz (Birim Bazlı)'!C$6)</f>
        <v>0</v>
      </c>
      <c r="D36" s="128">
        <f>COUNTIFS('RD Fine Kinney (Birim Bazlı)'!$D$8:$D$100,'Analiz (Birim Bazlı)'!$B36,'RD Fine Kinney (Birim Bazlı)'!$R$8:$R$100,'Analiz (Birim Bazlı)'!D$6)</f>
        <v>0</v>
      </c>
      <c r="E36" s="128">
        <f>COUNTIFS('RD Fine Kinney (Birim Bazlı)'!$D$8:$D$100,'Analiz (Birim Bazlı)'!$B36,'RD Fine Kinney (Birim Bazlı)'!$R$8:$R$100,'Analiz (Birim Bazlı)'!E$6)</f>
        <v>0</v>
      </c>
      <c r="F36" s="128">
        <f>COUNTIFS('RD Fine Kinney (Birim Bazlı)'!$D$8:$D$100,'Analiz (Birim Bazlı)'!$B36,'RD Fine Kinney (Birim Bazlı)'!$R$8:$R$100,'Analiz (Birim Bazlı)'!F$6)</f>
        <v>0</v>
      </c>
      <c r="G36" s="128">
        <f>COUNTIFS('RD Fine Kinney (Birim Bazlı)'!$D$8:$D$100,'Analiz (Birim Bazlı)'!$B36,'RD Fine Kinney (Birim Bazlı)'!$R$8:$R$100,'Analiz (Birim Bazlı)'!G$6)</f>
        <v>0</v>
      </c>
      <c r="H36" s="179">
        <f t="shared" si="0"/>
        <v>0</v>
      </c>
      <c r="I36" s="128">
        <f>COUNTIFS('RD Fine Kinney (Birim Bazlı)'!$D$8:$D$100,'Analiz (Birim Bazlı)'!$B36,'RD Fine Kinney (Birim Bazlı)'!$AC$8:$AC$100,'Analiz (Birim Bazlı)'!I$6)</f>
        <v>0</v>
      </c>
      <c r="J36" s="128">
        <f>COUNTIFS('RD Fine Kinney (Birim Bazlı)'!$D$8:$D$100,'Analiz (Birim Bazlı)'!$B36,'RD Fine Kinney (Birim Bazlı)'!$AC$8:$AC$100,'Analiz (Birim Bazlı)'!J$6)</f>
        <v>0</v>
      </c>
      <c r="K36" s="128">
        <f>COUNTIFS('RD Fine Kinney (Birim Bazlı)'!$D$8:$D$100,'Analiz (Birim Bazlı)'!$B36,'RD Fine Kinney (Birim Bazlı)'!$AC$8:$AC$100,'Analiz (Birim Bazlı)'!K$6)</f>
        <v>0</v>
      </c>
      <c r="L36" s="128">
        <f>COUNTIFS('RD Fine Kinney (Birim Bazlı)'!$D$8:$D$100,'Analiz (Birim Bazlı)'!$B36,'RD Fine Kinney (Birim Bazlı)'!$AC$8:$AC$100,'Analiz (Birim Bazlı)'!L$6)</f>
        <v>0</v>
      </c>
      <c r="M36" s="128">
        <f>COUNTIFS('RD Fine Kinney (Birim Bazlı)'!$D$8:$D$100,'Analiz (Birim Bazlı)'!$B36,'RD Fine Kinney (Birim Bazlı)'!$AC$8:$AC$100,'Analiz (Birim Bazlı)'!M$6)</f>
        <v>0</v>
      </c>
      <c r="N36" s="140">
        <f t="shared" si="1"/>
        <v>0</v>
      </c>
    </row>
    <row r="37" spans="2:14" ht="18" hidden="1" customHeight="1" outlineLevel="1" thickTop="1" thickBot="1">
      <c r="B37" s="137" t="s">
        <v>275</v>
      </c>
      <c r="C37" s="128">
        <f>COUNTIFS('RD Fine Kinney (Birim Bazlı)'!$D$8:$D$100,'Analiz (Birim Bazlı)'!$B37,'RD Fine Kinney (Birim Bazlı)'!$R$8:$R$100,'Analiz (Birim Bazlı)'!C$6)</f>
        <v>0</v>
      </c>
      <c r="D37" s="128">
        <f>COUNTIFS('RD Fine Kinney (Birim Bazlı)'!$D$8:$D$100,'Analiz (Birim Bazlı)'!$B37,'RD Fine Kinney (Birim Bazlı)'!$R$8:$R$100,'Analiz (Birim Bazlı)'!D$6)</f>
        <v>0</v>
      </c>
      <c r="E37" s="128">
        <f>COUNTIFS('RD Fine Kinney (Birim Bazlı)'!$D$8:$D$100,'Analiz (Birim Bazlı)'!$B37,'RD Fine Kinney (Birim Bazlı)'!$R$8:$R$100,'Analiz (Birim Bazlı)'!E$6)</f>
        <v>0</v>
      </c>
      <c r="F37" s="128">
        <f>COUNTIFS('RD Fine Kinney (Birim Bazlı)'!$D$8:$D$100,'Analiz (Birim Bazlı)'!$B37,'RD Fine Kinney (Birim Bazlı)'!$R$8:$R$100,'Analiz (Birim Bazlı)'!F$6)</f>
        <v>0</v>
      </c>
      <c r="G37" s="128">
        <f>COUNTIFS('RD Fine Kinney (Birim Bazlı)'!$D$8:$D$100,'Analiz (Birim Bazlı)'!$B37,'RD Fine Kinney (Birim Bazlı)'!$R$8:$R$100,'Analiz (Birim Bazlı)'!G$6)</f>
        <v>0</v>
      </c>
      <c r="H37" s="179">
        <f t="shared" si="0"/>
        <v>0</v>
      </c>
      <c r="I37" s="128">
        <f>COUNTIFS('RD Fine Kinney (Birim Bazlı)'!$D$8:$D$100,'Analiz (Birim Bazlı)'!$B37,'RD Fine Kinney (Birim Bazlı)'!$AC$8:$AC$100,'Analiz (Birim Bazlı)'!I$6)</f>
        <v>0</v>
      </c>
      <c r="J37" s="128">
        <f>COUNTIFS('RD Fine Kinney (Birim Bazlı)'!$D$8:$D$100,'Analiz (Birim Bazlı)'!$B37,'RD Fine Kinney (Birim Bazlı)'!$AC$8:$AC$100,'Analiz (Birim Bazlı)'!J$6)</f>
        <v>0</v>
      </c>
      <c r="K37" s="128">
        <f>COUNTIFS('RD Fine Kinney (Birim Bazlı)'!$D$8:$D$100,'Analiz (Birim Bazlı)'!$B37,'RD Fine Kinney (Birim Bazlı)'!$AC$8:$AC$100,'Analiz (Birim Bazlı)'!K$6)</f>
        <v>0</v>
      </c>
      <c r="L37" s="128">
        <f>COUNTIFS('RD Fine Kinney (Birim Bazlı)'!$D$8:$D$100,'Analiz (Birim Bazlı)'!$B37,'RD Fine Kinney (Birim Bazlı)'!$AC$8:$AC$100,'Analiz (Birim Bazlı)'!L$6)</f>
        <v>0</v>
      </c>
      <c r="M37" s="128">
        <f>COUNTIFS('RD Fine Kinney (Birim Bazlı)'!$D$8:$D$100,'Analiz (Birim Bazlı)'!$B37,'RD Fine Kinney (Birim Bazlı)'!$AC$8:$AC$100,'Analiz (Birim Bazlı)'!M$6)</f>
        <v>0</v>
      </c>
      <c r="N37" s="140">
        <f t="shared" si="1"/>
        <v>0</v>
      </c>
    </row>
    <row r="38" spans="2:14" ht="18" hidden="1" customHeight="1" outlineLevel="1" thickTop="1" thickBot="1">
      <c r="B38" s="137" t="s">
        <v>277</v>
      </c>
      <c r="C38" s="128">
        <f>COUNTIFS('RD Fine Kinney (Birim Bazlı)'!$D$8:$D$100,'Analiz (Birim Bazlı)'!$B38,'RD Fine Kinney (Birim Bazlı)'!$R$8:$R$100,'Analiz (Birim Bazlı)'!C$6)</f>
        <v>0</v>
      </c>
      <c r="D38" s="128">
        <f>COUNTIFS('RD Fine Kinney (Birim Bazlı)'!$D$8:$D$100,'Analiz (Birim Bazlı)'!$B38,'RD Fine Kinney (Birim Bazlı)'!$R$8:$R$100,'Analiz (Birim Bazlı)'!D$6)</f>
        <v>0</v>
      </c>
      <c r="E38" s="128">
        <f>COUNTIFS('RD Fine Kinney (Birim Bazlı)'!$D$8:$D$100,'Analiz (Birim Bazlı)'!$B38,'RD Fine Kinney (Birim Bazlı)'!$R$8:$R$100,'Analiz (Birim Bazlı)'!E$6)</f>
        <v>0</v>
      </c>
      <c r="F38" s="128">
        <f>COUNTIFS('RD Fine Kinney (Birim Bazlı)'!$D$8:$D$100,'Analiz (Birim Bazlı)'!$B38,'RD Fine Kinney (Birim Bazlı)'!$R$8:$R$100,'Analiz (Birim Bazlı)'!F$6)</f>
        <v>0</v>
      </c>
      <c r="G38" s="128">
        <f>COUNTIFS('RD Fine Kinney (Birim Bazlı)'!$D$8:$D$100,'Analiz (Birim Bazlı)'!$B38,'RD Fine Kinney (Birim Bazlı)'!$R$8:$R$100,'Analiz (Birim Bazlı)'!G$6)</f>
        <v>0</v>
      </c>
      <c r="H38" s="179">
        <f t="shared" si="0"/>
        <v>0</v>
      </c>
      <c r="I38" s="128">
        <f>COUNTIFS('RD Fine Kinney (Birim Bazlı)'!$D$8:$D$100,'Analiz (Birim Bazlı)'!$B38,'RD Fine Kinney (Birim Bazlı)'!$AC$8:$AC$100,'Analiz (Birim Bazlı)'!I$6)</f>
        <v>0</v>
      </c>
      <c r="J38" s="128">
        <f>COUNTIFS('RD Fine Kinney (Birim Bazlı)'!$D$8:$D$100,'Analiz (Birim Bazlı)'!$B38,'RD Fine Kinney (Birim Bazlı)'!$AC$8:$AC$100,'Analiz (Birim Bazlı)'!J$6)</f>
        <v>0</v>
      </c>
      <c r="K38" s="128">
        <f>COUNTIFS('RD Fine Kinney (Birim Bazlı)'!$D$8:$D$100,'Analiz (Birim Bazlı)'!$B38,'RD Fine Kinney (Birim Bazlı)'!$AC$8:$AC$100,'Analiz (Birim Bazlı)'!K$6)</f>
        <v>0</v>
      </c>
      <c r="L38" s="128">
        <f>COUNTIFS('RD Fine Kinney (Birim Bazlı)'!$D$8:$D$100,'Analiz (Birim Bazlı)'!$B38,'RD Fine Kinney (Birim Bazlı)'!$AC$8:$AC$100,'Analiz (Birim Bazlı)'!L$6)</f>
        <v>0</v>
      </c>
      <c r="M38" s="128">
        <f>COUNTIFS('RD Fine Kinney (Birim Bazlı)'!$D$8:$D$100,'Analiz (Birim Bazlı)'!$B38,'RD Fine Kinney (Birim Bazlı)'!$AC$8:$AC$100,'Analiz (Birim Bazlı)'!M$6)</f>
        <v>0</v>
      </c>
      <c r="N38" s="140">
        <f t="shared" si="1"/>
        <v>0</v>
      </c>
    </row>
    <row r="39" spans="2:14" ht="18" hidden="1" customHeight="1" outlineLevel="1" thickTop="1" thickBot="1">
      <c r="B39" s="137" t="s">
        <v>276</v>
      </c>
      <c r="C39" s="128">
        <f>COUNTIFS('RD Fine Kinney (Birim Bazlı)'!$D$8:$D$100,'Analiz (Birim Bazlı)'!$B39,'RD Fine Kinney (Birim Bazlı)'!$R$8:$R$100,'Analiz (Birim Bazlı)'!C$6)</f>
        <v>0</v>
      </c>
      <c r="D39" s="128">
        <f>COUNTIFS('RD Fine Kinney (Birim Bazlı)'!$D$8:$D$100,'Analiz (Birim Bazlı)'!$B39,'RD Fine Kinney (Birim Bazlı)'!$R$8:$R$100,'Analiz (Birim Bazlı)'!D$6)</f>
        <v>0</v>
      </c>
      <c r="E39" s="128">
        <f>COUNTIFS('RD Fine Kinney (Birim Bazlı)'!$D$8:$D$100,'Analiz (Birim Bazlı)'!$B39,'RD Fine Kinney (Birim Bazlı)'!$R$8:$R$100,'Analiz (Birim Bazlı)'!E$6)</f>
        <v>0</v>
      </c>
      <c r="F39" s="128">
        <f>COUNTIFS('RD Fine Kinney (Birim Bazlı)'!$D$8:$D$100,'Analiz (Birim Bazlı)'!$B39,'RD Fine Kinney (Birim Bazlı)'!$R$8:$R$100,'Analiz (Birim Bazlı)'!F$6)</f>
        <v>0</v>
      </c>
      <c r="G39" s="128">
        <f>COUNTIFS('RD Fine Kinney (Birim Bazlı)'!$D$8:$D$100,'Analiz (Birim Bazlı)'!$B39,'RD Fine Kinney (Birim Bazlı)'!$R$8:$R$100,'Analiz (Birim Bazlı)'!G$6)</f>
        <v>0</v>
      </c>
      <c r="H39" s="179">
        <f t="shared" si="0"/>
        <v>0</v>
      </c>
      <c r="I39" s="128">
        <f>COUNTIFS('RD Fine Kinney (Birim Bazlı)'!$D$8:$D$100,'Analiz (Birim Bazlı)'!$B39,'RD Fine Kinney (Birim Bazlı)'!$AC$8:$AC$100,'Analiz (Birim Bazlı)'!I$6)</f>
        <v>0</v>
      </c>
      <c r="J39" s="128">
        <f>COUNTIFS('RD Fine Kinney (Birim Bazlı)'!$D$8:$D$100,'Analiz (Birim Bazlı)'!$B39,'RD Fine Kinney (Birim Bazlı)'!$AC$8:$AC$100,'Analiz (Birim Bazlı)'!J$6)</f>
        <v>0</v>
      </c>
      <c r="K39" s="128">
        <f>COUNTIFS('RD Fine Kinney (Birim Bazlı)'!$D$8:$D$100,'Analiz (Birim Bazlı)'!$B39,'RD Fine Kinney (Birim Bazlı)'!$AC$8:$AC$100,'Analiz (Birim Bazlı)'!K$6)</f>
        <v>0</v>
      </c>
      <c r="L39" s="128">
        <f>COUNTIFS('RD Fine Kinney (Birim Bazlı)'!$D$8:$D$100,'Analiz (Birim Bazlı)'!$B39,'RD Fine Kinney (Birim Bazlı)'!$AC$8:$AC$100,'Analiz (Birim Bazlı)'!L$6)</f>
        <v>0</v>
      </c>
      <c r="M39" s="128">
        <f>COUNTIFS('RD Fine Kinney (Birim Bazlı)'!$D$8:$D$100,'Analiz (Birim Bazlı)'!$B39,'RD Fine Kinney (Birim Bazlı)'!$AC$8:$AC$100,'Analiz (Birim Bazlı)'!M$6)</f>
        <v>0</v>
      </c>
      <c r="N39" s="140">
        <f t="shared" si="1"/>
        <v>0</v>
      </c>
    </row>
    <row r="40" spans="2:14" ht="18" customHeight="1" collapsed="1" thickTop="1">
      <c r="B40" s="167" t="s">
        <v>59</v>
      </c>
      <c r="C40" s="164">
        <f>SUM(C7,C12,C18,C27,C34)</f>
        <v>0</v>
      </c>
      <c r="D40" s="164">
        <f t="shared" ref="D40:M40" si="2">SUM(D7,D12,D18,D27,D34)</f>
        <v>0</v>
      </c>
      <c r="E40" s="164">
        <f t="shared" si="2"/>
        <v>0</v>
      </c>
      <c r="F40" s="164">
        <f t="shared" si="2"/>
        <v>0</v>
      </c>
      <c r="G40" s="165">
        <f t="shared" si="2"/>
        <v>0</v>
      </c>
      <c r="H40" s="178">
        <f t="shared" si="0"/>
        <v>0</v>
      </c>
      <c r="I40" s="166">
        <f t="shared" si="2"/>
        <v>0</v>
      </c>
      <c r="J40" s="164">
        <f t="shared" si="2"/>
        <v>0</v>
      </c>
      <c r="K40" s="164">
        <f t="shared" si="2"/>
        <v>0</v>
      </c>
      <c r="L40" s="164">
        <f t="shared" si="2"/>
        <v>0</v>
      </c>
      <c r="M40" s="165">
        <f t="shared" si="2"/>
        <v>0</v>
      </c>
      <c r="N40" s="165">
        <f t="shared" si="1"/>
        <v>0</v>
      </c>
    </row>
    <row r="41" spans="2:14">
      <c r="B41" s="35"/>
    </row>
    <row r="80" spans="2:14">
      <c r="B80" s="215" t="s">
        <v>344</v>
      </c>
      <c r="C80" s="215"/>
      <c r="D80" s="215"/>
      <c r="E80" s="215"/>
      <c r="F80" s="215"/>
      <c r="G80" s="215"/>
      <c r="H80" s="215"/>
      <c r="I80" s="215"/>
      <c r="J80" s="215"/>
      <c r="K80" s="215"/>
      <c r="L80" s="215"/>
      <c r="M80" s="215"/>
      <c r="N80" s="215"/>
    </row>
    <row r="81" spans="2:14">
      <c r="B81" s="215"/>
      <c r="C81" s="215"/>
      <c r="D81" s="215"/>
      <c r="E81" s="215"/>
      <c r="F81" s="215"/>
      <c r="G81" s="215"/>
      <c r="H81" s="215"/>
      <c r="I81" s="215"/>
      <c r="J81" s="215"/>
      <c r="K81" s="215"/>
      <c r="L81" s="215"/>
      <c r="M81" s="215"/>
      <c r="N81" s="215"/>
    </row>
    <row r="82" spans="2:14">
      <c r="B82" s="156"/>
      <c r="C82" s="156"/>
      <c r="D82" s="156"/>
      <c r="E82" s="156"/>
      <c r="F82" s="156"/>
      <c r="G82" s="156"/>
      <c r="H82" s="156"/>
      <c r="I82" s="156"/>
      <c r="J82" s="156"/>
      <c r="K82" s="156"/>
      <c r="L82" s="156"/>
      <c r="M82" s="156"/>
    </row>
    <row r="83" spans="2:14" ht="29.5" customHeight="1" thickBot="1">
      <c r="B83" s="152"/>
      <c r="C83" s="157" t="s">
        <v>61</v>
      </c>
      <c r="D83" s="157" t="s">
        <v>62</v>
      </c>
      <c r="E83" s="157" t="s">
        <v>63</v>
      </c>
      <c r="F83" s="157" t="s">
        <v>64</v>
      </c>
      <c r="G83" s="157" t="s">
        <v>65</v>
      </c>
      <c r="H83" s="157" t="s">
        <v>59</v>
      </c>
    </row>
    <row r="84" spans="2:14" ht="18" customHeight="1" thickTop="1" thickBot="1">
      <c r="B84" s="153" t="s">
        <v>343</v>
      </c>
      <c r="C84" s="155">
        <f>COUNTIFS('RD Fine Kinney (Birim Bazlı)'!$R$8:$R$100,'Analiz (Birim Bazlı)'!C$83,'RD Fine Kinney (Birim Bazlı)'!$U$8:$U$100,"&gt;1.1.2000")</f>
        <v>0</v>
      </c>
      <c r="D84" s="155">
        <f>COUNTIFS('RD Fine Kinney (Birim Bazlı)'!$R$8:$R$100,'Analiz (Birim Bazlı)'!D$83,'RD Fine Kinney (Birim Bazlı)'!$U$8:$U$100,"&gt;1.1.2000")</f>
        <v>0</v>
      </c>
      <c r="E84" s="155">
        <f>COUNTIFS('RD Fine Kinney (Birim Bazlı)'!$R$8:$R$100,'Analiz (Birim Bazlı)'!E$83,'RD Fine Kinney (Birim Bazlı)'!$U$8:$U$100,"&gt;1.1.2000")</f>
        <v>0</v>
      </c>
      <c r="F84" s="155">
        <f>COUNTIFS('RD Fine Kinney (Birim Bazlı)'!$R$8:$R$100,'Analiz (Birim Bazlı)'!F$83,'RD Fine Kinney (Birim Bazlı)'!$U$8:$U$100,"&gt;1.1.2000")</f>
        <v>0</v>
      </c>
      <c r="G84" s="155">
        <f>COUNTIFS('RD Fine Kinney (Birim Bazlı)'!$R$8:$R$100,'Analiz (Birim Bazlı)'!G$83,'RD Fine Kinney (Birim Bazlı)'!$U$8:$U$100,"&gt;1.1.2000")</f>
        <v>0</v>
      </c>
      <c r="H84" s="157">
        <f>SUM(C84:G84)</f>
        <v>0</v>
      </c>
    </row>
    <row r="85" spans="2:14" ht="18" customHeight="1" thickTop="1" thickBot="1">
      <c r="B85" s="154" t="s">
        <v>345</v>
      </c>
      <c r="C85" s="155">
        <f>COUNTIFS('RD Fine Kinney (Birim Bazlı)'!$R$8:$R$100,'Analiz (Birim Bazlı)'!C$83,'RD Fine Kinney (Birim Bazlı)'!$U$8:$U$100,"&gt;1.1.2000",'RD Fine Kinney (Birim Bazlı)'!$W$8:$W$100,"&lt;&gt;")</f>
        <v>0</v>
      </c>
      <c r="D85" s="155">
        <f>COUNTIFS('RD Fine Kinney (Birim Bazlı)'!$R$8:$R$100,'Analiz (Birim Bazlı)'!D$83,'RD Fine Kinney (Birim Bazlı)'!$U$8:$U$100,"&gt;1.1.2000",'RD Fine Kinney (Birim Bazlı)'!$W$8:$W$100,"&lt;&gt;")</f>
        <v>0</v>
      </c>
      <c r="E85" s="155">
        <f>COUNTIFS('RD Fine Kinney (Birim Bazlı)'!$R$8:$R$100,'Analiz (Birim Bazlı)'!E$83,'RD Fine Kinney (Birim Bazlı)'!$U$8:$U$100,"&gt;1.1.2000",'RD Fine Kinney (Birim Bazlı)'!$W$8:$W$100,"&lt;&gt;")</f>
        <v>0</v>
      </c>
      <c r="F85" s="155">
        <f>COUNTIFS('RD Fine Kinney (Birim Bazlı)'!$R$8:$R$100,'Analiz (Birim Bazlı)'!F$83,'RD Fine Kinney (Birim Bazlı)'!$U$8:$U$100,"&gt;1.1.2000",'RD Fine Kinney (Birim Bazlı)'!$W$8:$W$100,"&lt;&gt;")</f>
        <v>0</v>
      </c>
      <c r="G85" s="155">
        <f>COUNTIFS('RD Fine Kinney (Birim Bazlı)'!$R$8:$R$100,'Analiz (Birim Bazlı)'!G$83,'RD Fine Kinney (Birim Bazlı)'!$U$8:$U$100,"&gt;1.1.2000",'RD Fine Kinney (Birim Bazlı)'!$W$8:$W$100,"&lt;&gt;")</f>
        <v>0</v>
      </c>
      <c r="H85" s="157">
        <f>SUM(C85:G85)</f>
        <v>0</v>
      </c>
    </row>
    <row r="86" spans="2:14" ht="18" customHeight="1" thickTop="1" thickBot="1">
      <c r="B86" s="141" t="s">
        <v>346</v>
      </c>
      <c r="C86" s="155">
        <f>COUNTIFS('RD Fine Kinney (Birim Bazlı)'!$R$8:$R$100,'Analiz (Birim Bazlı)'!C$83,'RD Fine Kinney (Birim Bazlı)'!$U$8:$U$100,"&gt;1.1.2000",'RD Fine Kinney (Birim Bazlı)'!$W$8:$W$100,"")</f>
        <v>0</v>
      </c>
      <c r="D86" s="155">
        <f>COUNTIFS('RD Fine Kinney (Birim Bazlı)'!$R$8:$R$100,'Analiz (Birim Bazlı)'!D$83,'RD Fine Kinney (Birim Bazlı)'!$U$8:$U$100,"&gt;1.1.2000",'RD Fine Kinney (Birim Bazlı)'!$W$8:$W$100,"")</f>
        <v>0</v>
      </c>
      <c r="E86" s="155">
        <f>COUNTIFS('RD Fine Kinney (Birim Bazlı)'!$R$8:$R$100,'Analiz (Birim Bazlı)'!E$83,'RD Fine Kinney (Birim Bazlı)'!$U$8:$U$100,"&gt;1.1.2000",'RD Fine Kinney (Birim Bazlı)'!$W$8:$W$100,"")</f>
        <v>0</v>
      </c>
      <c r="F86" s="155">
        <f>COUNTIFS('RD Fine Kinney (Birim Bazlı)'!$R$8:$R$100,'Analiz (Birim Bazlı)'!F$83,'RD Fine Kinney (Birim Bazlı)'!$U$8:$U$100,"&gt;1.1.2000",'RD Fine Kinney (Birim Bazlı)'!$W$8:$W$100,"")</f>
        <v>0</v>
      </c>
      <c r="G86" s="155">
        <f>COUNTIFS('RD Fine Kinney (Birim Bazlı)'!$R$8:$R$100,'Analiz (Birim Bazlı)'!G$83,'RD Fine Kinney (Birim Bazlı)'!$U$8:$U$100,"&gt;1.1.2000",'RD Fine Kinney (Birim Bazlı)'!$W$8:$W$100,"")</f>
        <v>0</v>
      </c>
      <c r="H86" s="157">
        <f>SUM(C86:G86)</f>
        <v>0</v>
      </c>
    </row>
    <row r="87" spans="2:14" ht="18" customHeight="1" thickTop="1"/>
    <row r="88" spans="2:14" ht="18" customHeight="1"/>
    <row r="89" spans="2:14" ht="18" customHeight="1"/>
    <row r="90" spans="2:14" ht="18" customHeight="1"/>
    <row r="91" spans="2:14" ht="18" customHeight="1"/>
    <row r="103" spans="2:14" ht="19.5" customHeight="1" thickBot="1">
      <c r="C103" s="217" t="s">
        <v>354</v>
      </c>
      <c r="D103" s="217"/>
      <c r="E103" s="217"/>
      <c r="F103" s="217"/>
      <c r="G103" s="217"/>
      <c r="H103" s="218"/>
      <c r="I103" s="216" t="s">
        <v>355</v>
      </c>
      <c r="J103" s="217"/>
      <c r="K103" s="217"/>
      <c r="L103" s="217"/>
      <c r="M103" s="217"/>
      <c r="N103" s="218"/>
    </row>
    <row r="104" spans="2:14" ht="29.5" customHeight="1" thickTop="1" thickBot="1">
      <c r="B104" s="158" t="s">
        <v>16</v>
      </c>
      <c r="C104" s="157" t="s">
        <v>61</v>
      </c>
      <c r="D104" s="157" t="s">
        <v>62</v>
      </c>
      <c r="E104" s="157" t="s">
        <v>63</v>
      </c>
      <c r="F104" s="157" t="s">
        <v>64</v>
      </c>
      <c r="G104" s="157" t="s">
        <v>65</v>
      </c>
      <c r="H104" s="157" t="s">
        <v>59</v>
      </c>
      <c r="I104" s="157" t="s">
        <v>61</v>
      </c>
      <c r="J104" s="157" t="s">
        <v>62</v>
      </c>
      <c r="K104" s="157" t="s">
        <v>63</v>
      </c>
      <c r="L104" s="157" t="s">
        <v>64</v>
      </c>
      <c r="M104" s="157" t="s">
        <v>65</v>
      </c>
      <c r="N104" s="157" t="s">
        <v>59</v>
      </c>
    </row>
    <row r="105" spans="2:14" ht="18" customHeight="1" thickTop="1" thickBot="1">
      <c r="B105" s="153" t="s">
        <v>349</v>
      </c>
      <c r="C105" s="155">
        <f>COUNTIFS('RD Fine Kinney (Birim Bazlı)'!$R$8:$R$100,'Analiz (Birim Bazlı)'!C$104,'RD Fine Kinney (Birim Bazlı)'!$T$8:$T$100,'Analiz (Birim Bazlı)'!$B105,'RD Fine Kinney (Birim Bazlı)'!$U$8:$U$100,"&gt;1.1.2000",'RD Fine Kinney (Birim Bazlı)'!$W$8:$W$100,"&lt;&gt;")</f>
        <v>0</v>
      </c>
      <c r="D105" s="155">
        <f>COUNTIFS('RD Fine Kinney (Birim Bazlı)'!$R$8:$R$100,'Analiz (Birim Bazlı)'!D$104,'RD Fine Kinney (Birim Bazlı)'!$T$8:$T$100,'Analiz (Birim Bazlı)'!$B105,'RD Fine Kinney (Birim Bazlı)'!$U$8:$U$100,"&gt;1.1.2000",'RD Fine Kinney (Birim Bazlı)'!$W$8:$W$100,"&lt;&gt;")</f>
        <v>0</v>
      </c>
      <c r="E105" s="155">
        <f>COUNTIFS('RD Fine Kinney (Birim Bazlı)'!$R$8:$R$100,'Analiz (Birim Bazlı)'!E$104,'RD Fine Kinney (Birim Bazlı)'!$T$8:$T$100,'Analiz (Birim Bazlı)'!$B105,'RD Fine Kinney (Birim Bazlı)'!$U$8:$U$100,"&gt;1.1.2000",'RD Fine Kinney (Birim Bazlı)'!$W$8:$W$100,"&lt;&gt;")</f>
        <v>0</v>
      </c>
      <c r="F105" s="155">
        <f>COUNTIFS('RD Fine Kinney (Birim Bazlı)'!$R$8:$R$100,'Analiz (Birim Bazlı)'!F$104,'RD Fine Kinney (Birim Bazlı)'!$T$8:$T$100,'Analiz (Birim Bazlı)'!$B105,'RD Fine Kinney (Birim Bazlı)'!$U$8:$U$100,"&gt;1.1.2000",'RD Fine Kinney (Birim Bazlı)'!$W$8:$W$100,"&lt;&gt;")</f>
        <v>0</v>
      </c>
      <c r="G105" s="155">
        <f>COUNTIFS('RD Fine Kinney (Birim Bazlı)'!$R$8:$R$100,'Analiz (Birim Bazlı)'!G$104,'RD Fine Kinney (Birim Bazlı)'!$T$8:$T$100,'Analiz (Birim Bazlı)'!$B105,'RD Fine Kinney (Birim Bazlı)'!$U$8:$U$100,"&gt;1.1.2000",'RD Fine Kinney (Birim Bazlı)'!$W$8:$W$100,"&lt;&gt;")</f>
        <v>0</v>
      </c>
      <c r="H105" s="157">
        <f>SUM(C105:G105)</f>
        <v>0</v>
      </c>
      <c r="I105" s="155">
        <f>COUNTIFS('RD Fine Kinney (Birim Bazlı)'!$R$8:$R$100,'Analiz (Birim Bazlı)'!I$104,'RD Fine Kinney (Birim Bazlı)'!$T$8:$T$100,'Analiz (Birim Bazlı)'!$B105,'RD Fine Kinney (Birim Bazlı)'!$U$8:$U$100,"&gt;1.1.2000",'RD Fine Kinney (Birim Bazlı)'!$W$8:$W$100,"")</f>
        <v>0</v>
      </c>
      <c r="J105" s="155">
        <f>COUNTIFS('RD Fine Kinney (Birim Bazlı)'!$R$8:$R$100,'Analiz (Birim Bazlı)'!J$104,'RD Fine Kinney (Birim Bazlı)'!$T$8:$T$100,'Analiz (Birim Bazlı)'!$B105,'RD Fine Kinney (Birim Bazlı)'!$U$8:$U$100,"&gt;1.1.2000",'RD Fine Kinney (Birim Bazlı)'!$W$8:$W$100,"")</f>
        <v>0</v>
      </c>
      <c r="K105" s="155">
        <f>COUNTIFS('RD Fine Kinney (Birim Bazlı)'!$R$8:$R$100,'Analiz (Birim Bazlı)'!K$104,'RD Fine Kinney (Birim Bazlı)'!$T$8:$T$100,'Analiz (Birim Bazlı)'!$B105,'RD Fine Kinney (Birim Bazlı)'!$U$8:$U$100,"&gt;1.1.2000",'RD Fine Kinney (Birim Bazlı)'!$W$8:$W$100,"")</f>
        <v>0</v>
      </c>
      <c r="L105" s="155">
        <f>COUNTIFS('RD Fine Kinney (Birim Bazlı)'!$R$8:$R$100,'Analiz (Birim Bazlı)'!L$104,'RD Fine Kinney (Birim Bazlı)'!$T$8:$T$100,'Analiz (Birim Bazlı)'!$B105,'RD Fine Kinney (Birim Bazlı)'!$U$8:$U$100,"&gt;1.1.2000",'RD Fine Kinney (Birim Bazlı)'!$W$8:$W$100,"")</f>
        <v>0</v>
      </c>
      <c r="M105" s="155">
        <f>COUNTIFS('RD Fine Kinney (Birim Bazlı)'!$R$8:$R$100,'Analiz (Birim Bazlı)'!M$104,'RD Fine Kinney (Birim Bazlı)'!$T$8:$T$100,'Analiz (Birim Bazlı)'!$B105,'RD Fine Kinney (Birim Bazlı)'!$U$8:$U$100,"&gt;1.1.2000",'RD Fine Kinney (Birim Bazlı)'!$W$8:$W$100,"")</f>
        <v>0</v>
      </c>
      <c r="N105" s="157">
        <f>SUM(I105:M105)</f>
        <v>0</v>
      </c>
    </row>
    <row r="106" spans="2:14" ht="18" customHeight="1" thickTop="1" thickBot="1">
      <c r="B106" s="153" t="s">
        <v>356</v>
      </c>
      <c r="C106" s="155">
        <f>COUNTIFS('RD Fine Kinney (Birim Bazlı)'!$R$8:$R$100,'Analiz (Birim Bazlı)'!C$104,'RD Fine Kinney (Birim Bazlı)'!$T$8:$T$100,'Analiz (Birim Bazlı)'!$B106,'RD Fine Kinney (Birim Bazlı)'!$U$8:$U$100,"&gt;1.1.2000",'RD Fine Kinney (Birim Bazlı)'!$W$8:$W$100,"&lt;&gt;")</f>
        <v>0</v>
      </c>
      <c r="D106" s="155">
        <f>COUNTIFS('RD Fine Kinney (Birim Bazlı)'!$R$8:$R$100,'Analiz (Birim Bazlı)'!D$104,'RD Fine Kinney (Birim Bazlı)'!$T$8:$T$100,'Analiz (Birim Bazlı)'!$B106,'RD Fine Kinney (Birim Bazlı)'!$U$8:$U$100,"&gt;1.1.2000",'RD Fine Kinney (Birim Bazlı)'!$W$8:$W$100,"&lt;&gt;")</f>
        <v>0</v>
      </c>
      <c r="E106" s="155">
        <f>COUNTIFS('RD Fine Kinney (Birim Bazlı)'!$R$8:$R$100,'Analiz (Birim Bazlı)'!E$104,'RD Fine Kinney (Birim Bazlı)'!$T$8:$T$100,'Analiz (Birim Bazlı)'!$B106,'RD Fine Kinney (Birim Bazlı)'!$U$8:$U$100,"&gt;1.1.2000",'RD Fine Kinney (Birim Bazlı)'!$W$8:$W$100,"&lt;&gt;")</f>
        <v>0</v>
      </c>
      <c r="F106" s="155">
        <f>COUNTIFS('RD Fine Kinney (Birim Bazlı)'!$R$8:$R$100,'Analiz (Birim Bazlı)'!F$104,'RD Fine Kinney (Birim Bazlı)'!$T$8:$T$100,'Analiz (Birim Bazlı)'!$B106,'RD Fine Kinney (Birim Bazlı)'!$U$8:$U$100,"&gt;1.1.2000",'RD Fine Kinney (Birim Bazlı)'!$W$8:$W$100,"&lt;&gt;")</f>
        <v>0</v>
      </c>
      <c r="G106" s="155">
        <f>COUNTIFS('RD Fine Kinney (Birim Bazlı)'!$R$8:$R$100,'Analiz (Birim Bazlı)'!G$104,'RD Fine Kinney (Birim Bazlı)'!$T$8:$T$100,'Analiz (Birim Bazlı)'!$B106,'RD Fine Kinney (Birim Bazlı)'!$U$8:$U$100,"&gt;1.1.2000",'RD Fine Kinney (Birim Bazlı)'!$W$8:$W$100,"&lt;&gt;")</f>
        <v>0</v>
      </c>
      <c r="H106" s="157">
        <f t="shared" ref="H106:H117" si="3">SUM(C106:G106)</f>
        <v>0</v>
      </c>
      <c r="I106" s="155">
        <f>COUNTIFS('RD Fine Kinney (Birim Bazlı)'!$R$8:$R$100,'Analiz (Birim Bazlı)'!I$104,'RD Fine Kinney (Birim Bazlı)'!$T$8:$T$100,'Analiz (Birim Bazlı)'!$B106,'RD Fine Kinney (Birim Bazlı)'!$U$8:$U$100,"&gt;1.1.2000",'RD Fine Kinney (Birim Bazlı)'!$W$8:$W$100,"")</f>
        <v>0</v>
      </c>
      <c r="J106" s="155">
        <f>COUNTIFS('RD Fine Kinney (Birim Bazlı)'!$R$8:$R$100,'Analiz (Birim Bazlı)'!J$104,'RD Fine Kinney (Birim Bazlı)'!$T$8:$T$100,'Analiz (Birim Bazlı)'!$B106,'RD Fine Kinney (Birim Bazlı)'!$U$8:$U$100,"&gt;1.1.2000",'RD Fine Kinney (Birim Bazlı)'!$W$8:$W$100,"")</f>
        <v>0</v>
      </c>
      <c r="K106" s="155">
        <f>COUNTIFS('RD Fine Kinney (Birim Bazlı)'!$R$8:$R$100,'Analiz (Birim Bazlı)'!K$104,'RD Fine Kinney (Birim Bazlı)'!$T$8:$T$100,'Analiz (Birim Bazlı)'!$B106,'RD Fine Kinney (Birim Bazlı)'!$U$8:$U$100,"&gt;1.1.2000",'RD Fine Kinney (Birim Bazlı)'!$W$8:$W$100,"")</f>
        <v>0</v>
      </c>
      <c r="L106" s="155">
        <f>COUNTIFS('RD Fine Kinney (Birim Bazlı)'!$R$8:$R$100,'Analiz (Birim Bazlı)'!L$104,'RD Fine Kinney (Birim Bazlı)'!$T$8:$T$100,'Analiz (Birim Bazlı)'!$B106,'RD Fine Kinney (Birim Bazlı)'!$U$8:$U$100,"&gt;1.1.2000",'RD Fine Kinney (Birim Bazlı)'!$W$8:$W$100,"")</f>
        <v>0</v>
      </c>
      <c r="M106" s="155">
        <f>COUNTIFS('RD Fine Kinney (Birim Bazlı)'!$R$8:$R$100,'Analiz (Birim Bazlı)'!M$104,'RD Fine Kinney (Birim Bazlı)'!$T$8:$T$100,'Analiz (Birim Bazlı)'!$B106,'RD Fine Kinney (Birim Bazlı)'!$U$8:$U$100,"&gt;1.1.2000",'RD Fine Kinney (Birim Bazlı)'!$W$8:$W$100,"")</f>
        <v>0</v>
      </c>
      <c r="N106" s="157">
        <f t="shared" ref="N106:N117" si="4">SUM(I106:M106)</f>
        <v>0</v>
      </c>
    </row>
    <row r="107" spans="2:14" ht="18" customHeight="1" thickTop="1" thickBot="1">
      <c r="B107" s="153" t="s">
        <v>351</v>
      </c>
      <c r="C107" s="155">
        <f>COUNTIFS('RD Fine Kinney (Birim Bazlı)'!$R$8:$R$100,'Analiz (Birim Bazlı)'!C$104,'RD Fine Kinney (Birim Bazlı)'!$T$8:$T$100,'Analiz (Birim Bazlı)'!$B107,'RD Fine Kinney (Birim Bazlı)'!$U$8:$U$100,"&gt;1.1.2000",'RD Fine Kinney (Birim Bazlı)'!$W$8:$W$100,"&lt;&gt;")</f>
        <v>0</v>
      </c>
      <c r="D107" s="155">
        <f>COUNTIFS('RD Fine Kinney (Birim Bazlı)'!$R$8:$R$100,'Analiz (Birim Bazlı)'!D$104,'RD Fine Kinney (Birim Bazlı)'!$T$8:$T$100,'Analiz (Birim Bazlı)'!$B107,'RD Fine Kinney (Birim Bazlı)'!$U$8:$U$100,"&gt;1.1.2000",'RD Fine Kinney (Birim Bazlı)'!$W$8:$W$100,"&lt;&gt;")</f>
        <v>0</v>
      </c>
      <c r="E107" s="155">
        <f>COUNTIFS('RD Fine Kinney (Birim Bazlı)'!$R$8:$R$100,'Analiz (Birim Bazlı)'!E$104,'RD Fine Kinney (Birim Bazlı)'!$T$8:$T$100,'Analiz (Birim Bazlı)'!$B107,'RD Fine Kinney (Birim Bazlı)'!$U$8:$U$100,"&gt;1.1.2000",'RD Fine Kinney (Birim Bazlı)'!$W$8:$W$100,"&lt;&gt;")</f>
        <v>0</v>
      </c>
      <c r="F107" s="155">
        <f>COUNTIFS('RD Fine Kinney (Birim Bazlı)'!$R$8:$R$100,'Analiz (Birim Bazlı)'!F$104,'RD Fine Kinney (Birim Bazlı)'!$T$8:$T$100,'Analiz (Birim Bazlı)'!$B107,'RD Fine Kinney (Birim Bazlı)'!$U$8:$U$100,"&gt;1.1.2000",'RD Fine Kinney (Birim Bazlı)'!$W$8:$W$100,"&lt;&gt;")</f>
        <v>0</v>
      </c>
      <c r="G107" s="155">
        <f>COUNTIFS('RD Fine Kinney (Birim Bazlı)'!$R$8:$R$100,'Analiz (Birim Bazlı)'!G$104,'RD Fine Kinney (Birim Bazlı)'!$T$8:$T$100,'Analiz (Birim Bazlı)'!$B107,'RD Fine Kinney (Birim Bazlı)'!$U$8:$U$100,"&gt;1.1.2000",'RD Fine Kinney (Birim Bazlı)'!$W$8:$W$100,"&lt;&gt;")</f>
        <v>0</v>
      </c>
      <c r="H107" s="157">
        <f t="shared" si="3"/>
        <v>0</v>
      </c>
      <c r="I107" s="155">
        <f>COUNTIFS('RD Fine Kinney (Birim Bazlı)'!$R$8:$R$100,'Analiz (Birim Bazlı)'!I$104,'RD Fine Kinney (Birim Bazlı)'!$T$8:$T$100,'Analiz (Birim Bazlı)'!$B107,'RD Fine Kinney (Birim Bazlı)'!$U$8:$U$100,"&gt;1.1.2000",'RD Fine Kinney (Birim Bazlı)'!$W$8:$W$100,"")</f>
        <v>0</v>
      </c>
      <c r="J107" s="155">
        <f>COUNTIFS('RD Fine Kinney (Birim Bazlı)'!$R$8:$R$100,'Analiz (Birim Bazlı)'!J$104,'RD Fine Kinney (Birim Bazlı)'!$T$8:$T$100,'Analiz (Birim Bazlı)'!$B107,'RD Fine Kinney (Birim Bazlı)'!$U$8:$U$100,"&gt;1.1.2000",'RD Fine Kinney (Birim Bazlı)'!$W$8:$W$100,"")</f>
        <v>0</v>
      </c>
      <c r="K107" s="155">
        <f>COUNTIFS('RD Fine Kinney (Birim Bazlı)'!$R$8:$R$100,'Analiz (Birim Bazlı)'!K$104,'RD Fine Kinney (Birim Bazlı)'!$T$8:$T$100,'Analiz (Birim Bazlı)'!$B107,'RD Fine Kinney (Birim Bazlı)'!$U$8:$U$100,"&gt;1.1.2000",'RD Fine Kinney (Birim Bazlı)'!$W$8:$W$100,"")</f>
        <v>0</v>
      </c>
      <c r="L107" s="155">
        <f>COUNTIFS('RD Fine Kinney (Birim Bazlı)'!$R$8:$R$100,'Analiz (Birim Bazlı)'!L$104,'RD Fine Kinney (Birim Bazlı)'!$T$8:$T$100,'Analiz (Birim Bazlı)'!$B107,'RD Fine Kinney (Birim Bazlı)'!$U$8:$U$100,"&gt;1.1.2000",'RD Fine Kinney (Birim Bazlı)'!$W$8:$W$100,"")</f>
        <v>0</v>
      </c>
      <c r="M107" s="155">
        <f>COUNTIFS('RD Fine Kinney (Birim Bazlı)'!$R$8:$R$100,'Analiz (Birim Bazlı)'!M$104,'RD Fine Kinney (Birim Bazlı)'!$T$8:$T$100,'Analiz (Birim Bazlı)'!$B107,'RD Fine Kinney (Birim Bazlı)'!$U$8:$U$100,"&gt;1.1.2000",'RD Fine Kinney (Birim Bazlı)'!$W$8:$W$100,"")</f>
        <v>0</v>
      </c>
      <c r="N107" s="157">
        <f t="shared" si="4"/>
        <v>0</v>
      </c>
    </row>
    <row r="108" spans="2:14" ht="18" customHeight="1" thickTop="1" thickBot="1">
      <c r="B108" s="153" t="s">
        <v>352</v>
      </c>
      <c r="C108" s="155">
        <f>COUNTIFS('RD Fine Kinney (Birim Bazlı)'!$R$8:$R$100,'Analiz (Birim Bazlı)'!C$104,'RD Fine Kinney (Birim Bazlı)'!$T$8:$T$100,'Analiz (Birim Bazlı)'!$B108,'RD Fine Kinney (Birim Bazlı)'!$U$8:$U$100,"&gt;1.1.2000",'RD Fine Kinney (Birim Bazlı)'!$W$8:$W$100,"&lt;&gt;")</f>
        <v>0</v>
      </c>
      <c r="D108" s="155">
        <f>COUNTIFS('RD Fine Kinney (Birim Bazlı)'!$R$8:$R$100,'Analiz (Birim Bazlı)'!D$104,'RD Fine Kinney (Birim Bazlı)'!$T$8:$T$100,'Analiz (Birim Bazlı)'!$B108,'RD Fine Kinney (Birim Bazlı)'!$U$8:$U$100,"&gt;1.1.2000",'RD Fine Kinney (Birim Bazlı)'!$W$8:$W$100,"&lt;&gt;")</f>
        <v>0</v>
      </c>
      <c r="E108" s="155">
        <f>COUNTIFS('RD Fine Kinney (Birim Bazlı)'!$R$8:$R$100,'Analiz (Birim Bazlı)'!E$104,'RD Fine Kinney (Birim Bazlı)'!$T$8:$T$100,'Analiz (Birim Bazlı)'!$B108,'RD Fine Kinney (Birim Bazlı)'!$U$8:$U$100,"&gt;1.1.2000",'RD Fine Kinney (Birim Bazlı)'!$W$8:$W$100,"&lt;&gt;")</f>
        <v>0</v>
      </c>
      <c r="F108" s="155">
        <f>COUNTIFS('RD Fine Kinney (Birim Bazlı)'!$R$8:$R$100,'Analiz (Birim Bazlı)'!F$104,'RD Fine Kinney (Birim Bazlı)'!$T$8:$T$100,'Analiz (Birim Bazlı)'!$B108,'RD Fine Kinney (Birim Bazlı)'!$U$8:$U$100,"&gt;1.1.2000",'RD Fine Kinney (Birim Bazlı)'!$W$8:$W$100,"&lt;&gt;")</f>
        <v>0</v>
      </c>
      <c r="G108" s="155">
        <f>COUNTIFS('RD Fine Kinney (Birim Bazlı)'!$R$8:$R$100,'Analiz (Birim Bazlı)'!G$104,'RD Fine Kinney (Birim Bazlı)'!$T$8:$T$100,'Analiz (Birim Bazlı)'!$B108,'RD Fine Kinney (Birim Bazlı)'!$U$8:$U$100,"&gt;1.1.2000",'RD Fine Kinney (Birim Bazlı)'!$W$8:$W$100,"&lt;&gt;")</f>
        <v>0</v>
      </c>
      <c r="H108" s="157">
        <f t="shared" si="3"/>
        <v>0</v>
      </c>
      <c r="I108" s="155">
        <f>COUNTIFS('RD Fine Kinney (Birim Bazlı)'!$R$8:$R$100,'Analiz (Birim Bazlı)'!I$104,'RD Fine Kinney (Birim Bazlı)'!$T$8:$T$100,'Analiz (Birim Bazlı)'!$B108,'RD Fine Kinney (Birim Bazlı)'!$U$8:$U$100,"&gt;1.1.2000",'RD Fine Kinney (Birim Bazlı)'!$W$8:$W$100,"")</f>
        <v>0</v>
      </c>
      <c r="J108" s="155">
        <f>COUNTIFS('RD Fine Kinney (Birim Bazlı)'!$R$8:$R$100,'Analiz (Birim Bazlı)'!J$104,'RD Fine Kinney (Birim Bazlı)'!$T$8:$T$100,'Analiz (Birim Bazlı)'!$B108,'RD Fine Kinney (Birim Bazlı)'!$U$8:$U$100,"&gt;1.1.2000",'RD Fine Kinney (Birim Bazlı)'!$W$8:$W$100,"")</f>
        <v>0</v>
      </c>
      <c r="K108" s="155">
        <f>COUNTIFS('RD Fine Kinney (Birim Bazlı)'!$R$8:$R$100,'Analiz (Birim Bazlı)'!K$104,'RD Fine Kinney (Birim Bazlı)'!$T$8:$T$100,'Analiz (Birim Bazlı)'!$B108,'RD Fine Kinney (Birim Bazlı)'!$U$8:$U$100,"&gt;1.1.2000",'RD Fine Kinney (Birim Bazlı)'!$W$8:$W$100,"")</f>
        <v>0</v>
      </c>
      <c r="L108" s="155">
        <f>COUNTIFS('RD Fine Kinney (Birim Bazlı)'!$R$8:$R$100,'Analiz (Birim Bazlı)'!L$104,'RD Fine Kinney (Birim Bazlı)'!$T$8:$T$100,'Analiz (Birim Bazlı)'!$B108,'RD Fine Kinney (Birim Bazlı)'!$U$8:$U$100,"&gt;1.1.2000",'RD Fine Kinney (Birim Bazlı)'!$W$8:$W$100,"")</f>
        <v>0</v>
      </c>
      <c r="M108" s="155">
        <f>COUNTIFS('RD Fine Kinney (Birim Bazlı)'!$R$8:$R$100,'Analiz (Birim Bazlı)'!M$104,'RD Fine Kinney (Birim Bazlı)'!$T$8:$T$100,'Analiz (Birim Bazlı)'!$B108,'RD Fine Kinney (Birim Bazlı)'!$U$8:$U$100,"&gt;1.1.2000",'RD Fine Kinney (Birim Bazlı)'!$W$8:$W$100,"")</f>
        <v>0</v>
      </c>
      <c r="N108" s="157">
        <f t="shared" si="4"/>
        <v>0</v>
      </c>
    </row>
    <row r="109" spans="2:14" ht="18" customHeight="1" thickTop="1" thickBot="1">
      <c r="B109" s="153" t="s">
        <v>359</v>
      </c>
      <c r="C109" s="155">
        <f>COUNTIFS('RD Fine Kinney (Birim Bazlı)'!$R$8:$R$100,'Analiz (Birim Bazlı)'!C$104,'RD Fine Kinney (Birim Bazlı)'!$T$8:$T$100,'Analiz (Birim Bazlı)'!$B109,'RD Fine Kinney (Birim Bazlı)'!$U$8:$U$100,"&gt;1.1.2000",'RD Fine Kinney (Birim Bazlı)'!$W$8:$W$100,"&lt;&gt;")</f>
        <v>0</v>
      </c>
      <c r="D109" s="155">
        <f>COUNTIFS('RD Fine Kinney (Birim Bazlı)'!$R$8:$R$100,'Analiz (Birim Bazlı)'!D$104,'RD Fine Kinney (Birim Bazlı)'!$T$8:$T$100,'Analiz (Birim Bazlı)'!$B109,'RD Fine Kinney (Birim Bazlı)'!$U$8:$U$100,"&gt;1.1.2000",'RD Fine Kinney (Birim Bazlı)'!$W$8:$W$100,"&lt;&gt;")</f>
        <v>0</v>
      </c>
      <c r="E109" s="155">
        <f>COUNTIFS('RD Fine Kinney (Birim Bazlı)'!$R$8:$R$100,'Analiz (Birim Bazlı)'!E$104,'RD Fine Kinney (Birim Bazlı)'!$T$8:$T$100,'Analiz (Birim Bazlı)'!$B109,'RD Fine Kinney (Birim Bazlı)'!$U$8:$U$100,"&gt;1.1.2000",'RD Fine Kinney (Birim Bazlı)'!$W$8:$W$100,"&lt;&gt;")</f>
        <v>0</v>
      </c>
      <c r="F109" s="155">
        <f>COUNTIFS('RD Fine Kinney (Birim Bazlı)'!$R$8:$R$100,'Analiz (Birim Bazlı)'!F$104,'RD Fine Kinney (Birim Bazlı)'!$T$8:$T$100,'Analiz (Birim Bazlı)'!$B109,'RD Fine Kinney (Birim Bazlı)'!$U$8:$U$100,"&gt;1.1.2000",'RD Fine Kinney (Birim Bazlı)'!$W$8:$W$100,"&lt;&gt;")</f>
        <v>0</v>
      </c>
      <c r="G109" s="155">
        <f>COUNTIFS('RD Fine Kinney (Birim Bazlı)'!$R$8:$R$100,'Analiz (Birim Bazlı)'!G$104,'RD Fine Kinney (Birim Bazlı)'!$T$8:$T$100,'Analiz (Birim Bazlı)'!$B109,'RD Fine Kinney (Birim Bazlı)'!$U$8:$U$100,"&gt;1.1.2000",'RD Fine Kinney (Birim Bazlı)'!$W$8:$W$100,"&lt;&gt;")</f>
        <v>0</v>
      </c>
      <c r="H109" s="157">
        <f t="shared" si="3"/>
        <v>0</v>
      </c>
      <c r="I109" s="155">
        <f>COUNTIFS('RD Fine Kinney (Birim Bazlı)'!$R$8:$R$100,'Analiz (Birim Bazlı)'!I$104,'RD Fine Kinney (Birim Bazlı)'!$T$8:$T$100,'Analiz (Birim Bazlı)'!$B109,'RD Fine Kinney (Birim Bazlı)'!$U$8:$U$100,"&gt;1.1.2000",'RD Fine Kinney (Birim Bazlı)'!$W$8:$W$100,"")</f>
        <v>0</v>
      </c>
      <c r="J109" s="155">
        <f>COUNTIFS('RD Fine Kinney (Birim Bazlı)'!$R$8:$R$100,'Analiz (Birim Bazlı)'!J$104,'RD Fine Kinney (Birim Bazlı)'!$T$8:$T$100,'Analiz (Birim Bazlı)'!$B109,'RD Fine Kinney (Birim Bazlı)'!$U$8:$U$100,"&gt;1.1.2000",'RD Fine Kinney (Birim Bazlı)'!$W$8:$W$100,"")</f>
        <v>0</v>
      </c>
      <c r="K109" s="155">
        <f>COUNTIFS('RD Fine Kinney (Birim Bazlı)'!$R$8:$R$100,'Analiz (Birim Bazlı)'!K$104,'RD Fine Kinney (Birim Bazlı)'!$T$8:$T$100,'Analiz (Birim Bazlı)'!$B109,'RD Fine Kinney (Birim Bazlı)'!$U$8:$U$100,"&gt;1.1.2000",'RD Fine Kinney (Birim Bazlı)'!$W$8:$W$100,"")</f>
        <v>0</v>
      </c>
      <c r="L109" s="155">
        <f>COUNTIFS('RD Fine Kinney (Birim Bazlı)'!$R$8:$R$100,'Analiz (Birim Bazlı)'!L$104,'RD Fine Kinney (Birim Bazlı)'!$T$8:$T$100,'Analiz (Birim Bazlı)'!$B109,'RD Fine Kinney (Birim Bazlı)'!$U$8:$U$100,"&gt;1.1.2000",'RD Fine Kinney (Birim Bazlı)'!$W$8:$W$100,"")</f>
        <v>0</v>
      </c>
      <c r="M109" s="155">
        <f>COUNTIFS('RD Fine Kinney (Birim Bazlı)'!$R$8:$R$100,'Analiz (Birim Bazlı)'!M$104,'RD Fine Kinney (Birim Bazlı)'!$T$8:$T$100,'Analiz (Birim Bazlı)'!$B109,'RD Fine Kinney (Birim Bazlı)'!$U$8:$U$100,"&gt;1.1.2000",'RD Fine Kinney (Birim Bazlı)'!$W$8:$W$100,"")</f>
        <v>0</v>
      </c>
      <c r="N109" s="157">
        <f t="shared" si="4"/>
        <v>0</v>
      </c>
    </row>
    <row r="110" spans="2:14" ht="18" customHeight="1" thickTop="1" thickBot="1">
      <c r="B110" s="153" t="s">
        <v>126</v>
      </c>
      <c r="C110" s="155">
        <f>COUNTIFS('RD Fine Kinney (Birim Bazlı)'!$R$8:$R$100,'Analiz (Birim Bazlı)'!C$104,'RD Fine Kinney (Birim Bazlı)'!$T$8:$T$100,'Analiz (Birim Bazlı)'!$B110,'RD Fine Kinney (Birim Bazlı)'!$U$8:$U$100,"&gt;1.1.2000",'RD Fine Kinney (Birim Bazlı)'!$W$8:$W$100,"&lt;&gt;")</f>
        <v>0</v>
      </c>
      <c r="D110" s="155">
        <f>COUNTIFS('RD Fine Kinney (Birim Bazlı)'!$R$8:$R$100,'Analiz (Birim Bazlı)'!D$104,'RD Fine Kinney (Birim Bazlı)'!$T$8:$T$100,'Analiz (Birim Bazlı)'!$B110,'RD Fine Kinney (Birim Bazlı)'!$U$8:$U$100,"&gt;1.1.2000",'RD Fine Kinney (Birim Bazlı)'!$W$8:$W$100,"&lt;&gt;")</f>
        <v>0</v>
      </c>
      <c r="E110" s="155">
        <f>COUNTIFS('RD Fine Kinney (Birim Bazlı)'!$R$8:$R$100,'Analiz (Birim Bazlı)'!E$104,'RD Fine Kinney (Birim Bazlı)'!$T$8:$T$100,'Analiz (Birim Bazlı)'!$B110,'RD Fine Kinney (Birim Bazlı)'!$U$8:$U$100,"&gt;1.1.2000",'RD Fine Kinney (Birim Bazlı)'!$W$8:$W$100,"&lt;&gt;")</f>
        <v>0</v>
      </c>
      <c r="F110" s="155">
        <f>COUNTIFS('RD Fine Kinney (Birim Bazlı)'!$R$8:$R$100,'Analiz (Birim Bazlı)'!F$104,'RD Fine Kinney (Birim Bazlı)'!$T$8:$T$100,'Analiz (Birim Bazlı)'!$B110,'RD Fine Kinney (Birim Bazlı)'!$U$8:$U$100,"&gt;1.1.2000",'RD Fine Kinney (Birim Bazlı)'!$W$8:$W$100,"&lt;&gt;")</f>
        <v>0</v>
      </c>
      <c r="G110" s="155">
        <f>COUNTIFS('RD Fine Kinney (Birim Bazlı)'!$R$8:$R$100,'Analiz (Birim Bazlı)'!G$104,'RD Fine Kinney (Birim Bazlı)'!$T$8:$T$100,'Analiz (Birim Bazlı)'!$B110,'RD Fine Kinney (Birim Bazlı)'!$U$8:$U$100,"&gt;1.1.2000",'RD Fine Kinney (Birim Bazlı)'!$W$8:$W$100,"&lt;&gt;")</f>
        <v>0</v>
      </c>
      <c r="H110" s="157">
        <f t="shared" si="3"/>
        <v>0</v>
      </c>
      <c r="I110" s="155">
        <f>COUNTIFS('RD Fine Kinney (Birim Bazlı)'!$R$8:$R$100,'Analiz (Birim Bazlı)'!I$104,'RD Fine Kinney (Birim Bazlı)'!$T$8:$T$100,'Analiz (Birim Bazlı)'!$B110,'RD Fine Kinney (Birim Bazlı)'!$U$8:$U$100,"&gt;1.1.2000",'RD Fine Kinney (Birim Bazlı)'!$W$8:$W$100,"")</f>
        <v>0</v>
      </c>
      <c r="J110" s="155">
        <f>COUNTIFS('RD Fine Kinney (Birim Bazlı)'!$R$8:$R$100,'Analiz (Birim Bazlı)'!J$104,'RD Fine Kinney (Birim Bazlı)'!$T$8:$T$100,'Analiz (Birim Bazlı)'!$B110,'RD Fine Kinney (Birim Bazlı)'!$U$8:$U$100,"&gt;1.1.2000",'RD Fine Kinney (Birim Bazlı)'!$W$8:$W$100,"")</f>
        <v>0</v>
      </c>
      <c r="K110" s="155">
        <f>COUNTIFS('RD Fine Kinney (Birim Bazlı)'!$R$8:$R$100,'Analiz (Birim Bazlı)'!K$104,'RD Fine Kinney (Birim Bazlı)'!$T$8:$T$100,'Analiz (Birim Bazlı)'!$B110,'RD Fine Kinney (Birim Bazlı)'!$U$8:$U$100,"&gt;1.1.2000",'RD Fine Kinney (Birim Bazlı)'!$W$8:$W$100,"")</f>
        <v>0</v>
      </c>
      <c r="L110" s="155">
        <f>COUNTIFS('RD Fine Kinney (Birim Bazlı)'!$R$8:$R$100,'Analiz (Birim Bazlı)'!L$104,'RD Fine Kinney (Birim Bazlı)'!$T$8:$T$100,'Analiz (Birim Bazlı)'!$B110,'RD Fine Kinney (Birim Bazlı)'!$U$8:$U$100,"&gt;1.1.2000",'RD Fine Kinney (Birim Bazlı)'!$W$8:$W$100,"")</f>
        <v>0</v>
      </c>
      <c r="M110" s="155">
        <f>COUNTIFS('RD Fine Kinney (Birim Bazlı)'!$R$8:$R$100,'Analiz (Birim Bazlı)'!M$104,'RD Fine Kinney (Birim Bazlı)'!$T$8:$T$100,'Analiz (Birim Bazlı)'!$B110,'RD Fine Kinney (Birim Bazlı)'!$U$8:$U$100,"&gt;1.1.2000",'RD Fine Kinney (Birim Bazlı)'!$W$8:$W$100,"")</f>
        <v>0</v>
      </c>
      <c r="N110" s="157">
        <f t="shared" si="4"/>
        <v>0</v>
      </c>
    </row>
    <row r="111" spans="2:14" ht="18" customHeight="1" thickTop="1" thickBot="1">
      <c r="B111" s="153" t="s">
        <v>353</v>
      </c>
      <c r="C111" s="155">
        <f>COUNTIFS('RD Fine Kinney (Birim Bazlı)'!$R$8:$R$100,'Analiz (Birim Bazlı)'!C$104,'RD Fine Kinney (Birim Bazlı)'!$T$8:$T$100,'Analiz (Birim Bazlı)'!$B111,'RD Fine Kinney (Birim Bazlı)'!$U$8:$U$100,"&gt;1.1.2000",'RD Fine Kinney (Birim Bazlı)'!$W$8:$W$100,"&lt;&gt;")</f>
        <v>0</v>
      </c>
      <c r="D111" s="155">
        <f>COUNTIFS('RD Fine Kinney (Birim Bazlı)'!$R$8:$R$100,'Analiz (Birim Bazlı)'!D$104,'RD Fine Kinney (Birim Bazlı)'!$T$8:$T$100,'Analiz (Birim Bazlı)'!$B111,'RD Fine Kinney (Birim Bazlı)'!$U$8:$U$100,"&gt;1.1.2000",'RD Fine Kinney (Birim Bazlı)'!$W$8:$W$100,"&lt;&gt;")</f>
        <v>0</v>
      </c>
      <c r="E111" s="155">
        <f>COUNTIFS('RD Fine Kinney (Birim Bazlı)'!$R$8:$R$100,'Analiz (Birim Bazlı)'!E$104,'RD Fine Kinney (Birim Bazlı)'!$T$8:$T$100,'Analiz (Birim Bazlı)'!$B111,'RD Fine Kinney (Birim Bazlı)'!$U$8:$U$100,"&gt;1.1.2000",'RD Fine Kinney (Birim Bazlı)'!$W$8:$W$100,"&lt;&gt;")</f>
        <v>0</v>
      </c>
      <c r="F111" s="155">
        <f>COUNTIFS('RD Fine Kinney (Birim Bazlı)'!$R$8:$R$100,'Analiz (Birim Bazlı)'!F$104,'RD Fine Kinney (Birim Bazlı)'!$T$8:$T$100,'Analiz (Birim Bazlı)'!$B111,'RD Fine Kinney (Birim Bazlı)'!$U$8:$U$100,"&gt;1.1.2000",'RD Fine Kinney (Birim Bazlı)'!$W$8:$W$100,"&lt;&gt;")</f>
        <v>0</v>
      </c>
      <c r="G111" s="155">
        <f>COUNTIFS('RD Fine Kinney (Birim Bazlı)'!$R$8:$R$100,'Analiz (Birim Bazlı)'!G$104,'RD Fine Kinney (Birim Bazlı)'!$T$8:$T$100,'Analiz (Birim Bazlı)'!$B111,'RD Fine Kinney (Birim Bazlı)'!$U$8:$U$100,"&gt;1.1.2000",'RD Fine Kinney (Birim Bazlı)'!$W$8:$W$100,"&lt;&gt;")</f>
        <v>0</v>
      </c>
      <c r="H111" s="157">
        <f t="shared" si="3"/>
        <v>0</v>
      </c>
      <c r="I111" s="155">
        <f>COUNTIFS('RD Fine Kinney (Birim Bazlı)'!$R$8:$R$100,'Analiz (Birim Bazlı)'!I$104,'RD Fine Kinney (Birim Bazlı)'!$T$8:$T$100,'Analiz (Birim Bazlı)'!$B111,'RD Fine Kinney (Birim Bazlı)'!$U$8:$U$100,"&gt;1.1.2000",'RD Fine Kinney (Birim Bazlı)'!$W$8:$W$100,"")</f>
        <v>0</v>
      </c>
      <c r="J111" s="155">
        <f>COUNTIFS('RD Fine Kinney (Birim Bazlı)'!$R$8:$R$100,'Analiz (Birim Bazlı)'!J$104,'RD Fine Kinney (Birim Bazlı)'!$T$8:$T$100,'Analiz (Birim Bazlı)'!$B111,'RD Fine Kinney (Birim Bazlı)'!$U$8:$U$100,"&gt;1.1.2000",'RD Fine Kinney (Birim Bazlı)'!$W$8:$W$100,"")</f>
        <v>0</v>
      </c>
      <c r="K111" s="155">
        <f>COUNTIFS('RD Fine Kinney (Birim Bazlı)'!$R$8:$R$100,'Analiz (Birim Bazlı)'!K$104,'RD Fine Kinney (Birim Bazlı)'!$T$8:$T$100,'Analiz (Birim Bazlı)'!$B111,'RD Fine Kinney (Birim Bazlı)'!$U$8:$U$100,"&gt;1.1.2000",'RD Fine Kinney (Birim Bazlı)'!$W$8:$W$100,"")</f>
        <v>0</v>
      </c>
      <c r="L111" s="155">
        <f>COUNTIFS('RD Fine Kinney (Birim Bazlı)'!$R$8:$R$100,'Analiz (Birim Bazlı)'!L$104,'RD Fine Kinney (Birim Bazlı)'!$T$8:$T$100,'Analiz (Birim Bazlı)'!$B111,'RD Fine Kinney (Birim Bazlı)'!$U$8:$U$100,"&gt;1.1.2000",'RD Fine Kinney (Birim Bazlı)'!$W$8:$W$100,"")</f>
        <v>0</v>
      </c>
      <c r="M111" s="155">
        <f>COUNTIFS('RD Fine Kinney (Birim Bazlı)'!$R$8:$R$100,'Analiz (Birim Bazlı)'!M$104,'RD Fine Kinney (Birim Bazlı)'!$T$8:$T$100,'Analiz (Birim Bazlı)'!$B111,'RD Fine Kinney (Birim Bazlı)'!$U$8:$U$100,"&gt;1.1.2000",'RD Fine Kinney (Birim Bazlı)'!$W$8:$W$100,"")</f>
        <v>0</v>
      </c>
      <c r="N111" s="157">
        <f t="shared" si="4"/>
        <v>0</v>
      </c>
    </row>
    <row r="112" spans="2:14" ht="18" customHeight="1" thickTop="1" thickBot="1">
      <c r="B112" s="153" t="s">
        <v>350</v>
      </c>
      <c r="C112" s="155">
        <f>COUNTIFS('RD Fine Kinney (Birim Bazlı)'!$R$8:$R$100,'Analiz (Birim Bazlı)'!C$104,'RD Fine Kinney (Birim Bazlı)'!$T$8:$T$100,'Analiz (Birim Bazlı)'!$B112,'RD Fine Kinney (Birim Bazlı)'!$U$8:$U$100,"&gt;1.1.2000",'RD Fine Kinney (Birim Bazlı)'!$W$8:$W$100,"&lt;&gt;")</f>
        <v>0</v>
      </c>
      <c r="D112" s="155">
        <f>COUNTIFS('RD Fine Kinney (Birim Bazlı)'!$R$8:$R$100,'Analiz (Birim Bazlı)'!D$104,'RD Fine Kinney (Birim Bazlı)'!$T$8:$T$100,'Analiz (Birim Bazlı)'!$B112,'RD Fine Kinney (Birim Bazlı)'!$U$8:$U$100,"&gt;1.1.2000",'RD Fine Kinney (Birim Bazlı)'!$W$8:$W$100,"&lt;&gt;")</f>
        <v>0</v>
      </c>
      <c r="E112" s="155">
        <f>COUNTIFS('RD Fine Kinney (Birim Bazlı)'!$R$8:$R$100,'Analiz (Birim Bazlı)'!E$104,'RD Fine Kinney (Birim Bazlı)'!$T$8:$T$100,'Analiz (Birim Bazlı)'!$B112,'RD Fine Kinney (Birim Bazlı)'!$U$8:$U$100,"&gt;1.1.2000",'RD Fine Kinney (Birim Bazlı)'!$W$8:$W$100,"&lt;&gt;")</f>
        <v>0</v>
      </c>
      <c r="F112" s="155">
        <f>COUNTIFS('RD Fine Kinney (Birim Bazlı)'!$R$8:$R$100,'Analiz (Birim Bazlı)'!F$104,'RD Fine Kinney (Birim Bazlı)'!$T$8:$T$100,'Analiz (Birim Bazlı)'!$B112,'RD Fine Kinney (Birim Bazlı)'!$U$8:$U$100,"&gt;1.1.2000",'RD Fine Kinney (Birim Bazlı)'!$W$8:$W$100,"&lt;&gt;")</f>
        <v>0</v>
      </c>
      <c r="G112" s="155">
        <f>COUNTIFS('RD Fine Kinney (Birim Bazlı)'!$R$8:$R$100,'Analiz (Birim Bazlı)'!G$104,'RD Fine Kinney (Birim Bazlı)'!$T$8:$T$100,'Analiz (Birim Bazlı)'!$B112,'RD Fine Kinney (Birim Bazlı)'!$U$8:$U$100,"&gt;1.1.2000",'RD Fine Kinney (Birim Bazlı)'!$W$8:$W$100,"&lt;&gt;")</f>
        <v>0</v>
      </c>
      <c r="H112" s="157">
        <f t="shared" si="3"/>
        <v>0</v>
      </c>
      <c r="I112" s="155">
        <f>COUNTIFS('RD Fine Kinney (Birim Bazlı)'!$R$8:$R$100,'Analiz (Birim Bazlı)'!I$104,'RD Fine Kinney (Birim Bazlı)'!$T$8:$T$100,'Analiz (Birim Bazlı)'!$B112,'RD Fine Kinney (Birim Bazlı)'!$U$8:$U$100,"&gt;1.1.2000",'RD Fine Kinney (Birim Bazlı)'!$W$8:$W$100,"")</f>
        <v>0</v>
      </c>
      <c r="J112" s="155">
        <f>COUNTIFS('RD Fine Kinney (Birim Bazlı)'!$R$8:$R$100,'Analiz (Birim Bazlı)'!J$104,'RD Fine Kinney (Birim Bazlı)'!$T$8:$T$100,'Analiz (Birim Bazlı)'!$B112,'RD Fine Kinney (Birim Bazlı)'!$U$8:$U$100,"&gt;1.1.2000",'RD Fine Kinney (Birim Bazlı)'!$W$8:$W$100,"")</f>
        <v>0</v>
      </c>
      <c r="K112" s="155">
        <f>COUNTIFS('RD Fine Kinney (Birim Bazlı)'!$R$8:$R$100,'Analiz (Birim Bazlı)'!K$104,'RD Fine Kinney (Birim Bazlı)'!$T$8:$T$100,'Analiz (Birim Bazlı)'!$B112,'RD Fine Kinney (Birim Bazlı)'!$U$8:$U$100,"&gt;1.1.2000",'RD Fine Kinney (Birim Bazlı)'!$W$8:$W$100,"")</f>
        <v>0</v>
      </c>
      <c r="L112" s="155">
        <f>COUNTIFS('RD Fine Kinney (Birim Bazlı)'!$R$8:$R$100,'Analiz (Birim Bazlı)'!L$104,'RD Fine Kinney (Birim Bazlı)'!$T$8:$T$100,'Analiz (Birim Bazlı)'!$B112,'RD Fine Kinney (Birim Bazlı)'!$U$8:$U$100,"&gt;1.1.2000",'RD Fine Kinney (Birim Bazlı)'!$W$8:$W$100,"")</f>
        <v>0</v>
      </c>
      <c r="M112" s="155">
        <f>COUNTIFS('RD Fine Kinney (Birim Bazlı)'!$R$8:$R$100,'Analiz (Birim Bazlı)'!M$104,'RD Fine Kinney (Birim Bazlı)'!$T$8:$T$100,'Analiz (Birim Bazlı)'!$B112,'RD Fine Kinney (Birim Bazlı)'!$U$8:$U$100,"&gt;1.1.2000",'RD Fine Kinney (Birim Bazlı)'!$W$8:$W$100,"")</f>
        <v>0</v>
      </c>
      <c r="N112" s="157">
        <f t="shared" si="4"/>
        <v>0</v>
      </c>
    </row>
    <row r="113" spans="2:14" ht="18" customHeight="1" thickTop="1" thickBot="1">
      <c r="B113" s="153" t="s">
        <v>348</v>
      </c>
      <c r="C113" s="155">
        <f>COUNTIFS('RD Fine Kinney (Birim Bazlı)'!$R$8:$R$100,'Analiz (Birim Bazlı)'!C$104,'RD Fine Kinney (Birim Bazlı)'!$T$8:$T$100,'Analiz (Birim Bazlı)'!$B113,'RD Fine Kinney (Birim Bazlı)'!$U$8:$U$100,"&gt;1.1.2000",'RD Fine Kinney (Birim Bazlı)'!$W$8:$W$100,"&lt;&gt;")</f>
        <v>0</v>
      </c>
      <c r="D113" s="155">
        <f>COUNTIFS('RD Fine Kinney (Birim Bazlı)'!$R$8:$R$100,'Analiz (Birim Bazlı)'!D$104,'RD Fine Kinney (Birim Bazlı)'!$T$8:$T$100,'Analiz (Birim Bazlı)'!$B113,'RD Fine Kinney (Birim Bazlı)'!$U$8:$U$100,"&gt;1.1.2000",'RD Fine Kinney (Birim Bazlı)'!$W$8:$W$100,"&lt;&gt;")</f>
        <v>0</v>
      </c>
      <c r="E113" s="155">
        <f>COUNTIFS('RD Fine Kinney (Birim Bazlı)'!$R$8:$R$100,'Analiz (Birim Bazlı)'!E$104,'RD Fine Kinney (Birim Bazlı)'!$T$8:$T$100,'Analiz (Birim Bazlı)'!$B113,'RD Fine Kinney (Birim Bazlı)'!$U$8:$U$100,"&gt;1.1.2000",'RD Fine Kinney (Birim Bazlı)'!$W$8:$W$100,"&lt;&gt;")</f>
        <v>0</v>
      </c>
      <c r="F113" s="155">
        <f>COUNTIFS('RD Fine Kinney (Birim Bazlı)'!$R$8:$R$100,'Analiz (Birim Bazlı)'!F$104,'RD Fine Kinney (Birim Bazlı)'!$T$8:$T$100,'Analiz (Birim Bazlı)'!$B113,'RD Fine Kinney (Birim Bazlı)'!$U$8:$U$100,"&gt;1.1.2000",'RD Fine Kinney (Birim Bazlı)'!$W$8:$W$100,"&lt;&gt;")</f>
        <v>0</v>
      </c>
      <c r="G113" s="155">
        <f>COUNTIFS('RD Fine Kinney (Birim Bazlı)'!$R$8:$R$100,'Analiz (Birim Bazlı)'!G$104,'RD Fine Kinney (Birim Bazlı)'!$T$8:$T$100,'Analiz (Birim Bazlı)'!$B113,'RD Fine Kinney (Birim Bazlı)'!$U$8:$U$100,"&gt;1.1.2000",'RD Fine Kinney (Birim Bazlı)'!$W$8:$W$100,"&lt;&gt;")</f>
        <v>0</v>
      </c>
      <c r="H113" s="157">
        <f t="shared" si="3"/>
        <v>0</v>
      </c>
      <c r="I113" s="155">
        <f>COUNTIFS('RD Fine Kinney (Birim Bazlı)'!$R$8:$R$100,'Analiz (Birim Bazlı)'!I$104,'RD Fine Kinney (Birim Bazlı)'!$T$8:$T$100,'Analiz (Birim Bazlı)'!$B113,'RD Fine Kinney (Birim Bazlı)'!$U$8:$U$100,"&gt;1.1.2000",'RD Fine Kinney (Birim Bazlı)'!$W$8:$W$100,"")</f>
        <v>0</v>
      </c>
      <c r="J113" s="155">
        <f>COUNTIFS('RD Fine Kinney (Birim Bazlı)'!$R$8:$R$100,'Analiz (Birim Bazlı)'!J$104,'RD Fine Kinney (Birim Bazlı)'!$T$8:$T$100,'Analiz (Birim Bazlı)'!$B113,'RD Fine Kinney (Birim Bazlı)'!$U$8:$U$100,"&gt;1.1.2000",'RD Fine Kinney (Birim Bazlı)'!$W$8:$W$100,"")</f>
        <v>0</v>
      </c>
      <c r="K113" s="155">
        <f>COUNTIFS('RD Fine Kinney (Birim Bazlı)'!$R$8:$R$100,'Analiz (Birim Bazlı)'!K$104,'RD Fine Kinney (Birim Bazlı)'!$T$8:$T$100,'Analiz (Birim Bazlı)'!$B113,'RD Fine Kinney (Birim Bazlı)'!$U$8:$U$100,"&gt;1.1.2000",'RD Fine Kinney (Birim Bazlı)'!$W$8:$W$100,"")</f>
        <v>0</v>
      </c>
      <c r="L113" s="155">
        <f>COUNTIFS('RD Fine Kinney (Birim Bazlı)'!$R$8:$R$100,'Analiz (Birim Bazlı)'!L$104,'RD Fine Kinney (Birim Bazlı)'!$T$8:$T$100,'Analiz (Birim Bazlı)'!$B113,'RD Fine Kinney (Birim Bazlı)'!$U$8:$U$100,"&gt;1.1.2000",'RD Fine Kinney (Birim Bazlı)'!$W$8:$W$100,"")</f>
        <v>0</v>
      </c>
      <c r="M113" s="155">
        <f>COUNTIFS('RD Fine Kinney (Birim Bazlı)'!$R$8:$R$100,'Analiz (Birim Bazlı)'!M$104,'RD Fine Kinney (Birim Bazlı)'!$T$8:$T$100,'Analiz (Birim Bazlı)'!$B113,'RD Fine Kinney (Birim Bazlı)'!$U$8:$U$100,"&gt;1.1.2000",'RD Fine Kinney (Birim Bazlı)'!$W$8:$W$100,"")</f>
        <v>0</v>
      </c>
      <c r="N113" s="157">
        <f t="shared" si="4"/>
        <v>0</v>
      </c>
    </row>
    <row r="114" spans="2:14" ht="18" customHeight="1" thickTop="1" thickBot="1">
      <c r="B114" s="153" t="s">
        <v>347</v>
      </c>
      <c r="C114" s="155">
        <f>COUNTIFS('RD Fine Kinney (Birim Bazlı)'!$R$8:$R$100,'Analiz (Birim Bazlı)'!C$104,'RD Fine Kinney (Birim Bazlı)'!$T$8:$T$100,'Analiz (Birim Bazlı)'!$B114,'RD Fine Kinney (Birim Bazlı)'!$U$8:$U$100,"&gt;1.1.2000",'RD Fine Kinney (Birim Bazlı)'!$W$8:$W$100,"&lt;&gt;")</f>
        <v>0</v>
      </c>
      <c r="D114" s="155">
        <f>COUNTIFS('RD Fine Kinney (Birim Bazlı)'!$R$8:$R$100,'Analiz (Birim Bazlı)'!D$104,'RD Fine Kinney (Birim Bazlı)'!$T$8:$T$100,'Analiz (Birim Bazlı)'!$B114,'RD Fine Kinney (Birim Bazlı)'!$U$8:$U$100,"&gt;1.1.2000",'RD Fine Kinney (Birim Bazlı)'!$W$8:$W$100,"&lt;&gt;")</f>
        <v>0</v>
      </c>
      <c r="E114" s="155">
        <f>COUNTIFS('RD Fine Kinney (Birim Bazlı)'!$R$8:$R$100,'Analiz (Birim Bazlı)'!E$104,'RD Fine Kinney (Birim Bazlı)'!$T$8:$T$100,'Analiz (Birim Bazlı)'!$B114,'RD Fine Kinney (Birim Bazlı)'!$U$8:$U$100,"&gt;1.1.2000",'RD Fine Kinney (Birim Bazlı)'!$W$8:$W$100,"&lt;&gt;")</f>
        <v>0</v>
      </c>
      <c r="F114" s="155">
        <f>COUNTIFS('RD Fine Kinney (Birim Bazlı)'!$R$8:$R$100,'Analiz (Birim Bazlı)'!F$104,'RD Fine Kinney (Birim Bazlı)'!$T$8:$T$100,'Analiz (Birim Bazlı)'!$B114,'RD Fine Kinney (Birim Bazlı)'!$U$8:$U$100,"&gt;1.1.2000",'RD Fine Kinney (Birim Bazlı)'!$W$8:$W$100,"&lt;&gt;")</f>
        <v>0</v>
      </c>
      <c r="G114" s="155">
        <f>COUNTIFS('RD Fine Kinney (Birim Bazlı)'!$R$8:$R$100,'Analiz (Birim Bazlı)'!G$104,'RD Fine Kinney (Birim Bazlı)'!$T$8:$T$100,'Analiz (Birim Bazlı)'!$B114,'RD Fine Kinney (Birim Bazlı)'!$U$8:$U$100,"&gt;1.1.2000",'RD Fine Kinney (Birim Bazlı)'!$W$8:$W$100,"&lt;&gt;")</f>
        <v>0</v>
      </c>
      <c r="H114" s="157">
        <f t="shared" si="3"/>
        <v>0</v>
      </c>
      <c r="I114" s="155">
        <f>COUNTIFS('RD Fine Kinney (Birim Bazlı)'!$R$8:$R$100,'Analiz (Birim Bazlı)'!I$104,'RD Fine Kinney (Birim Bazlı)'!$T$8:$T$100,'Analiz (Birim Bazlı)'!$B114,'RD Fine Kinney (Birim Bazlı)'!$U$8:$U$100,"&gt;1.1.2000",'RD Fine Kinney (Birim Bazlı)'!$W$8:$W$100,"")</f>
        <v>0</v>
      </c>
      <c r="J114" s="155">
        <f>COUNTIFS('RD Fine Kinney (Birim Bazlı)'!$R$8:$R$100,'Analiz (Birim Bazlı)'!J$104,'RD Fine Kinney (Birim Bazlı)'!$T$8:$T$100,'Analiz (Birim Bazlı)'!$B114,'RD Fine Kinney (Birim Bazlı)'!$U$8:$U$100,"&gt;1.1.2000",'RD Fine Kinney (Birim Bazlı)'!$W$8:$W$100,"")</f>
        <v>0</v>
      </c>
      <c r="K114" s="155">
        <f>COUNTIFS('RD Fine Kinney (Birim Bazlı)'!$R$8:$R$100,'Analiz (Birim Bazlı)'!K$104,'RD Fine Kinney (Birim Bazlı)'!$T$8:$T$100,'Analiz (Birim Bazlı)'!$B114,'RD Fine Kinney (Birim Bazlı)'!$U$8:$U$100,"&gt;1.1.2000",'RD Fine Kinney (Birim Bazlı)'!$W$8:$W$100,"")</f>
        <v>0</v>
      </c>
      <c r="L114" s="155">
        <f>COUNTIFS('RD Fine Kinney (Birim Bazlı)'!$R$8:$R$100,'Analiz (Birim Bazlı)'!L$104,'RD Fine Kinney (Birim Bazlı)'!$T$8:$T$100,'Analiz (Birim Bazlı)'!$B114,'RD Fine Kinney (Birim Bazlı)'!$U$8:$U$100,"&gt;1.1.2000",'RD Fine Kinney (Birim Bazlı)'!$W$8:$W$100,"")</f>
        <v>0</v>
      </c>
      <c r="M114" s="155">
        <f>COUNTIFS('RD Fine Kinney (Birim Bazlı)'!$R$8:$R$100,'Analiz (Birim Bazlı)'!M$104,'RD Fine Kinney (Birim Bazlı)'!$T$8:$T$100,'Analiz (Birim Bazlı)'!$B114,'RD Fine Kinney (Birim Bazlı)'!$U$8:$U$100,"&gt;1.1.2000",'RD Fine Kinney (Birim Bazlı)'!$W$8:$W$100,"")</f>
        <v>0</v>
      </c>
      <c r="N114" s="157">
        <f t="shared" si="4"/>
        <v>0</v>
      </c>
    </row>
    <row r="115" spans="2:14" ht="18" customHeight="1" thickTop="1" thickBot="1">
      <c r="B115" s="153" t="s">
        <v>358</v>
      </c>
      <c r="C115" s="155">
        <f>COUNTIFS('RD Fine Kinney (Birim Bazlı)'!$R$8:$R$100,'Analiz (Birim Bazlı)'!C$104,'RD Fine Kinney (Birim Bazlı)'!$T$8:$T$100,'Analiz (Birim Bazlı)'!$B115,'RD Fine Kinney (Birim Bazlı)'!$U$8:$U$100,"&gt;1.1.2000",'RD Fine Kinney (Birim Bazlı)'!$W$8:$W$100,"&lt;&gt;")</f>
        <v>0</v>
      </c>
      <c r="D115" s="155">
        <f>COUNTIFS('RD Fine Kinney (Birim Bazlı)'!$R$8:$R$100,'Analiz (Birim Bazlı)'!D$104,'RD Fine Kinney (Birim Bazlı)'!$T$8:$T$100,'Analiz (Birim Bazlı)'!$B115,'RD Fine Kinney (Birim Bazlı)'!$U$8:$U$100,"&gt;1.1.2000",'RD Fine Kinney (Birim Bazlı)'!$W$8:$W$100,"&lt;&gt;")</f>
        <v>0</v>
      </c>
      <c r="E115" s="155">
        <f>COUNTIFS('RD Fine Kinney (Birim Bazlı)'!$R$8:$R$100,'Analiz (Birim Bazlı)'!E$104,'RD Fine Kinney (Birim Bazlı)'!$T$8:$T$100,'Analiz (Birim Bazlı)'!$B115,'RD Fine Kinney (Birim Bazlı)'!$U$8:$U$100,"&gt;1.1.2000",'RD Fine Kinney (Birim Bazlı)'!$W$8:$W$100,"&lt;&gt;")</f>
        <v>0</v>
      </c>
      <c r="F115" s="155">
        <f>COUNTIFS('RD Fine Kinney (Birim Bazlı)'!$R$8:$R$100,'Analiz (Birim Bazlı)'!F$104,'RD Fine Kinney (Birim Bazlı)'!$T$8:$T$100,'Analiz (Birim Bazlı)'!$B115,'RD Fine Kinney (Birim Bazlı)'!$U$8:$U$100,"&gt;1.1.2000",'RD Fine Kinney (Birim Bazlı)'!$W$8:$W$100,"&lt;&gt;")</f>
        <v>0</v>
      </c>
      <c r="G115" s="155">
        <f>COUNTIFS('RD Fine Kinney (Birim Bazlı)'!$R$8:$R$100,'Analiz (Birim Bazlı)'!G$104,'RD Fine Kinney (Birim Bazlı)'!$T$8:$T$100,'Analiz (Birim Bazlı)'!$B115,'RD Fine Kinney (Birim Bazlı)'!$U$8:$U$100,"&gt;1.1.2000",'RD Fine Kinney (Birim Bazlı)'!$W$8:$W$100,"&lt;&gt;")</f>
        <v>0</v>
      </c>
      <c r="H115" s="157">
        <f t="shared" si="3"/>
        <v>0</v>
      </c>
      <c r="I115" s="155">
        <f>COUNTIFS('RD Fine Kinney (Birim Bazlı)'!$R$8:$R$100,'Analiz (Birim Bazlı)'!I$104,'RD Fine Kinney (Birim Bazlı)'!$T$8:$T$100,'Analiz (Birim Bazlı)'!$B115,'RD Fine Kinney (Birim Bazlı)'!$U$8:$U$100,"&gt;1.1.2000",'RD Fine Kinney (Birim Bazlı)'!$W$8:$W$100,"")</f>
        <v>0</v>
      </c>
      <c r="J115" s="155">
        <f>COUNTIFS('RD Fine Kinney (Birim Bazlı)'!$R$8:$R$100,'Analiz (Birim Bazlı)'!J$104,'RD Fine Kinney (Birim Bazlı)'!$T$8:$T$100,'Analiz (Birim Bazlı)'!$B115,'RD Fine Kinney (Birim Bazlı)'!$U$8:$U$100,"&gt;1.1.2000",'RD Fine Kinney (Birim Bazlı)'!$W$8:$W$100,"")</f>
        <v>0</v>
      </c>
      <c r="K115" s="155">
        <f>COUNTIFS('RD Fine Kinney (Birim Bazlı)'!$R$8:$R$100,'Analiz (Birim Bazlı)'!K$104,'RD Fine Kinney (Birim Bazlı)'!$T$8:$T$100,'Analiz (Birim Bazlı)'!$B115,'RD Fine Kinney (Birim Bazlı)'!$U$8:$U$100,"&gt;1.1.2000",'RD Fine Kinney (Birim Bazlı)'!$W$8:$W$100,"")</f>
        <v>0</v>
      </c>
      <c r="L115" s="155">
        <f>COUNTIFS('RD Fine Kinney (Birim Bazlı)'!$R$8:$R$100,'Analiz (Birim Bazlı)'!L$104,'RD Fine Kinney (Birim Bazlı)'!$T$8:$T$100,'Analiz (Birim Bazlı)'!$B115,'RD Fine Kinney (Birim Bazlı)'!$U$8:$U$100,"&gt;1.1.2000",'RD Fine Kinney (Birim Bazlı)'!$W$8:$W$100,"")</f>
        <v>0</v>
      </c>
      <c r="M115" s="155">
        <f>COUNTIFS('RD Fine Kinney (Birim Bazlı)'!$R$8:$R$100,'Analiz (Birim Bazlı)'!M$104,'RD Fine Kinney (Birim Bazlı)'!$T$8:$T$100,'Analiz (Birim Bazlı)'!$B115,'RD Fine Kinney (Birim Bazlı)'!$U$8:$U$100,"&gt;1.1.2000",'RD Fine Kinney (Birim Bazlı)'!$W$8:$W$100,"")</f>
        <v>0</v>
      </c>
      <c r="N115" s="157">
        <f t="shared" si="4"/>
        <v>0</v>
      </c>
    </row>
    <row r="116" spans="2:14" ht="18" customHeight="1" thickTop="1" thickBot="1">
      <c r="B116" s="153" t="s">
        <v>73</v>
      </c>
      <c r="C116" s="155">
        <f>COUNTIFS('RD Fine Kinney (Birim Bazlı)'!$R$8:$R$100,'Analiz (Birim Bazlı)'!C$104,'RD Fine Kinney (Birim Bazlı)'!$T$8:$T$100,'Analiz (Birim Bazlı)'!$B116,'RD Fine Kinney (Birim Bazlı)'!$U$8:$U$100,"&gt;1.1.2000",'RD Fine Kinney (Birim Bazlı)'!$W$8:$W$100,"&lt;&gt;")</f>
        <v>0</v>
      </c>
      <c r="D116" s="155">
        <f>COUNTIFS('RD Fine Kinney (Birim Bazlı)'!$R$8:$R$100,'Analiz (Birim Bazlı)'!D$104,'RD Fine Kinney (Birim Bazlı)'!$T$8:$T$100,'Analiz (Birim Bazlı)'!$B116,'RD Fine Kinney (Birim Bazlı)'!$U$8:$U$100,"&gt;1.1.2000",'RD Fine Kinney (Birim Bazlı)'!$W$8:$W$100,"&lt;&gt;")</f>
        <v>0</v>
      </c>
      <c r="E116" s="155">
        <f>COUNTIFS('RD Fine Kinney (Birim Bazlı)'!$R$8:$R$100,'Analiz (Birim Bazlı)'!E$104,'RD Fine Kinney (Birim Bazlı)'!$T$8:$T$100,'Analiz (Birim Bazlı)'!$B116,'RD Fine Kinney (Birim Bazlı)'!$U$8:$U$100,"&gt;1.1.2000",'RD Fine Kinney (Birim Bazlı)'!$W$8:$W$100,"&lt;&gt;")</f>
        <v>0</v>
      </c>
      <c r="F116" s="155">
        <f>COUNTIFS('RD Fine Kinney (Birim Bazlı)'!$R$8:$R$100,'Analiz (Birim Bazlı)'!F$104,'RD Fine Kinney (Birim Bazlı)'!$T$8:$T$100,'Analiz (Birim Bazlı)'!$B116,'RD Fine Kinney (Birim Bazlı)'!$U$8:$U$100,"&gt;1.1.2000",'RD Fine Kinney (Birim Bazlı)'!$W$8:$W$100,"&lt;&gt;")</f>
        <v>0</v>
      </c>
      <c r="G116" s="155">
        <f>COUNTIFS('RD Fine Kinney (Birim Bazlı)'!$R$8:$R$100,'Analiz (Birim Bazlı)'!G$104,'RD Fine Kinney (Birim Bazlı)'!$T$8:$T$100,'Analiz (Birim Bazlı)'!$B116,'RD Fine Kinney (Birim Bazlı)'!$U$8:$U$100,"&gt;1.1.2000",'RD Fine Kinney (Birim Bazlı)'!$W$8:$W$100,"&lt;&gt;")</f>
        <v>0</v>
      </c>
      <c r="H116" s="157">
        <f t="shared" si="3"/>
        <v>0</v>
      </c>
      <c r="I116" s="155">
        <f>COUNTIFS('RD Fine Kinney (Birim Bazlı)'!$R$8:$R$100,'Analiz (Birim Bazlı)'!I$104,'RD Fine Kinney (Birim Bazlı)'!$T$8:$T$100,'Analiz (Birim Bazlı)'!$B116,'RD Fine Kinney (Birim Bazlı)'!$U$8:$U$100,"&gt;1.1.2000",'RD Fine Kinney (Birim Bazlı)'!$W$8:$W$100,"")</f>
        <v>0</v>
      </c>
      <c r="J116" s="155">
        <f>COUNTIFS('RD Fine Kinney (Birim Bazlı)'!$R$8:$R$100,'Analiz (Birim Bazlı)'!J$104,'RD Fine Kinney (Birim Bazlı)'!$T$8:$T$100,'Analiz (Birim Bazlı)'!$B116,'RD Fine Kinney (Birim Bazlı)'!$U$8:$U$100,"&gt;1.1.2000",'RD Fine Kinney (Birim Bazlı)'!$W$8:$W$100,"")</f>
        <v>0</v>
      </c>
      <c r="K116" s="155">
        <f>COUNTIFS('RD Fine Kinney (Birim Bazlı)'!$R$8:$R$100,'Analiz (Birim Bazlı)'!K$104,'RD Fine Kinney (Birim Bazlı)'!$T$8:$T$100,'Analiz (Birim Bazlı)'!$B116,'RD Fine Kinney (Birim Bazlı)'!$U$8:$U$100,"&gt;1.1.2000",'RD Fine Kinney (Birim Bazlı)'!$W$8:$W$100,"")</f>
        <v>0</v>
      </c>
      <c r="L116" s="155">
        <f>COUNTIFS('RD Fine Kinney (Birim Bazlı)'!$R$8:$R$100,'Analiz (Birim Bazlı)'!L$104,'RD Fine Kinney (Birim Bazlı)'!$T$8:$T$100,'Analiz (Birim Bazlı)'!$B116,'RD Fine Kinney (Birim Bazlı)'!$U$8:$U$100,"&gt;1.1.2000",'RD Fine Kinney (Birim Bazlı)'!$W$8:$W$100,"")</f>
        <v>0</v>
      </c>
      <c r="M116" s="155">
        <f>COUNTIFS('RD Fine Kinney (Birim Bazlı)'!$R$8:$R$100,'Analiz (Birim Bazlı)'!M$104,'RD Fine Kinney (Birim Bazlı)'!$T$8:$T$100,'Analiz (Birim Bazlı)'!$B116,'RD Fine Kinney (Birim Bazlı)'!$U$8:$U$100,"&gt;1.1.2000",'RD Fine Kinney (Birim Bazlı)'!$W$8:$W$100,"")</f>
        <v>0</v>
      </c>
      <c r="N116" s="157">
        <f t="shared" si="4"/>
        <v>0</v>
      </c>
    </row>
    <row r="117" spans="2:14" ht="18" customHeight="1" thickTop="1" thickBot="1">
      <c r="B117" s="153" t="s">
        <v>308</v>
      </c>
      <c r="C117" s="155">
        <f>COUNTIFS('RD Fine Kinney (Birim Bazlı)'!$R$8:$R$100,'Analiz (Birim Bazlı)'!C$104,'RD Fine Kinney (Birim Bazlı)'!$T$8:$T$100,'Analiz (Birim Bazlı)'!$B117,'RD Fine Kinney (Birim Bazlı)'!$U$8:$U$100,"&gt;1.1.2000",'RD Fine Kinney (Birim Bazlı)'!$W$8:$W$100,"&lt;&gt;")</f>
        <v>0</v>
      </c>
      <c r="D117" s="155">
        <f>COUNTIFS('RD Fine Kinney (Birim Bazlı)'!$R$8:$R$100,'Analiz (Birim Bazlı)'!D$104,'RD Fine Kinney (Birim Bazlı)'!$T$8:$T$100,'Analiz (Birim Bazlı)'!$B117,'RD Fine Kinney (Birim Bazlı)'!$U$8:$U$100,"&gt;1.1.2000",'RD Fine Kinney (Birim Bazlı)'!$W$8:$W$100,"&lt;&gt;")</f>
        <v>0</v>
      </c>
      <c r="E117" s="155">
        <f>COUNTIFS('RD Fine Kinney (Birim Bazlı)'!$R$8:$R$100,'Analiz (Birim Bazlı)'!E$104,'RD Fine Kinney (Birim Bazlı)'!$T$8:$T$100,'Analiz (Birim Bazlı)'!$B117,'RD Fine Kinney (Birim Bazlı)'!$U$8:$U$100,"&gt;1.1.2000",'RD Fine Kinney (Birim Bazlı)'!$W$8:$W$100,"&lt;&gt;")</f>
        <v>0</v>
      </c>
      <c r="F117" s="155">
        <f>COUNTIFS('RD Fine Kinney (Birim Bazlı)'!$R$8:$R$100,'Analiz (Birim Bazlı)'!F$104,'RD Fine Kinney (Birim Bazlı)'!$T$8:$T$100,'Analiz (Birim Bazlı)'!$B117,'RD Fine Kinney (Birim Bazlı)'!$U$8:$U$100,"&gt;1.1.2000",'RD Fine Kinney (Birim Bazlı)'!$W$8:$W$100,"&lt;&gt;")</f>
        <v>0</v>
      </c>
      <c r="G117" s="155">
        <f>COUNTIFS('RD Fine Kinney (Birim Bazlı)'!$R$8:$R$100,'Analiz (Birim Bazlı)'!G$104,'RD Fine Kinney (Birim Bazlı)'!$T$8:$T$100,'Analiz (Birim Bazlı)'!$B117,'RD Fine Kinney (Birim Bazlı)'!$U$8:$U$100,"&gt;1.1.2000",'RD Fine Kinney (Birim Bazlı)'!$W$8:$W$100,"&lt;&gt;")</f>
        <v>0</v>
      </c>
      <c r="H117" s="157">
        <f t="shared" si="3"/>
        <v>0</v>
      </c>
      <c r="I117" s="155">
        <f>COUNTIFS('RD Fine Kinney (Birim Bazlı)'!$R$8:$R$100,'Analiz (Birim Bazlı)'!I$104,'RD Fine Kinney (Birim Bazlı)'!$T$8:$T$100,'Analiz (Birim Bazlı)'!$B117,'RD Fine Kinney (Birim Bazlı)'!$U$8:$U$100,"&gt;1.1.2000",'RD Fine Kinney (Birim Bazlı)'!$W$8:$W$100,"")</f>
        <v>0</v>
      </c>
      <c r="J117" s="155">
        <f>COUNTIFS('RD Fine Kinney (Birim Bazlı)'!$R$8:$R$100,'Analiz (Birim Bazlı)'!J$104,'RD Fine Kinney (Birim Bazlı)'!$T$8:$T$100,'Analiz (Birim Bazlı)'!$B117,'RD Fine Kinney (Birim Bazlı)'!$U$8:$U$100,"&gt;1.1.2000",'RD Fine Kinney (Birim Bazlı)'!$W$8:$W$100,"")</f>
        <v>0</v>
      </c>
      <c r="K117" s="155">
        <f>COUNTIFS('RD Fine Kinney (Birim Bazlı)'!$R$8:$R$100,'Analiz (Birim Bazlı)'!K$104,'RD Fine Kinney (Birim Bazlı)'!$T$8:$T$100,'Analiz (Birim Bazlı)'!$B117,'RD Fine Kinney (Birim Bazlı)'!$U$8:$U$100,"&gt;1.1.2000",'RD Fine Kinney (Birim Bazlı)'!$W$8:$W$100,"")</f>
        <v>0</v>
      </c>
      <c r="L117" s="155">
        <f>COUNTIFS('RD Fine Kinney (Birim Bazlı)'!$R$8:$R$100,'Analiz (Birim Bazlı)'!L$104,'RD Fine Kinney (Birim Bazlı)'!$T$8:$T$100,'Analiz (Birim Bazlı)'!$B117,'RD Fine Kinney (Birim Bazlı)'!$U$8:$U$100,"&gt;1.1.2000",'RD Fine Kinney (Birim Bazlı)'!$W$8:$W$100,"")</f>
        <v>0</v>
      </c>
      <c r="M117" s="155">
        <f>COUNTIFS('RD Fine Kinney (Birim Bazlı)'!$R$8:$R$100,'Analiz (Birim Bazlı)'!M$104,'RD Fine Kinney (Birim Bazlı)'!$T$8:$T$100,'Analiz (Birim Bazlı)'!$B117,'RD Fine Kinney (Birim Bazlı)'!$U$8:$U$100,"&gt;1.1.2000",'RD Fine Kinney (Birim Bazlı)'!$W$8:$W$100,"")</f>
        <v>0</v>
      </c>
      <c r="N117" s="157">
        <f t="shared" si="4"/>
        <v>0</v>
      </c>
    </row>
    <row r="118" spans="2:14" ht="16" thickTop="1"/>
  </sheetData>
  <sheetProtection algorithmName="SHA-512" hashValue="LiMRd8tcWSDn5ugeNfvJsTV8wZttyxcNTPATIvCvduHKcClD4ywoiEk61dgxJEcSZdO9spqb34BhKAo4kZm5XA==" saltValue="GK929W6RMcVdWwTHkFTd+A==" spinCount="100000" sheet="1" scenarios="1"/>
  <sortState xmlns:xlrd2="http://schemas.microsoft.com/office/spreadsheetml/2017/richdata2" ref="B103:B112">
    <sortCondition ref="B103"/>
  </sortState>
  <mergeCells count="6">
    <mergeCell ref="B2:N3"/>
    <mergeCell ref="B80:N81"/>
    <mergeCell ref="I103:N103"/>
    <mergeCell ref="C103:H103"/>
    <mergeCell ref="I5:N5"/>
    <mergeCell ref="C5:H5"/>
  </mergeCells>
  <pageMargins left="0.7" right="0.7" top="0.75" bottom="0.75" header="0.3" footer="0.3"/>
  <pageSetup paperSize="8" fitToHeight="0" orientation="landscape" r:id="rId1"/>
  <ignoredErrors>
    <ignoredError sqref="H40" formula="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5" tint="0.59999389629810485"/>
    <pageSetUpPr fitToPage="1"/>
  </sheetPr>
  <dimension ref="A1:AG4131"/>
  <sheetViews>
    <sheetView showGridLines="0" view="pageBreakPreview" zoomScale="50" zoomScaleNormal="80" zoomScaleSheetLayoutView="50" workbookViewId="0">
      <pane ySplit="7" topLeftCell="A19" activePane="bottomLeft" state="frozen"/>
      <selection pane="bottomLeft" activeCell="V36" sqref="V36"/>
    </sheetView>
  </sheetViews>
  <sheetFormatPr baseColWidth="10" defaultColWidth="8.6640625" defaultRowHeight="15" zeroHeight="1"/>
  <cols>
    <col min="1" max="1" width="8.6640625" style="181"/>
    <col min="2" max="2" width="15.5" style="181" customWidth="1"/>
    <col min="3" max="6" width="18.6640625" style="181" customWidth="1"/>
    <col min="7" max="7" width="20.83203125" style="181" customWidth="1"/>
    <col min="8" max="9" width="18.6640625" style="181" customWidth="1"/>
    <col min="10" max="10" width="15.6640625" style="181" customWidth="1"/>
    <col min="11" max="11" width="16.5" style="181" customWidth="1"/>
    <col min="12" max="12" width="40.5" style="181" customWidth="1"/>
    <col min="13" max="13" width="30.5" style="181" customWidth="1"/>
    <col min="14" max="17" width="7.5" style="181" customWidth="1"/>
    <col min="18" max="18" width="10.5" style="181" customWidth="1"/>
    <col min="19" max="19" width="40.5" style="181" customWidth="1"/>
    <col min="20" max="20" width="18.5" style="181" customWidth="1"/>
    <col min="21" max="21" width="15.5" style="181" customWidth="1"/>
    <col min="22" max="22" width="40.5" style="181" customWidth="1"/>
    <col min="23" max="23" width="15.5" style="181" customWidth="1"/>
    <col min="24" max="24" width="30.5" style="181" customWidth="1"/>
    <col min="25" max="28" width="7.5" style="181" customWidth="1"/>
    <col min="29" max="29" width="10.5" style="181" customWidth="1"/>
    <col min="30" max="30" width="20.5" style="181" customWidth="1"/>
    <col min="31" max="31" width="18.5" style="181" customWidth="1"/>
    <col min="32" max="33" width="25.5" style="181" customWidth="1"/>
    <col min="34" max="16384" width="8.6640625" style="181"/>
  </cols>
  <sheetData>
    <row r="1" spans="1:33" customFormat="1" ht="82.5" customHeight="1">
      <c r="A1" s="346" t="s">
        <v>38</v>
      </c>
      <c r="B1" s="347"/>
      <c r="C1" s="347"/>
      <c r="D1" s="347"/>
      <c r="E1" s="347"/>
      <c r="F1" s="347"/>
      <c r="G1" s="347"/>
      <c r="H1" s="347"/>
      <c r="I1" s="347"/>
      <c r="J1" s="347"/>
      <c r="K1" s="347"/>
      <c r="L1" s="347"/>
      <c r="M1" s="347"/>
      <c r="N1" s="347"/>
      <c r="O1" s="347"/>
      <c r="P1" s="347"/>
      <c r="Q1" s="347"/>
      <c r="R1" s="347"/>
      <c r="S1" s="347"/>
      <c r="T1" s="347"/>
      <c r="U1" s="347"/>
      <c r="V1" s="347"/>
      <c r="W1" s="347"/>
      <c r="X1" s="347"/>
      <c r="Y1" s="347"/>
      <c r="Z1" s="347"/>
      <c r="AA1" s="347"/>
      <c r="AB1" s="347"/>
      <c r="AC1" s="347"/>
      <c r="AD1" s="347"/>
      <c r="AE1" s="347"/>
      <c r="AF1" s="347"/>
      <c r="AG1" s="348"/>
    </row>
    <row r="2" spans="1:33" customFormat="1" ht="10" customHeight="1">
      <c r="A2" s="313"/>
      <c r="B2" s="314"/>
      <c r="C2" s="314"/>
      <c r="D2" s="314"/>
      <c r="E2" s="314"/>
      <c r="F2" s="314"/>
      <c r="G2" s="314"/>
      <c r="H2" s="314"/>
      <c r="I2" s="314"/>
      <c r="J2" s="314"/>
      <c r="K2" s="314"/>
      <c r="L2" s="314"/>
      <c r="M2" s="314"/>
      <c r="N2" s="314"/>
      <c r="O2" s="314"/>
      <c r="P2" s="314"/>
      <c r="Q2" s="314"/>
      <c r="R2" s="314"/>
      <c r="S2" s="314"/>
      <c r="T2" s="314"/>
      <c r="U2" s="314"/>
      <c r="V2" s="314"/>
      <c r="W2" s="314"/>
      <c r="X2" s="314"/>
      <c r="Y2" s="314"/>
      <c r="Z2" s="314"/>
      <c r="AA2" s="314"/>
      <c r="AB2" s="314"/>
      <c r="AC2" s="314"/>
      <c r="AD2" s="314"/>
      <c r="AE2" s="314"/>
      <c r="AF2" s="314"/>
      <c r="AG2" s="316"/>
    </row>
    <row r="3" spans="1:33" ht="30" customHeight="1">
      <c r="A3" s="341" t="s">
        <v>282</v>
      </c>
      <c r="B3" s="342"/>
      <c r="C3" s="343"/>
      <c r="D3" s="349" t="s">
        <v>361</v>
      </c>
      <c r="E3" s="350"/>
      <c r="F3" s="350"/>
      <c r="G3" s="350"/>
      <c r="H3" s="258"/>
      <c r="I3" s="258"/>
      <c r="J3" s="350"/>
      <c r="K3" s="350"/>
      <c r="L3" s="350"/>
      <c r="M3" s="203"/>
      <c r="N3" s="203"/>
      <c r="O3" s="203"/>
      <c r="P3" s="203"/>
      <c r="Q3" s="203"/>
      <c r="R3" s="203"/>
      <c r="S3" s="203"/>
      <c r="T3" s="203"/>
      <c r="U3" s="203"/>
      <c r="V3" s="203"/>
      <c r="W3" s="204"/>
      <c r="X3" s="184" t="s">
        <v>147</v>
      </c>
      <c r="Y3" s="322">
        <v>45870</v>
      </c>
      <c r="Z3" s="323"/>
      <c r="AA3" s="323"/>
      <c r="AB3" s="324"/>
      <c r="AC3" s="317" t="s">
        <v>32</v>
      </c>
      <c r="AD3" s="318"/>
      <c r="AE3" s="319">
        <v>46600</v>
      </c>
      <c r="AF3" s="320"/>
      <c r="AG3" s="321"/>
    </row>
    <row r="4" spans="1:33" ht="30" customHeight="1">
      <c r="A4" s="341" t="s">
        <v>30</v>
      </c>
      <c r="B4" s="342"/>
      <c r="C4" s="343"/>
      <c r="D4" s="185" t="s">
        <v>334</v>
      </c>
      <c r="E4" s="182"/>
      <c r="F4" s="182"/>
      <c r="G4" s="182"/>
      <c r="H4" s="182"/>
      <c r="I4" s="182"/>
      <c r="J4" s="182"/>
      <c r="K4" s="182"/>
      <c r="L4" s="182"/>
      <c r="M4" s="182"/>
      <c r="N4" s="182"/>
      <c r="O4" s="182"/>
      <c r="P4" s="182"/>
      <c r="Q4" s="182"/>
      <c r="R4" s="182"/>
      <c r="S4" s="182"/>
      <c r="T4" s="182"/>
      <c r="U4" s="182"/>
      <c r="V4" s="182"/>
      <c r="W4" s="182"/>
      <c r="X4" s="182"/>
      <c r="Y4" s="182"/>
      <c r="Z4" s="182"/>
      <c r="AA4" s="182"/>
      <c r="AB4" s="183"/>
      <c r="AC4" s="317" t="s">
        <v>29</v>
      </c>
      <c r="AD4" s="318"/>
      <c r="AE4" s="338" t="s">
        <v>28</v>
      </c>
      <c r="AF4" s="339"/>
      <c r="AG4" s="340"/>
    </row>
    <row r="5" spans="1:33" customFormat="1" ht="10" customHeight="1">
      <c r="A5" s="313"/>
      <c r="B5" s="314"/>
      <c r="C5" s="314"/>
      <c r="D5" s="314"/>
      <c r="E5" s="314"/>
      <c r="F5" s="314"/>
      <c r="G5" s="314"/>
      <c r="H5" s="314"/>
      <c r="I5" s="314"/>
      <c r="J5" s="314"/>
      <c r="K5" s="314"/>
      <c r="L5" s="314"/>
      <c r="M5" s="314"/>
      <c r="N5" s="314"/>
      <c r="O5" s="314"/>
      <c r="P5" s="314"/>
      <c r="Q5" s="314"/>
      <c r="R5" s="314"/>
      <c r="S5" s="314"/>
      <c r="T5" s="314"/>
      <c r="U5" s="314"/>
      <c r="V5" s="314"/>
      <c r="W5" s="314"/>
      <c r="X5" s="314"/>
      <c r="Y5" s="314"/>
      <c r="Z5" s="314"/>
      <c r="AA5" s="314"/>
      <c r="AB5" s="314"/>
      <c r="AC5" s="314"/>
      <c r="AD5" s="314"/>
      <c r="AE5" s="314"/>
      <c r="AF5" s="314"/>
      <c r="AG5" s="316"/>
    </row>
    <row r="6" spans="1:33">
      <c r="A6" s="310" t="s">
        <v>26</v>
      </c>
      <c r="B6" s="331" t="s">
        <v>289</v>
      </c>
      <c r="C6" s="312" t="s">
        <v>264</v>
      </c>
      <c r="D6" s="312" t="s">
        <v>265</v>
      </c>
      <c r="E6" s="351" t="s">
        <v>360</v>
      </c>
      <c r="F6" s="311" t="s">
        <v>155</v>
      </c>
      <c r="G6" s="311" t="s">
        <v>154</v>
      </c>
      <c r="H6" s="310" t="s">
        <v>23</v>
      </c>
      <c r="I6" s="310" t="s">
        <v>21</v>
      </c>
      <c r="J6" s="311" t="s">
        <v>20</v>
      </c>
      <c r="K6" s="311" t="s">
        <v>19</v>
      </c>
      <c r="L6" s="311" t="s">
        <v>288</v>
      </c>
      <c r="M6" s="311" t="s">
        <v>287</v>
      </c>
      <c r="N6" s="312" t="s">
        <v>148</v>
      </c>
      <c r="O6" s="312"/>
      <c r="P6" s="312"/>
      <c r="Q6" s="312"/>
      <c r="R6" s="312"/>
      <c r="S6" s="333" t="s">
        <v>290</v>
      </c>
      <c r="T6" s="334"/>
      <c r="U6" s="335"/>
      <c r="V6" s="331" t="s">
        <v>291</v>
      </c>
      <c r="W6" s="331" t="s">
        <v>292</v>
      </c>
      <c r="X6" s="331" t="s">
        <v>293</v>
      </c>
      <c r="Y6" s="310" t="s">
        <v>149</v>
      </c>
      <c r="Z6" s="310"/>
      <c r="AA6" s="310"/>
      <c r="AB6" s="310"/>
      <c r="AC6" s="310"/>
      <c r="AD6" s="333" t="s">
        <v>294</v>
      </c>
      <c r="AE6" s="334"/>
      <c r="AF6" s="335"/>
      <c r="AG6" s="336" t="s">
        <v>301</v>
      </c>
    </row>
    <row r="7" spans="1:33" ht="60" customHeight="1">
      <c r="A7" s="310"/>
      <c r="B7" s="332"/>
      <c r="C7" s="312"/>
      <c r="D7" s="312"/>
      <c r="E7" s="352"/>
      <c r="F7" s="311"/>
      <c r="G7" s="311"/>
      <c r="H7" s="310"/>
      <c r="I7" s="310"/>
      <c r="J7" s="311"/>
      <c r="K7" s="311"/>
      <c r="L7" s="311"/>
      <c r="M7" s="311"/>
      <c r="N7" s="198" t="s">
        <v>8</v>
      </c>
      <c r="O7" s="198" t="s">
        <v>7</v>
      </c>
      <c r="P7" s="198" t="s">
        <v>6</v>
      </c>
      <c r="Q7" s="199" t="s">
        <v>5</v>
      </c>
      <c r="R7" s="200" t="s">
        <v>4</v>
      </c>
      <c r="S7" s="200" t="s">
        <v>152</v>
      </c>
      <c r="T7" s="200" t="s">
        <v>16</v>
      </c>
      <c r="U7" s="200" t="s">
        <v>15</v>
      </c>
      <c r="V7" s="332"/>
      <c r="W7" s="332"/>
      <c r="X7" s="332"/>
      <c r="Y7" s="201" t="s">
        <v>8</v>
      </c>
      <c r="Z7" s="201" t="s">
        <v>7</v>
      </c>
      <c r="AA7" s="201" t="s">
        <v>6</v>
      </c>
      <c r="AB7" s="199" t="s">
        <v>5</v>
      </c>
      <c r="AC7" s="200" t="s">
        <v>4</v>
      </c>
      <c r="AD7" s="200" t="s">
        <v>295</v>
      </c>
      <c r="AE7" s="200" t="s">
        <v>153</v>
      </c>
      <c r="AF7" s="200" t="s">
        <v>12</v>
      </c>
      <c r="AG7" s="337"/>
    </row>
    <row r="8" spans="1:33" ht="165" customHeight="1">
      <c r="A8" s="186">
        <v>48</v>
      </c>
      <c r="B8" s="192">
        <v>45877</v>
      </c>
      <c r="C8" s="187" t="s">
        <v>124</v>
      </c>
      <c r="D8" s="187" t="s">
        <v>54</v>
      </c>
      <c r="E8" s="188" t="s">
        <v>137</v>
      </c>
      <c r="F8" s="188" t="s">
        <v>137</v>
      </c>
      <c r="G8" s="187" t="s">
        <v>393</v>
      </c>
      <c r="H8" s="205" t="s">
        <v>394</v>
      </c>
      <c r="I8" s="205" t="s">
        <v>396</v>
      </c>
      <c r="J8" s="59" t="s">
        <v>395</v>
      </c>
      <c r="K8" s="59" t="s">
        <v>379</v>
      </c>
      <c r="L8" s="205" t="s">
        <v>1108</v>
      </c>
      <c r="M8" s="189" t="s">
        <v>380</v>
      </c>
      <c r="N8" s="190">
        <v>3</v>
      </c>
      <c r="O8" s="190">
        <v>2</v>
      </c>
      <c r="P8" s="190">
        <v>15</v>
      </c>
      <c r="Q8" s="59">
        <f t="shared" ref="Q8" si="0">(P8*O8*N8)</f>
        <v>90</v>
      </c>
      <c r="R8" s="59" t="str">
        <f t="shared" ref="R8" si="1">IF(Q8="","",IF(AND(Q8&gt;=0,Q8&lt;20),"DÜŞÜK RİSK",IF(AND(Q8&gt;=20,Q8&lt;70),"OLASI RİSK",IF(AND(Q8&gt;=70,Q8&lt;200),"ÖNEMLİ RİSK",IF(AND(Q8&gt;=200,Q8&lt;400),"YÜKSEK RİSK",IF(Q8&gt;=400,"KABUL EDİLEMEZ RİSK",""))))))</f>
        <v>ÖNEMLİ RİSK</v>
      </c>
      <c r="S8" s="59" t="s">
        <v>397</v>
      </c>
      <c r="T8" s="187" t="s">
        <v>348</v>
      </c>
      <c r="U8" s="210"/>
      <c r="V8" s="207"/>
      <c r="W8" s="207"/>
      <c r="X8" s="206"/>
      <c r="Y8" s="190">
        <v>0.5</v>
      </c>
      <c r="Z8" s="190">
        <v>0.5</v>
      </c>
      <c r="AA8" s="190">
        <v>40</v>
      </c>
      <c r="AB8" s="59">
        <f t="shared" ref="AB8" si="2">IF(OR(ISBLANK(Y8)=TRUE,ISBLANK(Z8)=TRUE,ISBLANK(AA8)=TRUE),"",PRODUCT(Y8,Z8,AA8))</f>
        <v>10</v>
      </c>
      <c r="AC8" s="59" t="str">
        <f t="shared" ref="AC8" si="3">IF(AB8="","",IF(AND(AB8&gt;=0,AB8&lt;20),"DÜŞÜK RİSK",IF(AND(AB8&gt;=20,AB8&lt;70),"OLASI RİSK",IF(AND(AB8&gt;=70,AB8&lt;200),"ÖNEMLİ RİSK",IF(AND(AB8&gt;=200,AB8&lt;400),"YÜKSEK RİSK",IF(AB8&gt;=400,"KABUL EDİLEMEZ RİSK",""))))))</f>
        <v>DÜŞÜK RİSK</v>
      </c>
      <c r="AD8" s="187"/>
      <c r="AE8" s="187"/>
      <c r="AF8" s="59"/>
      <c r="AG8" s="59"/>
    </row>
    <row r="9" spans="1:33" ht="125.25" customHeight="1">
      <c r="A9" s="186">
        <v>129</v>
      </c>
      <c r="B9" s="192">
        <v>45877</v>
      </c>
      <c r="C9" s="187" t="s">
        <v>126</v>
      </c>
      <c r="D9" s="187" t="s">
        <v>297</v>
      </c>
      <c r="E9" s="188" t="s">
        <v>137</v>
      </c>
      <c r="F9" s="188" t="s">
        <v>388</v>
      </c>
      <c r="G9" s="187" t="s">
        <v>389</v>
      </c>
      <c r="H9" s="187" t="s">
        <v>390</v>
      </c>
      <c r="I9" s="187" t="s">
        <v>389</v>
      </c>
      <c r="J9" s="187" t="s">
        <v>383</v>
      </c>
      <c r="K9" s="59" t="s">
        <v>379</v>
      </c>
      <c r="L9" s="187" t="s">
        <v>391</v>
      </c>
      <c r="M9" s="189" t="s">
        <v>380</v>
      </c>
      <c r="N9" s="190">
        <v>1</v>
      </c>
      <c r="O9" s="190">
        <v>0.5</v>
      </c>
      <c r="P9" s="190">
        <v>40</v>
      </c>
      <c r="Q9" s="59">
        <f t="shared" ref="Q9" si="4">IF(OR(ISBLANK(N9)=TRUE,ISBLANK(O9)=TRUE,ISBLANK(P9)=TRUE),"",PRODUCT(N9,O9,P9))</f>
        <v>20</v>
      </c>
      <c r="R9" s="59" t="str">
        <f t="shared" ref="R9" si="5">IF(Q9="","",IF(AND(Q9&gt;=0,Q9&lt;20),"DÜŞÜK RİSK",IF(AND(Q9&gt;=20,Q9&lt;70),"OLASI RİSK",IF(AND(Q9&gt;=70,Q9&lt;200),"ÖNEMLİ RİSK",IF(AND(Q9&gt;=200,Q9&lt;400),"YÜKSEK RİSK",IF(Q9&gt;=400,"KABUL EDİLEMEZ RİSK",""))))))</f>
        <v>OLASI RİSK</v>
      </c>
      <c r="S9" s="209" t="s">
        <v>392</v>
      </c>
      <c r="T9" s="187" t="s">
        <v>351</v>
      </c>
      <c r="U9" s="192" t="s">
        <v>385</v>
      </c>
      <c r="V9" s="206" t="s">
        <v>415</v>
      </c>
      <c r="W9" s="208"/>
      <c r="X9" s="193" t="s">
        <v>380</v>
      </c>
      <c r="Y9" s="190">
        <v>0.5</v>
      </c>
      <c r="Z9" s="190">
        <v>0.5</v>
      </c>
      <c r="AA9" s="190">
        <v>40</v>
      </c>
      <c r="AB9" s="59">
        <f t="shared" ref="AB9" si="6">IF(OR(ISBLANK(Y9)=TRUE,ISBLANK(Z9)=TRUE,ISBLANK(AA9)=TRUE),"",PRODUCT(Y9,Z9,AA9))</f>
        <v>10</v>
      </c>
      <c r="AC9" s="59" t="str">
        <f t="shared" ref="AC9" si="7">IF(AB9="","",IF(AND(AB9&gt;=0,AB9&lt;20),"DÜŞÜK RİSK",IF(AND(AB9&gt;=20,AB9&lt;70),"OLASI RİSK",IF(AND(AB9&gt;=70,AB9&lt;200),"ÖNEMLİ RİSK",IF(AND(AB9&gt;=200,AB9&lt;400),"YÜKSEK RİSK",IF(AB9&gt;=400,"KABUL EDİLEMEZ RİSK",""))))))</f>
        <v>DÜŞÜK RİSK</v>
      </c>
      <c r="AD9" s="187" t="s">
        <v>308</v>
      </c>
      <c r="AE9" s="187" t="s">
        <v>381</v>
      </c>
      <c r="AF9" s="59" t="s">
        <v>386</v>
      </c>
      <c r="AG9" s="59" t="s">
        <v>384</v>
      </c>
    </row>
    <row r="10" spans="1:33" ht="125.25" customHeight="1">
      <c r="A10" s="186">
        <v>3129</v>
      </c>
      <c r="B10" s="192">
        <v>45877</v>
      </c>
      <c r="C10" s="187" t="s">
        <v>126</v>
      </c>
      <c r="D10" s="187" t="s">
        <v>297</v>
      </c>
      <c r="E10" s="188" t="s">
        <v>137</v>
      </c>
      <c r="F10" s="187" t="s">
        <v>137</v>
      </c>
      <c r="G10" s="187" t="s">
        <v>389</v>
      </c>
      <c r="H10" s="187" t="s">
        <v>1081</v>
      </c>
      <c r="I10" s="187" t="s">
        <v>1082</v>
      </c>
      <c r="J10" s="187" t="s">
        <v>1083</v>
      </c>
      <c r="K10" s="187" t="s">
        <v>460</v>
      </c>
      <c r="L10" s="189" t="s">
        <v>1084</v>
      </c>
      <c r="M10" s="189" t="s">
        <v>404</v>
      </c>
      <c r="N10" s="190">
        <v>3</v>
      </c>
      <c r="O10" s="190">
        <v>3</v>
      </c>
      <c r="P10" s="190">
        <v>15</v>
      </c>
      <c r="Q10" s="59">
        <f t="shared" ref="Q10:Q26" si="8">IF(OR(ISBLANK(N10)=TRUE,ISBLANK(O10)=TRUE,ISBLANK(P10)=TRUE),"",PRODUCT(N10,O10,P10))</f>
        <v>135</v>
      </c>
      <c r="R10" s="59" t="str">
        <f t="shared" ref="R10:R13" si="9">IF(Q10="","",IF(AND(Q10&gt;=0,Q10&lt;20),"DÜŞÜK RİSK",IF(AND(Q10&gt;=20,Q10&lt;70),"OLASI RİSK",IF(AND(Q10&gt;=70,Q10&lt;200),"ÖNEMLİ RİSK",IF(AND(Q10&gt;=200,Q10&lt;400),"YÜKSEK RİSK",IF(Q10&gt;=400,"KABUL EDİLEMEZ RİSK",""))))))</f>
        <v>ÖNEMLİ RİSK</v>
      </c>
      <c r="S10" s="191" t="s">
        <v>989</v>
      </c>
      <c r="T10" s="187" t="s">
        <v>352</v>
      </c>
      <c r="U10" s="192" t="s">
        <v>406</v>
      </c>
      <c r="V10" s="193" t="s">
        <v>415</v>
      </c>
      <c r="W10" s="192" t="s">
        <v>406</v>
      </c>
      <c r="X10" s="189" t="s">
        <v>408</v>
      </c>
      <c r="Y10" s="190">
        <v>1</v>
      </c>
      <c r="Z10" s="190">
        <v>3</v>
      </c>
      <c r="AA10" s="190">
        <v>15</v>
      </c>
      <c r="AB10" s="59">
        <f t="shared" ref="AB10:AB42" si="10">IF(OR(ISBLANK(Y10)=TRUE,ISBLANK(Z10)=TRUE,ISBLANK(AA10)=TRUE),"",PRODUCT(Y10,Z10,AA10))</f>
        <v>45</v>
      </c>
      <c r="AC10" s="59" t="str">
        <f t="shared" ref="AC10:AC42" si="11">IF(AB10="","",IF(AND(AB10&gt;=0,AB10&lt;20),"DÜŞÜK RİSK",IF(AND(AB10&gt;=20,AB10&lt;70),"OLASI RİSK",IF(AND(AB10&gt;=70,AB10&lt;200),"ÖNEMLİ RİSK",IF(AND(AB10&gt;=200,AB10&lt;400),"YÜKSEK RİSK",IF(AB10&gt;=400,"KABUL EDİLEMEZ RİSK",""))))))</f>
        <v>OLASI RİSK</v>
      </c>
      <c r="AD10" s="187" t="s">
        <v>296</v>
      </c>
      <c r="AE10" s="187" t="s">
        <v>990</v>
      </c>
      <c r="AF10" s="187" t="s">
        <v>1085</v>
      </c>
      <c r="AG10" s="190" t="s">
        <v>1086</v>
      </c>
    </row>
    <row r="11" spans="1:33" ht="125.25" customHeight="1">
      <c r="A11" s="186">
        <v>3130</v>
      </c>
      <c r="B11" s="192">
        <v>45877</v>
      </c>
      <c r="C11" s="187" t="s">
        <v>124</v>
      </c>
      <c r="D11" s="187" t="s">
        <v>304</v>
      </c>
      <c r="E11" s="188" t="s">
        <v>137</v>
      </c>
      <c r="F11" s="187" t="s">
        <v>137</v>
      </c>
      <c r="G11" s="187" t="s">
        <v>1087</v>
      </c>
      <c r="H11" s="187" t="s">
        <v>1088</v>
      </c>
      <c r="I11" s="187" t="s">
        <v>1089</v>
      </c>
      <c r="J11" s="187" t="s">
        <v>1090</v>
      </c>
      <c r="K11" s="187" t="s">
        <v>460</v>
      </c>
      <c r="L11" s="189" t="s">
        <v>1091</v>
      </c>
      <c r="M11" s="189" t="s">
        <v>404</v>
      </c>
      <c r="N11" s="190">
        <v>3</v>
      </c>
      <c r="O11" s="190">
        <v>3</v>
      </c>
      <c r="P11" s="190">
        <v>15</v>
      </c>
      <c r="Q11" s="59">
        <f t="shared" si="8"/>
        <v>135</v>
      </c>
      <c r="R11" s="59" t="str">
        <f t="shared" si="9"/>
        <v>ÖNEMLİ RİSK</v>
      </c>
      <c r="S11" s="191" t="s">
        <v>989</v>
      </c>
      <c r="T11" s="187" t="s">
        <v>352</v>
      </c>
      <c r="U11" s="192" t="s">
        <v>406</v>
      </c>
      <c r="V11" s="193" t="s">
        <v>415</v>
      </c>
      <c r="W11" s="192" t="s">
        <v>406</v>
      </c>
      <c r="X11" s="189" t="s">
        <v>408</v>
      </c>
      <c r="Y11" s="190">
        <v>1</v>
      </c>
      <c r="Z11" s="190">
        <v>3</v>
      </c>
      <c r="AA11" s="190">
        <v>15</v>
      </c>
      <c r="AB11" s="59">
        <f t="shared" si="10"/>
        <v>45</v>
      </c>
      <c r="AC11" s="59" t="str">
        <f t="shared" si="11"/>
        <v>OLASI RİSK</v>
      </c>
      <c r="AD11" s="187" t="s">
        <v>308</v>
      </c>
      <c r="AE11" s="187" t="s">
        <v>990</v>
      </c>
      <c r="AF11" s="187" t="s">
        <v>916</v>
      </c>
      <c r="AG11" s="190" t="s">
        <v>1086</v>
      </c>
    </row>
    <row r="12" spans="1:33" ht="125.25" customHeight="1">
      <c r="A12" s="186">
        <v>3131</v>
      </c>
      <c r="B12" s="192">
        <v>45877</v>
      </c>
      <c r="C12" s="187" t="s">
        <v>124</v>
      </c>
      <c r="D12" s="187" t="s">
        <v>304</v>
      </c>
      <c r="E12" s="188" t="s">
        <v>137</v>
      </c>
      <c r="F12" s="187" t="s">
        <v>137</v>
      </c>
      <c r="G12" s="187" t="s">
        <v>1087</v>
      </c>
      <c r="H12" s="187" t="s">
        <v>1092</v>
      </c>
      <c r="I12" s="187" t="s">
        <v>1093</v>
      </c>
      <c r="J12" s="187" t="s">
        <v>1094</v>
      </c>
      <c r="K12" s="187" t="s">
        <v>382</v>
      </c>
      <c r="L12" s="189" t="s">
        <v>1095</v>
      </c>
      <c r="M12" s="189" t="s">
        <v>404</v>
      </c>
      <c r="N12" s="190">
        <v>3</v>
      </c>
      <c r="O12" s="190">
        <v>3</v>
      </c>
      <c r="P12" s="190">
        <v>15</v>
      </c>
      <c r="Q12" s="59">
        <f t="shared" si="8"/>
        <v>135</v>
      </c>
      <c r="R12" s="59" t="str">
        <f t="shared" si="9"/>
        <v>ÖNEMLİ RİSK</v>
      </c>
      <c r="S12" s="191" t="s">
        <v>989</v>
      </c>
      <c r="T12" s="187" t="s">
        <v>352</v>
      </c>
      <c r="U12" s="192" t="s">
        <v>406</v>
      </c>
      <c r="V12" s="193" t="s">
        <v>415</v>
      </c>
      <c r="W12" s="192" t="s">
        <v>406</v>
      </c>
      <c r="X12" s="189" t="s">
        <v>408</v>
      </c>
      <c r="Y12" s="190">
        <v>1</v>
      </c>
      <c r="Z12" s="190">
        <v>3</v>
      </c>
      <c r="AA12" s="190">
        <v>15</v>
      </c>
      <c r="AB12" s="59">
        <f t="shared" si="10"/>
        <v>45</v>
      </c>
      <c r="AC12" s="59" t="str">
        <f t="shared" si="11"/>
        <v>OLASI RİSK</v>
      </c>
      <c r="AD12" s="187" t="s">
        <v>308</v>
      </c>
      <c r="AE12" s="187" t="s">
        <v>990</v>
      </c>
      <c r="AF12" s="187" t="s">
        <v>916</v>
      </c>
      <c r="AG12" s="190" t="s">
        <v>1086</v>
      </c>
    </row>
    <row r="13" spans="1:33" ht="125.25" customHeight="1">
      <c r="A13" s="186">
        <v>3132</v>
      </c>
      <c r="B13" s="192">
        <v>45877</v>
      </c>
      <c r="C13" s="187" t="s">
        <v>124</v>
      </c>
      <c r="D13" s="187" t="s">
        <v>304</v>
      </c>
      <c r="E13" s="188" t="s">
        <v>137</v>
      </c>
      <c r="F13" s="187" t="s">
        <v>137</v>
      </c>
      <c r="G13" s="187" t="s">
        <v>1087</v>
      </c>
      <c r="H13" s="187" t="s">
        <v>1096</v>
      </c>
      <c r="I13" s="187" t="s">
        <v>1097</v>
      </c>
      <c r="J13" s="187" t="s">
        <v>1098</v>
      </c>
      <c r="K13" s="187" t="s">
        <v>1080</v>
      </c>
      <c r="L13" s="189" t="s">
        <v>1099</v>
      </c>
      <c r="M13" s="189" t="s">
        <v>404</v>
      </c>
      <c r="N13" s="190">
        <v>3</v>
      </c>
      <c r="O13" s="190">
        <v>3</v>
      </c>
      <c r="P13" s="190">
        <v>15</v>
      </c>
      <c r="Q13" s="59">
        <f t="shared" si="8"/>
        <v>135</v>
      </c>
      <c r="R13" s="59" t="str">
        <f t="shared" si="9"/>
        <v>ÖNEMLİ RİSK</v>
      </c>
      <c r="S13" s="191" t="s">
        <v>989</v>
      </c>
      <c r="T13" s="187" t="s">
        <v>352</v>
      </c>
      <c r="U13" s="192" t="s">
        <v>406</v>
      </c>
      <c r="V13" s="193" t="s">
        <v>415</v>
      </c>
      <c r="W13" s="192" t="s">
        <v>406</v>
      </c>
      <c r="X13" s="189" t="s">
        <v>408</v>
      </c>
      <c r="Y13" s="190">
        <v>1</v>
      </c>
      <c r="Z13" s="190">
        <v>3</v>
      </c>
      <c r="AA13" s="190">
        <v>15</v>
      </c>
      <c r="AB13" s="59">
        <f t="shared" si="10"/>
        <v>45</v>
      </c>
      <c r="AC13" s="59" t="str">
        <f t="shared" si="11"/>
        <v>OLASI RİSK</v>
      </c>
      <c r="AD13" s="187" t="s">
        <v>308</v>
      </c>
      <c r="AE13" s="187" t="s">
        <v>990</v>
      </c>
      <c r="AF13" s="187" t="s">
        <v>916</v>
      </c>
      <c r="AG13" s="190" t="s">
        <v>1086</v>
      </c>
    </row>
    <row r="14" spans="1:33" ht="125.25" customHeight="1">
      <c r="A14" s="186">
        <v>3133</v>
      </c>
      <c r="B14" s="192">
        <v>45877</v>
      </c>
      <c r="C14" s="187" t="s">
        <v>126</v>
      </c>
      <c r="D14" s="187" t="s">
        <v>300</v>
      </c>
      <c r="E14" s="188" t="s">
        <v>137</v>
      </c>
      <c r="F14" s="187" t="s">
        <v>137</v>
      </c>
      <c r="G14" s="187" t="s">
        <v>1087</v>
      </c>
      <c r="H14" s="187" t="s">
        <v>1100</v>
      </c>
      <c r="I14" s="187" t="s">
        <v>1101</v>
      </c>
      <c r="J14" s="187" t="s">
        <v>1102</v>
      </c>
      <c r="K14" s="187" t="s">
        <v>1080</v>
      </c>
      <c r="L14" s="189" t="s">
        <v>1103</v>
      </c>
      <c r="M14" s="189" t="s">
        <v>404</v>
      </c>
      <c r="N14" s="190">
        <v>1</v>
      </c>
      <c r="O14" s="190">
        <v>3</v>
      </c>
      <c r="P14" s="190">
        <v>7</v>
      </c>
      <c r="Q14" s="59">
        <f t="shared" si="8"/>
        <v>21</v>
      </c>
      <c r="R14" s="59" t="str">
        <f t="shared" ref="R14:R76" si="12">IF(Q14="","",IF(AND(Q14&gt;=0,Q14&lt;20),"DÜŞÜK RİSK",IF(AND(Q14&gt;=20,Q14&lt;70),"OLASI RİSK",IF(AND(Q14&gt;=70,Q14&lt;200),"ÖNEMLİ RİSK",IF(AND(Q14&gt;=200,Q14&lt;400),"YÜKSEK RİSK",IF(Q14&gt;=400,"KABUL EDİLEMEZ RİSK",""))))))</f>
        <v>OLASI RİSK</v>
      </c>
      <c r="S14" s="191" t="s">
        <v>989</v>
      </c>
      <c r="T14" s="187" t="s">
        <v>352</v>
      </c>
      <c r="U14" s="192" t="s">
        <v>406</v>
      </c>
      <c r="V14" s="193" t="s">
        <v>415</v>
      </c>
      <c r="W14" s="192" t="s">
        <v>406</v>
      </c>
      <c r="X14" s="189" t="s">
        <v>408</v>
      </c>
      <c r="Y14" s="190">
        <v>1</v>
      </c>
      <c r="Z14" s="190">
        <v>3</v>
      </c>
      <c r="AA14" s="190">
        <v>15</v>
      </c>
      <c r="AB14" s="59">
        <f t="shared" si="10"/>
        <v>45</v>
      </c>
      <c r="AC14" s="59" t="str">
        <f t="shared" si="11"/>
        <v>OLASI RİSK</v>
      </c>
      <c r="AD14" s="187" t="s">
        <v>308</v>
      </c>
      <c r="AE14" s="187" t="s">
        <v>990</v>
      </c>
      <c r="AF14" s="187" t="s">
        <v>916</v>
      </c>
      <c r="AG14" s="190" t="s">
        <v>1086</v>
      </c>
    </row>
    <row r="15" spans="1:33" ht="125.25" customHeight="1">
      <c r="A15" s="186">
        <v>3134</v>
      </c>
      <c r="B15" s="192">
        <v>45877</v>
      </c>
      <c r="C15" s="187" t="s">
        <v>126</v>
      </c>
      <c r="D15" s="187" t="s">
        <v>297</v>
      </c>
      <c r="E15" s="188" t="s">
        <v>137</v>
      </c>
      <c r="F15" s="187" t="s">
        <v>137</v>
      </c>
      <c r="G15" s="187" t="s">
        <v>984</v>
      </c>
      <c r="H15" s="187" t="s">
        <v>985</v>
      </c>
      <c r="I15" s="187" t="s">
        <v>986</v>
      </c>
      <c r="J15" s="187" t="s">
        <v>987</v>
      </c>
      <c r="K15" s="187" t="s">
        <v>402</v>
      </c>
      <c r="L15" s="189" t="s">
        <v>988</v>
      </c>
      <c r="M15" s="189" t="s">
        <v>404</v>
      </c>
      <c r="N15" s="190">
        <v>0.5</v>
      </c>
      <c r="O15" s="190">
        <v>6</v>
      </c>
      <c r="P15" s="190">
        <v>7</v>
      </c>
      <c r="Q15" s="59">
        <f t="shared" si="8"/>
        <v>21</v>
      </c>
      <c r="R15" s="59" t="str">
        <f t="shared" si="12"/>
        <v>OLASI RİSK</v>
      </c>
      <c r="S15" s="191" t="s">
        <v>989</v>
      </c>
      <c r="T15" s="187" t="s">
        <v>347</v>
      </c>
      <c r="U15" s="192" t="s">
        <v>406</v>
      </c>
      <c r="V15" s="193" t="s">
        <v>415</v>
      </c>
      <c r="W15" s="192" t="s">
        <v>406</v>
      </c>
      <c r="X15" s="189" t="s">
        <v>408</v>
      </c>
      <c r="Y15" s="190">
        <v>0.5</v>
      </c>
      <c r="Z15" s="190">
        <v>6</v>
      </c>
      <c r="AA15" s="190">
        <v>7</v>
      </c>
      <c r="AB15" s="59">
        <f t="shared" si="10"/>
        <v>21</v>
      </c>
      <c r="AC15" s="59" t="str">
        <f t="shared" si="11"/>
        <v>OLASI RİSK</v>
      </c>
      <c r="AD15" s="187" t="s">
        <v>308</v>
      </c>
      <c r="AE15" s="187" t="s">
        <v>990</v>
      </c>
      <c r="AF15" s="187" t="s">
        <v>409</v>
      </c>
      <c r="AG15" s="190" t="s">
        <v>410</v>
      </c>
    </row>
    <row r="16" spans="1:33" ht="125.25" customHeight="1">
      <c r="A16" s="186">
        <v>3135</v>
      </c>
      <c r="B16" s="192">
        <v>45877</v>
      </c>
      <c r="C16" s="187" t="s">
        <v>126</v>
      </c>
      <c r="D16" s="187" t="s">
        <v>297</v>
      </c>
      <c r="E16" s="188" t="s">
        <v>137</v>
      </c>
      <c r="F16" s="187" t="s">
        <v>137</v>
      </c>
      <c r="G16" s="187" t="s">
        <v>984</v>
      </c>
      <c r="H16" s="187" t="s">
        <v>991</v>
      </c>
      <c r="I16" s="187" t="s">
        <v>992</v>
      </c>
      <c r="J16" s="187" t="s">
        <v>993</v>
      </c>
      <c r="K16" s="187" t="s">
        <v>402</v>
      </c>
      <c r="L16" s="189" t="s">
        <v>994</v>
      </c>
      <c r="M16" s="189" t="s">
        <v>404</v>
      </c>
      <c r="N16" s="190">
        <v>0.5</v>
      </c>
      <c r="O16" s="190">
        <v>1</v>
      </c>
      <c r="P16" s="190">
        <v>7</v>
      </c>
      <c r="Q16" s="59">
        <f t="shared" si="8"/>
        <v>3.5</v>
      </c>
      <c r="R16" s="59" t="str">
        <f t="shared" si="12"/>
        <v>DÜŞÜK RİSK</v>
      </c>
      <c r="S16" s="191" t="s">
        <v>989</v>
      </c>
      <c r="T16" s="187" t="s">
        <v>352</v>
      </c>
      <c r="U16" s="192" t="s">
        <v>406</v>
      </c>
      <c r="V16" s="193" t="s">
        <v>415</v>
      </c>
      <c r="W16" s="192" t="s">
        <v>406</v>
      </c>
      <c r="X16" s="189" t="s">
        <v>408</v>
      </c>
      <c r="Y16" s="190">
        <v>0.5</v>
      </c>
      <c r="Z16" s="190">
        <v>1</v>
      </c>
      <c r="AA16" s="190">
        <v>7</v>
      </c>
      <c r="AB16" s="59">
        <f t="shared" si="10"/>
        <v>3.5</v>
      </c>
      <c r="AC16" s="59" t="str">
        <f t="shared" si="11"/>
        <v>DÜŞÜK RİSK</v>
      </c>
      <c r="AD16" s="187" t="s">
        <v>307</v>
      </c>
      <c r="AE16" s="187" t="s">
        <v>990</v>
      </c>
      <c r="AF16" s="187" t="s">
        <v>942</v>
      </c>
      <c r="AG16" s="190" t="s">
        <v>995</v>
      </c>
    </row>
    <row r="17" spans="1:33" ht="125.25" customHeight="1">
      <c r="A17" s="186">
        <v>3136</v>
      </c>
      <c r="B17" s="192">
        <v>45877</v>
      </c>
      <c r="C17" s="187" t="s">
        <v>126</v>
      </c>
      <c r="D17" s="187" t="s">
        <v>297</v>
      </c>
      <c r="E17" s="188" t="s">
        <v>137</v>
      </c>
      <c r="F17" s="187" t="s">
        <v>137</v>
      </c>
      <c r="G17" s="187" t="s">
        <v>984</v>
      </c>
      <c r="H17" s="187" t="s">
        <v>996</v>
      </c>
      <c r="I17" s="187" t="s">
        <v>997</v>
      </c>
      <c r="J17" s="187" t="s">
        <v>998</v>
      </c>
      <c r="K17" s="187" t="s">
        <v>402</v>
      </c>
      <c r="L17" s="189" t="s">
        <v>999</v>
      </c>
      <c r="M17" s="189" t="s">
        <v>404</v>
      </c>
      <c r="N17" s="190">
        <v>1</v>
      </c>
      <c r="O17" s="190">
        <v>1</v>
      </c>
      <c r="P17" s="190">
        <v>7</v>
      </c>
      <c r="Q17" s="59">
        <f t="shared" si="8"/>
        <v>7</v>
      </c>
      <c r="R17" s="59" t="str">
        <f t="shared" si="12"/>
        <v>DÜŞÜK RİSK</v>
      </c>
      <c r="S17" s="191" t="s">
        <v>989</v>
      </c>
      <c r="T17" s="187" t="s">
        <v>308</v>
      </c>
      <c r="U17" s="192" t="s">
        <v>406</v>
      </c>
      <c r="V17" s="193" t="s">
        <v>415</v>
      </c>
      <c r="W17" s="192" t="s">
        <v>406</v>
      </c>
      <c r="X17" s="189" t="s">
        <v>408</v>
      </c>
      <c r="Y17" s="190">
        <v>1</v>
      </c>
      <c r="Z17" s="190">
        <v>1</v>
      </c>
      <c r="AA17" s="190">
        <v>7</v>
      </c>
      <c r="AB17" s="59">
        <f t="shared" si="10"/>
        <v>7</v>
      </c>
      <c r="AC17" s="59" t="str">
        <f t="shared" si="11"/>
        <v>DÜŞÜK RİSK</v>
      </c>
      <c r="AD17" s="187" t="s">
        <v>309</v>
      </c>
      <c r="AE17" s="187" t="s">
        <v>990</v>
      </c>
      <c r="AF17" s="187" t="s">
        <v>1000</v>
      </c>
      <c r="AG17" s="190" t="s">
        <v>995</v>
      </c>
    </row>
    <row r="18" spans="1:33" ht="125.25" customHeight="1">
      <c r="A18" s="186">
        <v>3137</v>
      </c>
      <c r="B18" s="192">
        <v>45877</v>
      </c>
      <c r="C18" s="187" t="s">
        <v>124</v>
      </c>
      <c r="D18" s="187" t="s">
        <v>304</v>
      </c>
      <c r="E18" s="188" t="s">
        <v>137</v>
      </c>
      <c r="F18" s="187" t="s">
        <v>137</v>
      </c>
      <c r="G18" s="187" t="s">
        <v>1060</v>
      </c>
      <c r="H18" s="187" t="s">
        <v>1061</v>
      </c>
      <c r="I18" s="187" t="s">
        <v>1062</v>
      </c>
      <c r="J18" s="187" t="s">
        <v>1063</v>
      </c>
      <c r="K18" s="187" t="s">
        <v>1064</v>
      </c>
      <c r="L18" s="189" t="s">
        <v>1065</v>
      </c>
      <c r="M18" s="189" t="s">
        <v>404</v>
      </c>
      <c r="N18" s="190">
        <v>1</v>
      </c>
      <c r="O18" s="190">
        <v>1</v>
      </c>
      <c r="P18" s="190">
        <v>40</v>
      </c>
      <c r="Q18" s="59">
        <f t="shared" si="8"/>
        <v>40</v>
      </c>
      <c r="R18" s="59" t="str">
        <f t="shared" si="12"/>
        <v>OLASI RİSK</v>
      </c>
      <c r="S18" s="191" t="s">
        <v>405</v>
      </c>
      <c r="T18" s="187" t="s">
        <v>351</v>
      </c>
      <c r="U18" s="192" t="s">
        <v>406</v>
      </c>
      <c r="V18" s="193" t="s">
        <v>453</v>
      </c>
      <c r="W18" s="192" t="s">
        <v>406</v>
      </c>
      <c r="X18" s="189" t="s">
        <v>408</v>
      </c>
      <c r="Y18" s="190">
        <v>1</v>
      </c>
      <c r="Z18" s="190">
        <v>1</v>
      </c>
      <c r="AA18" s="190">
        <v>7</v>
      </c>
      <c r="AB18" s="59">
        <f t="shared" si="10"/>
        <v>7</v>
      </c>
      <c r="AC18" s="59" t="str">
        <f t="shared" si="11"/>
        <v>DÜŞÜK RİSK</v>
      </c>
      <c r="AD18" s="187" t="s">
        <v>296</v>
      </c>
      <c r="AE18" s="187" t="s">
        <v>351</v>
      </c>
      <c r="AF18" s="187" t="s">
        <v>1059</v>
      </c>
      <c r="AG18" s="190" t="s">
        <v>644</v>
      </c>
    </row>
    <row r="19" spans="1:33" ht="125.25" customHeight="1">
      <c r="A19" s="186">
        <v>3138</v>
      </c>
      <c r="B19" s="192">
        <v>45877</v>
      </c>
      <c r="C19" s="187" t="s">
        <v>124</v>
      </c>
      <c r="D19" s="187" t="s">
        <v>304</v>
      </c>
      <c r="E19" s="188" t="s">
        <v>137</v>
      </c>
      <c r="F19" s="187" t="s">
        <v>137</v>
      </c>
      <c r="G19" s="187" t="s">
        <v>1066</v>
      </c>
      <c r="H19" s="187" t="s">
        <v>1067</v>
      </c>
      <c r="I19" s="187" t="s">
        <v>1068</v>
      </c>
      <c r="J19" s="187" t="s">
        <v>1069</v>
      </c>
      <c r="K19" s="187" t="s">
        <v>1064</v>
      </c>
      <c r="L19" s="189" t="s">
        <v>1112</v>
      </c>
      <c r="M19" s="189" t="s">
        <v>404</v>
      </c>
      <c r="N19" s="190">
        <v>1</v>
      </c>
      <c r="O19" s="190">
        <v>1</v>
      </c>
      <c r="P19" s="190">
        <v>40</v>
      </c>
      <c r="Q19" s="59">
        <f t="shared" si="8"/>
        <v>40</v>
      </c>
      <c r="R19" s="59" t="str">
        <f t="shared" si="12"/>
        <v>OLASI RİSK</v>
      </c>
      <c r="S19" s="191" t="s">
        <v>405</v>
      </c>
      <c r="T19" s="187" t="s">
        <v>351</v>
      </c>
      <c r="U19" s="192" t="s">
        <v>406</v>
      </c>
      <c r="V19" s="193" t="s">
        <v>453</v>
      </c>
      <c r="W19" s="192" t="s">
        <v>406</v>
      </c>
      <c r="X19" s="189" t="s">
        <v>408</v>
      </c>
      <c r="Y19" s="190">
        <v>1</v>
      </c>
      <c r="Z19" s="190">
        <v>1</v>
      </c>
      <c r="AA19" s="190">
        <v>7</v>
      </c>
      <c r="AB19" s="59">
        <f t="shared" si="10"/>
        <v>7</v>
      </c>
      <c r="AC19" s="59" t="str">
        <f t="shared" si="11"/>
        <v>DÜŞÜK RİSK</v>
      </c>
      <c r="AD19" s="187" t="s">
        <v>296</v>
      </c>
      <c r="AE19" s="187" t="s">
        <v>351</v>
      </c>
      <c r="AF19" s="187" t="s">
        <v>1059</v>
      </c>
      <c r="AG19" s="190" t="s">
        <v>644</v>
      </c>
    </row>
    <row r="20" spans="1:33" ht="125.25" customHeight="1">
      <c r="A20" s="186">
        <v>3139</v>
      </c>
      <c r="B20" s="192">
        <v>45877</v>
      </c>
      <c r="C20" s="187" t="s">
        <v>126</v>
      </c>
      <c r="D20" s="187" t="s">
        <v>297</v>
      </c>
      <c r="E20" s="188" t="s">
        <v>137</v>
      </c>
      <c r="F20" s="187" t="s">
        <v>137</v>
      </c>
      <c r="G20" s="187" t="s">
        <v>399</v>
      </c>
      <c r="H20" s="187" t="s">
        <v>400</v>
      </c>
      <c r="I20" s="187" t="s">
        <v>461</v>
      </c>
      <c r="J20" s="187" t="s">
        <v>401</v>
      </c>
      <c r="K20" s="187" t="s">
        <v>402</v>
      </c>
      <c r="L20" s="189" t="s">
        <v>403</v>
      </c>
      <c r="M20" s="189" t="s">
        <v>404</v>
      </c>
      <c r="N20" s="190">
        <v>1</v>
      </c>
      <c r="O20" s="190">
        <v>6</v>
      </c>
      <c r="P20" s="190">
        <v>3</v>
      </c>
      <c r="Q20" s="59">
        <f t="shared" si="8"/>
        <v>18</v>
      </c>
      <c r="R20" s="59" t="str">
        <f t="shared" si="12"/>
        <v>DÜŞÜK RİSK</v>
      </c>
      <c r="S20" s="191" t="s">
        <v>405</v>
      </c>
      <c r="T20" s="187" t="s">
        <v>347</v>
      </c>
      <c r="U20" s="192" t="s">
        <v>406</v>
      </c>
      <c r="V20" s="193" t="s">
        <v>407</v>
      </c>
      <c r="W20" s="192" t="s">
        <v>406</v>
      </c>
      <c r="X20" s="189" t="s">
        <v>408</v>
      </c>
      <c r="Y20" s="190">
        <v>1</v>
      </c>
      <c r="Z20" s="190">
        <v>1</v>
      </c>
      <c r="AA20" s="190">
        <v>3</v>
      </c>
      <c r="AB20" s="59">
        <f t="shared" si="10"/>
        <v>3</v>
      </c>
      <c r="AC20" s="59" t="str">
        <f t="shared" si="11"/>
        <v>DÜŞÜK RİSK</v>
      </c>
      <c r="AD20" s="187" t="s">
        <v>308</v>
      </c>
      <c r="AE20" s="187" t="s">
        <v>347</v>
      </c>
      <c r="AF20" s="187" t="s">
        <v>409</v>
      </c>
      <c r="AG20" s="190" t="s">
        <v>410</v>
      </c>
    </row>
    <row r="21" spans="1:33" ht="125.25" customHeight="1">
      <c r="A21" s="186">
        <v>3140</v>
      </c>
      <c r="B21" s="192">
        <v>45877</v>
      </c>
      <c r="C21" s="187" t="s">
        <v>126</v>
      </c>
      <c r="D21" s="187" t="s">
        <v>297</v>
      </c>
      <c r="E21" s="188" t="s">
        <v>137</v>
      </c>
      <c r="F21" s="187" t="s">
        <v>137</v>
      </c>
      <c r="G21" s="187" t="s">
        <v>399</v>
      </c>
      <c r="H21" s="187" t="s">
        <v>411</v>
      </c>
      <c r="I21" s="187" t="s">
        <v>412</v>
      </c>
      <c r="J21" s="187" t="s">
        <v>413</v>
      </c>
      <c r="K21" s="187" t="s">
        <v>402</v>
      </c>
      <c r="L21" s="189" t="s">
        <v>414</v>
      </c>
      <c r="M21" s="189" t="s">
        <v>404</v>
      </c>
      <c r="N21" s="190">
        <v>1</v>
      </c>
      <c r="O21" s="190">
        <v>3</v>
      </c>
      <c r="P21" s="190">
        <v>3</v>
      </c>
      <c r="Q21" s="59">
        <f t="shared" si="8"/>
        <v>9</v>
      </c>
      <c r="R21" s="59" t="str">
        <f t="shared" si="12"/>
        <v>DÜŞÜK RİSK</v>
      </c>
      <c r="S21" s="191" t="s">
        <v>405</v>
      </c>
      <c r="T21" s="187" t="s">
        <v>347</v>
      </c>
      <c r="U21" s="192" t="s">
        <v>406</v>
      </c>
      <c r="V21" s="193" t="s">
        <v>415</v>
      </c>
      <c r="W21" s="192">
        <v>45583</v>
      </c>
      <c r="X21" s="189" t="s">
        <v>408</v>
      </c>
      <c r="Y21" s="190">
        <v>1</v>
      </c>
      <c r="Z21" s="190">
        <v>1</v>
      </c>
      <c r="AA21" s="190">
        <v>3</v>
      </c>
      <c r="AB21" s="59">
        <f t="shared" si="10"/>
        <v>3</v>
      </c>
      <c r="AC21" s="59" t="str">
        <f t="shared" si="11"/>
        <v>DÜŞÜK RİSK</v>
      </c>
      <c r="AD21" s="187" t="s">
        <v>308</v>
      </c>
      <c r="AE21" s="187" t="s">
        <v>347</v>
      </c>
      <c r="AF21" s="187" t="s">
        <v>409</v>
      </c>
      <c r="AG21" s="190" t="s">
        <v>410</v>
      </c>
    </row>
    <row r="22" spans="1:33" ht="125.25" customHeight="1">
      <c r="A22" s="186">
        <v>3141</v>
      </c>
      <c r="B22" s="192">
        <v>45877</v>
      </c>
      <c r="C22" s="187" t="s">
        <v>126</v>
      </c>
      <c r="D22" s="187" t="s">
        <v>297</v>
      </c>
      <c r="E22" s="188" t="s">
        <v>137</v>
      </c>
      <c r="F22" s="187" t="s">
        <v>137</v>
      </c>
      <c r="G22" s="187" t="s">
        <v>399</v>
      </c>
      <c r="H22" s="187" t="s">
        <v>416</v>
      </c>
      <c r="I22" s="187" t="s">
        <v>417</v>
      </c>
      <c r="J22" s="187" t="s">
        <v>413</v>
      </c>
      <c r="K22" s="187" t="s">
        <v>402</v>
      </c>
      <c r="L22" s="189" t="s">
        <v>418</v>
      </c>
      <c r="M22" s="189" t="s">
        <v>404</v>
      </c>
      <c r="N22" s="190">
        <v>3</v>
      </c>
      <c r="O22" s="190">
        <v>3</v>
      </c>
      <c r="P22" s="190">
        <v>3</v>
      </c>
      <c r="Q22" s="59">
        <f t="shared" si="8"/>
        <v>27</v>
      </c>
      <c r="R22" s="59" t="str">
        <f t="shared" si="12"/>
        <v>OLASI RİSK</v>
      </c>
      <c r="S22" s="191" t="s">
        <v>405</v>
      </c>
      <c r="T22" s="187" t="s">
        <v>348</v>
      </c>
      <c r="U22" s="192" t="s">
        <v>406</v>
      </c>
      <c r="V22" s="193" t="s">
        <v>419</v>
      </c>
      <c r="W22" s="192" t="s">
        <v>406</v>
      </c>
      <c r="X22" s="189" t="s">
        <v>408</v>
      </c>
      <c r="Y22" s="190">
        <v>1</v>
      </c>
      <c r="Z22" s="190">
        <v>1</v>
      </c>
      <c r="AA22" s="190">
        <v>3</v>
      </c>
      <c r="AB22" s="59">
        <f t="shared" si="10"/>
        <v>3</v>
      </c>
      <c r="AC22" s="59" t="str">
        <f t="shared" si="11"/>
        <v>DÜŞÜK RİSK</v>
      </c>
      <c r="AD22" s="187" t="s">
        <v>307</v>
      </c>
      <c r="AE22" s="187" t="s">
        <v>348</v>
      </c>
      <c r="AF22" s="187" t="s">
        <v>420</v>
      </c>
      <c r="AG22" s="190" t="s">
        <v>410</v>
      </c>
    </row>
    <row r="23" spans="1:33" ht="125.25" customHeight="1">
      <c r="A23" s="186">
        <v>3142</v>
      </c>
      <c r="B23" s="192">
        <v>45877</v>
      </c>
      <c r="C23" s="187" t="s">
        <v>126</v>
      </c>
      <c r="D23" s="187" t="s">
        <v>297</v>
      </c>
      <c r="E23" s="188" t="s">
        <v>137</v>
      </c>
      <c r="F23" s="187" t="s">
        <v>137</v>
      </c>
      <c r="G23" s="187" t="s">
        <v>399</v>
      </c>
      <c r="H23" s="187" t="s">
        <v>421</v>
      </c>
      <c r="I23" s="187" t="s">
        <v>422</v>
      </c>
      <c r="J23" s="187" t="s">
        <v>423</v>
      </c>
      <c r="K23" s="187" t="s">
        <v>462</v>
      </c>
      <c r="L23" s="189" t="s">
        <v>424</v>
      </c>
      <c r="M23" s="189" t="s">
        <v>404</v>
      </c>
      <c r="N23" s="190">
        <v>1</v>
      </c>
      <c r="O23" s="190">
        <v>6</v>
      </c>
      <c r="P23" s="190">
        <v>7</v>
      </c>
      <c r="Q23" s="59">
        <f t="shared" si="8"/>
        <v>42</v>
      </c>
      <c r="R23" s="59" t="str">
        <f t="shared" si="12"/>
        <v>OLASI RİSK</v>
      </c>
      <c r="S23" s="191" t="s">
        <v>405</v>
      </c>
      <c r="T23" s="187" t="s">
        <v>347</v>
      </c>
      <c r="U23" s="192" t="s">
        <v>406</v>
      </c>
      <c r="V23" s="193" t="s">
        <v>415</v>
      </c>
      <c r="W23" s="192" t="s">
        <v>406</v>
      </c>
      <c r="X23" s="189" t="s">
        <v>408</v>
      </c>
      <c r="Y23" s="190">
        <v>1</v>
      </c>
      <c r="Z23" s="190">
        <v>3</v>
      </c>
      <c r="AA23" s="190">
        <v>3</v>
      </c>
      <c r="AB23" s="59">
        <f t="shared" si="10"/>
        <v>9</v>
      </c>
      <c r="AC23" s="59" t="str">
        <f t="shared" si="11"/>
        <v>DÜŞÜK RİSK</v>
      </c>
      <c r="AD23" s="187" t="s">
        <v>308</v>
      </c>
      <c r="AE23" s="187" t="s">
        <v>347</v>
      </c>
      <c r="AF23" s="187" t="s">
        <v>409</v>
      </c>
      <c r="AG23" s="190" t="s">
        <v>410</v>
      </c>
    </row>
    <row r="24" spans="1:33" ht="125.25" customHeight="1">
      <c r="A24" s="186">
        <v>3143</v>
      </c>
      <c r="B24" s="192">
        <v>45877</v>
      </c>
      <c r="C24" s="187" t="s">
        <v>126</v>
      </c>
      <c r="D24" s="187" t="s">
        <v>297</v>
      </c>
      <c r="E24" s="188" t="s">
        <v>137</v>
      </c>
      <c r="F24" s="187" t="s">
        <v>137</v>
      </c>
      <c r="G24" s="187" t="s">
        <v>425</v>
      </c>
      <c r="H24" s="187" t="s">
        <v>426</v>
      </c>
      <c r="I24" s="187" t="s">
        <v>427</v>
      </c>
      <c r="J24" s="187" t="s">
        <v>401</v>
      </c>
      <c r="K24" s="187" t="s">
        <v>926</v>
      </c>
      <c r="L24" s="189" t="s">
        <v>429</v>
      </c>
      <c r="M24" s="189" t="s">
        <v>404</v>
      </c>
      <c r="N24" s="190">
        <v>3</v>
      </c>
      <c r="O24" s="190">
        <v>6</v>
      </c>
      <c r="P24" s="190">
        <v>3</v>
      </c>
      <c r="Q24" s="59">
        <f t="shared" si="8"/>
        <v>54</v>
      </c>
      <c r="R24" s="59" t="str">
        <f t="shared" si="12"/>
        <v>OLASI RİSK</v>
      </c>
      <c r="S24" s="191" t="s">
        <v>405</v>
      </c>
      <c r="T24" s="187" t="s">
        <v>358</v>
      </c>
      <c r="U24" s="192" t="s">
        <v>430</v>
      </c>
      <c r="V24" s="193" t="s">
        <v>415</v>
      </c>
      <c r="W24" s="192">
        <v>45591</v>
      </c>
      <c r="X24" s="189" t="s">
        <v>408</v>
      </c>
      <c r="Y24" s="190">
        <v>1</v>
      </c>
      <c r="Z24" s="190">
        <v>3</v>
      </c>
      <c r="AA24" s="190">
        <v>3</v>
      </c>
      <c r="AB24" s="59">
        <f t="shared" si="10"/>
        <v>9</v>
      </c>
      <c r="AC24" s="59" t="str">
        <f t="shared" si="11"/>
        <v>DÜŞÜK RİSK</v>
      </c>
      <c r="AD24" s="187" t="s">
        <v>308</v>
      </c>
      <c r="AE24" s="187" t="s">
        <v>358</v>
      </c>
      <c r="AF24" s="187" t="s">
        <v>409</v>
      </c>
      <c r="AG24" s="190" t="s">
        <v>431</v>
      </c>
    </row>
    <row r="25" spans="1:33" ht="125.25" customHeight="1">
      <c r="A25" s="186">
        <v>3144</v>
      </c>
      <c r="B25" s="192">
        <v>45877</v>
      </c>
      <c r="C25" s="187" t="s">
        <v>126</v>
      </c>
      <c r="D25" s="187" t="s">
        <v>297</v>
      </c>
      <c r="E25" s="188" t="s">
        <v>137</v>
      </c>
      <c r="F25" s="187" t="s">
        <v>137</v>
      </c>
      <c r="G25" s="187" t="s">
        <v>432</v>
      </c>
      <c r="H25" s="187" t="s">
        <v>433</v>
      </c>
      <c r="I25" s="187" t="s">
        <v>434</v>
      </c>
      <c r="J25" s="187" t="s">
        <v>435</v>
      </c>
      <c r="K25" s="187" t="s">
        <v>926</v>
      </c>
      <c r="L25" s="189" t="s">
        <v>1113</v>
      </c>
      <c r="M25" s="189" t="s">
        <v>404</v>
      </c>
      <c r="N25" s="190">
        <v>1</v>
      </c>
      <c r="O25" s="190">
        <v>3</v>
      </c>
      <c r="P25" s="190">
        <v>1</v>
      </c>
      <c r="Q25" s="59">
        <f t="shared" si="8"/>
        <v>3</v>
      </c>
      <c r="R25" s="59" t="str">
        <f t="shared" si="12"/>
        <v>DÜŞÜK RİSK</v>
      </c>
      <c r="S25" s="191" t="s">
        <v>405</v>
      </c>
      <c r="T25" s="187" t="s">
        <v>347</v>
      </c>
      <c r="U25" s="192" t="s">
        <v>406</v>
      </c>
      <c r="V25" s="193" t="s">
        <v>415</v>
      </c>
      <c r="W25" s="192" t="s">
        <v>406</v>
      </c>
      <c r="X25" s="189" t="s">
        <v>408</v>
      </c>
      <c r="Y25" s="190">
        <v>1</v>
      </c>
      <c r="Z25" s="190">
        <v>3</v>
      </c>
      <c r="AA25" s="190">
        <v>1</v>
      </c>
      <c r="AB25" s="59">
        <f t="shared" si="10"/>
        <v>3</v>
      </c>
      <c r="AC25" s="59" t="str">
        <f t="shared" si="11"/>
        <v>DÜŞÜK RİSK</v>
      </c>
      <c r="AD25" s="187" t="s">
        <v>308</v>
      </c>
      <c r="AE25" s="187" t="s">
        <v>347</v>
      </c>
      <c r="AF25" s="187" t="s">
        <v>409</v>
      </c>
      <c r="AG25" s="190" t="s">
        <v>410</v>
      </c>
    </row>
    <row r="26" spans="1:33" ht="125.25" customHeight="1">
      <c r="A26" s="186">
        <v>3145</v>
      </c>
      <c r="B26" s="192">
        <v>45877</v>
      </c>
      <c r="C26" s="187" t="s">
        <v>126</v>
      </c>
      <c r="D26" s="187" t="s">
        <v>297</v>
      </c>
      <c r="E26" s="188" t="s">
        <v>137</v>
      </c>
      <c r="F26" s="187" t="s">
        <v>137</v>
      </c>
      <c r="G26" s="187" t="s">
        <v>436</v>
      </c>
      <c r="H26" s="187" t="s">
        <v>437</v>
      </c>
      <c r="I26" s="187" t="s">
        <v>927</v>
      </c>
      <c r="J26" s="187" t="s">
        <v>435</v>
      </c>
      <c r="K26" s="187" t="s">
        <v>926</v>
      </c>
      <c r="L26" s="189" t="s">
        <v>438</v>
      </c>
      <c r="M26" s="189" t="s">
        <v>404</v>
      </c>
      <c r="N26" s="190">
        <v>0.5</v>
      </c>
      <c r="O26" s="190">
        <v>1</v>
      </c>
      <c r="P26" s="190">
        <v>3</v>
      </c>
      <c r="Q26" s="59">
        <f t="shared" si="8"/>
        <v>1.5</v>
      </c>
      <c r="R26" s="59" t="str">
        <f t="shared" si="12"/>
        <v>DÜŞÜK RİSK</v>
      </c>
      <c r="S26" s="191" t="s">
        <v>405</v>
      </c>
      <c r="T26" s="187" t="s">
        <v>347</v>
      </c>
      <c r="U26" s="192" t="s">
        <v>406</v>
      </c>
      <c r="V26" s="193" t="s">
        <v>415</v>
      </c>
      <c r="W26" s="192" t="s">
        <v>406</v>
      </c>
      <c r="X26" s="189" t="s">
        <v>408</v>
      </c>
      <c r="Y26" s="190">
        <v>0.5</v>
      </c>
      <c r="Z26" s="190">
        <v>1</v>
      </c>
      <c r="AA26" s="190">
        <v>3</v>
      </c>
      <c r="AB26" s="59">
        <f t="shared" si="10"/>
        <v>1.5</v>
      </c>
      <c r="AC26" s="59" t="str">
        <f t="shared" si="11"/>
        <v>DÜŞÜK RİSK</v>
      </c>
      <c r="AD26" s="187" t="s">
        <v>308</v>
      </c>
      <c r="AE26" s="187" t="s">
        <v>347</v>
      </c>
      <c r="AF26" s="187" t="s">
        <v>409</v>
      </c>
      <c r="AG26" s="190" t="s">
        <v>410</v>
      </c>
    </row>
    <row r="27" spans="1:33" ht="125.25" customHeight="1">
      <c r="A27" s="186">
        <v>3146</v>
      </c>
      <c r="B27" s="192">
        <v>45877</v>
      </c>
      <c r="C27" s="187" t="s">
        <v>126</v>
      </c>
      <c r="D27" s="187" t="s">
        <v>297</v>
      </c>
      <c r="E27" s="188" t="s">
        <v>137</v>
      </c>
      <c r="F27" s="187" t="s">
        <v>137</v>
      </c>
      <c r="G27" s="187" t="s">
        <v>439</v>
      </c>
      <c r="H27" s="187" t="s">
        <v>440</v>
      </c>
      <c r="I27" s="187" t="s">
        <v>441</v>
      </c>
      <c r="J27" s="187" t="s">
        <v>442</v>
      </c>
      <c r="K27" s="187" t="s">
        <v>382</v>
      </c>
      <c r="L27" s="189" t="s">
        <v>443</v>
      </c>
      <c r="M27" s="189" t="s">
        <v>404</v>
      </c>
      <c r="N27" s="190">
        <v>0.5</v>
      </c>
      <c r="O27" s="190">
        <v>0.5</v>
      </c>
      <c r="P27" s="190">
        <v>7</v>
      </c>
      <c r="Q27" s="59">
        <f t="shared" ref="Q27:Q89" si="13">IF(OR(ISBLANK(N27)=TRUE,ISBLANK(O27)=TRUE,ISBLANK(P27)=TRUE),"",PRODUCT(N27,O27,P27))</f>
        <v>1.75</v>
      </c>
      <c r="R27" s="59" t="str">
        <f t="shared" si="12"/>
        <v>DÜŞÜK RİSK</v>
      </c>
      <c r="S27" s="191" t="s">
        <v>405</v>
      </c>
      <c r="T27" s="187" t="s">
        <v>126</v>
      </c>
      <c r="U27" s="192" t="s">
        <v>406</v>
      </c>
      <c r="V27" s="193" t="s">
        <v>415</v>
      </c>
      <c r="W27" s="192" t="s">
        <v>406</v>
      </c>
      <c r="X27" s="189" t="s">
        <v>408</v>
      </c>
      <c r="Y27" s="190">
        <v>0.5</v>
      </c>
      <c r="Z27" s="190">
        <v>0.5</v>
      </c>
      <c r="AA27" s="190">
        <v>7</v>
      </c>
      <c r="AB27" s="59">
        <f t="shared" si="10"/>
        <v>1.75</v>
      </c>
      <c r="AC27" s="59" t="str">
        <f t="shared" si="11"/>
        <v>DÜŞÜK RİSK</v>
      </c>
      <c r="AD27" s="187" t="s">
        <v>308</v>
      </c>
      <c r="AE27" s="187" t="s">
        <v>126</v>
      </c>
      <c r="AF27" s="187" t="s">
        <v>409</v>
      </c>
      <c r="AG27" s="190" t="s">
        <v>444</v>
      </c>
    </row>
    <row r="28" spans="1:33" ht="125.25" customHeight="1">
      <c r="A28" s="186">
        <v>3147</v>
      </c>
      <c r="B28" s="192">
        <v>45877</v>
      </c>
      <c r="C28" s="187" t="s">
        <v>126</v>
      </c>
      <c r="D28" s="187" t="s">
        <v>297</v>
      </c>
      <c r="E28" s="188" t="s">
        <v>137</v>
      </c>
      <c r="F28" s="187" t="s">
        <v>137</v>
      </c>
      <c r="G28" s="187" t="s">
        <v>436</v>
      </c>
      <c r="H28" s="187" t="s">
        <v>445</v>
      </c>
      <c r="I28" s="187" t="s">
        <v>446</v>
      </c>
      <c r="J28" s="187" t="s">
        <v>423</v>
      </c>
      <c r="K28" s="187" t="s">
        <v>926</v>
      </c>
      <c r="L28" s="189" t="s">
        <v>447</v>
      </c>
      <c r="M28" s="189" t="s">
        <v>404</v>
      </c>
      <c r="N28" s="190">
        <v>0.5</v>
      </c>
      <c r="O28" s="190">
        <v>0.5</v>
      </c>
      <c r="P28" s="190">
        <v>3</v>
      </c>
      <c r="Q28" s="59">
        <f t="shared" si="13"/>
        <v>0.75</v>
      </c>
      <c r="R28" s="59" t="str">
        <f t="shared" si="12"/>
        <v>DÜŞÜK RİSK</v>
      </c>
      <c r="S28" s="191" t="s">
        <v>405</v>
      </c>
      <c r="T28" s="187" t="s">
        <v>347</v>
      </c>
      <c r="U28" s="192" t="s">
        <v>406</v>
      </c>
      <c r="V28" s="193" t="s">
        <v>415</v>
      </c>
      <c r="W28" s="192" t="s">
        <v>406</v>
      </c>
      <c r="X28" s="189" t="s">
        <v>408</v>
      </c>
      <c r="Y28" s="190">
        <v>0.5</v>
      </c>
      <c r="Z28" s="190">
        <v>0.5</v>
      </c>
      <c r="AA28" s="190">
        <v>3</v>
      </c>
      <c r="AB28" s="59">
        <f t="shared" si="10"/>
        <v>0.75</v>
      </c>
      <c r="AC28" s="59" t="str">
        <f t="shared" si="11"/>
        <v>DÜŞÜK RİSK</v>
      </c>
      <c r="AD28" s="187" t="s">
        <v>308</v>
      </c>
      <c r="AE28" s="187" t="s">
        <v>347</v>
      </c>
      <c r="AF28" s="187" t="s">
        <v>409</v>
      </c>
      <c r="AG28" s="190" t="s">
        <v>410</v>
      </c>
    </row>
    <row r="29" spans="1:33" ht="125.25" customHeight="1">
      <c r="A29" s="186">
        <v>3148</v>
      </c>
      <c r="B29" s="192">
        <v>45877</v>
      </c>
      <c r="C29" s="187" t="s">
        <v>126</v>
      </c>
      <c r="D29" s="187" t="s">
        <v>297</v>
      </c>
      <c r="E29" s="188" t="s">
        <v>137</v>
      </c>
      <c r="F29" s="187" t="s">
        <v>137</v>
      </c>
      <c r="G29" s="187" t="s">
        <v>984</v>
      </c>
      <c r="H29" s="187" t="s">
        <v>985</v>
      </c>
      <c r="I29" s="187" t="s">
        <v>986</v>
      </c>
      <c r="J29" s="187" t="s">
        <v>987</v>
      </c>
      <c r="K29" s="187" t="s">
        <v>402</v>
      </c>
      <c r="L29" s="189" t="s">
        <v>988</v>
      </c>
      <c r="M29" s="189" t="s">
        <v>404</v>
      </c>
      <c r="N29" s="190">
        <v>0.5</v>
      </c>
      <c r="O29" s="190">
        <v>6</v>
      </c>
      <c r="P29" s="190">
        <v>7</v>
      </c>
      <c r="Q29" s="59">
        <f t="shared" si="13"/>
        <v>21</v>
      </c>
      <c r="R29" s="59" t="str">
        <f t="shared" si="12"/>
        <v>OLASI RİSK</v>
      </c>
      <c r="S29" s="191" t="s">
        <v>989</v>
      </c>
      <c r="T29" s="187" t="s">
        <v>347</v>
      </c>
      <c r="U29" s="192" t="s">
        <v>406</v>
      </c>
      <c r="V29" s="193" t="s">
        <v>415</v>
      </c>
      <c r="W29" s="192" t="s">
        <v>406</v>
      </c>
      <c r="X29" s="189" t="s">
        <v>408</v>
      </c>
      <c r="Y29" s="190">
        <v>0.5</v>
      </c>
      <c r="Z29" s="190">
        <v>6</v>
      </c>
      <c r="AA29" s="190">
        <v>7</v>
      </c>
      <c r="AB29" s="59">
        <f t="shared" si="10"/>
        <v>21</v>
      </c>
      <c r="AC29" s="59" t="str">
        <f t="shared" si="11"/>
        <v>OLASI RİSK</v>
      </c>
      <c r="AD29" s="187" t="s">
        <v>308</v>
      </c>
      <c r="AE29" s="187" t="s">
        <v>990</v>
      </c>
      <c r="AF29" s="187" t="s">
        <v>409</v>
      </c>
      <c r="AG29" s="190" t="s">
        <v>410</v>
      </c>
    </row>
    <row r="30" spans="1:33" ht="125.25" customHeight="1">
      <c r="A30" s="186">
        <v>3149</v>
      </c>
      <c r="B30" s="192">
        <v>45877</v>
      </c>
      <c r="C30" s="187" t="s">
        <v>126</v>
      </c>
      <c r="D30" s="187" t="s">
        <v>297</v>
      </c>
      <c r="E30" s="188" t="s">
        <v>137</v>
      </c>
      <c r="F30" s="187" t="s">
        <v>137</v>
      </c>
      <c r="G30" s="187" t="s">
        <v>984</v>
      </c>
      <c r="H30" s="187" t="s">
        <v>991</v>
      </c>
      <c r="I30" s="187" t="s">
        <v>992</v>
      </c>
      <c r="J30" s="187" t="s">
        <v>993</v>
      </c>
      <c r="K30" s="187" t="s">
        <v>402</v>
      </c>
      <c r="L30" s="189" t="s">
        <v>994</v>
      </c>
      <c r="M30" s="189" t="s">
        <v>404</v>
      </c>
      <c r="N30" s="190">
        <v>0.5</v>
      </c>
      <c r="O30" s="190">
        <v>1</v>
      </c>
      <c r="P30" s="190">
        <v>7</v>
      </c>
      <c r="Q30" s="59">
        <f t="shared" si="13"/>
        <v>3.5</v>
      </c>
      <c r="R30" s="59" t="str">
        <f t="shared" si="12"/>
        <v>DÜŞÜK RİSK</v>
      </c>
      <c r="S30" s="191" t="s">
        <v>989</v>
      </c>
      <c r="T30" s="187" t="s">
        <v>352</v>
      </c>
      <c r="U30" s="192" t="s">
        <v>406</v>
      </c>
      <c r="V30" s="193" t="s">
        <v>415</v>
      </c>
      <c r="W30" s="192" t="s">
        <v>406</v>
      </c>
      <c r="X30" s="189" t="s">
        <v>408</v>
      </c>
      <c r="Y30" s="190">
        <v>0.5</v>
      </c>
      <c r="Z30" s="190">
        <v>1</v>
      </c>
      <c r="AA30" s="190">
        <v>7</v>
      </c>
      <c r="AB30" s="59">
        <f t="shared" si="10"/>
        <v>3.5</v>
      </c>
      <c r="AC30" s="59" t="str">
        <f t="shared" si="11"/>
        <v>DÜŞÜK RİSK</v>
      </c>
      <c r="AD30" s="187" t="s">
        <v>307</v>
      </c>
      <c r="AE30" s="187" t="s">
        <v>990</v>
      </c>
      <c r="AF30" s="187" t="s">
        <v>942</v>
      </c>
      <c r="AG30" s="190" t="s">
        <v>995</v>
      </c>
    </row>
    <row r="31" spans="1:33" ht="125.25" customHeight="1">
      <c r="A31" s="186">
        <v>3150</v>
      </c>
      <c r="B31" s="192">
        <v>45877</v>
      </c>
      <c r="C31" s="187" t="s">
        <v>126</v>
      </c>
      <c r="D31" s="187" t="s">
        <v>297</v>
      </c>
      <c r="E31" s="188" t="s">
        <v>137</v>
      </c>
      <c r="F31" s="187" t="s">
        <v>137</v>
      </c>
      <c r="G31" s="187" t="s">
        <v>984</v>
      </c>
      <c r="H31" s="187" t="s">
        <v>996</v>
      </c>
      <c r="I31" s="187" t="s">
        <v>997</v>
      </c>
      <c r="J31" s="187" t="s">
        <v>998</v>
      </c>
      <c r="K31" s="187" t="s">
        <v>402</v>
      </c>
      <c r="L31" s="189" t="s">
        <v>999</v>
      </c>
      <c r="M31" s="189" t="s">
        <v>404</v>
      </c>
      <c r="N31" s="190">
        <v>1</v>
      </c>
      <c r="O31" s="190">
        <v>1</v>
      </c>
      <c r="P31" s="190">
        <v>7</v>
      </c>
      <c r="Q31" s="59">
        <f t="shared" si="13"/>
        <v>7</v>
      </c>
      <c r="R31" s="59" t="str">
        <f t="shared" si="12"/>
        <v>DÜŞÜK RİSK</v>
      </c>
      <c r="S31" s="191" t="s">
        <v>989</v>
      </c>
      <c r="T31" s="187" t="s">
        <v>308</v>
      </c>
      <c r="U31" s="192" t="s">
        <v>406</v>
      </c>
      <c r="V31" s="193" t="s">
        <v>415</v>
      </c>
      <c r="W31" s="192" t="s">
        <v>406</v>
      </c>
      <c r="X31" s="189" t="s">
        <v>408</v>
      </c>
      <c r="Y31" s="190">
        <v>1</v>
      </c>
      <c r="Z31" s="190">
        <v>1</v>
      </c>
      <c r="AA31" s="190">
        <v>7</v>
      </c>
      <c r="AB31" s="59">
        <f t="shared" si="10"/>
        <v>7</v>
      </c>
      <c r="AC31" s="59" t="str">
        <f t="shared" si="11"/>
        <v>DÜŞÜK RİSK</v>
      </c>
      <c r="AD31" s="187" t="s">
        <v>309</v>
      </c>
      <c r="AE31" s="187" t="s">
        <v>990</v>
      </c>
      <c r="AF31" s="187" t="s">
        <v>1000</v>
      </c>
      <c r="AG31" s="190" t="s">
        <v>995</v>
      </c>
    </row>
    <row r="32" spans="1:33" ht="125.25" customHeight="1">
      <c r="A32" s="186">
        <v>3151</v>
      </c>
      <c r="B32" s="192">
        <v>45877</v>
      </c>
      <c r="C32" s="187" t="s">
        <v>126</v>
      </c>
      <c r="D32" s="187" t="s">
        <v>297</v>
      </c>
      <c r="E32" s="188" t="s">
        <v>137</v>
      </c>
      <c r="F32" s="187" t="s">
        <v>137</v>
      </c>
      <c r="G32" s="187" t="s">
        <v>399</v>
      </c>
      <c r="H32" s="187" t="s">
        <v>1001</v>
      </c>
      <c r="I32" s="187" t="s">
        <v>1002</v>
      </c>
      <c r="J32" s="187" t="s">
        <v>1003</v>
      </c>
      <c r="K32" s="187" t="s">
        <v>1004</v>
      </c>
      <c r="L32" s="189" t="s">
        <v>1005</v>
      </c>
      <c r="M32" s="189" t="s">
        <v>404</v>
      </c>
      <c r="N32" s="190">
        <v>1</v>
      </c>
      <c r="O32" s="190">
        <v>2</v>
      </c>
      <c r="P32" s="190">
        <v>15</v>
      </c>
      <c r="Q32" s="59">
        <f t="shared" si="13"/>
        <v>30</v>
      </c>
      <c r="R32" s="59" t="str">
        <f t="shared" si="12"/>
        <v>OLASI RİSK</v>
      </c>
      <c r="S32" s="189" t="s">
        <v>929</v>
      </c>
      <c r="T32" s="187" t="s">
        <v>352</v>
      </c>
      <c r="U32" s="192" t="s">
        <v>406</v>
      </c>
      <c r="V32" s="193" t="s">
        <v>453</v>
      </c>
      <c r="W32" s="192" t="s">
        <v>406</v>
      </c>
      <c r="X32" s="189" t="s">
        <v>408</v>
      </c>
      <c r="Y32" s="190">
        <v>1</v>
      </c>
      <c r="Z32" s="190">
        <v>2</v>
      </c>
      <c r="AA32" s="190">
        <v>15</v>
      </c>
      <c r="AB32" s="59">
        <f t="shared" si="10"/>
        <v>30</v>
      </c>
      <c r="AC32" s="59" t="str">
        <f t="shared" si="11"/>
        <v>OLASI RİSK</v>
      </c>
      <c r="AD32" s="187" t="s">
        <v>309</v>
      </c>
      <c r="AE32" s="187" t="s">
        <v>1006</v>
      </c>
      <c r="AF32" s="187" t="s">
        <v>1007</v>
      </c>
      <c r="AG32" s="189" t="s">
        <v>1109</v>
      </c>
    </row>
    <row r="33" spans="1:33" ht="125.25" customHeight="1">
      <c r="A33" s="186">
        <v>3152</v>
      </c>
      <c r="B33" s="192">
        <v>45877</v>
      </c>
      <c r="C33" s="187" t="s">
        <v>126</v>
      </c>
      <c r="D33" s="187" t="s">
        <v>297</v>
      </c>
      <c r="E33" s="188" t="s">
        <v>137</v>
      </c>
      <c r="F33" s="187" t="s">
        <v>137</v>
      </c>
      <c r="G33" s="187" t="s">
        <v>455</v>
      </c>
      <c r="H33" s="187" t="s">
        <v>1008</v>
      </c>
      <c r="I33" s="187" t="s">
        <v>1009</v>
      </c>
      <c r="J33" s="187" t="s">
        <v>457</v>
      </c>
      <c r="K33" s="187" t="s">
        <v>1010</v>
      </c>
      <c r="L33" s="189" t="s">
        <v>1011</v>
      </c>
      <c r="M33" s="189" t="s">
        <v>645</v>
      </c>
      <c r="N33" s="190">
        <v>1</v>
      </c>
      <c r="O33" s="190">
        <v>6</v>
      </c>
      <c r="P33" s="190">
        <v>1</v>
      </c>
      <c r="Q33" s="59">
        <f t="shared" si="13"/>
        <v>6</v>
      </c>
      <c r="R33" s="59" t="str">
        <f t="shared" si="12"/>
        <v>DÜŞÜK RİSK</v>
      </c>
      <c r="S33" s="189" t="s">
        <v>989</v>
      </c>
      <c r="T33" s="187" t="s">
        <v>352</v>
      </c>
      <c r="U33" s="192" t="s">
        <v>406</v>
      </c>
      <c r="V33" s="193" t="s">
        <v>453</v>
      </c>
      <c r="W33" s="192" t="s">
        <v>406</v>
      </c>
      <c r="X33" s="189" t="s">
        <v>408</v>
      </c>
      <c r="Y33" s="190">
        <v>1</v>
      </c>
      <c r="Z33" s="190">
        <v>6</v>
      </c>
      <c r="AA33" s="190">
        <v>1</v>
      </c>
      <c r="AB33" s="59">
        <f t="shared" si="10"/>
        <v>6</v>
      </c>
      <c r="AC33" s="59" t="str">
        <f t="shared" si="11"/>
        <v>DÜŞÜK RİSK</v>
      </c>
      <c r="AD33" s="187" t="s">
        <v>309</v>
      </c>
      <c r="AE33" s="187" t="s">
        <v>1006</v>
      </c>
      <c r="AF33" s="187" t="s">
        <v>1007</v>
      </c>
      <c r="AG33" s="190" t="s">
        <v>1110</v>
      </c>
    </row>
    <row r="34" spans="1:33" ht="125.25" customHeight="1">
      <c r="A34" s="186">
        <v>3153</v>
      </c>
      <c r="B34" s="192">
        <v>45877</v>
      </c>
      <c r="C34" s="187" t="s">
        <v>126</v>
      </c>
      <c r="D34" s="187" t="s">
        <v>297</v>
      </c>
      <c r="E34" s="188" t="s">
        <v>137</v>
      </c>
      <c r="F34" s="187" t="s">
        <v>137</v>
      </c>
      <c r="G34" s="187" t="s">
        <v>399</v>
      </c>
      <c r="H34" s="187" t="s">
        <v>1012</v>
      </c>
      <c r="I34" s="187" t="s">
        <v>1013</v>
      </c>
      <c r="J34" s="187" t="s">
        <v>1014</v>
      </c>
      <c r="K34" s="187" t="s">
        <v>1015</v>
      </c>
      <c r="L34" s="189" t="s">
        <v>1016</v>
      </c>
      <c r="M34" s="189" t="s">
        <v>404</v>
      </c>
      <c r="N34" s="190">
        <v>0.5</v>
      </c>
      <c r="O34" s="190">
        <v>1</v>
      </c>
      <c r="P34" s="190">
        <v>3</v>
      </c>
      <c r="Q34" s="59">
        <f t="shared" si="13"/>
        <v>1.5</v>
      </c>
      <c r="R34" s="59" t="str">
        <f t="shared" si="12"/>
        <v>DÜŞÜK RİSK</v>
      </c>
      <c r="S34" s="189" t="s">
        <v>929</v>
      </c>
      <c r="T34" s="189" t="s">
        <v>351</v>
      </c>
      <c r="U34" s="192"/>
      <c r="V34" s="193" t="s">
        <v>453</v>
      </c>
      <c r="W34" s="192" t="s">
        <v>406</v>
      </c>
      <c r="X34" s="189" t="s">
        <v>408</v>
      </c>
      <c r="Y34" s="190">
        <v>0.5</v>
      </c>
      <c r="Z34" s="190">
        <v>1</v>
      </c>
      <c r="AA34" s="190">
        <v>3</v>
      </c>
      <c r="AB34" s="59">
        <f t="shared" si="10"/>
        <v>1.5</v>
      </c>
      <c r="AC34" s="59" t="str">
        <f t="shared" si="11"/>
        <v>DÜŞÜK RİSK</v>
      </c>
      <c r="AD34" s="187" t="s">
        <v>308</v>
      </c>
      <c r="AE34" s="189" t="s">
        <v>351</v>
      </c>
      <c r="AF34" s="187" t="s">
        <v>1007</v>
      </c>
      <c r="AG34" s="190" t="s">
        <v>456</v>
      </c>
    </row>
    <row r="35" spans="1:33" ht="125.25" customHeight="1">
      <c r="A35" s="186">
        <v>3154</v>
      </c>
      <c r="B35" s="192">
        <v>45877</v>
      </c>
      <c r="C35" s="187" t="s">
        <v>126</v>
      </c>
      <c r="D35" s="187" t="s">
        <v>297</v>
      </c>
      <c r="E35" s="188" t="s">
        <v>137</v>
      </c>
      <c r="F35" s="187" t="s">
        <v>137</v>
      </c>
      <c r="G35" s="187" t="s">
        <v>448</v>
      </c>
      <c r="H35" s="187" t="s">
        <v>449</v>
      </c>
      <c r="I35" s="187" t="s">
        <v>450</v>
      </c>
      <c r="J35" s="187" t="s">
        <v>451</v>
      </c>
      <c r="K35" s="187" t="s">
        <v>382</v>
      </c>
      <c r="L35" s="189" t="s">
        <v>452</v>
      </c>
      <c r="M35" s="189" t="s">
        <v>404</v>
      </c>
      <c r="N35" s="190">
        <v>0.5</v>
      </c>
      <c r="O35" s="190">
        <v>6</v>
      </c>
      <c r="P35" s="190">
        <v>1</v>
      </c>
      <c r="Q35" s="59">
        <f t="shared" si="13"/>
        <v>3</v>
      </c>
      <c r="R35" s="59" t="str">
        <f t="shared" si="12"/>
        <v>DÜŞÜK RİSK</v>
      </c>
      <c r="S35" s="191" t="s">
        <v>405</v>
      </c>
      <c r="T35" s="187" t="s">
        <v>352</v>
      </c>
      <c r="U35" s="192" t="s">
        <v>406</v>
      </c>
      <c r="V35" s="193" t="s">
        <v>453</v>
      </c>
      <c r="W35" s="192" t="s">
        <v>406</v>
      </c>
      <c r="X35" s="189" t="s">
        <v>408</v>
      </c>
      <c r="Y35" s="190">
        <v>0.5</v>
      </c>
      <c r="Z35" s="190">
        <v>6</v>
      </c>
      <c r="AA35" s="190">
        <v>1</v>
      </c>
      <c r="AB35" s="59">
        <f t="shared" si="10"/>
        <v>3</v>
      </c>
      <c r="AC35" s="59" t="str">
        <f t="shared" si="11"/>
        <v>DÜŞÜK RİSK</v>
      </c>
      <c r="AD35" s="187" t="s">
        <v>308</v>
      </c>
      <c r="AE35" s="187" t="s">
        <v>352</v>
      </c>
      <c r="AF35" s="187" t="s">
        <v>928</v>
      </c>
      <c r="AG35" s="190" t="s">
        <v>454</v>
      </c>
    </row>
    <row r="36" spans="1:33" ht="125.25" customHeight="1">
      <c r="A36" s="186">
        <v>3155</v>
      </c>
      <c r="B36" s="192">
        <v>45877</v>
      </c>
      <c r="C36" s="187" t="s">
        <v>126</v>
      </c>
      <c r="D36" s="187" t="s">
        <v>297</v>
      </c>
      <c r="E36" s="188" t="s">
        <v>137</v>
      </c>
      <c r="F36" s="187" t="s">
        <v>137</v>
      </c>
      <c r="G36" s="187" t="s">
        <v>1017</v>
      </c>
      <c r="H36" s="187" t="s">
        <v>1018</v>
      </c>
      <c r="I36" s="187" t="s">
        <v>1019</v>
      </c>
      <c r="J36" s="187" t="s">
        <v>423</v>
      </c>
      <c r="K36" s="187" t="s">
        <v>1004</v>
      </c>
      <c r="L36" s="189" t="s">
        <v>1020</v>
      </c>
      <c r="M36" s="189" t="s">
        <v>404</v>
      </c>
      <c r="N36" s="190">
        <v>1</v>
      </c>
      <c r="O36" s="190">
        <v>6</v>
      </c>
      <c r="P36" s="190">
        <v>15</v>
      </c>
      <c r="Q36" s="59">
        <f t="shared" si="13"/>
        <v>90</v>
      </c>
      <c r="R36" s="59" t="str">
        <f t="shared" si="12"/>
        <v>ÖNEMLİ RİSK</v>
      </c>
      <c r="S36" s="189" t="s">
        <v>1021</v>
      </c>
      <c r="T36" s="187" t="s">
        <v>347</v>
      </c>
      <c r="U36" s="192"/>
      <c r="V36" s="193"/>
      <c r="W36" s="192"/>
      <c r="X36" s="193"/>
      <c r="Y36" s="190">
        <v>0.5</v>
      </c>
      <c r="Z36" s="190">
        <v>6</v>
      </c>
      <c r="AA36" s="190">
        <v>1</v>
      </c>
      <c r="AB36" s="59">
        <f t="shared" ref="AB36" si="14">IF(OR(ISBLANK(Y36)=TRUE,ISBLANK(Z36)=TRUE,ISBLANK(AA36)=TRUE),"",PRODUCT(Y36,Z36,AA36))</f>
        <v>3</v>
      </c>
      <c r="AC36" s="59" t="str">
        <f t="shared" ref="AC36" si="15">IF(AB36="","",IF(AND(AB36&gt;=0,AB36&lt;20),"DÜŞÜK RİSK",IF(AND(AB36&gt;=20,AB36&lt;70),"OLASI RİSK",IF(AND(AB36&gt;=70,AB36&lt;200),"ÖNEMLİ RİSK",IF(AND(AB36&gt;=200,AB36&lt;400),"YÜKSEK RİSK",IF(AB36&gt;=400,"KABUL EDİLEMEZ RİSK",""))))))</f>
        <v>DÜŞÜK RİSK</v>
      </c>
      <c r="AD36" s="187"/>
      <c r="AE36" s="187"/>
      <c r="AF36" s="187"/>
      <c r="AG36" s="190"/>
    </row>
    <row r="37" spans="1:33" ht="125.25" customHeight="1">
      <c r="A37" s="186">
        <v>3156</v>
      </c>
      <c r="B37" s="192">
        <v>45877</v>
      </c>
      <c r="C37" s="187" t="s">
        <v>126</v>
      </c>
      <c r="D37" s="187" t="s">
        <v>298</v>
      </c>
      <c r="E37" s="188" t="s">
        <v>137</v>
      </c>
      <c r="F37" s="187" t="s">
        <v>137</v>
      </c>
      <c r="G37" s="187" t="s">
        <v>463</v>
      </c>
      <c r="H37" s="187" t="s">
        <v>464</v>
      </c>
      <c r="I37" s="187" t="s">
        <v>465</v>
      </c>
      <c r="J37" s="187" t="s">
        <v>466</v>
      </c>
      <c r="K37" s="187" t="s">
        <v>930</v>
      </c>
      <c r="L37" s="189" t="s">
        <v>931</v>
      </c>
      <c r="M37" s="189" t="s">
        <v>404</v>
      </c>
      <c r="N37" s="190">
        <v>0.5</v>
      </c>
      <c r="O37" s="190">
        <v>0.5</v>
      </c>
      <c r="P37" s="190">
        <v>3</v>
      </c>
      <c r="Q37" s="59">
        <f t="shared" si="13"/>
        <v>0.75</v>
      </c>
      <c r="R37" s="59" t="str">
        <f t="shared" si="12"/>
        <v>DÜŞÜK RİSK</v>
      </c>
      <c r="S37" s="191" t="s">
        <v>405</v>
      </c>
      <c r="T37" s="187" t="s">
        <v>352</v>
      </c>
      <c r="U37" s="192" t="s">
        <v>406</v>
      </c>
      <c r="V37" s="193" t="s">
        <v>415</v>
      </c>
      <c r="W37" s="192" t="s">
        <v>406</v>
      </c>
      <c r="X37" s="189" t="s">
        <v>408</v>
      </c>
      <c r="Y37" s="190">
        <v>0.5</v>
      </c>
      <c r="Z37" s="190">
        <v>0.5</v>
      </c>
      <c r="AA37" s="190">
        <v>3</v>
      </c>
      <c r="AB37" s="59">
        <f t="shared" si="10"/>
        <v>0.75</v>
      </c>
      <c r="AC37" s="59" t="str">
        <f t="shared" si="11"/>
        <v>DÜŞÜK RİSK</v>
      </c>
      <c r="AD37" s="187" t="s">
        <v>308</v>
      </c>
      <c r="AE37" s="187" t="s">
        <v>352</v>
      </c>
      <c r="AF37" s="187" t="s">
        <v>458</v>
      </c>
      <c r="AG37" s="190" t="s">
        <v>467</v>
      </c>
    </row>
    <row r="38" spans="1:33" ht="125.25" customHeight="1">
      <c r="A38" s="186">
        <v>3157</v>
      </c>
      <c r="B38" s="192">
        <v>45877</v>
      </c>
      <c r="C38" s="187" t="s">
        <v>126</v>
      </c>
      <c r="D38" s="187" t="s">
        <v>298</v>
      </c>
      <c r="E38" s="188" t="s">
        <v>137</v>
      </c>
      <c r="F38" s="187" t="s">
        <v>137</v>
      </c>
      <c r="G38" s="187" t="s">
        <v>468</v>
      </c>
      <c r="H38" s="187" t="s">
        <v>469</v>
      </c>
      <c r="I38" s="187" t="s">
        <v>470</v>
      </c>
      <c r="J38" s="187" t="s">
        <v>457</v>
      </c>
      <c r="K38" s="187" t="s">
        <v>930</v>
      </c>
      <c r="L38" s="189" t="s">
        <v>1114</v>
      </c>
      <c r="M38" s="189" t="s">
        <v>404</v>
      </c>
      <c r="N38" s="190">
        <v>1</v>
      </c>
      <c r="O38" s="190">
        <v>1</v>
      </c>
      <c r="P38" s="190">
        <v>15</v>
      </c>
      <c r="Q38" s="59">
        <f t="shared" si="13"/>
        <v>15</v>
      </c>
      <c r="R38" s="59" t="str">
        <f t="shared" si="12"/>
        <v>DÜŞÜK RİSK</v>
      </c>
      <c r="S38" s="191" t="s">
        <v>405</v>
      </c>
      <c r="T38" s="187" t="s">
        <v>347</v>
      </c>
      <c r="U38" s="192" t="s">
        <v>406</v>
      </c>
      <c r="V38" s="193" t="s">
        <v>415</v>
      </c>
      <c r="W38" s="192" t="s">
        <v>406</v>
      </c>
      <c r="X38" s="189" t="s">
        <v>408</v>
      </c>
      <c r="Y38" s="190">
        <v>1</v>
      </c>
      <c r="Z38" s="190">
        <v>0.5</v>
      </c>
      <c r="AA38" s="190">
        <v>7</v>
      </c>
      <c r="AB38" s="59">
        <f t="shared" si="10"/>
        <v>3.5</v>
      </c>
      <c r="AC38" s="59" t="str">
        <f t="shared" si="11"/>
        <v>DÜŞÜK RİSK</v>
      </c>
      <c r="AD38" s="187" t="s">
        <v>308</v>
      </c>
      <c r="AE38" s="187" t="s">
        <v>347</v>
      </c>
      <c r="AF38" s="187" t="s">
        <v>458</v>
      </c>
      <c r="AG38" s="190" t="s">
        <v>467</v>
      </c>
    </row>
    <row r="39" spans="1:33" ht="125.25" customHeight="1">
      <c r="A39" s="186">
        <v>3158</v>
      </c>
      <c r="B39" s="192">
        <v>45877</v>
      </c>
      <c r="C39" s="187" t="s">
        <v>126</v>
      </c>
      <c r="D39" s="187" t="s">
        <v>298</v>
      </c>
      <c r="E39" s="188" t="s">
        <v>137</v>
      </c>
      <c r="F39" s="187" t="s">
        <v>137</v>
      </c>
      <c r="G39" s="187" t="s">
        <v>932</v>
      </c>
      <c r="H39" s="187" t="s">
        <v>471</v>
      </c>
      <c r="I39" s="187" t="s">
        <v>472</v>
      </c>
      <c r="J39" s="187" t="s">
        <v>457</v>
      </c>
      <c r="K39" s="187" t="s">
        <v>930</v>
      </c>
      <c r="L39" s="189" t="s">
        <v>473</v>
      </c>
      <c r="M39" s="189" t="s">
        <v>404</v>
      </c>
      <c r="N39" s="190">
        <v>0.5</v>
      </c>
      <c r="O39" s="190">
        <v>1</v>
      </c>
      <c r="P39" s="190">
        <v>3</v>
      </c>
      <c r="Q39" s="59">
        <f t="shared" si="13"/>
        <v>1.5</v>
      </c>
      <c r="R39" s="59" t="str">
        <f t="shared" si="12"/>
        <v>DÜŞÜK RİSK</v>
      </c>
      <c r="S39" s="191" t="s">
        <v>405</v>
      </c>
      <c r="T39" s="189" t="s">
        <v>352</v>
      </c>
      <c r="U39" s="192" t="s">
        <v>406</v>
      </c>
      <c r="V39" s="193" t="s">
        <v>453</v>
      </c>
      <c r="W39" s="192" t="s">
        <v>406</v>
      </c>
      <c r="X39" s="189" t="s">
        <v>408</v>
      </c>
      <c r="Y39" s="190">
        <v>0.5</v>
      </c>
      <c r="Z39" s="190">
        <v>0.5</v>
      </c>
      <c r="AA39" s="190">
        <v>3</v>
      </c>
      <c r="AB39" s="59">
        <f t="shared" si="10"/>
        <v>0.75</v>
      </c>
      <c r="AC39" s="59" t="str">
        <f t="shared" si="11"/>
        <v>DÜŞÜK RİSK</v>
      </c>
      <c r="AD39" s="187" t="s">
        <v>309</v>
      </c>
      <c r="AE39" s="187" t="s">
        <v>474</v>
      </c>
      <c r="AF39" s="187" t="s">
        <v>475</v>
      </c>
      <c r="AG39" s="190" t="s">
        <v>467</v>
      </c>
    </row>
    <row r="40" spans="1:33" ht="125.25" customHeight="1">
      <c r="A40" s="186">
        <v>3159</v>
      </c>
      <c r="B40" s="192">
        <v>45877</v>
      </c>
      <c r="C40" s="187" t="s">
        <v>126</v>
      </c>
      <c r="D40" s="187" t="s">
        <v>298</v>
      </c>
      <c r="E40" s="188" t="s">
        <v>137</v>
      </c>
      <c r="F40" s="187" t="s">
        <v>137</v>
      </c>
      <c r="G40" s="187" t="s">
        <v>439</v>
      </c>
      <c r="H40" s="187" t="s">
        <v>476</v>
      </c>
      <c r="I40" s="187" t="s">
        <v>477</v>
      </c>
      <c r="J40" s="187" t="s">
        <v>478</v>
      </c>
      <c r="K40" s="187" t="s">
        <v>402</v>
      </c>
      <c r="L40" s="189" t="s">
        <v>479</v>
      </c>
      <c r="M40" s="189" t="s">
        <v>404</v>
      </c>
      <c r="N40" s="190">
        <v>1</v>
      </c>
      <c r="O40" s="190">
        <v>3</v>
      </c>
      <c r="P40" s="190">
        <v>7</v>
      </c>
      <c r="Q40" s="59">
        <f t="shared" si="13"/>
        <v>21</v>
      </c>
      <c r="R40" s="59" t="str">
        <f t="shared" si="12"/>
        <v>OLASI RİSK</v>
      </c>
      <c r="S40" s="191" t="s">
        <v>405</v>
      </c>
      <c r="T40" s="189" t="s">
        <v>352</v>
      </c>
      <c r="U40" s="192" t="s">
        <v>406</v>
      </c>
      <c r="V40" s="193" t="s">
        <v>453</v>
      </c>
      <c r="W40" s="192" t="s">
        <v>406</v>
      </c>
      <c r="X40" s="189" t="s">
        <v>408</v>
      </c>
      <c r="Y40" s="190">
        <v>1</v>
      </c>
      <c r="Z40" s="190">
        <v>1</v>
      </c>
      <c r="AA40" s="190">
        <v>7</v>
      </c>
      <c r="AB40" s="59">
        <f t="shared" si="10"/>
        <v>7</v>
      </c>
      <c r="AC40" s="59" t="str">
        <f t="shared" si="11"/>
        <v>DÜŞÜK RİSK</v>
      </c>
      <c r="AD40" s="187" t="s">
        <v>309</v>
      </c>
      <c r="AE40" s="187" t="s">
        <v>474</v>
      </c>
      <c r="AF40" s="187" t="s">
        <v>475</v>
      </c>
      <c r="AG40" s="190" t="s">
        <v>467</v>
      </c>
    </row>
    <row r="41" spans="1:33" ht="125.25" customHeight="1">
      <c r="A41" s="186">
        <v>3160</v>
      </c>
      <c r="B41" s="192">
        <v>45877</v>
      </c>
      <c r="C41" s="187" t="s">
        <v>126</v>
      </c>
      <c r="D41" s="187" t="s">
        <v>298</v>
      </c>
      <c r="E41" s="188" t="s">
        <v>137</v>
      </c>
      <c r="F41" s="187" t="s">
        <v>137</v>
      </c>
      <c r="G41" s="187" t="s">
        <v>439</v>
      </c>
      <c r="H41" s="187" t="s">
        <v>476</v>
      </c>
      <c r="I41" s="187" t="s">
        <v>477</v>
      </c>
      <c r="J41" s="187" t="s">
        <v>478</v>
      </c>
      <c r="K41" s="187" t="s">
        <v>402</v>
      </c>
      <c r="L41" s="189" t="s">
        <v>479</v>
      </c>
      <c r="M41" s="189" t="s">
        <v>404</v>
      </c>
      <c r="N41" s="190">
        <v>3</v>
      </c>
      <c r="O41" s="190">
        <v>6</v>
      </c>
      <c r="P41" s="190">
        <v>7</v>
      </c>
      <c r="Q41" s="59">
        <f t="shared" si="13"/>
        <v>126</v>
      </c>
      <c r="R41" s="59" t="str">
        <f t="shared" si="12"/>
        <v>ÖNEMLİ RİSK</v>
      </c>
      <c r="S41" s="191" t="s">
        <v>405</v>
      </c>
      <c r="T41" s="189" t="s">
        <v>352</v>
      </c>
      <c r="U41" s="192" t="s">
        <v>406</v>
      </c>
      <c r="V41" s="193" t="s">
        <v>453</v>
      </c>
      <c r="W41" s="192" t="s">
        <v>406</v>
      </c>
      <c r="X41" s="189" t="s">
        <v>408</v>
      </c>
      <c r="Y41" s="190">
        <v>1</v>
      </c>
      <c r="Z41" s="190">
        <v>1</v>
      </c>
      <c r="AA41" s="190">
        <v>7</v>
      </c>
      <c r="AB41" s="59">
        <f t="shared" si="10"/>
        <v>7</v>
      </c>
      <c r="AC41" s="59" t="str">
        <f t="shared" si="11"/>
        <v>DÜŞÜK RİSK</v>
      </c>
      <c r="AD41" s="187" t="s">
        <v>296</v>
      </c>
      <c r="AE41" s="187" t="s">
        <v>474</v>
      </c>
      <c r="AF41" s="187" t="s">
        <v>475</v>
      </c>
      <c r="AG41" s="190" t="s">
        <v>467</v>
      </c>
    </row>
    <row r="42" spans="1:33" ht="125.25" customHeight="1">
      <c r="A42" s="186">
        <v>3161</v>
      </c>
      <c r="B42" s="192">
        <v>45877</v>
      </c>
      <c r="C42" s="187" t="s">
        <v>126</v>
      </c>
      <c r="D42" s="187" t="s">
        <v>298</v>
      </c>
      <c r="E42" s="188" t="s">
        <v>137</v>
      </c>
      <c r="F42" s="187" t="s">
        <v>137</v>
      </c>
      <c r="G42" s="187" t="s">
        <v>425</v>
      </c>
      <c r="H42" s="187" t="s">
        <v>480</v>
      </c>
      <c r="I42" s="187" t="s">
        <v>477</v>
      </c>
      <c r="J42" s="187" t="s">
        <v>481</v>
      </c>
      <c r="K42" s="187" t="s">
        <v>402</v>
      </c>
      <c r="L42" s="189" t="s">
        <v>482</v>
      </c>
      <c r="M42" s="189" t="s">
        <v>404</v>
      </c>
      <c r="N42" s="190">
        <v>3</v>
      </c>
      <c r="O42" s="190">
        <v>6</v>
      </c>
      <c r="P42" s="190">
        <v>7</v>
      </c>
      <c r="Q42" s="59">
        <f t="shared" si="13"/>
        <v>126</v>
      </c>
      <c r="R42" s="59" t="str">
        <f t="shared" si="12"/>
        <v>ÖNEMLİ RİSK</v>
      </c>
      <c r="S42" s="191" t="s">
        <v>405</v>
      </c>
      <c r="T42" s="189" t="s">
        <v>352</v>
      </c>
      <c r="U42" s="192" t="s">
        <v>406</v>
      </c>
      <c r="V42" s="193" t="s">
        <v>453</v>
      </c>
      <c r="W42" s="192" t="s">
        <v>406</v>
      </c>
      <c r="X42" s="189" t="s">
        <v>408</v>
      </c>
      <c r="Y42" s="190">
        <v>1</v>
      </c>
      <c r="Z42" s="190">
        <v>1</v>
      </c>
      <c r="AA42" s="190">
        <v>7</v>
      </c>
      <c r="AB42" s="59">
        <f t="shared" si="10"/>
        <v>7</v>
      </c>
      <c r="AC42" s="59" t="str">
        <f t="shared" si="11"/>
        <v>DÜŞÜK RİSK</v>
      </c>
      <c r="AD42" s="187" t="s">
        <v>296</v>
      </c>
      <c r="AE42" s="187" t="s">
        <v>474</v>
      </c>
      <c r="AF42" s="187" t="s">
        <v>475</v>
      </c>
      <c r="AG42" s="190" t="s">
        <v>467</v>
      </c>
    </row>
    <row r="43" spans="1:33" ht="125.25" customHeight="1">
      <c r="A43" s="186">
        <v>3162</v>
      </c>
      <c r="B43" s="192">
        <v>45877</v>
      </c>
      <c r="C43" s="187" t="s">
        <v>126</v>
      </c>
      <c r="D43" s="187" t="s">
        <v>298</v>
      </c>
      <c r="E43" s="188" t="s">
        <v>137</v>
      </c>
      <c r="F43" s="187" t="s">
        <v>137</v>
      </c>
      <c r="G43" s="187" t="s">
        <v>483</v>
      </c>
      <c r="H43" s="187" t="s">
        <v>615</v>
      </c>
      <c r="I43" s="187" t="s">
        <v>484</v>
      </c>
      <c r="J43" s="187" t="s">
        <v>1022</v>
      </c>
      <c r="K43" s="187" t="s">
        <v>1023</v>
      </c>
      <c r="L43" s="189" t="s">
        <v>1115</v>
      </c>
      <c r="M43" s="189" t="s">
        <v>404</v>
      </c>
      <c r="N43" s="190">
        <v>1</v>
      </c>
      <c r="O43" s="190">
        <v>6</v>
      </c>
      <c r="P43" s="190">
        <v>7</v>
      </c>
      <c r="Q43" s="59">
        <f t="shared" si="13"/>
        <v>42</v>
      </c>
      <c r="R43" s="59" t="str">
        <f t="shared" si="12"/>
        <v>OLASI RİSK</v>
      </c>
      <c r="S43" s="189" t="s">
        <v>1024</v>
      </c>
      <c r="T43" s="187" t="s">
        <v>352</v>
      </c>
      <c r="U43" s="192"/>
      <c r="V43" s="193" t="s">
        <v>415</v>
      </c>
      <c r="W43" s="192"/>
      <c r="X43" s="189" t="s">
        <v>408</v>
      </c>
      <c r="Y43" s="190">
        <v>1</v>
      </c>
      <c r="Z43" s="190">
        <v>1</v>
      </c>
      <c r="AA43" s="190">
        <v>7</v>
      </c>
      <c r="AB43" s="59">
        <f t="shared" ref="AB43:AB105" si="16">IF(OR(ISBLANK(Y43)=TRUE,ISBLANK(Z43)=TRUE,ISBLANK(AA43)=TRUE),"",PRODUCT(Y43,Z43,AA43))</f>
        <v>7</v>
      </c>
      <c r="AC43" s="59" t="str">
        <f t="shared" ref="AC43:AC105" si="17">IF(AB43="","",IF(AND(AB43&gt;=0,AB43&lt;20),"DÜŞÜK RİSK",IF(AND(AB43&gt;=20,AB43&lt;70),"OLASI RİSK",IF(AND(AB43&gt;=70,AB43&lt;200),"ÖNEMLİ RİSK",IF(AND(AB43&gt;=200,AB43&lt;400),"YÜKSEK RİSK",IF(AB43&gt;=400,"KABUL EDİLEMEZ RİSK",""))))))</f>
        <v>DÜŞÜK RİSK</v>
      </c>
      <c r="AD43" s="187" t="s">
        <v>296</v>
      </c>
      <c r="AE43" s="187" t="s">
        <v>474</v>
      </c>
      <c r="AF43" s="187" t="s">
        <v>475</v>
      </c>
      <c r="AG43" s="190" t="s">
        <v>1025</v>
      </c>
    </row>
    <row r="44" spans="1:33" ht="125.25" customHeight="1">
      <c r="A44" s="186">
        <v>3163</v>
      </c>
      <c r="B44" s="192">
        <v>45877</v>
      </c>
      <c r="C44" s="187" t="s">
        <v>126</v>
      </c>
      <c r="D44" s="187" t="s">
        <v>298</v>
      </c>
      <c r="E44" s="188" t="s">
        <v>137</v>
      </c>
      <c r="F44" s="187" t="s">
        <v>137</v>
      </c>
      <c r="G44" s="187" t="s">
        <v>425</v>
      </c>
      <c r="H44" s="187" t="s">
        <v>485</v>
      </c>
      <c r="I44" s="187" t="s">
        <v>477</v>
      </c>
      <c r="J44" s="187" t="s">
        <v>486</v>
      </c>
      <c r="K44" s="187" t="s">
        <v>402</v>
      </c>
      <c r="L44" s="189" t="s">
        <v>487</v>
      </c>
      <c r="M44" s="189" t="s">
        <v>404</v>
      </c>
      <c r="N44" s="190">
        <v>1</v>
      </c>
      <c r="O44" s="190">
        <v>6</v>
      </c>
      <c r="P44" s="190">
        <v>7</v>
      </c>
      <c r="Q44" s="59">
        <f t="shared" si="13"/>
        <v>42</v>
      </c>
      <c r="R44" s="59" t="str">
        <f t="shared" si="12"/>
        <v>OLASI RİSK</v>
      </c>
      <c r="S44" s="191" t="s">
        <v>405</v>
      </c>
      <c r="T44" s="189" t="s">
        <v>352</v>
      </c>
      <c r="U44" s="192" t="s">
        <v>406</v>
      </c>
      <c r="V44" s="193" t="s">
        <v>453</v>
      </c>
      <c r="W44" s="192" t="s">
        <v>406</v>
      </c>
      <c r="X44" s="189" t="s">
        <v>408</v>
      </c>
      <c r="Y44" s="190">
        <v>1</v>
      </c>
      <c r="Z44" s="190">
        <v>3</v>
      </c>
      <c r="AA44" s="190">
        <v>7</v>
      </c>
      <c r="AB44" s="59">
        <f t="shared" si="16"/>
        <v>21</v>
      </c>
      <c r="AC44" s="59" t="str">
        <f t="shared" si="17"/>
        <v>OLASI RİSK</v>
      </c>
      <c r="AD44" s="187" t="s">
        <v>296</v>
      </c>
      <c r="AE44" s="187" t="s">
        <v>474</v>
      </c>
      <c r="AF44" s="187" t="s">
        <v>475</v>
      </c>
      <c r="AG44" s="190" t="s">
        <v>467</v>
      </c>
    </row>
    <row r="45" spans="1:33" ht="125.25" customHeight="1">
      <c r="A45" s="186">
        <v>3164</v>
      </c>
      <c r="B45" s="192">
        <v>45877</v>
      </c>
      <c r="C45" s="187" t="s">
        <v>126</v>
      </c>
      <c r="D45" s="187" t="s">
        <v>298</v>
      </c>
      <c r="E45" s="188" t="s">
        <v>137</v>
      </c>
      <c r="F45" s="187" t="s">
        <v>137</v>
      </c>
      <c r="G45" s="187" t="s">
        <v>488</v>
      </c>
      <c r="H45" s="187" t="s">
        <v>489</v>
      </c>
      <c r="I45" s="187" t="s">
        <v>490</v>
      </c>
      <c r="J45" s="187" t="s">
        <v>387</v>
      </c>
      <c r="K45" s="187" t="s">
        <v>402</v>
      </c>
      <c r="L45" s="189" t="s">
        <v>491</v>
      </c>
      <c r="M45" s="189" t="s">
        <v>404</v>
      </c>
      <c r="N45" s="190">
        <v>1</v>
      </c>
      <c r="O45" s="190">
        <v>1</v>
      </c>
      <c r="P45" s="190">
        <v>15</v>
      </c>
      <c r="Q45" s="59">
        <f t="shared" si="13"/>
        <v>15</v>
      </c>
      <c r="R45" s="59" t="str">
        <f t="shared" si="12"/>
        <v>DÜŞÜK RİSK</v>
      </c>
      <c r="S45" s="191" t="s">
        <v>405</v>
      </c>
      <c r="T45" s="189" t="s">
        <v>352</v>
      </c>
      <c r="U45" s="192" t="s">
        <v>406</v>
      </c>
      <c r="V45" s="193" t="s">
        <v>453</v>
      </c>
      <c r="W45" s="192" t="s">
        <v>406</v>
      </c>
      <c r="X45" s="189" t="s">
        <v>408</v>
      </c>
      <c r="Y45" s="190">
        <v>1</v>
      </c>
      <c r="Z45" s="190">
        <v>1</v>
      </c>
      <c r="AA45" s="190">
        <v>15</v>
      </c>
      <c r="AB45" s="59">
        <f t="shared" si="16"/>
        <v>15</v>
      </c>
      <c r="AC45" s="59" t="str">
        <f t="shared" si="17"/>
        <v>DÜŞÜK RİSK</v>
      </c>
      <c r="AD45" s="187" t="s">
        <v>309</v>
      </c>
      <c r="AE45" s="187" t="s">
        <v>474</v>
      </c>
      <c r="AF45" s="187" t="s">
        <v>475</v>
      </c>
      <c r="AG45" s="190" t="s">
        <v>467</v>
      </c>
    </row>
    <row r="46" spans="1:33" ht="125.25" customHeight="1">
      <c r="A46" s="186">
        <v>3165</v>
      </c>
      <c r="B46" s="192">
        <v>45877</v>
      </c>
      <c r="C46" s="187" t="s">
        <v>126</v>
      </c>
      <c r="D46" s="187" t="s">
        <v>298</v>
      </c>
      <c r="E46" s="188" t="s">
        <v>137</v>
      </c>
      <c r="F46" s="187" t="s">
        <v>137</v>
      </c>
      <c r="G46" s="187" t="s">
        <v>492</v>
      </c>
      <c r="H46" s="187" t="s">
        <v>493</v>
      </c>
      <c r="I46" s="187" t="s">
        <v>494</v>
      </c>
      <c r="J46" s="187" t="s">
        <v>387</v>
      </c>
      <c r="K46" s="187" t="s">
        <v>402</v>
      </c>
      <c r="L46" s="189" t="s">
        <v>491</v>
      </c>
      <c r="M46" s="189" t="s">
        <v>404</v>
      </c>
      <c r="N46" s="190">
        <v>1</v>
      </c>
      <c r="O46" s="190">
        <v>1</v>
      </c>
      <c r="P46" s="190">
        <v>15</v>
      </c>
      <c r="Q46" s="59">
        <f t="shared" si="13"/>
        <v>15</v>
      </c>
      <c r="R46" s="59" t="str">
        <f t="shared" si="12"/>
        <v>DÜŞÜK RİSK</v>
      </c>
      <c r="S46" s="191" t="s">
        <v>405</v>
      </c>
      <c r="T46" s="189" t="s">
        <v>352</v>
      </c>
      <c r="U46" s="192" t="s">
        <v>406</v>
      </c>
      <c r="V46" s="193" t="s">
        <v>453</v>
      </c>
      <c r="W46" s="192" t="s">
        <v>406</v>
      </c>
      <c r="X46" s="189" t="s">
        <v>408</v>
      </c>
      <c r="Y46" s="190">
        <v>1</v>
      </c>
      <c r="Z46" s="190">
        <v>1</v>
      </c>
      <c r="AA46" s="190">
        <v>15</v>
      </c>
      <c r="AB46" s="59">
        <f t="shared" si="16"/>
        <v>15</v>
      </c>
      <c r="AC46" s="59" t="str">
        <f t="shared" si="17"/>
        <v>DÜŞÜK RİSK</v>
      </c>
      <c r="AD46" s="187" t="s">
        <v>309</v>
      </c>
      <c r="AE46" s="187" t="s">
        <v>474</v>
      </c>
      <c r="AF46" s="187" t="s">
        <v>475</v>
      </c>
      <c r="AG46" s="190" t="s">
        <v>467</v>
      </c>
    </row>
    <row r="47" spans="1:33" ht="125.25" customHeight="1">
      <c r="A47" s="186">
        <v>3166</v>
      </c>
      <c r="B47" s="192">
        <v>45877</v>
      </c>
      <c r="C47" s="187" t="s">
        <v>126</v>
      </c>
      <c r="D47" s="187" t="s">
        <v>298</v>
      </c>
      <c r="E47" s="188" t="s">
        <v>137</v>
      </c>
      <c r="F47" s="187" t="s">
        <v>137</v>
      </c>
      <c r="G47" s="187" t="s">
        <v>495</v>
      </c>
      <c r="H47" s="187" t="s">
        <v>496</v>
      </c>
      <c r="I47" s="187" t="s">
        <v>497</v>
      </c>
      <c r="J47" s="187" t="s">
        <v>387</v>
      </c>
      <c r="K47" s="187" t="s">
        <v>402</v>
      </c>
      <c r="L47" s="189" t="s">
        <v>491</v>
      </c>
      <c r="M47" s="189" t="s">
        <v>404</v>
      </c>
      <c r="N47" s="190">
        <v>1</v>
      </c>
      <c r="O47" s="190">
        <v>2</v>
      </c>
      <c r="P47" s="190">
        <v>7</v>
      </c>
      <c r="Q47" s="59">
        <f t="shared" si="13"/>
        <v>14</v>
      </c>
      <c r="R47" s="59" t="str">
        <f t="shared" si="12"/>
        <v>DÜŞÜK RİSK</v>
      </c>
      <c r="S47" s="191" t="s">
        <v>405</v>
      </c>
      <c r="T47" s="189" t="s">
        <v>352</v>
      </c>
      <c r="U47" s="192" t="s">
        <v>406</v>
      </c>
      <c r="V47" s="193" t="s">
        <v>453</v>
      </c>
      <c r="W47" s="192" t="s">
        <v>406</v>
      </c>
      <c r="X47" s="189" t="s">
        <v>408</v>
      </c>
      <c r="Y47" s="190">
        <v>0.5</v>
      </c>
      <c r="Z47" s="190">
        <v>1</v>
      </c>
      <c r="AA47" s="190">
        <v>15</v>
      </c>
      <c r="AB47" s="59">
        <f t="shared" si="16"/>
        <v>7.5</v>
      </c>
      <c r="AC47" s="59" t="str">
        <f t="shared" si="17"/>
        <v>DÜŞÜK RİSK</v>
      </c>
      <c r="AD47" s="187" t="s">
        <v>309</v>
      </c>
      <c r="AE47" s="187" t="s">
        <v>474</v>
      </c>
      <c r="AF47" s="187" t="s">
        <v>475</v>
      </c>
      <c r="AG47" s="190" t="s">
        <v>467</v>
      </c>
    </row>
    <row r="48" spans="1:33" ht="125.25" customHeight="1">
      <c r="A48" s="186">
        <v>3167</v>
      </c>
      <c r="B48" s="192">
        <v>45877</v>
      </c>
      <c r="C48" s="187" t="s">
        <v>126</v>
      </c>
      <c r="D48" s="187" t="s">
        <v>298</v>
      </c>
      <c r="E48" s="188" t="s">
        <v>137</v>
      </c>
      <c r="F48" s="187" t="s">
        <v>137</v>
      </c>
      <c r="G48" s="187" t="s">
        <v>498</v>
      </c>
      <c r="H48" s="187" t="s">
        <v>499</v>
      </c>
      <c r="I48" s="187" t="s">
        <v>500</v>
      </c>
      <c r="J48" s="187" t="s">
        <v>387</v>
      </c>
      <c r="K48" s="187" t="s">
        <v>402</v>
      </c>
      <c r="L48" s="189" t="s">
        <v>491</v>
      </c>
      <c r="M48" s="189" t="s">
        <v>404</v>
      </c>
      <c r="N48" s="190">
        <v>1</v>
      </c>
      <c r="O48" s="190">
        <v>2</v>
      </c>
      <c r="P48" s="190">
        <v>7</v>
      </c>
      <c r="Q48" s="59">
        <f t="shared" si="13"/>
        <v>14</v>
      </c>
      <c r="R48" s="59" t="str">
        <f t="shared" si="12"/>
        <v>DÜŞÜK RİSK</v>
      </c>
      <c r="S48" s="191" t="s">
        <v>405</v>
      </c>
      <c r="T48" s="187" t="s">
        <v>348</v>
      </c>
      <c r="U48" s="192" t="s">
        <v>406</v>
      </c>
      <c r="V48" s="193" t="s">
        <v>453</v>
      </c>
      <c r="W48" s="192" t="s">
        <v>406</v>
      </c>
      <c r="X48" s="189" t="s">
        <v>408</v>
      </c>
      <c r="Y48" s="190">
        <v>0.5</v>
      </c>
      <c r="Z48" s="190">
        <v>1</v>
      </c>
      <c r="AA48" s="190">
        <v>15</v>
      </c>
      <c r="AB48" s="59">
        <f t="shared" si="16"/>
        <v>7.5</v>
      </c>
      <c r="AC48" s="59" t="str">
        <f t="shared" si="17"/>
        <v>DÜŞÜK RİSK</v>
      </c>
      <c r="AD48" s="187" t="s">
        <v>309</v>
      </c>
      <c r="AE48" s="187" t="s">
        <v>474</v>
      </c>
      <c r="AF48" s="187" t="s">
        <v>475</v>
      </c>
      <c r="AG48" s="190" t="s">
        <v>467</v>
      </c>
    </row>
    <row r="49" spans="1:33" ht="125.25" customHeight="1">
      <c r="A49" s="186">
        <v>3168</v>
      </c>
      <c r="B49" s="192">
        <v>45877</v>
      </c>
      <c r="C49" s="187" t="s">
        <v>126</v>
      </c>
      <c r="D49" s="187" t="s">
        <v>298</v>
      </c>
      <c r="E49" s="188" t="s">
        <v>137</v>
      </c>
      <c r="F49" s="187" t="s">
        <v>137</v>
      </c>
      <c r="G49" s="187" t="s">
        <v>488</v>
      </c>
      <c r="H49" s="187" t="s">
        <v>501</v>
      </c>
      <c r="I49" s="187" t="s">
        <v>490</v>
      </c>
      <c r="J49" s="187" t="s">
        <v>387</v>
      </c>
      <c r="K49" s="187" t="s">
        <v>402</v>
      </c>
      <c r="L49" s="189" t="s">
        <v>491</v>
      </c>
      <c r="M49" s="189" t="s">
        <v>404</v>
      </c>
      <c r="N49" s="190">
        <v>1</v>
      </c>
      <c r="O49" s="190">
        <v>0.5</v>
      </c>
      <c r="P49" s="190">
        <v>40</v>
      </c>
      <c r="Q49" s="59">
        <f t="shared" si="13"/>
        <v>20</v>
      </c>
      <c r="R49" s="59" t="str">
        <f t="shared" si="12"/>
        <v>OLASI RİSK</v>
      </c>
      <c r="S49" s="191" t="s">
        <v>405</v>
      </c>
      <c r="T49" s="187" t="s">
        <v>352</v>
      </c>
      <c r="U49" s="192" t="s">
        <v>406</v>
      </c>
      <c r="V49" s="193" t="s">
        <v>453</v>
      </c>
      <c r="W49" s="192" t="s">
        <v>406</v>
      </c>
      <c r="X49" s="189" t="s">
        <v>408</v>
      </c>
      <c r="Y49" s="190">
        <v>0.5</v>
      </c>
      <c r="Z49" s="190">
        <v>0.5</v>
      </c>
      <c r="AA49" s="190">
        <v>15</v>
      </c>
      <c r="AB49" s="59">
        <f t="shared" si="16"/>
        <v>3.75</v>
      </c>
      <c r="AC49" s="59" t="str">
        <f t="shared" si="17"/>
        <v>DÜŞÜK RİSK</v>
      </c>
      <c r="AD49" s="187" t="s">
        <v>309</v>
      </c>
      <c r="AE49" s="187" t="s">
        <v>474</v>
      </c>
      <c r="AF49" s="187" t="s">
        <v>475</v>
      </c>
      <c r="AG49" s="190" t="s">
        <v>467</v>
      </c>
    </row>
    <row r="50" spans="1:33" ht="125.25" customHeight="1">
      <c r="A50" s="186">
        <v>3169</v>
      </c>
      <c r="B50" s="192">
        <v>45877</v>
      </c>
      <c r="C50" s="187" t="s">
        <v>126</v>
      </c>
      <c r="D50" s="187" t="s">
        <v>298</v>
      </c>
      <c r="E50" s="188" t="s">
        <v>137</v>
      </c>
      <c r="F50" s="187" t="s">
        <v>137</v>
      </c>
      <c r="G50" s="187" t="s">
        <v>498</v>
      </c>
      <c r="H50" s="187" t="s">
        <v>501</v>
      </c>
      <c r="I50" s="187" t="s">
        <v>494</v>
      </c>
      <c r="J50" s="187" t="s">
        <v>387</v>
      </c>
      <c r="K50" s="187" t="s">
        <v>402</v>
      </c>
      <c r="L50" s="189" t="s">
        <v>491</v>
      </c>
      <c r="M50" s="189" t="s">
        <v>404</v>
      </c>
      <c r="N50" s="190">
        <v>1</v>
      </c>
      <c r="O50" s="190">
        <v>0.5</v>
      </c>
      <c r="P50" s="190">
        <v>40</v>
      </c>
      <c r="Q50" s="59">
        <f t="shared" si="13"/>
        <v>20</v>
      </c>
      <c r="R50" s="59" t="str">
        <f t="shared" si="12"/>
        <v>OLASI RİSK</v>
      </c>
      <c r="S50" s="191" t="s">
        <v>405</v>
      </c>
      <c r="T50" s="187" t="s">
        <v>352</v>
      </c>
      <c r="U50" s="192" t="s">
        <v>406</v>
      </c>
      <c r="V50" s="193" t="s">
        <v>453</v>
      </c>
      <c r="W50" s="192" t="s">
        <v>406</v>
      </c>
      <c r="X50" s="189" t="s">
        <v>408</v>
      </c>
      <c r="Y50" s="190">
        <v>0.5</v>
      </c>
      <c r="Z50" s="190">
        <v>0.5</v>
      </c>
      <c r="AA50" s="190">
        <v>15</v>
      </c>
      <c r="AB50" s="59">
        <f t="shared" si="16"/>
        <v>3.75</v>
      </c>
      <c r="AC50" s="59" t="str">
        <f t="shared" si="17"/>
        <v>DÜŞÜK RİSK</v>
      </c>
      <c r="AD50" s="187" t="s">
        <v>309</v>
      </c>
      <c r="AE50" s="187" t="s">
        <v>474</v>
      </c>
      <c r="AF50" s="187" t="s">
        <v>475</v>
      </c>
      <c r="AG50" s="190" t="s">
        <v>467</v>
      </c>
    </row>
    <row r="51" spans="1:33" ht="125.25" customHeight="1">
      <c r="A51" s="186">
        <v>3170</v>
      </c>
      <c r="B51" s="192">
        <v>45877</v>
      </c>
      <c r="C51" s="187" t="s">
        <v>126</v>
      </c>
      <c r="D51" s="187" t="s">
        <v>298</v>
      </c>
      <c r="E51" s="188" t="s">
        <v>137</v>
      </c>
      <c r="F51" s="187" t="s">
        <v>137</v>
      </c>
      <c r="G51" s="187" t="s">
        <v>498</v>
      </c>
      <c r="H51" s="187" t="s">
        <v>501</v>
      </c>
      <c r="I51" s="187" t="s">
        <v>494</v>
      </c>
      <c r="J51" s="187" t="s">
        <v>387</v>
      </c>
      <c r="K51" s="187" t="s">
        <v>402</v>
      </c>
      <c r="L51" s="189" t="s">
        <v>491</v>
      </c>
      <c r="M51" s="189" t="s">
        <v>404</v>
      </c>
      <c r="N51" s="190">
        <v>1</v>
      </c>
      <c r="O51" s="190">
        <v>0.5</v>
      </c>
      <c r="P51" s="190">
        <v>40</v>
      </c>
      <c r="Q51" s="59">
        <f t="shared" si="13"/>
        <v>20</v>
      </c>
      <c r="R51" s="59" t="str">
        <f t="shared" si="12"/>
        <v>OLASI RİSK</v>
      </c>
      <c r="S51" s="191" t="s">
        <v>405</v>
      </c>
      <c r="T51" s="187" t="s">
        <v>352</v>
      </c>
      <c r="U51" s="192" t="s">
        <v>406</v>
      </c>
      <c r="V51" s="193" t="s">
        <v>453</v>
      </c>
      <c r="W51" s="192" t="s">
        <v>406</v>
      </c>
      <c r="X51" s="189" t="s">
        <v>408</v>
      </c>
      <c r="Y51" s="190">
        <v>0.5</v>
      </c>
      <c r="Z51" s="190">
        <v>0.5</v>
      </c>
      <c r="AA51" s="190">
        <v>15</v>
      </c>
      <c r="AB51" s="59">
        <f t="shared" si="16"/>
        <v>3.75</v>
      </c>
      <c r="AC51" s="59" t="str">
        <f t="shared" si="17"/>
        <v>DÜŞÜK RİSK</v>
      </c>
      <c r="AD51" s="187" t="s">
        <v>309</v>
      </c>
      <c r="AE51" s="187" t="s">
        <v>474</v>
      </c>
      <c r="AF51" s="187" t="s">
        <v>475</v>
      </c>
      <c r="AG51" s="190" t="s">
        <v>467</v>
      </c>
    </row>
    <row r="52" spans="1:33" ht="125.25" customHeight="1">
      <c r="A52" s="186">
        <v>3171</v>
      </c>
      <c r="B52" s="192">
        <v>45877</v>
      </c>
      <c r="C52" s="187" t="s">
        <v>126</v>
      </c>
      <c r="D52" s="187" t="s">
        <v>298</v>
      </c>
      <c r="E52" s="188" t="s">
        <v>137</v>
      </c>
      <c r="F52" s="187" t="s">
        <v>137</v>
      </c>
      <c r="G52" s="187" t="s">
        <v>488</v>
      </c>
      <c r="H52" s="187" t="s">
        <v>502</v>
      </c>
      <c r="I52" s="187" t="s">
        <v>490</v>
      </c>
      <c r="J52" s="187" t="s">
        <v>503</v>
      </c>
      <c r="K52" s="187" t="s">
        <v>402</v>
      </c>
      <c r="L52" s="189" t="s">
        <v>491</v>
      </c>
      <c r="M52" s="189" t="s">
        <v>404</v>
      </c>
      <c r="N52" s="190">
        <v>1</v>
      </c>
      <c r="O52" s="190">
        <v>1</v>
      </c>
      <c r="P52" s="190">
        <v>40</v>
      </c>
      <c r="Q52" s="59">
        <f t="shared" si="13"/>
        <v>40</v>
      </c>
      <c r="R52" s="59" t="str">
        <f t="shared" si="12"/>
        <v>OLASI RİSK</v>
      </c>
      <c r="S52" s="191" t="s">
        <v>405</v>
      </c>
      <c r="T52" s="187" t="s">
        <v>352</v>
      </c>
      <c r="U52" s="192" t="s">
        <v>406</v>
      </c>
      <c r="V52" s="193" t="s">
        <v>453</v>
      </c>
      <c r="W52" s="192" t="s">
        <v>406</v>
      </c>
      <c r="X52" s="189" t="s">
        <v>408</v>
      </c>
      <c r="Y52" s="190">
        <v>1</v>
      </c>
      <c r="Z52" s="190">
        <v>0.5</v>
      </c>
      <c r="AA52" s="190">
        <v>40</v>
      </c>
      <c r="AB52" s="59">
        <f t="shared" si="16"/>
        <v>20</v>
      </c>
      <c r="AC52" s="59" t="str">
        <f t="shared" si="17"/>
        <v>OLASI RİSK</v>
      </c>
      <c r="AD52" s="187" t="s">
        <v>309</v>
      </c>
      <c r="AE52" s="187" t="s">
        <v>474</v>
      </c>
      <c r="AF52" s="187" t="s">
        <v>504</v>
      </c>
      <c r="AG52" s="190" t="s">
        <v>467</v>
      </c>
    </row>
    <row r="53" spans="1:33" ht="125.25" customHeight="1">
      <c r="A53" s="186">
        <v>3172</v>
      </c>
      <c r="B53" s="192">
        <v>45877</v>
      </c>
      <c r="C53" s="187" t="s">
        <v>126</v>
      </c>
      <c r="D53" s="187" t="s">
        <v>298</v>
      </c>
      <c r="E53" s="188" t="s">
        <v>137</v>
      </c>
      <c r="F53" s="187" t="s">
        <v>137</v>
      </c>
      <c r="G53" s="187" t="s">
        <v>498</v>
      </c>
      <c r="H53" s="187" t="s">
        <v>505</v>
      </c>
      <c r="I53" s="187" t="s">
        <v>490</v>
      </c>
      <c r="J53" s="187" t="s">
        <v>503</v>
      </c>
      <c r="K53" s="187" t="s">
        <v>402</v>
      </c>
      <c r="L53" s="189" t="s">
        <v>491</v>
      </c>
      <c r="M53" s="189" t="s">
        <v>404</v>
      </c>
      <c r="N53" s="190">
        <v>1</v>
      </c>
      <c r="O53" s="190">
        <v>1</v>
      </c>
      <c r="P53" s="190">
        <v>40</v>
      </c>
      <c r="Q53" s="59">
        <f t="shared" si="13"/>
        <v>40</v>
      </c>
      <c r="R53" s="59" t="str">
        <f t="shared" si="12"/>
        <v>OLASI RİSK</v>
      </c>
      <c r="S53" s="191" t="s">
        <v>405</v>
      </c>
      <c r="T53" s="187" t="s">
        <v>352</v>
      </c>
      <c r="U53" s="192" t="s">
        <v>406</v>
      </c>
      <c r="V53" s="193" t="s">
        <v>453</v>
      </c>
      <c r="W53" s="192" t="s">
        <v>406</v>
      </c>
      <c r="X53" s="189" t="s">
        <v>408</v>
      </c>
      <c r="Y53" s="190">
        <v>1</v>
      </c>
      <c r="Z53" s="190">
        <v>0.5</v>
      </c>
      <c r="AA53" s="190">
        <v>15</v>
      </c>
      <c r="AB53" s="59">
        <f t="shared" si="16"/>
        <v>7.5</v>
      </c>
      <c r="AC53" s="59" t="str">
        <f t="shared" si="17"/>
        <v>DÜŞÜK RİSK</v>
      </c>
      <c r="AD53" s="187" t="s">
        <v>309</v>
      </c>
      <c r="AE53" s="187" t="s">
        <v>474</v>
      </c>
      <c r="AF53" s="187" t="s">
        <v>504</v>
      </c>
      <c r="AG53" s="190" t="s">
        <v>467</v>
      </c>
    </row>
    <row r="54" spans="1:33" ht="125.25" customHeight="1">
      <c r="A54" s="186">
        <v>3173</v>
      </c>
      <c r="B54" s="192">
        <v>45877</v>
      </c>
      <c r="C54" s="187" t="s">
        <v>126</v>
      </c>
      <c r="D54" s="187" t="s">
        <v>298</v>
      </c>
      <c r="E54" s="188" t="s">
        <v>137</v>
      </c>
      <c r="F54" s="187" t="s">
        <v>137</v>
      </c>
      <c r="G54" s="187" t="s">
        <v>488</v>
      </c>
      <c r="H54" s="187" t="s">
        <v>506</v>
      </c>
      <c r="I54" s="187" t="s">
        <v>507</v>
      </c>
      <c r="J54" s="187" t="s">
        <v>503</v>
      </c>
      <c r="K54" s="187" t="s">
        <v>402</v>
      </c>
      <c r="L54" s="189" t="s">
        <v>491</v>
      </c>
      <c r="M54" s="189" t="s">
        <v>404</v>
      </c>
      <c r="N54" s="190">
        <v>1</v>
      </c>
      <c r="O54" s="190">
        <v>1</v>
      </c>
      <c r="P54" s="190">
        <v>40</v>
      </c>
      <c r="Q54" s="59">
        <f t="shared" si="13"/>
        <v>40</v>
      </c>
      <c r="R54" s="59" t="str">
        <f t="shared" si="12"/>
        <v>OLASI RİSK</v>
      </c>
      <c r="S54" s="191" t="s">
        <v>405</v>
      </c>
      <c r="T54" s="187" t="s">
        <v>352</v>
      </c>
      <c r="U54" s="192" t="s">
        <v>406</v>
      </c>
      <c r="V54" s="193" t="s">
        <v>453</v>
      </c>
      <c r="W54" s="192" t="s">
        <v>406</v>
      </c>
      <c r="X54" s="189" t="s">
        <v>408</v>
      </c>
      <c r="Y54" s="190">
        <v>1</v>
      </c>
      <c r="Z54" s="190">
        <v>0.5</v>
      </c>
      <c r="AA54" s="190">
        <v>15</v>
      </c>
      <c r="AB54" s="59">
        <f t="shared" si="16"/>
        <v>7.5</v>
      </c>
      <c r="AC54" s="59" t="str">
        <f t="shared" si="17"/>
        <v>DÜŞÜK RİSK</v>
      </c>
      <c r="AD54" s="187" t="s">
        <v>309</v>
      </c>
      <c r="AE54" s="187" t="s">
        <v>474</v>
      </c>
      <c r="AF54" s="187" t="s">
        <v>504</v>
      </c>
      <c r="AG54" s="190" t="s">
        <v>467</v>
      </c>
    </row>
    <row r="55" spans="1:33" ht="125.25" customHeight="1">
      <c r="A55" s="186">
        <v>3174</v>
      </c>
      <c r="B55" s="192">
        <v>45877</v>
      </c>
      <c r="C55" s="187" t="s">
        <v>126</v>
      </c>
      <c r="D55" s="187" t="s">
        <v>298</v>
      </c>
      <c r="E55" s="188" t="s">
        <v>137</v>
      </c>
      <c r="F55" s="187" t="s">
        <v>137</v>
      </c>
      <c r="G55" s="187" t="s">
        <v>488</v>
      </c>
      <c r="H55" s="187" t="s">
        <v>508</v>
      </c>
      <c r="I55" s="187" t="s">
        <v>507</v>
      </c>
      <c r="J55" s="187" t="s">
        <v>503</v>
      </c>
      <c r="K55" s="187" t="s">
        <v>402</v>
      </c>
      <c r="L55" s="189" t="s">
        <v>491</v>
      </c>
      <c r="M55" s="189" t="s">
        <v>404</v>
      </c>
      <c r="N55" s="190">
        <v>1</v>
      </c>
      <c r="O55" s="190">
        <v>1</v>
      </c>
      <c r="P55" s="190">
        <v>40</v>
      </c>
      <c r="Q55" s="59">
        <f t="shared" si="13"/>
        <v>40</v>
      </c>
      <c r="R55" s="59" t="str">
        <f t="shared" si="12"/>
        <v>OLASI RİSK</v>
      </c>
      <c r="S55" s="191" t="s">
        <v>405</v>
      </c>
      <c r="T55" s="187" t="s">
        <v>352</v>
      </c>
      <c r="U55" s="192" t="s">
        <v>406</v>
      </c>
      <c r="V55" s="193" t="s">
        <v>453</v>
      </c>
      <c r="W55" s="192" t="s">
        <v>406</v>
      </c>
      <c r="X55" s="189" t="s">
        <v>408</v>
      </c>
      <c r="Y55" s="190">
        <v>1</v>
      </c>
      <c r="Z55" s="190">
        <v>0.5</v>
      </c>
      <c r="AA55" s="190">
        <v>15</v>
      </c>
      <c r="AB55" s="59">
        <f t="shared" si="16"/>
        <v>7.5</v>
      </c>
      <c r="AC55" s="59" t="str">
        <f t="shared" si="17"/>
        <v>DÜŞÜK RİSK</v>
      </c>
      <c r="AD55" s="187" t="s">
        <v>309</v>
      </c>
      <c r="AE55" s="187" t="s">
        <v>474</v>
      </c>
      <c r="AF55" s="187" t="s">
        <v>504</v>
      </c>
      <c r="AG55" s="190" t="s">
        <v>467</v>
      </c>
    </row>
    <row r="56" spans="1:33" ht="125.25" customHeight="1">
      <c r="A56" s="186">
        <v>3175</v>
      </c>
      <c r="B56" s="192">
        <v>45877</v>
      </c>
      <c r="C56" s="187" t="s">
        <v>126</v>
      </c>
      <c r="D56" s="187" t="s">
        <v>298</v>
      </c>
      <c r="E56" s="188" t="s">
        <v>137</v>
      </c>
      <c r="F56" s="187" t="s">
        <v>137</v>
      </c>
      <c r="G56" s="187" t="s">
        <v>498</v>
      </c>
      <c r="H56" s="187" t="s">
        <v>509</v>
      </c>
      <c r="I56" s="187" t="s">
        <v>507</v>
      </c>
      <c r="J56" s="187" t="s">
        <v>503</v>
      </c>
      <c r="K56" s="187" t="s">
        <v>402</v>
      </c>
      <c r="L56" s="189" t="s">
        <v>491</v>
      </c>
      <c r="M56" s="189" t="s">
        <v>404</v>
      </c>
      <c r="N56" s="190">
        <v>1</v>
      </c>
      <c r="O56" s="190">
        <v>1</v>
      </c>
      <c r="P56" s="190">
        <v>40</v>
      </c>
      <c r="Q56" s="59">
        <f t="shared" si="13"/>
        <v>40</v>
      </c>
      <c r="R56" s="59" t="str">
        <f t="shared" si="12"/>
        <v>OLASI RİSK</v>
      </c>
      <c r="S56" s="191" t="s">
        <v>405</v>
      </c>
      <c r="T56" s="187" t="s">
        <v>352</v>
      </c>
      <c r="U56" s="192" t="s">
        <v>406</v>
      </c>
      <c r="V56" s="193" t="s">
        <v>453</v>
      </c>
      <c r="W56" s="192" t="s">
        <v>406</v>
      </c>
      <c r="X56" s="189" t="s">
        <v>408</v>
      </c>
      <c r="Y56" s="190">
        <v>1</v>
      </c>
      <c r="Z56" s="190">
        <v>0.5</v>
      </c>
      <c r="AA56" s="190">
        <v>15</v>
      </c>
      <c r="AB56" s="59">
        <f t="shared" si="16"/>
        <v>7.5</v>
      </c>
      <c r="AC56" s="59" t="str">
        <f t="shared" si="17"/>
        <v>DÜŞÜK RİSK</v>
      </c>
      <c r="AD56" s="187" t="s">
        <v>309</v>
      </c>
      <c r="AE56" s="187" t="s">
        <v>474</v>
      </c>
      <c r="AF56" s="187" t="s">
        <v>504</v>
      </c>
      <c r="AG56" s="190" t="s">
        <v>467</v>
      </c>
    </row>
    <row r="57" spans="1:33" ht="125.25" customHeight="1">
      <c r="A57" s="186">
        <v>3176</v>
      </c>
      <c r="B57" s="192">
        <v>45877</v>
      </c>
      <c r="C57" s="187" t="s">
        <v>126</v>
      </c>
      <c r="D57" s="187" t="s">
        <v>298</v>
      </c>
      <c r="E57" s="188" t="s">
        <v>137</v>
      </c>
      <c r="F57" s="187" t="s">
        <v>137</v>
      </c>
      <c r="G57" s="187" t="s">
        <v>510</v>
      </c>
      <c r="H57" s="187" t="s">
        <v>511</v>
      </c>
      <c r="I57" s="187" t="s">
        <v>512</v>
      </c>
      <c r="J57" s="187" t="s">
        <v>513</v>
      </c>
      <c r="K57" s="187" t="s">
        <v>402</v>
      </c>
      <c r="L57" s="189" t="s">
        <v>514</v>
      </c>
      <c r="M57" s="189" t="s">
        <v>404</v>
      </c>
      <c r="N57" s="190">
        <v>0.5</v>
      </c>
      <c r="O57" s="190">
        <v>0.5</v>
      </c>
      <c r="P57" s="190">
        <v>1</v>
      </c>
      <c r="Q57" s="59">
        <f t="shared" si="13"/>
        <v>0.25</v>
      </c>
      <c r="R57" s="59" t="str">
        <f t="shared" si="12"/>
        <v>DÜŞÜK RİSK</v>
      </c>
      <c r="S57" s="191" t="s">
        <v>405</v>
      </c>
      <c r="T57" s="187" t="s">
        <v>348</v>
      </c>
      <c r="U57" s="192" t="s">
        <v>406</v>
      </c>
      <c r="V57" s="193" t="s">
        <v>453</v>
      </c>
      <c r="W57" s="192" t="s">
        <v>406</v>
      </c>
      <c r="X57" s="189" t="s">
        <v>408</v>
      </c>
      <c r="Y57" s="190">
        <v>0.5</v>
      </c>
      <c r="Z57" s="190">
        <v>0.5</v>
      </c>
      <c r="AA57" s="190">
        <v>1</v>
      </c>
      <c r="AB57" s="59">
        <f t="shared" si="16"/>
        <v>0.25</v>
      </c>
      <c r="AC57" s="59" t="str">
        <f t="shared" si="17"/>
        <v>DÜŞÜK RİSK</v>
      </c>
      <c r="AD57" s="187" t="s">
        <v>308</v>
      </c>
      <c r="AE57" s="187" t="s">
        <v>348</v>
      </c>
      <c r="AF57" s="187" t="s">
        <v>1026</v>
      </c>
      <c r="AG57" s="190" t="s">
        <v>467</v>
      </c>
    </row>
    <row r="58" spans="1:33" ht="125.25" customHeight="1">
      <c r="A58" s="186">
        <v>3177</v>
      </c>
      <c r="B58" s="192">
        <v>45877</v>
      </c>
      <c r="C58" s="187" t="s">
        <v>126</v>
      </c>
      <c r="D58" s="187" t="s">
        <v>300</v>
      </c>
      <c r="E58" s="188" t="s">
        <v>137</v>
      </c>
      <c r="F58" s="187" t="s">
        <v>137</v>
      </c>
      <c r="G58" s="187" t="s">
        <v>1017</v>
      </c>
      <c r="H58" s="187" t="s">
        <v>1027</v>
      </c>
      <c r="I58" s="187" t="s">
        <v>1028</v>
      </c>
      <c r="J58" s="187" t="s">
        <v>1029</v>
      </c>
      <c r="K58" s="187" t="s">
        <v>1030</v>
      </c>
      <c r="L58" s="189" t="s">
        <v>1031</v>
      </c>
      <c r="M58" s="189" t="s">
        <v>404</v>
      </c>
      <c r="N58" s="190">
        <v>0.5</v>
      </c>
      <c r="O58" s="190">
        <v>3</v>
      </c>
      <c r="P58" s="190">
        <v>3</v>
      </c>
      <c r="Q58" s="59">
        <f t="shared" si="13"/>
        <v>4.5</v>
      </c>
      <c r="R58" s="59" t="str">
        <f t="shared" si="12"/>
        <v>DÜŞÜK RİSK</v>
      </c>
      <c r="S58" s="189" t="s">
        <v>989</v>
      </c>
      <c r="T58" s="187" t="s">
        <v>351</v>
      </c>
      <c r="U58" s="192" t="s">
        <v>406</v>
      </c>
      <c r="V58" s="193" t="s">
        <v>453</v>
      </c>
      <c r="W58" s="192" t="s">
        <v>406</v>
      </c>
      <c r="X58" s="189" t="s">
        <v>408</v>
      </c>
      <c r="Y58" s="190">
        <v>0.5</v>
      </c>
      <c r="Z58" s="190">
        <v>3</v>
      </c>
      <c r="AA58" s="190">
        <v>3</v>
      </c>
      <c r="AB58" s="59">
        <f t="shared" si="16"/>
        <v>4.5</v>
      </c>
      <c r="AC58" s="59" t="str">
        <f t="shared" si="17"/>
        <v>DÜŞÜK RİSK</v>
      </c>
      <c r="AD58" s="187" t="s">
        <v>308</v>
      </c>
      <c r="AE58" s="187" t="s">
        <v>351</v>
      </c>
      <c r="AF58" s="187" t="s">
        <v>1026</v>
      </c>
      <c r="AG58" s="190" t="s">
        <v>995</v>
      </c>
    </row>
    <row r="59" spans="1:33" ht="125.25" customHeight="1">
      <c r="A59" s="186">
        <v>3178</v>
      </c>
      <c r="B59" s="192">
        <v>45877</v>
      </c>
      <c r="C59" s="187" t="s">
        <v>126</v>
      </c>
      <c r="D59" s="187" t="s">
        <v>300</v>
      </c>
      <c r="E59" s="188" t="s">
        <v>137</v>
      </c>
      <c r="F59" s="187" t="s">
        <v>137</v>
      </c>
      <c r="G59" s="187" t="s">
        <v>1032</v>
      </c>
      <c r="H59" s="187" t="s">
        <v>1033</v>
      </c>
      <c r="I59" s="187" t="s">
        <v>1034</v>
      </c>
      <c r="J59" s="187" t="s">
        <v>562</v>
      </c>
      <c r="K59" s="187" t="s">
        <v>460</v>
      </c>
      <c r="L59" s="189" t="s">
        <v>563</v>
      </c>
      <c r="M59" s="189" t="s">
        <v>404</v>
      </c>
      <c r="N59" s="190">
        <v>0.5</v>
      </c>
      <c r="O59" s="190">
        <v>6</v>
      </c>
      <c r="P59" s="190">
        <v>3</v>
      </c>
      <c r="Q59" s="59">
        <f t="shared" si="13"/>
        <v>9</v>
      </c>
      <c r="R59" s="59" t="str">
        <f t="shared" si="12"/>
        <v>DÜŞÜK RİSK</v>
      </c>
      <c r="S59" s="191" t="s">
        <v>405</v>
      </c>
      <c r="T59" s="187" t="s">
        <v>352</v>
      </c>
      <c r="U59" s="192" t="s">
        <v>406</v>
      </c>
      <c r="V59" s="193" t="s">
        <v>415</v>
      </c>
      <c r="W59" s="192" t="s">
        <v>406</v>
      </c>
      <c r="X59" s="189" t="s">
        <v>408</v>
      </c>
      <c r="Y59" s="190">
        <v>0.2</v>
      </c>
      <c r="Z59" s="190">
        <v>3</v>
      </c>
      <c r="AA59" s="190">
        <v>3</v>
      </c>
      <c r="AB59" s="59">
        <f t="shared" si="16"/>
        <v>1.8000000000000003</v>
      </c>
      <c r="AC59" s="59" t="str">
        <f t="shared" si="17"/>
        <v>DÜŞÜK RİSK</v>
      </c>
      <c r="AD59" s="187" t="s">
        <v>308</v>
      </c>
      <c r="AE59" s="187" t="s">
        <v>352</v>
      </c>
      <c r="AF59" s="187" t="s">
        <v>409</v>
      </c>
      <c r="AG59" s="190" t="s">
        <v>564</v>
      </c>
    </row>
    <row r="60" spans="1:33" ht="125.25" customHeight="1">
      <c r="A60" s="186">
        <v>3179</v>
      </c>
      <c r="B60" s="192">
        <v>45877</v>
      </c>
      <c r="C60" s="187" t="s">
        <v>126</v>
      </c>
      <c r="D60" s="187" t="s">
        <v>300</v>
      </c>
      <c r="E60" s="188" t="s">
        <v>137</v>
      </c>
      <c r="F60" s="187" t="s">
        <v>137</v>
      </c>
      <c r="G60" s="187" t="s">
        <v>1035</v>
      </c>
      <c r="H60" s="187" t="s">
        <v>1036</v>
      </c>
      <c r="I60" s="187" t="s">
        <v>459</v>
      </c>
      <c r="J60" s="187" t="s">
        <v>1037</v>
      </c>
      <c r="K60" s="187" t="s">
        <v>1010</v>
      </c>
      <c r="L60" s="189" t="s">
        <v>1038</v>
      </c>
      <c r="M60" s="189" t="s">
        <v>645</v>
      </c>
      <c r="N60" s="190">
        <v>0.5</v>
      </c>
      <c r="O60" s="190">
        <v>0.5</v>
      </c>
      <c r="P60" s="190">
        <v>1</v>
      </c>
      <c r="Q60" s="59">
        <f t="shared" si="13"/>
        <v>0.25</v>
      </c>
      <c r="R60" s="59" t="str">
        <f t="shared" si="12"/>
        <v>DÜŞÜK RİSK</v>
      </c>
      <c r="S60" s="189" t="s">
        <v>989</v>
      </c>
      <c r="T60" s="187" t="s">
        <v>347</v>
      </c>
      <c r="U60" s="192" t="s">
        <v>406</v>
      </c>
      <c r="V60" s="193" t="s">
        <v>453</v>
      </c>
      <c r="W60" s="192" t="s">
        <v>406</v>
      </c>
      <c r="X60" s="189" t="s">
        <v>408</v>
      </c>
      <c r="Y60" s="190">
        <v>0.5</v>
      </c>
      <c r="Z60" s="190">
        <v>0.5</v>
      </c>
      <c r="AA60" s="190">
        <v>1</v>
      </c>
      <c r="AB60" s="59">
        <f t="shared" si="16"/>
        <v>0.25</v>
      </c>
      <c r="AC60" s="59" t="str">
        <f t="shared" si="17"/>
        <v>DÜŞÜK RİSK</v>
      </c>
      <c r="AD60" s="187" t="s">
        <v>308</v>
      </c>
      <c r="AE60" s="187" t="s">
        <v>347</v>
      </c>
      <c r="AF60" s="187" t="s">
        <v>409</v>
      </c>
      <c r="AG60" s="190" t="s">
        <v>1039</v>
      </c>
    </row>
    <row r="61" spans="1:33" ht="125.25" customHeight="1">
      <c r="A61" s="186">
        <v>3181</v>
      </c>
      <c r="B61" s="192">
        <v>45877</v>
      </c>
      <c r="C61" s="187" t="s">
        <v>126</v>
      </c>
      <c r="D61" s="187" t="s">
        <v>300</v>
      </c>
      <c r="E61" s="188" t="s">
        <v>137</v>
      </c>
      <c r="F61" s="187" t="s">
        <v>137</v>
      </c>
      <c r="G61" s="187" t="s">
        <v>565</v>
      </c>
      <c r="H61" s="187" t="s">
        <v>566</v>
      </c>
      <c r="I61" s="187" t="s">
        <v>567</v>
      </c>
      <c r="J61" s="187" t="s">
        <v>568</v>
      </c>
      <c r="K61" s="187" t="s">
        <v>382</v>
      </c>
      <c r="L61" s="189" t="s">
        <v>569</v>
      </c>
      <c r="M61" s="189" t="s">
        <v>404</v>
      </c>
      <c r="N61" s="190">
        <v>0.5</v>
      </c>
      <c r="O61" s="190">
        <v>3</v>
      </c>
      <c r="P61" s="190">
        <v>7</v>
      </c>
      <c r="Q61" s="59">
        <f t="shared" si="13"/>
        <v>10.5</v>
      </c>
      <c r="R61" s="59" t="str">
        <f t="shared" si="12"/>
        <v>DÜŞÜK RİSK</v>
      </c>
      <c r="S61" s="191" t="s">
        <v>405</v>
      </c>
      <c r="T61" s="187" t="s">
        <v>347</v>
      </c>
      <c r="U61" s="192" t="s">
        <v>406</v>
      </c>
      <c r="V61" s="193" t="s">
        <v>415</v>
      </c>
      <c r="W61" s="192" t="s">
        <v>406</v>
      </c>
      <c r="X61" s="189" t="s">
        <v>408</v>
      </c>
      <c r="Y61" s="190">
        <v>0.5</v>
      </c>
      <c r="Z61" s="190">
        <v>3</v>
      </c>
      <c r="AA61" s="190">
        <v>7</v>
      </c>
      <c r="AB61" s="59">
        <f t="shared" si="16"/>
        <v>10.5</v>
      </c>
      <c r="AC61" s="59" t="str">
        <f t="shared" si="17"/>
        <v>DÜŞÜK RİSK</v>
      </c>
      <c r="AD61" s="187" t="s">
        <v>308</v>
      </c>
      <c r="AE61" s="187" t="s">
        <v>347</v>
      </c>
      <c r="AF61" s="187" t="s">
        <v>409</v>
      </c>
      <c r="AG61" s="190" t="s">
        <v>570</v>
      </c>
    </row>
    <row r="62" spans="1:33" ht="125.25" customHeight="1">
      <c r="A62" s="186">
        <v>3182</v>
      </c>
      <c r="B62" s="192">
        <v>45877</v>
      </c>
      <c r="C62" s="187" t="s">
        <v>126</v>
      </c>
      <c r="D62" s="187" t="s">
        <v>300</v>
      </c>
      <c r="E62" s="188" t="s">
        <v>137</v>
      </c>
      <c r="F62" s="187" t="s">
        <v>137</v>
      </c>
      <c r="G62" s="187" t="s">
        <v>455</v>
      </c>
      <c r="H62" s="187" t="s">
        <v>571</v>
      </c>
      <c r="I62" s="187" t="s">
        <v>572</v>
      </c>
      <c r="J62" s="187" t="s">
        <v>573</v>
      </c>
      <c r="K62" s="187" t="s">
        <v>382</v>
      </c>
      <c r="L62" s="189" t="s">
        <v>574</v>
      </c>
      <c r="M62" s="189" t="s">
        <v>404</v>
      </c>
      <c r="N62" s="190">
        <v>3</v>
      </c>
      <c r="O62" s="190">
        <v>6</v>
      </c>
      <c r="P62" s="190">
        <v>1</v>
      </c>
      <c r="Q62" s="59">
        <f t="shared" si="13"/>
        <v>18</v>
      </c>
      <c r="R62" s="59" t="str">
        <f t="shared" si="12"/>
        <v>DÜŞÜK RİSK</v>
      </c>
      <c r="S62" s="191" t="s">
        <v>405</v>
      </c>
      <c r="T62" s="187" t="s">
        <v>347</v>
      </c>
      <c r="U62" s="192" t="s">
        <v>406</v>
      </c>
      <c r="V62" s="193" t="s">
        <v>415</v>
      </c>
      <c r="W62" s="192" t="s">
        <v>406</v>
      </c>
      <c r="X62" s="189" t="s">
        <v>408</v>
      </c>
      <c r="Y62" s="190">
        <v>3</v>
      </c>
      <c r="Z62" s="190">
        <v>3</v>
      </c>
      <c r="AA62" s="190">
        <v>1</v>
      </c>
      <c r="AB62" s="59">
        <f t="shared" si="16"/>
        <v>9</v>
      </c>
      <c r="AC62" s="59" t="str">
        <f t="shared" si="17"/>
        <v>DÜŞÜK RİSK</v>
      </c>
      <c r="AD62" s="187" t="s">
        <v>308</v>
      </c>
      <c r="AE62" s="187" t="s">
        <v>347</v>
      </c>
      <c r="AF62" s="187" t="s">
        <v>409</v>
      </c>
      <c r="AG62" s="190" t="s">
        <v>520</v>
      </c>
    </row>
    <row r="63" spans="1:33" ht="125.25" customHeight="1">
      <c r="A63" s="186">
        <v>3183</v>
      </c>
      <c r="B63" s="192">
        <v>45877</v>
      </c>
      <c r="C63" s="187" t="s">
        <v>126</v>
      </c>
      <c r="D63" s="187" t="s">
        <v>299</v>
      </c>
      <c r="E63" s="188" t="s">
        <v>137</v>
      </c>
      <c r="F63" s="187" t="s">
        <v>137</v>
      </c>
      <c r="G63" s="187" t="s">
        <v>515</v>
      </c>
      <c r="H63" s="187" t="s">
        <v>516</v>
      </c>
      <c r="I63" s="187" t="s">
        <v>517</v>
      </c>
      <c r="J63" s="187" t="s">
        <v>518</v>
      </c>
      <c r="K63" s="187" t="s">
        <v>428</v>
      </c>
      <c r="L63" s="189" t="s">
        <v>519</v>
      </c>
      <c r="M63" s="189" t="s">
        <v>404</v>
      </c>
      <c r="N63" s="190">
        <v>0.5</v>
      </c>
      <c r="O63" s="190">
        <v>0.5</v>
      </c>
      <c r="P63" s="190">
        <v>1</v>
      </c>
      <c r="Q63" s="59">
        <f t="shared" si="13"/>
        <v>0.25</v>
      </c>
      <c r="R63" s="59" t="str">
        <f t="shared" si="12"/>
        <v>DÜŞÜK RİSK</v>
      </c>
      <c r="S63" s="191" t="s">
        <v>405</v>
      </c>
      <c r="T63" s="189" t="s">
        <v>352</v>
      </c>
      <c r="U63" s="192" t="s">
        <v>406</v>
      </c>
      <c r="V63" s="193" t="s">
        <v>453</v>
      </c>
      <c r="W63" s="192" t="s">
        <v>406</v>
      </c>
      <c r="X63" s="189" t="s">
        <v>408</v>
      </c>
      <c r="Y63" s="190">
        <v>0.5</v>
      </c>
      <c r="Z63" s="190">
        <v>0.5</v>
      </c>
      <c r="AA63" s="190">
        <v>1</v>
      </c>
      <c r="AB63" s="59">
        <f t="shared" si="16"/>
        <v>0.25</v>
      </c>
      <c r="AC63" s="59" t="str">
        <f t="shared" si="17"/>
        <v>DÜŞÜK RİSK</v>
      </c>
      <c r="AD63" s="187" t="s">
        <v>308</v>
      </c>
      <c r="AE63" s="189" t="s">
        <v>352</v>
      </c>
      <c r="AF63" s="187" t="s">
        <v>458</v>
      </c>
      <c r="AG63" s="190" t="s">
        <v>520</v>
      </c>
    </row>
    <row r="64" spans="1:33" ht="125.25" customHeight="1">
      <c r="A64" s="186">
        <v>3184</v>
      </c>
      <c r="B64" s="192">
        <v>45877</v>
      </c>
      <c r="C64" s="187" t="s">
        <v>126</v>
      </c>
      <c r="D64" s="187" t="s">
        <v>299</v>
      </c>
      <c r="E64" s="188" t="s">
        <v>137</v>
      </c>
      <c r="F64" s="187" t="s">
        <v>137</v>
      </c>
      <c r="G64" s="187" t="s">
        <v>521</v>
      </c>
      <c r="H64" s="187" t="s">
        <v>522</v>
      </c>
      <c r="I64" s="187" t="s">
        <v>523</v>
      </c>
      <c r="J64" s="187" t="s">
        <v>524</v>
      </c>
      <c r="K64" s="187" t="s">
        <v>428</v>
      </c>
      <c r="L64" s="189" t="s">
        <v>525</v>
      </c>
      <c r="M64" s="189" t="s">
        <v>404</v>
      </c>
      <c r="N64" s="190">
        <v>1</v>
      </c>
      <c r="O64" s="190">
        <v>3</v>
      </c>
      <c r="P64" s="190">
        <v>15</v>
      </c>
      <c r="Q64" s="59">
        <f t="shared" si="13"/>
        <v>45</v>
      </c>
      <c r="R64" s="59" t="str">
        <f t="shared" si="12"/>
        <v>OLASI RİSK</v>
      </c>
      <c r="S64" s="191" t="s">
        <v>405</v>
      </c>
      <c r="T64" s="187" t="s">
        <v>359</v>
      </c>
      <c r="U64" s="192" t="s">
        <v>406</v>
      </c>
      <c r="V64" s="193" t="s">
        <v>415</v>
      </c>
      <c r="W64" s="192" t="s">
        <v>406</v>
      </c>
      <c r="X64" s="189" t="s">
        <v>408</v>
      </c>
      <c r="Y64" s="190">
        <v>1</v>
      </c>
      <c r="Z64" s="190">
        <v>2</v>
      </c>
      <c r="AA64" s="190">
        <v>3</v>
      </c>
      <c r="AB64" s="59">
        <f t="shared" si="16"/>
        <v>6</v>
      </c>
      <c r="AC64" s="59" t="str">
        <f t="shared" si="17"/>
        <v>DÜŞÜK RİSK</v>
      </c>
      <c r="AD64" s="187" t="s">
        <v>296</v>
      </c>
      <c r="AE64" s="187" t="s">
        <v>359</v>
      </c>
      <c r="AF64" s="187" t="s">
        <v>526</v>
      </c>
      <c r="AG64" s="190" t="s">
        <v>520</v>
      </c>
    </row>
    <row r="65" spans="1:33" ht="125.25" customHeight="1">
      <c r="A65" s="186">
        <v>3185</v>
      </c>
      <c r="B65" s="192">
        <v>45877</v>
      </c>
      <c r="C65" s="187" t="s">
        <v>126</v>
      </c>
      <c r="D65" s="187" t="s">
        <v>299</v>
      </c>
      <c r="E65" s="188" t="s">
        <v>137</v>
      </c>
      <c r="F65" s="187" t="s">
        <v>137</v>
      </c>
      <c r="G65" s="187" t="s">
        <v>527</v>
      </c>
      <c r="H65" s="187" t="s">
        <v>528</v>
      </c>
      <c r="I65" s="187" t="s">
        <v>528</v>
      </c>
      <c r="J65" s="187" t="s">
        <v>529</v>
      </c>
      <c r="K65" s="187" t="s">
        <v>402</v>
      </c>
      <c r="L65" s="189" t="s">
        <v>531</v>
      </c>
      <c r="M65" s="189" t="s">
        <v>404</v>
      </c>
      <c r="N65" s="190">
        <v>0.5</v>
      </c>
      <c r="O65" s="190">
        <v>2</v>
      </c>
      <c r="P65" s="190">
        <v>1</v>
      </c>
      <c r="Q65" s="59">
        <f t="shared" si="13"/>
        <v>1</v>
      </c>
      <c r="R65" s="59" t="str">
        <f t="shared" si="12"/>
        <v>DÜŞÜK RİSK</v>
      </c>
      <c r="S65" s="191" t="s">
        <v>405</v>
      </c>
      <c r="T65" s="187" t="s">
        <v>353</v>
      </c>
      <c r="U65" s="192" t="s">
        <v>406</v>
      </c>
      <c r="V65" s="193" t="s">
        <v>415</v>
      </c>
      <c r="W65" s="192" t="s">
        <v>406</v>
      </c>
      <c r="X65" s="189" t="s">
        <v>408</v>
      </c>
      <c r="Y65" s="190">
        <v>0.5</v>
      </c>
      <c r="Z65" s="190">
        <v>1</v>
      </c>
      <c r="AA65" s="190">
        <v>1</v>
      </c>
      <c r="AB65" s="59">
        <f t="shared" si="16"/>
        <v>0.5</v>
      </c>
      <c r="AC65" s="59" t="str">
        <f t="shared" si="17"/>
        <v>DÜŞÜK RİSK</v>
      </c>
      <c r="AD65" s="187" t="s">
        <v>296</v>
      </c>
      <c r="AE65" s="187" t="s">
        <v>353</v>
      </c>
      <c r="AF65" s="187" t="s">
        <v>398</v>
      </c>
      <c r="AG65" s="190" t="s">
        <v>520</v>
      </c>
    </row>
    <row r="66" spans="1:33" ht="125.25" customHeight="1">
      <c r="A66" s="186">
        <v>3186</v>
      </c>
      <c r="B66" s="192">
        <v>45877</v>
      </c>
      <c r="C66" s="187" t="s">
        <v>126</v>
      </c>
      <c r="D66" s="187" t="s">
        <v>299</v>
      </c>
      <c r="E66" s="188" t="s">
        <v>137</v>
      </c>
      <c r="F66" s="187" t="s">
        <v>137</v>
      </c>
      <c r="G66" s="187" t="s">
        <v>532</v>
      </c>
      <c r="H66" s="187" t="s">
        <v>533</v>
      </c>
      <c r="I66" s="187" t="s">
        <v>933</v>
      </c>
      <c r="J66" s="187" t="s">
        <v>934</v>
      </c>
      <c r="K66" s="187" t="s">
        <v>428</v>
      </c>
      <c r="L66" s="189" t="s">
        <v>534</v>
      </c>
      <c r="M66" s="189" t="s">
        <v>404</v>
      </c>
      <c r="N66" s="190">
        <v>3</v>
      </c>
      <c r="O66" s="190">
        <v>6</v>
      </c>
      <c r="P66" s="190">
        <v>3</v>
      </c>
      <c r="Q66" s="59">
        <f t="shared" si="13"/>
        <v>54</v>
      </c>
      <c r="R66" s="59" t="str">
        <f t="shared" si="12"/>
        <v>OLASI RİSK</v>
      </c>
      <c r="S66" s="191" t="s">
        <v>405</v>
      </c>
      <c r="T66" s="189" t="s">
        <v>352</v>
      </c>
      <c r="U66" s="192" t="s">
        <v>406</v>
      </c>
      <c r="V66" s="193" t="s">
        <v>415</v>
      </c>
      <c r="W66" s="192" t="s">
        <v>406</v>
      </c>
      <c r="X66" s="189" t="s">
        <v>408</v>
      </c>
      <c r="Y66" s="190">
        <v>1</v>
      </c>
      <c r="Z66" s="190">
        <v>3</v>
      </c>
      <c r="AA66" s="190">
        <v>3</v>
      </c>
      <c r="AB66" s="59">
        <f t="shared" si="16"/>
        <v>9</v>
      </c>
      <c r="AC66" s="59" t="str">
        <f t="shared" si="17"/>
        <v>DÜŞÜK RİSK</v>
      </c>
      <c r="AD66" s="187" t="s">
        <v>309</v>
      </c>
      <c r="AE66" s="189" t="s">
        <v>352</v>
      </c>
      <c r="AF66" s="187" t="s">
        <v>535</v>
      </c>
      <c r="AG66" s="190" t="s">
        <v>520</v>
      </c>
    </row>
    <row r="67" spans="1:33" ht="125.25" customHeight="1">
      <c r="A67" s="186">
        <v>3187</v>
      </c>
      <c r="B67" s="192">
        <v>45877</v>
      </c>
      <c r="C67" s="187" t="s">
        <v>126</v>
      </c>
      <c r="D67" s="187" t="s">
        <v>299</v>
      </c>
      <c r="E67" s="188" t="s">
        <v>137</v>
      </c>
      <c r="F67" s="187" t="s">
        <v>137</v>
      </c>
      <c r="G67" s="187" t="s">
        <v>536</v>
      </c>
      <c r="H67" s="187" t="s">
        <v>537</v>
      </c>
      <c r="I67" s="187" t="s">
        <v>538</v>
      </c>
      <c r="J67" s="187" t="s">
        <v>539</v>
      </c>
      <c r="K67" s="187" t="s">
        <v>540</v>
      </c>
      <c r="L67" s="189" t="s">
        <v>541</v>
      </c>
      <c r="M67" s="189" t="s">
        <v>404</v>
      </c>
      <c r="N67" s="190">
        <v>1</v>
      </c>
      <c r="O67" s="190">
        <v>0.5</v>
      </c>
      <c r="P67" s="190">
        <v>1</v>
      </c>
      <c r="Q67" s="59">
        <f t="shared" si="13"/>
        <v>0.5</v>
      </c>
      <c r="R67" s="59" t="str">
        <f t="shared" si="12"/>
        <v>DÜŞÜK RİSK</v>
      </c>
      <c r="S67" s="191" t="s">
        <v>405</v>
      </c>
      <c r="T67" s="189" t="s">
        <v>352</v>
      </c>
      <c r="U67" s="192" t="s">
        <v>406</v>
      </c>
      <c r="V67" s="193" t="s">
        <v>415</v>
      </c>
      <c r="W67" s="192" t="s">
        <v>406</v>
      </c>
      <c r="X67" s="189" t="s">
        <v>408</v>
      </c>
      <c r="Y67" s="190">
        <v>1</v>
      </c>
      <c r="Z67" s="190">
        <v>0.5</v>
      </c>
      <c r="AA67" s="190">
        <v>1</v>
      </c>
      <c r="AB67" s="59">
        <f t="shared" si="16"/>
        <v>0.5</v>
      </c>
      <c r="AC67" s="59" t="str">
        <f t="shared" si="17"/>
        <v>DÜŞÜK RİSK</v>
      </c>
      <c r="AD67" s="187" t="s">
        <v>309</v>
      </c>
      <c r="AE67" s="189" t="s">
        <v>352</v>
      </c>
      <c r="AF67" s="187" t="s">
        <v>542</v>
      </c>
      <c r="AG67" s="190" t="s">
        <v>543</v>
      </c>
    </row>
    <row r="68" spans="1:33" ht="125.25" customHeight="1">
      <c r="A68" s="186">
        <v>3188</v>
      </c>
      <c r="B68" s="192">
        <v>45877</v>
      </c>
      <c r="C68" s="187" t="s">
        <v>126</v>
      </c>
      <c r="D68" s="187" t="s">
        <v>299</v>
      </c>
      <c r="E68" s="188" t="s">
        <v>137</v>
      </c>
      <c r="F68" s="187" t="s">
        <v>137</v>
      </c>
      <c r="G68" s="187" t="s">
        <v>536</v>
      </c>
      <c r="H68" s="187" t="s">
        <v>544</v>
      </c>
      <c r="I68" s="187" t="s">
        <v>545</v>
      </c>
      <c r="J68" s="187" t="s">
        <v>529</v>
      </c>
      <c r="K68" s="187" t="s">
        <v>460</v>
      </c>
      <c r="L68" s="189" t="s">
        <v>534</v>
      </c>
      <c r="M68" s="189" t="s">
        <v>404</v>
      </c>
      <c r="N68" s="190">
        <v>0.5</v>
      </c>
      <c r="O68" s="190">
        <v>1</v>
      </c>
      <c r="P68" s="190">
        <v>3</v>
      </c>
      <c r="Q68" s="59">
        <f t="shared" si="13"/>
        <v>1.5</v>
      </c>
      <c r="R68" s="59" t="str">
        <f t="shared" si="12"/>
        <v>DÜŞÜK RİSK</v>
      </c>
      <c r="S68" s="191" t="s">
        <v>405</v>
      </c>
      <c r="T68" s="189" t="s">
        <v>352</v>
      </c>
      <c r="U68" s="192" t="s">
        <v>406</v>
      </c>
      <c r="V68" s="193" t="s">
        <v>415</v>
      </c>
      <c r="W68" s="192" t="s">
        <v>406</v>
      </c>
      <c r="X68" s="189" t="s">
        <v>408</v>
      </c>
      <c r="Y68" s="190">
        <v>0.5</v>
      </c>
      <c r="Z68" s="190">
        <v>1</v>
      </c>
      <c r="AA68" s="190">
        <v>3</v>
      </c>
      <c r="AB68" s="59">
        <f t="shared" si="16"/>
        <v>1.5</v>
      </c>
      <c r="AC68" s="59" t="str">
        <f t="shared" si="17"/>
        <v>DÜŞÜK RİSK</v>
      </c>
      <c r="AD68" s="187" t="s">
        <v>309</v>
      </c>
      <c r="AE68" s="189" t="s">
        <v>352</v>
      </c>
      <c r="AF68" s="187" t="s">
        <v>535</v>
      </c>
      <c r="AG68" s="190" t="s">
        <v>520</v>
      </c>
    </row>
    <row r="69" spans="1:33" ht="125.25" customHeight="1">
      <c r="A69" s="186">
        <v>3189</v>
      </c>
      <c r="B69" s="192">
        <v>45877</v>
      </c>
      <c r="C69" s="187" t="s">
        <v>126</v>
      </c>
      <c r="D69" s="187" t="s">
        <v>299</v>
      </c>
      <c r="E69" s="188" t="s">
        <v>137</v>
      </c>
      <c r="F69" s="187" t="s">
        <v>137</v>
      </c>
      <c r="G69" s="187" t="s">
        <v>546</v>
      </c>
      <c r="H69" s="187" t="s">
        <v>547</v>
      </c>
      <c r="I69" s="187" t="s">
        <v>548</v>
      </c>
      <c r="J69" s="187" t="s">
        <v>549</v>
      </c>
      <c r="K69" s="187" t="s">
        <v>460</v>
      </c>
      <c r="L69" s="189" t="s">
        <v>550</v>
      </c>
      <c r="M69" s="189" t="s">
        <v>404</v>
      </c>
      <c r="N69" s="190">
        <v>1</v>
      </c>
      <c r="O69" s="190">
        <v>3</v>
      </c>
      <c r="P69" s="190">
        <v>3</v>
      </c>
      <c r="Q69" s="59">
        <f t="shared" si="13"/>
        <v>9</v>
      </c>
      <c r="R69" s="59" t="str">
        <f t="shared" si="12"/>
        <v>DÜŞÜK RİSK</v>
      </c>
      <c r="S69" s="191" t="s">
        <v>405</v>
      </c>
      <c r="T69" s="189" t="s">
        <v>308</v>
      </c>
      <c r="U69" s="192" t="s">
        <v>406</v>
      </c>
      <c r="V69" s="193" t="s">
        <v>415</v>
      </c>
      <c r="W69" s="192" t="s">
        <v>406</v>
      </c>
      <c r="X69" s="189" t="s">
        <v>408</v>
      </c>
      <c r="Y69" s="190">
        <v>0.5</v>
      </c>
      <c r="Z69" s="190">
        <v>3</v>
      </c>
      <c r="AA69" s="190">
        <v>3</v>
      </c>
      <c r="AB69" s="59">
        <f t="shared" si="16"/>
        <v>4.5</v>
      </c>
      <c r="AC69" s="59" t="str">
        <f t="shared" si="17"/>
        <v>DÜŞÜK RİSK</v>
      </c>
      <c r="AD69" s="187" t="s">
        <v>307</v>
      </c>
      <c r="AE69" s="187" t="s">
        <v>308</v>
      </c>
      <c r="AF69" s="187" t="s">
        <v>551</v>
      </c>
      <c r="AG69" s="190" t="s">
        <v>520</v>
      </c>
    </row>
    <row r="70" spans="1:33" ht="125.25" customHeight="1">
      <c r="A70" s="186">
        <v>3190</v>
      </c>
      <c r="B70" s="192">
        <v>45877</v>
      </c>
      <c r="C70" s="187" t="s">
        <v>126</v>
      </c>
      <c r="D70" s="187" t="s">
        <v>299</v>
      </c>
      <c r="E70" s="188" t="s">
        <v>137</v>
      </c>
      <c r="F70" s="187" t="s">
        <v>137</v>
      </c>
      <c r="G70" s="187" t="s">
        <v>546</v>
      </c>
      <c r="H70" s="187" t="s">
        <v>552</v>
      </c>
      <c r="I70" s="187" t="s">
        <v>553</v>
      </c>
      <c r="J70" s="187" t="s">
        <v>554</v>
      </c>
      <c r="K70" s="187" t="s">
        <v>530</v>
      </c>
      <c r="L70" s="189" t="s">
        <v>550</v>
      </c>
      <c r="M70" s="189" t="s">
        <v>404</v>
      </c>
      <c r="N70" s="190">
        <v>1</v>
      </c>
      <c r="O70" s="190">
        <v>3</v>
      </c>
      <c r="P70" s="190">
        <v>3</v>
      </c>
      <c r="Q70" s="59">
        <f t="shared" si="13"/>
        <v>9</v>
      </c>
      <c r="R70" s="59" t="str">
        <f t="shared" si="12"/>
        <v>DÜŞÜK RİSK</v>
      </c>
      <c r="S70" s="191" t="s">
        <v>405</v>
      </c>
      <c r="T70" s="189" t="s">
        <v>308</v>
      </c>
      <c r="U70" s="192" t="s">
        <v>406</v>
      </c>
      <c r="V70" s="193" t="s">
        <v>415</v>
      </c>
      <c r="W70" s="192" t="s">
        <v>406</v>
      </c>
      <c r="X70" s="189" t="s">
        <v>408</v>
      </c>
      <c r="Y70" s="190">
        <v>0.5</v>
      </c>
      <c r="Z70" s="190">
        <v>3</v>
      </c>
      <c r="AA70" s="190">
        <v>3</v>
      </c>
      <c r="AB70" s="59">
        <f t="shared" si="16"/>
        <v>4.5</v>
      </c>
      <c r="AC70" s="59" t="str">
        <f t="shared" si="17"/>
        <v>DÜŞÜK RİSK</v>
      </c>
      <c r="AD70" s="187" t="s">
        <v>307</v>
      </c>
      <c r="AE70" s="187" t="s">
        <v>308</v>
      </c>
      <c r="AF70" s="187" t="s">
        <v>551</v>
      </c>
      <c r="AG70" s="190" t="s">
        <v>520</v>
      </c>
    </row>
    <row r="71" spans="1:33" ht="125.25" customHeight="1">
      <c r="A71" s="186">
        <v>3191</v>
      </c>
      <c r="B71" s="192">
        <v>45877</v>
      </c>
      <c r="C71" s="187" t="s">
        <v>126</v>
      </c>
      <c r="D71" s="187" t="s">
        <v>299</v>
      </c>
      <c r="E71" s="188" t="s">
        <v>137</v>
      </c>
      <c r="F71" s="187" t="s">
        <v>137</v>
      </c>
      <c r="G71" s="187" t="s">
        <v>546</v>
      </c>
      <c r="H71" s="187" t="s">
        <v>555</v>
      </c>
      <c r="I71" s="187" t="s">
        <v>556</v>
      </c>
      <c r="J71" s="187" t="s">
        <v>557</v>
      </c>
      <c r="K71" s="187" t="s">
        <v>530</v>
      </c>
      <c r="L71" s="189" t="s">
        <v>550</v>
      </c>
      <c r="M71" s="189" t="s">
        <v>404</v>
      </c>
      <c r="N71" s="190">
        <v>1</v>
      </c>
      <c r="O71" s="190">
        <v>3</v>
      </c>
      <c r="P71" s="190">
        <v>3</v>
      </c>
      <c r="Q71" s="59">
        <f t="shared" si="13"/>
        <v>9</v>
      </c>
      <c r="R71" s="59" t="str">
        <f t="shared" si="12"/>
        <v>DÜŞÜK RİSK</v>
      </c>
      <c r="S71" s="191" t="s">
        <v>405</v>
      </c>
      <c r="T71" s="189" t="s">
        <v>308</v>
      </c>
      <c r="U71" s="192" t="s">
        <v>406</v>
      </c>
      <c r="V71" s="193" t="s">
        <v>415</v>
      </c>
      <c r="W71" s="192" t="s">
        <v>406</v>
      </c>
      <c r="X71" s="189" t="s">
        <v>408</v>
      </c>
      <c r="Y71" s="190">
        <v>0.5</v>
      </c>
      <c r="Z71" s="190">
        <v>3</v>
      </c>
      <c r="AA71" s="190">
        <v>3</v>
      </c>
      <c r="AB71" s="59">
        <f t="shared" si="16"/>
        <v>4.5</v>
      </c>
      <c r="AC71" s="59" t="str">
        <f t="shared" si="17"/>
        <v>DÜŞÜK RİSK</v>
      </c>
      <c r="AD71" s="187" t="s">
        <v>307</v>
      </c>
      <c r="AE71" s="187" t="s">
        <v>308</v>
      </c>
      <c r="AF71" s="187" t="s">
        <v>551</v>
      </c>
      <c r="AG71" s="190" t="s">
        <v>520</v>
      </c>
    </row>
    <row r="72" spans="1:33" ht="125.25" customHeight="1">
      <c r="A72" s="186">
        <v>3192</v>
      </c>
      <c r="B72" s="192">
        <v>45877</v>
      </c>
      <c r="C72" s="187" t="s">
        <v>126</v>
      </c>
      <c r="D72" s="187" t="s">
        <v>299</v>
      </c>
      <c r="E72" s="188" t="s">
        <v>137</v>
      </c>
      <c r="F72" s="187" t="s">
        <v>137</v>
      </c>
      <c r="G72" s="187" t="s">
        <v>558</v>
      </c>
      <c r="H72" s="187" t="s">
        <v>559</v>
      </c>
      <c r="I72" s="187" t="s">
        <v>560</v>
      </c>
      <c r="J72" s="187" t="s">
        <v>529</v>
      </c>
      <c r="K72" s="187" t="s">
        <v>530</v>
      </c>
      <c r="L72" s="189" t="s">
        <v>550</v>
      </c>
      <c r="M72" s="189" t="s">
        <v>404</v>
      </c>
      <c r="N72" s="190">
        <v>1</v>
      </c>
      <c r="O72" s="190">
        <v>3</v>
      </c>
      <c r="P72" s="190">
        <v>3</v>
      </c>
      <c r="Q72" s="59">
        <f t="shared" si="13"/>
        <v>9</v>
      </c>
      <c r="R72" s="59" t="str">
        <f t="shared" si="12"/>
        <v>DÜŞÜK RİSK</v>
      </c>
      <c r="S72" s="191" t="s">
        <v>405</v>
      </c>
      <c r="T72" s="189" t="s">
        <v>308</v>
      </c>
      <c r="U72" s="192" t="s">
        <v>406</v>
      </c>
      <c r="V72" s="193" t="s">
        <v>415</v>
      </c>
      <c r="W72" s="192" t="s">
        <v>406</v>
      </c>
      <c r="X72" s="189" t="s">
        <v>408</v>
      </c>
      <c r="Y72" s="190">
        <v>0.5</v>
      </c>
      <c r="Z72" s="190">
        <v>3</v>
      </c>
      <c r="AA72" s="190">
        <v>3</v>
      </c>
      <c r="AB72" s="59">
        <f t="shared" si="16"/>
        <v>4.5</v>
      </c>
      <c r="AC72" s="59" t="str">
        <f t="shared" si="17"/>
        <v>DÜŞÜK RİSK</v>
      </c>
      <c r="AD72" s="187" t="s">
        <v>307</v>
      </c>
      <c r="AE72" s="187" t="s">
        <v>308</v>
      </c>
      <c r="AF72" s="187" t="s">
        <v>551</v>
      </c>
      <c r="AG72" s="190" t="s">
        <v>520</v>
      </c>
    </row>
    <row r="73" spans="1:33" ht="125.25" customHeight="1">
      <c r="A73" s="186">
        <v>3193</v>
      </c>
      <c r="B73" s="192">
        <v>45877</v>
      </c>
      <c r="C73" s="187" t="s">
        <v>126</v>
      </c>
      <c r="D73" s="187" t="s">
        <v>299</v>
      </c>
      <c r="E73" s="188" t="s">
        <v>137</v>
      </c>
      <c r="F73" s="187" t="s">
        <v>137</v>
      </c>
      <c r="G73" s="187" t="s">
        <v>558</v>
      </c>
      <c r="H73" s="187" t="s">
        <v>561</v>
      </c>
      <c r="I73" s="187" t="s">
        <v>560</v>
      </c>
      <c r="J73" s="187" t="s">
        <v>529</v>
      </c>
      <c r="K73" s="187" t="s">
        <v>530</v>
      </c>
      <c r="L73" s="189" t="s">
        <v>550</v>
      </c>
      <c r="M73" s="189" t="s">
        <v>404</v>
      </c>
      <c r="N73" s="190">
        <v>0.5</v>
      </c>
      <c r="O73" s="190">
        <v>3</v>
      </c>
      <c r="P73" s="190">
        <v>3</v>
      </c>
      <c r="Q73" s="59">
        <f t="shared" si="13"/>
        <v>4.5</v>
      </c>
      <c r="R73" s="59" t="str">
        <f t="shared" si="12"/>
        <v>DÜŞÜK RİSK</v>
      </c>
      <c r="S73" s="191" t="s">
        <v>405</v>
      </c>
      <c r="T73" s="189" t="s">
        <v>308</v>
      </c>
      <c r="U73" s="192" t="s">
        <v>406</v>
      </c>
      <c r="V73" s="193" t="s">
        <v>415</v>
      </c>
      <c r="W73" s="192" t="s">
        <v>406</v>
      </c>
      <c r="X73" s="189" t="s">
        <v>408</v>
      </c>
      <c r="Y73" s="190">
        <v>0.5</v>
      </c>
      <c r="Z73" s="190">
        <v>3</v>
      </c>
      <c r="AA73" s="190">
        <v>3</v>
      </c>
      <c r="AB73" s="59">
        <f t="shared" si="16"/>
        <v>4.5</v>
      </c>
      <c r="AC73" s="59" t="str">
        <f t="shared" si="17"/>
        <v>DÜŞÜK RİSK</v>
      </c>
      <c r="AD73" s="187" t="s">
        <v>307</v>
      </c>
      <c r="AE73" s="187" t="s">
        <v>308</v>
      </c>
      <c r="AF73" s="187" t="s">
        <v>551</v>
      </c>
      <c r="AG73" s="190" t="s">
        <v>520</v>
      </c>
    </row>
    <row r="74" spans="1:33" ht="125.25" customHeight="1">
      <c r="A74" s="186">
        <v>3194</v>
      </c>
      <c r="B74" s="192">
        <v>45877</v>
      </c>
      <c r="C74" s="187" t="s">
        <v>126</v>
      </c>
      <c r="D74" s="187" t="s">
        <v>341</v>
      </c>
      <c r="E74" s="188" t="s">
        <v>137</v>
      </c>
      <c r="F74" s="187" t="s">
        <v>137</v>
      </c>
      <c r="G74" s="187" t="s">
        <v>575</v>
      </c>
      <c r="H74" s="187" t="s">
        <v>1106</v>
      </c>
      <c r="I74" s="187" t="s">
        <v>576</v>
      </c>
      <c r="J74" s="187" t="s">
        <v>577</v>
      </c>
      <c r="K74" s="187" t="s">
        <v>935</v>
      </c>
      <c r="L74" s="189" t="s">
        <v>578</v>
      </c>
      <c r="M74" s="189" t="s">
        <v>404</v>
      </c>
      <c r="N74" s="190">
        <v>0.5</v>
      </c>
      <c r="O74" s="190">
        <v>2</v>
      </c>
      <c r="P74" s="190">
        <v>40</v>
      </c>
      <c r="Q74" s="59">
        <f t="shared" si="13"/>
        <v>40</v>
      </c>
      <c r="R74" s="59" t="str">
        <f t="shared" si="12"/>
        <v>OLASI RİSK</v>
      </c>
      <c r="S74" s="191" t="s">
        <v>405</v>
      </c>
      <c r="T74" s="189" t="s">
        <v>348</v>
      </c>
      <c r="U74" s="192" t="s">
        <v>406</v>
      </c>
      <c r="V74" s="193" t="s">
        <v>415</v>
      </c>
      <c r="W74" s="192" t="s">
        <v>406</v>
      </c>
      <c r="X74" s="189" t="s">
        <v>408</v>
      </c>
      <c r="Y74" s="190">
        <v>0.5</v>
      </c>
      <c r="Z74" s="190">
        <v>2</v>
      </c>
      <c r="AA74" s="190">
        <v>15</v>
      </c>
      <c r="AB74" s="59">
        <f t="shared" si="16"/>
        <v>15</v>
      </c>
      <c r="AC74" s="59" t="str">
        <f t="shared" si="17"/>
        <v>DÜŞÜK RİSK</v>
      </c>
      <c r="AD74" s="187" t="s">
        <v>309</v>
      </c>
      <c r="AE74" s="189" t="s">
        <v>348</v>
      </c>
      <c r="AF74" s="187" t="s">
        <v>409</v>
      </c>
      <c r="AG74" s="190" t="s">
        <v>579</v>
      </c>
    </row>
    <row r="75" spans="1:33" ht="125.25" customHeight="1">
      <c r="A75" s="186">
        <v>3195</v>
      </c>
      <c r="B75" s="192">
        <v>45877</v>
      </c>
      <c r="C75" s="187" t="s">
        <v>126</v>
      </c>
      <c r="D75" s="187" t="s">
        <v>341</v>
      </c>
      <c r="E75" s="188" t="s">
        <v>137</v>
      </c>
      <c r="F75" s="187" t="s">
        <v>137</v>
      </c>
      <c r="G75" s="187" t="s">
        <v>575</v>
      </c>
      <c r="H75" s="187" t="s">
        <v>1107</v>
      </c>
      <c r="I75" s="187" t="s">
        <v>580</v>
      </c>
      <c r="J75" s="187" t="s">
        <v>581</v>
      </c>
      <c r="K75" s="187" t="s">
        <v>935</v>
      </c>
      <c r="L75" s="189" t="s">
        <v>578</v>
      </c>
      <c r="M75" s="189" t="s">
        <v>404</v>
      </c>
      <c r="N75" s="190">
        <v>0.5</v>
      </c>
      <c r="O75" s="190">
        <v>2</v>
      </c>
      <c r="P75" s="190">
        <v>15</v>
      </c>
      <c r="Q75" s="59">
        <f t="shared" si="13"/>
        <v>15</v>
      </c>
      <c r="R75" s="59" t="str">
        <f t="shared" si="12"/>
        <v>DÜŞÜK RİSK</v>
      </c>
      <c r="S75" s="191" t="s">
        <v>405</v>
      </c>
      <c r="T75" s="189" t="s">
        <v>348</v>
      </c>
      <c r="U75" s="192" t="s">
        <v>406</v>
      </c>
      <c r="V75" s="193" t="s">
        <v>415</v>
      </c>
      <c r="W75" s="192" t="s">
        <v>406</v>
      </c>
      <c r="X75" s="189" t="s">
        <v>408</v>
      </c>
      <c r="Y75" s="190">
        <v>0.5</v>
      </c>
      <c r="Z75" s="190">
        <v>2</v>
      </c>
      <c r="AA75" s="190">
        <v>15</v>
      </c>
      <c r="AB75" s="59">
        <f t="shared" si="16"/>
        <v>15</v>
      </c>
      <c r="AC75" s="59" t="str">
        <f t="shared" si="17"/>
        <v>DÜŞÜK RİSK</v>
      </c>
      <c r="AD75" s="187" t="s">
        <v>309</v>
      </c>
      <c r="AE75" s="189" t="s">
        <v>348</v>
      </c>
      <c r="AF75" s="187" t="s">
        <v>409</v>
      </c>
      <c r="AG75" s="190" t="s">
        <v>579</v>
      </c>
    </row>
    <row r="76" spans="1:33" ht="125.25" customHeight="1">
      <c r="A76" s="186">
        <v>3196</v>
      </c>
      <c r="B76" s="192">
        <v>45877</v>
      </c>
      <c r="C76" s="187" t="s">
        <v>126</v>
      </c>
      <c r="D76" s="187" t="s">
        <v>341</v>
      </c>
      <c r="E76" s="188" t="s">
        <v>137</v>
      </c>
      <c r="F76" s="187" t="s">
        <v>137</v>
      </c>
      <c r="G76" s="187" t="s">
        <v>575</v>
      </c>
      <c r="H76" s="187" t="s">
        <v>582</v>
      </c>
      <c r="I76" s="187" t="s">
        <v>583</v>
      </c>
      <c r="J76" s="187" t="s">
        <v>584</v>
      </c>
      <c r="K76" s="187" t="s">
        <v>935</v>
      </c>
      <c r="L76" s="189" t="s">
        <v>578</v>
      </c>
      <c r="M76" s="189" t="s">
        <v>404</v>
      </c>
      <c r="N76" s="190">
        <v>0.5</v>
      </c>
      <c r="O76" s="190">
        <v>2</v>
      </c>
      <c r="P76" s="190">
        <v>15</v>
      </c>
      <c r="Q76" s="59">
        <f t="shared" si="13"/>
        <v>15</v>
      </c>
      <c r="R76" s="59" t="str">
        <f t="shared" si="12"/>
        <v>DÜŞÜK RİSK</v>
      </c>
      <c r="S76" s="191" t="s">
        <v>405</v>
      </c>
      <c r="T76" s="189" t="s">
        <v>348</v>
      </c>
      <c r="U76" s="192" t="s">
        <v>406</v>
      </c>
      <c r="V76" s="193" t="s">
        <v>415</v>
      </c>
      <c r="W76" s="192" t="s">
        <v>406</v>
      </c>
      <c r="X76" s="189" t="s">
        <v>408</v>
      </c>
      <c r="Y76" s="190">
        <v>0.5</v>
      </c>
      <c r="Z76" s="190">
        <v>2</v>
      </c>
      <c r="AA76" s="190">
        <v>15</v>
      </c>
      <c r="AB76" s="59">
        <f t="shared" si="16"/>
        <v>15</v>
      </c>
      <c r="AC76" s="59" t="str">
        <f t="shared" si="17"/>
        <v>DÜŞÜK RİSK</v>
      </c>
      <c r="AD76" s="187" t="s">
        <v>309</v>
      </c>
      <c r="AE76" s="189" t="s">
        <v>348</v>
      </c>
      <c r="AF76" s="187" t="s">
        <v>409</v>
      </c>
      <c r="AG76" s="190" t="s">
        <v>579</v>
      </c>
    </row>
    <row r="77" spans="1:33" ht="125.25" customHeight="1">
      <c r="A77" s="186">
        <v>3197</v>
      </c>
      <c r="B77" s="192">
        <v>45877</v>
      </c>
      <c r="C77" s="187" t="s">
        <v>126</v>
      </c>
      <c r="D77" s="187" t="s">
        <v>341</v>
      </c>
      <c r="E77" s="188" t="s">
        <v>137</v>
      </c>
      <c r="F77" s="187" t="s">
        <v>137</v>
      </c>
      <c r="G77" s="187" t="s">
        <v>585</v>
      </c>
      <c r="H77" s="187" t="s">
        <v>586</v>
      </c>
      <c r="I77" s="187" t="s">
        <v>587</v>
      </c>
      <c r="J77" s="187" t="s">
        <v>588</v>
      </c>
      <c r="K77" s="187" t="s">
        <v>382</v>
      </c>
      <c r="L77" s="189" t="s">
        <v>589</v>
      </c>
      <c r="M77" s="189" t="s">
        <v>404</v>
      </c>
      <c r="N77" s="190">
        <v>1</v>
      </c>
      <c r="O77" s="190">
        <v>1</v>
      </c>
      <c r="P77" s="190">
        <v>3</v>
      </c>
      <c r="Q77" s="59">
        <f t="shared" si="13"/>
        <v>3</v>
      </c>
      <c r="R77" s="59" t="str">
        <f t="shared" ref="R77:R139" si="18">IF(Q77="","",IF(AND(Q77&gt;=0,Q77&lt;20),"DÜŞÜK RİSK",IF(AND(Q77&gt;=20,Q77&lt;70),"OLASI RİSK",IF(AND(Q77&gt;=70,Q77&lt;200),"ÖNEMLİ RİSK",IF(AND(Q77&gt;=200,Q77&lt;400),"YÜKSEK RİSK",IF(Q77&gt;=400,"KABUL EDİLEMEZ RİSK",""))))))</f>
        <v>DÜŞÜK RİSK</v>
      </c>
      <c r="S77" s="191" t="s">
        <v>405</v>
      </c>
      <c r="T77" s="187" t="s">
        <v>126</v>
      </c>
      <c r="U77" s="192" t="s">
        <v>406</v>
      </c>
      <c r="V77" s="193" t="s">
        <v>415</v>
      </c>
      <c r="W77" s="192" t="s">
        <v>406</v>
      </c>
      <c r="X77" s="189" t="s">
        <v>408</v>
      </c>
      <c r="Y77" s="190">
        <v>1</v>
      </c>
      <c r="Z77" s="190">
        <v>1</v>
      </c>
      <c r="AA77" s="190">
        <v>3</v>
      </c>
      <c r="AB77" s="59">
        <f t="shared" si="16"/>
        <v>3</v>
      </c>
      <c r="AC77" s="59" t="str">
        <f t="shared" si="17"/>
        <v>DÜŞÜK RİSK</v>
      </c>
      <c r="AD77" s="187" t="s">
        <v>309</v>
      </c>
      <c r="AE77" s="187" t="s">
        <v>126</v>
      </c>
      <c r="AF77" s="187" t="s">
        <v>409</v>
      </c>
      <c r="AG77" s="190" t="s">
        <v>579</v>
      </c>
    </row>
    <row r="78" spans="1:33" ht="125.25" customHeight="1">
      <c r="A78" s="186">
        <v>3198</v>
      </c>
      <c r="B78" s="192">
        <v>45877</v>
      </c>
      <c r="C78" s="187" t="s">
        <v>126</v>
      </c>
      <c r="D78" s="187" t="s">
        <v>341</v>
      </c>
      <c r="E78" s="188" t="s">
        <v>137</v>
      </c>
      <c r="F78" s="187" t="s">
        <v>137</v>
      </c>
      <c r="G78" s="187" t="s">
        <v>585</v>
      </c>
      <c r="H78" s="187" t="s">
        <v>590</v>
      </c>
      <c r="I78" s="187" t="s">
        <v>591</v>
      </c>
      <c r="J78" s="187" t="s">
        <v>592</v>
      </c>
      <c r="K78" s="187" t="s">
        <v>540</v>
      </c>
      <c r="L78" s="189" t="s">
        <v>593</v>
      </c>
      <c r="M78" s="189" t="s">
        <v>404</v>
      </c>
      <c r="N78" s="190">
        <v>1</v>
      </c>
      <c r="O78" s="190">
        <v>1</v>
      </c>
      <c r="P78" s="190">
        <v>3</v>
      </c>
      <c r="Q78" s="59">
        <f t="shared" si="13"/>
        <v>3</v>
      </c>
      <c r="R78" s="59" t="str">
        <f t="shared" si="18"/>
        <v>DÜŞÜK RİSK</v>
      </c>
      <c r="S78" s="191" t="s">
        <v>405</v>
      </c>
      <c r="T78" s="189" t="s">
        <v>348</v>
      </c>
      <c r="U78" s="192" t="s">
        <v>406</v>
      </c>
      <c r="V78" s="193" t="s">
        <v>415</v>
      </c>
      <c r="W78" s="192" t="s">
        <v>406</v>
      </c>
      <c r="X78" s="189" t="s">
        <v>408</v>
      </c>
      <c r="Y78" s="190">
        <v>1</v>
      </c>
      <c r="Z78" s="190">
        <v>1</v>
      </c>
      <c r="AA78" s="190">
        <v>3</v>
      </c>
      <c r="AB78" s="59">
        <f t="shared" si="16"/>
        <v>3</v>
      </c>
      <c r="AC78" s="59" t="str">
        <f t="shared" si="17"/>
        <v>DÜŞÜK RİSK</v>
      </c>
      <c r="AD78" s="187" t="s">
        <v>309</v>
      </c>
      <c r="AE78" s="189" t="s">
        <v>348</v>
      </c>
      <c r="AF78" s="187" t="s">
        <v>594</v>
      </c>
      <c r="AG78" s="190" t="s">
        <v>579</v>
      </c>
    </row>
    <row r="79" spans="1:33" ht="125.25" customHeight="1">
      <c r="A79" s="186">
        <v>3199</v>
      </c>
      <c r="B79" s="192">
        <v>45877</v>
      </c>
      <c r="C79" s="187" t="s">
        <v>126</v>
      </c>
      <c r="D79" s="187" t="s">
        <v>341</v>
      </c>
      <c r="E79" s="188" t="s">
        <v>137</v>
      </c>
      <c r="F79" s="187" t="s">
        <v>137</v>
      </c>
      <c r="G79" s="187" t="s">
        <v>585</v>
      </c>
      <c r="H79" s="187" t="s">
        <v>595</v>
      </c>
      <c r="I79" s="187" t="s">
        <v>596</v>
      </c>
      <c r="J79" s="187" t="s">
        <v>597</v>
      </c>
      <c r="K79" s="187" t="s">
        <v>540</v>
      </c>
      <c r="L79" s="189" t="s">
        <v>593</v>
      </c>
      <c r="M79" s="189" t="s">
        <v>404</v>
      </c>
      <c r="N79" s="190">
        <v>1</v>
      </c>
      <c r="O79" s="190">
        <v>1</v>
      </c>
      <c r="P79" s="190">
        <v>3</v>
      </c>
      <c r="Q79" s="59">
        <f t="shared" si="13"/>
        <v>3</v>
      </c>
      <c r="R79" s="59" t="str">
        <f t="shared" si="18"/>
        <v>DÜŞÜK RİSK</v>
      </c>
      <c r="S79" s="191" t="s">
        <v>405</v>
      </c>
      <c r="T79" s="187" t="s">
        <v>126</v>
      </c>
      <c r="U79" s="192" t="s">
        <v>406</v>
      </c>
      <c r="V79" s="193" t="s">
        <v>415</v>
      </c>
      <c r="W79" s="192" t="s">
        <v>406</v>
      </c>
      <c r="X79" s="189" t="s">
        <v>408</v>
      </c>
      <c r="Y79" s="190">
        <v>1</v>
      </c>
      <c r="Z79" s="190">
        <v>1</v>
      </c>
      <c r="AA79" s="190">
        <v>3</v>
      </c>
      <c r="AB79" s="59">
        <f t="shared" si="16"/>
        <v>3</v>
      </c>
      <c r="AC79" s="59" t="str">
        <f t="shared" si="17"/>
        <v>DÜŞÜK RİSK</v>
      </c>
      <c r="AD79" s="187" t="s">
        <v>308</v>
      </c>
      <c r="AE79" s="187" t="s">
        <v>126</v>
      </c>
      <c r="AF79" s="187" t="s">
        <v>409</v>
      </c>
      <c r="AG79" s="190" t="s">
        <v>579</v>
      </c>
    </row>
    <row r="80" spans="1:33" ht="125.25" customHeight="1">
      <c r="A80" s="186">
        <v>3200</v>
      </c>
      <c r="B80" s="192">
        <v>45877</v>
      </c>
      <c r="C80" s="187" t="s">
        <v>126</v>
      </c>
      <c r="D80" s="187" t="s">
        <v>341</v>
      </c>
      <c r="E80" s="188" t="s">
        <v>137</v>
      </c>
      <c r="F80" s="187" t="s">
        <v>137</v>
      </c>
      <c r="G80" s="187" t="s">
        <v>936</v>
      </c>
      <c r="H80" s="187" t="s">
        <v>937</v>
      </c>
      <c r="I80" s="187" t="s">
        <v>938</v>
      </c>
      <c r="J80" s="187" t="s">
        <v>939</v>
      </c>
      <c r="K80" s="187" t="s">
        <v>935</v>
      </c>
      <c r="L80" s="189" t="s">
        <v>940</v>
      </c>
      <c r="M80" s="189" t="s">
        <v>404</v>
      </c>
      <c r="N80" s="190">
        <v>1</v>
      </c>
      <c r="O80" s="190">
        <v>1</v>
      </c>
      <c r="P80" s="190">
        <v>7</v>
      </c>
      <c r="Q80" s="59">
        <f t="shared" si="13"/>
        <v>7</v>
      </c>
      <c r="R80" s="59" t="str">
        <f t="shared" si="18"/>
        <v>DÜŞÜK RİSK</v>
      </c>
      <c r="S80" s="191" t="s">
        <v>405</v>
      </c>
      <c r="T80" s="187" t="s">
        <v>126</v>
      </c>
      <c r="U80" s="192" t="s">
        <v>406</v>
      </c>
      <c r="V80" s="193" t="s">
        <v>415</v>
      </c>
      <c r="W80" s="192" t="s">
        <v>406</v>
      </c>
      <c r="X80" s="189" t="s">
        <v>408</v>
      </c>
      <c r="Y80" s="190">
        <v>1</v>
      </c>
      <c r="Z80" s="190">
        <v>1</v>
      </c>
      <c r="AA80" s="190">
        <v>7</v>
      </c>
      <c r="AB80" s="59">
        <f t="shared" si="16"/>
        <v>7</v>
      </c>
      <c r="AC80" s="59" t="str">
        <f t="shared" si="17"/>
        <v>DÜŞÜK RİSK</v>
      </c>
      <c r="AD80" s="187" t="s">
        <v>308</v>
      </c>
      <c r="AE80" s="187" t="s">
        <v>126</v>
      </c>
      <c r="AF80" s="187" t="s">
        <v>409</v>
      </c>
      <c r="AG80" s="190" t="s">
        <v>579</v>
      </c>
    </row>
    <row r="81" spans="1:33" ht="125.25" customHeight="1">
      <c r="A81" s="186">
        <v>3201</v>
      </c>
      <c r="B81" s="192">
        <v>45877</v>
      </c>
      <c r="C81" s="187" t="s">
        <v>126</v>
      </c>
      <c r="D81" s="187" t="s">
        <v>341</v>
      </c>
      <c r="E81" s="188" t="s">
        <v>137</v>
      </c>
      <c r="F81" s="187" t="s">
        <v>137</v>
      </c>
      <c r="G81" s="187" t="s">
        <v>598</v>
      </c>
      <c r="H81" s="187" t="s">
        <v>599</v>
      </c>
      <c r="I81" s="187" t="s">
        <v>600</v>
      </c>
      <c r="J81" s="187" t="s">
        <v>601</v>
      </c>
      <c r="K81" s="187" t="s">
        <v>382</v>
      </c>
      <c r="L81" s="189" t="s">
        <v>602</v>
      </c>
      <c r="M81" s="189" t="s">
        <v>404</v>
      </c>
      <c r="N81" s="190">
        <v>0.5</v>
      </c>
      <c r="O81" s="190">
        <v>0.5</v>
      </c>
      <c r="P81" s="190">
        <v>7</v>
      </c>
      <c r="Q81" s="59">
        <f t="shared" si="13"/>
        <v>1.75</v>
      </c>
      <c r="R81" s="59" t="str">
        <f t="shared" si="18"/>
        <v>DÜŞÜK RİSK</v>
      </c>
      <c r="S81" s="191" t="s">
        <v>405</v>
      </c>
      <c r="T81" s="187" t="s">
        <v>352</v>
      </c>
      <c r="U81" s="192" t="s">
        <v>406</v>
      </c>
      <c r="V81" s="193" t="s">
        <v>415</v>
      </c>
      <c r="W81" s="192" t="s">
        <v>406</v>
      </c>
      <c r="X81" s="189" t="s">
        <v>408</v>
      </c>
      <c r="Y81" s="190">
        <v>0.5</v>
      </c>
      <c r="Z81" s="190">
        <v>0.5</v>
      </c>
      <c r="AA81" s="190">
        <v>7</v>
      </c>
      <c r="AB81" s="59">
        <f t="shared" si="16"/>
        <v>1.75</v>
      </c>
      <c r="AC81" s="59" t="str">
        <f t="shared" si="17"/>
        <v>DÜŞÜK RİSK</v>
      </c>
      <c r="AD81" s="187" t="s">
        <v>308</v>
      </c>
      <c r="AE81" s="187" t="s">
        <v>352</v>
      </c>
      <c r="AF81" s="187" t="s">
        <v>409</v>
      </c>
      <c r="AG81" s="190" t="s">
        <v>1104</v>
      </c>
    </row>
    <row r="82" spans="1:33" ht="125.25" customHeight="1">
      <c r="A82" s="186">
        <v>3202</v>
      </c>
      <c r="B82" s="192">
        <v>45877</v>
      </c>
      <c r="C82" s="187" t="s">
        <v>126</v>
      </c>
      <c r="D82" s="187" t="s">
        <v>341</v>
      </c>
      <c r="E82" s="188" t="s">
        <v>137</v>
      </c>
      <c r="F82" s="187" t="s">
        <v>137</v>
      </c>
      <c r="G82" s="187" t="s">
        <v>978</v>
      </c>
      <c r="H82" s="187" t="s">
        <v>1040</v>
      </c>
      <c r="I82" s="187" t="s">
        <v>1041</v>
      </c>
      <c r="J82" s="187" t="s">
        <v>1042</v>
      </c>
      <c r="K82" s="187"/>
      <c r="L82" s="189" t="s">
        <v>1043</v>
      </c>
      <c r="M82" s="189" t="s">
        <v>404</v>
      </c>
      <c r="N82" s="190">
        <v>1</v>
      </c>
      <c r="O82" s="190">
        <v>1</v>
      </c>
      <c r="P82" s="190">
        <v>7</v>
      </c>
      <c r="Q82" s="59">
        <f t="shared" si="13"/>
        <v>7</v>
      </c>
      <c r="R82" s="59" t="str">
        <f t="shared" si="18"/>
        <v>DÜŞÜK RİSK</v>
      </c>
      <c r="S82" s="189" t="s">
        <v>929</v>
      </c>
      <c r="T82" s="187" t="s">
        <v>352</v>
      </c>
      <c r="U82" s="192" t="s">
        <v>406</v>
      </c>
      <c r="V82" s="193" t="s">
        <v>453</v>
      </c>
      <c r="W82" s="192" t="s">
        <v>406</v>
      </c>
      <c r="X82" s="189" t="s">
        <v>408</v>
      </c>
      <c r="Y82" s="190">
        <v>1</v>
      </c>
      <c r="Z82" s="190">
        <v>1</v>
      </c>
      <c r="AA82" s="190">
        <v>7</v>
      </c>
      <c r="AB82" s="59">
        <f t="shared" si="16"/>
        <v>7</v>
      </c>
      <c r="AC82" s="59" t="str">
        <f t="shared" si="17"/>
        <v>DÜŞÜK RİSK</v>
      </c>
      <c r="AD82" s="187" t="s">
        <v>308</v>
      </c>
      <c r="AE82" s="187" t="s">
        <v>352</v>
      </c>
      <c r="AF82" s="187" t="s">
        <v>409</v>
      </c>
      <c r="AG82" s="190" t="s">
        <v>1105</v>
      </c>
    </row>
    <row r="83" spans="1:33" ht="125.25" customHeight="1">
      <c r="A83" s="186">
        <v>3203</v>
      </c>
      <c r="B83" s="192">
        <v>45877</v>
      </c>
      <c r="C83" s="187" t="s">
        <v>126</v>
      </c>
      <c r="D83" s="187" t="s">
        <v>341</v>
      </c>
      <c r="E83" s="188" t="s">
        <v>137</v>
      </c>
      <c r="F83" s="187" t="s">
        <v>137</v>
      </c>
      <c r="G83" s="187" t="s">
        <v>978</v>
      </c>
      <c r="H83" s="187" t="s">
        <v>1045</v>
      </c>
      <c r="I83" s="187" t="s">
        <v>1046</v>
      </c>
      <c r="J83" s="187" t="s">
        <v>1047</v>
      </c>
      <c r="K83" s="187"/>
      <c r="L83" s="189" t="s">
        <v>1048</v>
      </c>
      <c r="M83" s="189" t="s">
        <v>404</v>
      </c>
      <c r="N83" s="190">
        <v>1</v>
      </c>
      <c r="O83" s="190">
        <v>1</v>
      </c>
      <c r="P83" s="190">
        <v>7</v>
      </c>
      <c r="Q83" s="59">
        <f t="shared" si="13"/>
        <v>7</v>
      </c>
      <c r="R83" s="59" t="str">
        <f t="shared" si="18"/>
        <v>DÜŞÜK RİSK</v>
      </c>
      <c r="S83" s="189" t="s">
        <v>929</v>
      </c>
      <c r="T83" s="187" t="s">
        <v>352</v>
      </c>
      <c r="U83" s="192" t="s">
        <v>406</v>
      </c>
      <c r="V83" s="193" t="s">
        <v>453</v>
      </c>
      <c r="W83" s="192" t="s">
        <v>406</v>
      </c>
      <c r="X83" s="189" t="s">
        <v>408</v>
      </c>
      <c r="Y83" s="190">
        <v>1</v>
      </c>
      <c r="Z83" s="190">
        <v>1</v>
      </c>
      <c r="AA83" s="190">
        <v>7</v>
      </c>
      <c r="AB83" s="59">
        <f t="shared" si="16"/>
        <v>7</v>
      </c>
      <c r="AC83" s="59" t="str">
        <f t="shared" si="17"/>
        <v>DÜŞÜK RİSK</v>
      </c>
      <c r="AD83" s="187" t="s">
        <v>309</v>
      </c>
      <c r="AE83" s="187" t="s">
        <v>352</v>
      </c>
      <c r="AF83" s="187" t="s">
        <v>1049</v>
      </c>
      <c r="AG83" s="190" t="s">
        <v>1105</v>
      </c>
    </row>
    <row r="84" spans="1:33" ht="125.25" customHeight="1">
      <c r="A84" s="186">
        <v>3204</v>
      </c>
      <c r="B84" s="192">
        <v>45877</v>
      </c>
      <c r="C84" s="187" t="s">
        <v>126</v>
      </c>
      <c r="D84" s="187" t="s">
        <v>341</v>
      </c>
      <c r="E84" s="188" t="s">
        <v>137</v>
      </c>
      <c r="F84" s="187" t="s">
        <v>137</v>
      </c>
      <c r="G84" s="187" t="s">
        <v>979</v>
      </c>
      <c r="H84" s="187" t="s">
        <v>1050</v>
      </c>
      <c r="I84" s="187" t="s">
        <v>1051</v>
      </c>
      <c r="J84" s="187" t="s">
        <v>1052</v>
      </c>
      <c r="K84" s="187" t="s">
        <v>1053</v>
      </c>
      <c r="L84" s="189" t="s">
        <v>1054</v>
      </c>
      <c r="M84" s="189" t="s">
        <v>404</v>
      </c>
      <c r="N84" s="190">
        <v>1</v>
      </c>
      <c r="O84" s="190">
        <v>1</v>
      </c>
      <c r="P84" s="190">
        <v>40</v>
      </c>
      <c r="Q84" s="59">
        <f t="shared" si="13"/>
        <v>40</v>
      </c>
      <c r="R84" s="59" t="str">
        <f t="shared" si="18"/>
        <v>OLASI RİSK</v>
      </c>
      <c r="S84" s="189" t="s">
        <v>929</v>
      </c>
      <c r="T84" s="189" t="s">
        <v>352</v>
      </c>
      <c r="U84" s="192" t="s">
        <v>406</v>
      </c>
      <c r="V84" s="193" t="s">
        <v>453</v>
      </c>
      <c r="W84" s="192" t="s">
        <v>406</v>
      </c>
      <c r="X84" s="189" t="s">
        <v>408</v>
      </c>
      <c r="Y84" s="190">
        <v>1</v>
      </c>
      <c r="Z84" s="190">
        <v>1</v>
      </c>
      <c r="AA84" s="190">
        <v>40</v>
      </c>
      <c r="AB84" s="59">
        <f t="shared" si="16"/>
        <v>40</v>
      </c>
      <c r="AC84" s="59" t="str">
        <f t="shared" si="17"/>
        <v>OLASI RİSK</v>
      </c>
      <c r="AD84" s="187" t="s">
        <v>308</v>
      </c>
      <c r="AE84" s="187" t="s">
        <v>352</v>
      </c>
      <c r="AF84" s="187" t="s">
        <v>1055</v>
      </c>
      <c r="AG84" s="190" t="s">
        <v>1105</v>
      </c>
    </row>
    <row r="85" spans="1:33" ht="125.25" customHeight="1">
      <c r="A85" s="186">
        <v>3205</v>
      </c>
      <c r="B85" s="192">
        <v>45877</v>
      </c>
      <c r="C85" s="187" t="s">
        <v>126</v>
      </c>
      <c r="D85" s="187" t="s">
        <v>341</v>
      </c>
      <c r="E85" s="188" t="s">
        <v>137</v>
      </c>
      <c r="F85" s="187" t="s">
        <v>137</v>
      </c>
      <c r="G85" s="187" t="s">
        <v>979</v>
      </c>
      <c r="H85" s="187" t="s">
        <v>1056</v>
      </c>
      <c r="I85" s="187" t="s">
        <v>646</v>
      </c>
      <c r="J85" s="187" t="s">
        <v>1057</v>
      </c>
      <c r="K85" s="187" t="s">
        <v>1053</v>
      </c>
      <c r="L85" s="189" t="s">
        <v>1058</v>
      </c>
      <c r="M85" s="189" t="s">
        <v>404</v>
      </c>
      <c r="N85" s="190">
        <v>0.5</v>
      </c>
      <c r="O85" s="190">
        <v>3</v>
      </c>
      <c r="P85" s="190">
        <v>3</v>
      </c>
      <c r="Q85" s="59">
        <f t="shared" si="13"/>
        <v>4.5</v>
      </c>
      <c r="R85" s="59" t="str">
        <f t="shared" si="18"/>
        <v>DÜŞÜK RİSK</v>
      </c>
      <c r="S85" s="189" t="s">
        <v>929</v>
      </c>
      <c r="T85" s="189" t="s">
        <v>352</v>
      </c>
      <c r="U85" s="192" t="s">
        <v>406</v>
      </c>
      <c r="V85" s="193" t="s">
        <v>453</v>
      </c>
      <c r="W85" s="192" t="s">
        <v>406</v>
      </c>
      <c r="X85" s="189" t="s">
        <v>408</v>
      </c>
      <c r="Y85" s="190">
        <v>0.5</v>
      </c>
      <c r="Z85" s="190">
        <v>3</v>
      </c>
      <c r="AA85" s="190">
        <v>3</v>
      </c>
      <c r="AB85" s="59">
        <f t="shared" si="16"/>
        <v>4.5</v>
      </c>
      <c r="AC85" s="59" t="str">
        <f t="shared" si="17"/>
        <v>DÜŞÜK RİSK</v>
      </c>
      <c r="AD85" s="187" t="s">
        <v>308</v>
      </c>
      <c r="AE85" s="187" t="s">
        <v>352</v>
      </c>
      <c r="AF85" s="187" t="s">
        <v>1055</v>
      </c>
      <c r="AG85" s="190" t="s">
        <v>1105</v>
      </c>
    </row>
    <row r="86" spans="1:33" ht="125.25" customHeight="1">
      <c r="A86" s="186">
        <v>3206</v>
      </c>
      <c r="B86" s="192">
        <v>45877</v>
      </c>
      <c r="C86" s="187" t="s">
        <v>124</v>
      </c>
      <c r="D86" s="187" t="s">
        <v>303</v>
      </c>
      <c r="E86" s="188" t="s">
        <v>137</v>
      </c>
      <c r="F86" s="187" t="s">
        <v>137</v>
      </c>
      <c r="G86" s="187" t="s">
        <v>483</v>
      </c>
      <c r="H86" s="187" t="s">
        <v>603</v>
      </c>
      <c r="I86" s="187" t="s">
        <v>604</v>
      </c>
      <c r="J86" s="187" t="s">
        <v>605</v>
      </c>
      <c r="K86" s="187" t="s">
        <v>935</v>
      </c>
      <c r="L86" s="189" t="s">
        <v>606</v>
      </c>
      <c r="M86" s="189" t="s">
        <v>404</v>
      </c>
      <c r="N86" s="190">
        <v>1</v>
      </c>
      <c r="O86" s="190">
        <v>2</v>
      </c>
      <c r="P86" s="190">
        <v>3</v>
      </c>
      <c r="Q86" s="59">
        <f t="shared" si="13"/>
        <v>6</v>
      </c>
      <c r="R86" s="59" t="str">
        <f t="shared" si="18"/>
        <v>DÜŞÜK RİSK</v>
      </c>
      <c r="S86" s="191" t="s">
        <v>405</v>
      </c>
      <c r="T86" s="187" t="s">
        <v>348</v>
      </c>
      <c r="U86" s="192" t="s">
        <v>406</v>
      </c>
      <c r="V86" s="193" t="s">
        <v>415</v>
      </c>
      <c r="W86" s="192" t="s">
        <v>406</v>
      </c>
      <c r="X86" s="189" t="s">
        <v>408</v>
      </c>
      <c r="Y86" s="190">
        <v>1</v>
      </c>
      <c r="Z86" s="190">
        <v>2</v>
      </c>
      <c r="AA86" s="190">
        <v>3</v>
      </c>
      <c r="AB86" s="59">
        <f t="shared" si="16"/>
        <v>6</v>
      </c>
      <c r="AC86" s="59" t="str">
        <f t="shared" si="17"/>
        <v>DÜŞÜK RİSK</v>
      </c>
      <c r="AD86" s="187" t="s">
        <v>308</v>
      </c>
      <c r="AE86" s="187" t="s">
        <v>348</v>
      </c>
      <c r="AF86" s="187" t="s">
        <v>607</v>
      </c>
      <c r="AG86" s="190" t="s">
        <v>608</v>
      </c>
    </row>
    <row r="87" spans="1:33" ht="125.25" customHeight="1">
      <c r="A87" s="186">
        <v>3207</v>
      </c>
      <c r="B87" s="192">
        <v>45877</v>
      </c>
      <c r="C87" s="187" t="s">
        <v>124</v>
      </c>
      <c r="D87" s="187" t="s">
        <v>303</v>
      </c>
      <c r="E87" s="188" t="s">
        <v>137</v>
      </c>
      <c r="F87" s="187" t="s">
        <v>137</v>
      </c>
      <c r="G87" s="187" t="s">
        <v>483</v>
      </c>
      <c r="H87" s="187" t="s">
        <v>609</v>
      </c>
      <c r="I87" s="187" t="s">
        <v>610</v>
      </c>
      <c r="J87" s="187" t="s">
        <v>611</v>
      </c>
      <c r="K87" s="187" t="s">
        <v>935</v>
      </c>
      <c r="L87" s="189" t="s">
        <v>612</v>
      </c>
      <c r="M87" s="189" t="s">
        <v>404</v>
      </c>
      <c r="N87" s="190">
        <v>1</v>
      </c>
      <c r="O87" s="190">
        <v>2</v>
      </c>
      <c r="P87" s="190">
        <v>15</v>
      </c>
      <c r="Q87" s="59">
        <f t="shared" si="13"/>
        <v>30</v>
      </c>
      <c r="R87" s="59" t="str">
        <f t="shared" si="18"/>
        <v>OLASI RİSK</v>
      </c>
      <c r="S87" s="191" t="s">
        <v>405</v>
      </c>
      <c r="T87" s="187" t="s">
        <v>352</v>
      </c>
      <c r="U87" s="192" t="s">
        <v>406</v>
      </c>
      <c r="V87" s="193" t="s">
        <v>415</v>
      </c>
      <c r="W87" s="192" t="s">
        <v>406</v>
      </c>
      <c r="X87" s="189" t="s">
        <v>408</v>
      </c>
      <c r="Y87" s="190">
        <v>1</v>
      </c>
      <c r="Z87" s="190">
        <v>2</v>
      </c>
      <c r="AA87" s="190">
        <v>15</v>
      </c>
      <c r="AB87" s="59">
        <f t="shared" si="16"/>
        <v>30</v>
      </c>
      <c r="AC87" s="59" t="str">
        <f t="shared" si="17"/>
        <v>OLASI RİSK</v>
      </c>
      <c r="AD87" s="187" t="s">
        <v>308</v>
      </c>
      <c r="AE87" s="187" t="s">
        <v>352</v>
      </c>
      <c r="AF87" s="187" t="s">
        <v>613</v>
      </c>
      <c r="AG87" s="190" t="s">
        <v>1111</v>
      </c>
    </row>
    <row r="88" spans="1:33" ht="125.25" customHeight="1">
      <c r="A88" s="186">
        <v>3208</v>
      </c>
      <c r="B88" s="192">
        <v>45877</v>
      </c>
      <c r="C88" s="187" t="s">
        <v>124</v>
      </c>
      <c r="D88" s="187" t="s">
        <v>303</v>
      </c>
      <c r="E88" s="188" t="s">
        <v>137</v>
      </c>
      <c r="F88" s="187" t="s">
        <v>137</v>
      </c>
      <c r="G88" s="187" t="s">
        <v>483</v>
      </c>
      <c r="H88" s="187" t="s">
        <v>614</v>
      </c>
      <c r="I88" s="187" t="s">
        <v>615</v>
      </c>
      <c r="J88" s="187" t="s">
        <v>401</v>
      </c>
      <c r="K88" s="187" t="s">
        <v>382</v>
      </c>
      <c r="L88" s="189" t="s">
        <v>616</v>
      </c>
      <c r="M88" s="189" t="s">
        <v>404</v>
      </c>
      <c r="N88" s="190">
        <v>1</v>
      </c>
      <c r="O88" s="190">
        <v>2</v>
      </c>
      <c r="P88" s="190">
        <v>3</v>
      </c>
      <c r="Q88" s="59">
        <f t="shared" si="13"/>
        <v>6</v>
      </c>
      <c r="R88" s="59" t="str">
        <f t="shared" si="18"/>
        <v>DÜŞÜK RİSK</v>
      </c>
      <c r="S88" s="191" t="s">
        <v>405</v>
      </c>
      <c r="T88" s="187" t="s">
        <v>348</v>
      </c>
      <c r="U88" s="192" t="s">
        <v>406</v>
      </c>
      <c r="V88" s="193" t="s">
        <v>415</v>
      </c>
      <c r="W88" s="192" t="s">
        <v>406</v>
      </c>
      <c r="X88" s="189" t="s">
        <v>408</v>
      </c>
      <c r="Y88" s="190">
        <v>1</v>
      </c>
      <c r="Z88" s="190">
        <v>2</v>
      </c>
      <c r="AA88" s="190">
        <v>3</v>
      </c>
      <c r="AB88" s="59">
        <f t="shared" si="16"/>
        <v>6</v>
      </c>
      <c r="AC88" s="59" t="str">
        <f t="shared" si="17"/>
        <v>DÜŞÜK RİSK</v>
      </c>
      <c r="AD88" s="187" t="s">
        <v>308</v>
      </c>
      <c r="AE88" s="187" t="s">
        <v>348</v>
      </c>
      <c r="AF88" s="187" t="s">
        <v>617</v>
      </c>
      <c r="AG88" s="190" t="s">
        <v>1079</v>
      </c>
    </row>
    <row r="89" spans="1:33" ht="125.25" customHeight="1">
      <c r="A89" s="186">
        <v>3209</v>
      </c>
      <c r="B89" s="192">
        <v>45877</v>
      </c>
      <c r="C89" s="187" t="s">
        <v>124</v>
      </c>
      <c r="D89" s="187" t="s">
        <v>303</v>
      </c>
      <c r="E89" s="188" t="s">
        <v>137</v>
      </c>
      <c r="F89" s="187" t="s">
        <v>137</v>
      </c>
      <c r="G89" s="187" t="s">
        <v>483</v>
      </c>
      <c r="H89" s="187" t="s">
        <v>618</v>
      </c>
      <c r="I89" s="187" t="s">
        <v>619</v>
      </c>
      <c r="J89" s="187" t="s">
        <v>457</v>
      </c>
      <c r="K89" s="187" t="s">
        <v>382</v>
      </c>
      <c r="L89" s="189" t="s">
        <v>620</v>
      </c>
      <c r="M89" s="189" t="s">
        <v>404</v>
      </c>
      <c r="N89" s="190">
        <v>1</v>
      </c>
      <c r="O89" s="190">
        <v>3</v>
      </c>
      <c r="P89" s="190">
        <v>7</v>
      </c>
      <c r="Q89" s="59">
        <f t="shared" si="13"/>
        <v>21</v>
      </c>
      <c r="R89" s="59" t="str">
        <f t="shared" si="18"/>
        <v>OLASI RİSK</v>
      </c>
      <c r="S89" s="191" t="s">
        <v>405</v>
      </c>
      <c r="T89" s="187" t="s">
        <v>348</v>
      </c>
      <c r="U89" s="192" t="s">
        <v>406</v>
      </c>
      <c r="V89" s="193" t="s">
        <v>415</v>
      </c>
      <c r="W89" s="192" t="s">
        <v>406</v>
      </c>
      <c r="X89" s="189" t="s">
        <v>408</v>
      </c>
      <c r="Y89" s="190">
        <v>1</v>
      </c>
      <c r="Z89" s="190">
        <v>3</v>
      </c>
      <c r="AA89" s="190">
        <v>7</v>
      </c>
      <c r="AB89" s="59">
        <f t="shared" si="16"/>
        <v>21</v>
      </c>
      <c r="AC89" s="59" t="str">
        <f t="shared" si="17"/>
        <v>OLASI RİSK</v>
      </c>
      <c r="AD89" s="187" t="s">
        <v>308</v>
      </c>
      <c r="AE89" s="187" t="s">
        <v>348</v>
      </c>
      <c r="AF89" s="187" t="s">
        <v>617</v>
      </c>
      <c r="AG89" s="190" t="s">
        <v>1111</v>
      </c>
    </row>
    <row r="90" spans="1:33" ht="125.25" customHeight="1">
      <c r="A90" s="186">
        <v>3210</v>
      </c>
      <c r="B90" s="192">
        <v>45877</v>
      </c>
      <c r="C90" s="187" t="s">
        <v>124</v>
      </c>
      <c r="D90" s="187" t="s">
        <v>303</v>
      </c>
      <c r="E90" s="188" t="s">
        <v>137</v>
      </c>
      <c r="F90" s="187" t="s">
        <v>137</v>
      </c>
      <c r="G90" s="187" t="s">
        <v>483</v>
      </c>
      <c r="H90" s="187" t="s">
        <v>621</v>
      </c>
      <c r="I90" s="187" t="s">
        <v>622</v>
      </c>
      <c r="J90" s="187" t="s">
        <v>401</v>
      </c>
      <c r="K90" s="187" t="s">
        <v>382</v>
      </c>
      <c r="L90" s="189" t="s">
        <v>623</v>
      </c>
      <c r="M90" s="189" t="s">
        <v>404</v>
      </c>
      <c r="N90" s="190">
        <v>1</v>
      </c>
      <c r="O90" s="190">
        <v>2</v>
      </c>
      <c r="P90" s="190">
        <v>3</v>
      </c>
      <c r="Q90" s="59">
        <f t="shared" ref="Q90:Q152" si="19">IF(OR(ISBLANK(N90)=TRUE,ISBLANK(O90)=TRUE,ISBLANK(P90)=TRUE),"",PRODUCT(N90,O90,P90))</f>
        <v>6</v>
      </c>
      <c r="R90" s="59" t="str">
        <f t="shared" si="18"/>
        <v>DÜŞÜK RİSK</v>
      </c>
      <c r="S90" s="191" t="s">
        <v>405</v>
      </c>
      <c r="T90" s="187" t="s">
        <v>348</v>
      </c>
      <c r="U90" s="192" t="s">
        <v>406</v>
      </c>
      <c r="V90" s="193" t="s">
        <v>415</v>
      </c>
      <c r="W90" s="192" t="s">
        <v>406</v>
      </c>
      <c r="X90" s="189" t="s">
        <v>408</v>
      </c>
      <c r="Y90" s="190">
        <v>1</v>
      </c>
      <c r="Z90" s="190">
        <v>2</v>
      </c>
      <c r="AA90" s="190">
        <v>3</v>
      </c>
      <c r="AB90" s="59">
        <f t="shared" si="16"/>
        <v>6</v>
      </c>
      <c r="AC90" s="59" t="str">
        <f t="shared" si="17"/>
        <v>DÜŞÜK RİSK</v>
      </c>
      <c r="AD90" s="187" t="s">
        <v>308</v>
      </c>
      <c r="AE90" s="187" t="s">
        <v>348</v>
      </c>
      <c r="AF90" s="187" t="s">
        <v>617</v>
      </c>
      <c r="AG90" s="190" t="s">
        <v>1111</v>
      </c>
    </row>
    <row r="91" spans="1:33" ht="125.25" customHeight="1">
      <c r="A91" s="186">
        <v>3211</v>
      </c>
      <c r="B91" s="192">
        <v>45877</v>
      </c>
      <c r="C91" s="187" t="s">
        <v>124</v>
      </c>
      <c r="D91" s="187" t="s">
        <v>303</v>
      </c>
      <c r="E91" s="188" t="s">
        <v>137</v>
      </c>
      <c r="F91" s="187" t="s">
        <v>137</v>
      </c>
      <c r="G91" s="187" t="s">
        <v>483</v>
      </c>
      <c r="H91" s="187" t="s">
        <v>624</v>
      </c>
      <c r="I91" s="187" t="s">
        <v>625</v>
      </c>
      <c r="J91" s="187" t="s">
        <v>401</v>
      </c>
      <c r="K91" s="187" t="s">
        <v>530</v>
      </c>
      <c r="L91" s="189" t="s">
        <v>626</v>
      </c>
      <c r="M91" s="189" t="s">
        <v>404</v>
      </c>
      <c r="N91" s="190">
        <v>0.5</v>
      </c>
      <c r="O91" s="190">
        <v>2</v>
      </c>
      <c r="P91" s="190">
        <v>3</v>
      </c>
      <c r="Q91" s="59">
        <f t="shared" si="19"/>
        <v>3</v>
      </c>
      <c r="R91" s="59" t="str">
        <f t="shared" si="18"/>
        <v>DÜŞÜK RİSK</v>
      </c>
      <c r="S91" s="191" t="s">
        <v>405</v>
      </c>
      <c r="T91" s="187" t="s">
        <v>348</v>
      </c>
      <c r="U91" s="192" t="s">
        <v>406</v>
      </c>
      <c r="V91" s="193" t="s">
        <v>415</v>
      </c>
      <c r="W91" s="192" t="s">
        <v>406</v>
      </c>
      <c r="X91" s="189" t="s">
        <v>408</v>
      </c>
      <c r="Y91" s="190">
        <v>0.5</v>
      </c>
      <c r="Z91" s="190">
        <v>2</v>
      </c>
      <c r="AA91" s="190">
        <v>3</v>
      </c>
      <c r="AB91" s="59">
        <f t="shared" si="16"/>
        <v>3</v>
      </c>
      <c r="AC91" s="59" t="str">
        <f t="shared" si="17"/>
        <v>DÜŞÜK RİSK</v>
      </c>
      <c r="AD91" s="187" t="s">
        <v>308</v>
      </c>
      <c r="AE91" s="187" t="s">
        <v>348</v>
      </c>
      <c r="AF91" s="187" t="s">
        <v>617</v>
      </c>
      <c r="AG91" s="190" t="s">
        <v>1111</v>
      </c>
    </row>
    <row r="92" spans="1:33" ht="125.25" customHeight="1">
      <c r="A92" s="186">
        <v>3212</v>
      </c>
      <c r="B92" s="192">
        <v>45877</v>
      </c>
      <c r="C92" s="187" t="s">
        <v>124</v>
      </c>
      <c r="D92" s="187" t="s">
        <v>303</v>
      </c>
      <c r="E92" s="188" t="s">
        <v>137</v>
      </c>
      <c r="F92" s="187" t="s">
        <v>137</v>
      </c>
      <c r="G92" s="187" t="s">
        <v>627</v>
      </c>
      <c r="H92" s="187" t="s">
        <v>628</v>
      </c>
      <c r="I92" s="187" t="s">
        <v>629</v>
      </c>
      <c r="J92" s="187" t="s">
        <v>401</v>
      </c>
      <c r="K92" s="187" t="s">
        <v>382</v>
      </c>
      <c r="L92" s="189" t="s">
        <v>630</v>
      </c>
      <c r="M92" s="189" t="s">
        <v>404</v>
      </c>
      <c r="N92" s="190">
        <v>1</v>
      </c>
      <c r="O92" s="190">
        <v>2</v>
      </c>
      <c r="P92" s="190">
        <v>3</v>
      </c>
      <c r="Q92" s="59">
        <f t="shared" si="19"/>
        <v>6</v>
      </c>
      <c r="R92" s="59" t="str">
        <f t="shared" si="18"/>
        <v>DÜŞÜK RİSK</v>
      </c>
      <c r="S92" s="191" t="s">
        <v>405</v>
      </c>
      <c r="T92" s="187" t="s">
        <v>348</v>
      </c>
      <c r="U92" s="192" t="s">
        <v>406</v>
      </c>
      <c r="V92" s="193" t="s">
        <v>415</v>
      </c>
      <c r="W92" s="192" t="s">
        <v>406</v>
      </c>
      <c r="X92" s="189" t="s">
        <v>408</v>
      </c>
      <c r="Y92" s="190">
        <v>0.5</v>
      </c>
      <c r="Z92" s="190">
        <v>2</v>
      </c>
      <c r="AA92" s="190">
        <v>3</v>
      </c>
      <c r="AB92" s="59">
        <f t="shared" si="16"/>
        <v>3</v>
      </c>
      <c r="AC92" s="59" t="str">
        <f t="shared" si="17"/>
        <v>DÜŞÜK RİSK</v>
      </c>
      <c r="AD92" s="187" t="s">
        <v>308</v>
      </c>
      <c r="AE92" s="187" t="s">
        <v>348</v>
      </c>
      <c r="AF92" s="187" t="s">
        <v>617</v>
      </c>
      <c r="AG92" s="190" t="s">
        <v>1111</v>
      </c>
    </row>
    <row r="93" spans="1:33" ht="125.25" customHeight="1">
      <c r="A93" s="186">
        <v>3213</v>
      </c>
      <c r="B93" s="192">
        <v>45877</v>
      </c>
      <c r="C93" s="187" t="s">
        <v>124</v>
      </c>
      <c r="D93" s="187" t="s">
        <v>303</v>
      </c>
      <c r="E93" s="188" t="s">
        <v>137</v>
      </c>
      <c r="F93" s="187" t="s">
        <v>137</v>
      </c>
      <c r="G93" s="187" t="s">
        <v>425</v>
      </c>
      <c r="H93" s="187" t="s">
        <v>631</v>
      </c>
      <c r="I93" s="187" t="s">
        <v>615</v>
      </c>
      <c r="J93" s="187" t="s">
        <v>481</v>
      </c>
      <c r="K93" s="187" t="s">
        <v>382</v>
      </c>
      <c r="L93" s="189" t="s">
        <v>632</v>
      </c>
      <c r="M93" s="189" t="s">
        <v>404</v>
      </c>
      <c r="N93" s="190">
        <v>1</v>
      </c>
      <c r="O93" s="190">
        <v>1</v>
      </c>
      <c r="P93" s="190">
        <v>1</v>
      </c>
      <c r="Q93" s="59">
        <f t="shared" si="19"/>
        <v>1</v>
      </c>
      <c r="R93" s="59" t="str">
        <f t="shared" si="18"/>
        <v>DÜŞÜK RİSK</v>
      </c>
      <c r="S93" s="191" t="s">
        <v>405</v>
      </c>
      <c r="T93" s="187" t="s">
        <v>352</v>
      </c>
      <c r="U93" s="192" t="s">
        <v>406</v>
      </c>
      <c r="V93" s="193" t="s">
        <v>415</v>
      </c>
      <c r="W93" s="192" t="s">
        <v>406</v>
      </c>
      <c r="X93" s="189" t="s">
        <v>408</v>
      </c>
      <c r="Y93" s="190">
        <v>0.5</v>
      </c>
      <c r="Z93" s="190">
        <v>1</v>
      </c>
      <c r="AA93" s="190">
        <v>1</v>
      </c>
      <c r="AB93" s="59">
        <f t="shared" si="16"/>
        <v>0.5</v>
      </c>
      <c r="AC93" s="59" t="str">
        <f t="shared" si="17"/>
        <v>DÜŞÜK RİSK</v>
      </c>
      <c r="AD93" s="187" t="s">
        <v>308</v>
      </c>
      <c r="AE93" s="187" t="s">
        <v>348</v>
      </c>
      <c r="AF93" s="187" t="s">
        <v>617</v>
      </c>
      <c r="AG93" s="190" t="s">
        <v>1111</v>
      </c>
    </row>
    <row r="94" spans="1:33" ht="125.25" customHeight="1">
      <c r="A94" s="186">
        <v>3214</v>
      </c>
      <c r="B94" s="192">
        <v>45877</v>
      </c>
      <c r="C94" s="187" t="s">
        <v>124</v>
      </c>
      <c r="D94" s="187" t="s">
        <v>303</v>
      </c>
      <c r="E94" s="188" t="s">
        <v>137</v>
      </c>
      <c r="F94" s="187" t="s">
        <v>137</v>
      </c>
      <c r="G94" s="187" t="s">
        <v>483</v>
      </c>
      <c r="H94" s="187" t="s">
        <v>633</v>
      </c>
      <c r="I94" s="187" t="s">
        <v>615</v>
      </c>
      <c r="J94" s="187" t="s">
        <v>401</v>
      </c>
      <c r="K94" s="187" t="s">
        <v>382</v>
      </c>
      <c r="L94" s="189" t="s">
        <v>616</v>
      </c>
      <c r="M94" s="189" t="s">
        <v>404</v>
      </c>
      <c r="N94" s="190">
        <v>1</v>
      </c>
      <c r="O94" s="190">
        <v>2</v>
      </c>
      <c r="P94" s="190">
        <v>3</v>
      </c>
      <c r="Q94" s="59">
        <f t="shared" si="19"/>
        <v>6</v>
      </c>
      <c r="R94" s="59" t="str">
        <f t="shared" si="18"/>
        <v>DÜŞÜK RİSK</v>
      </c>
      <c r="S94" s="191" t="s">
        <v>405</v>
      </c>
      <c r="T94" s="187" t="s">
        <v>352</v>
      </c>
      <c r="U94" s="192" t="s">
        <v>406</v>
      </c>
      <c r="V94" s="193" t="s">
        <v>415</v>
      </c>
      <c r="W94" s="192" t="s">
        <v>406</v>
      </c>
      <c r="X94" s="189" t="s">
        <v>408</v>
      </c>
      <c r="Y94" s="190">
        <v>1</v>
      </c>
      <c r="Z94" s="190">
        <v>2</v>
      </c>
      <c r="AA94" s="190">
        <v>3</v>
      </c>
      <c r="AB94" s="59">
        <f t="shared" si="16"/>
        <v>6</v>
      </c>
      <c r="AC94" s="59" t="str">
        <f t="shared" si="17"/>
        <v>DÜŞÜK RİSK</v>
      </c>
      <c r="AD94" s="187" t="s">
        <v>308</v>
      </c>
      <c r="AE94" s="187" t="s">
        <v>348</v>
      </c>
      <c r="AF94" s="187" t="s">
        <v>617</v>
      </c>
      <c r="AG94" s="190" t="s">
        <v>1111</v>
      </c>
    </row>
    <row r="95" spans="1:33" ht="125.25" customHeight="1">
      <c r="A95" s="186">
        <v>3215</v>
      </c>
      <c r="B95" s="192">
        <v>45877</v>
      </c>
      <c r="C95" s="187" t="s">
        <v>124</v>
      </c>
      <c r="D95" s="187" t="s">
        <v>303</v>
      </c>
      <c r="E95" s="188" t="s">
        <v>137</v>
      </c>
      <c r="F95" s="187" t="s">
        <v>137</v>
      </c>
      <c r="G95" s="187" t="s">
        <v>627</v>
      </c>
      <c r="H95" s="187" t="s">
        <v>634</v>
      </c>
      <c r="I95" s="187" t="s">
        <v>635</v>
      </c>
      <c r="J95" s="187" t="s">
        <v>457</v>
      </c>
      <c r="K95" s="187" t="s">
        <v>382</v>
      </c>
      <c r="L95" s="189" t="s">
        <v>636</v>
      </c>
      <c r="M95" s="189" t="s">
        <v>404</v>
      </c>
      <c r="N95" s="190">
        <v>1</v>
      </c>
      <c r="O95" s="190">
        <v>2</v>
      </c>
      <c r="P95" s="190">
        <v>7</v>
      </c>
      <c r="Q95" s="59">
        <f t="shared" si="19"/>
        <v>14</v>
      </c>
      <c r="R95" s="59" t="str">
        <f t="shared" si="18"/>
        <v>DÜŞÜK RİSK</v>
      </c>
      <c r="S95" s="191" t="s">
        <v>405</v>
      </c>
      <c r="T95" s="187" t="s">
        <v>348</v>
      </c>
      <c r="U95" s="192" t="s">
        <v>406</v>
      </c>
      <c r="V95" s="193" t="s">
        <v>415</v>
      </c>
      <c r="W95" s="192" t="s">
        <v>406</v>
      </c>
      <c r="X95" s="189" t="s">
        <v>408</v>
      </c>
      <c r="Y95" s="190">
        <v>1</v>
      </c>
      <c r="Z95" s="190">
        <v>2</v>
      </c>
      <c r="AA95" s="190">
        <v>7</v>
      </c>
      <c r="AB95" s="59">
        <f t="shared" si="16"/>
        <v>14</v>
      </c>
      <c r="AC95" s="59" t="str">
        <f t="shared" si="17"/>
        <v>DÜŞÜK RİSK</v>
      </c>
      <c r="AD95" s="187" t="s">
        <v>308</v>
      </c>
      <c r="AE95" s="187" t="s">
        <v>348</v>
      </c>
      <c r="AF95" s="187" t="s">
        <v>617</v>
      </c>
      <c r="AG95" s="190" t="s">
        <v>1111</v>
      </c>
    </row>
    <row r="96" spans="1:33" ht="125.25" customHeight="1">
      <c r="A96" s="186">
        <v>3216</v>
      </c>
      <c r="B96" s="192">
        <v>45877</v>
      </c>
      <c r="C96" s="187" t="s">
        <v>124</v>
      </c>
      <c r="D96" s="187" t="s">
        <v>303</v>
      </c>
      <c r="E96" s="188" t="s">
        <v>137</v>
      </c>
      <c r="F96" s="187" t="s">
        <v>137</v>
      </c>
      <c r="G96" s="187" t="s">
        <v>627</v>
      </c>
      <c r="H96" s="187" t="s">
        <v>637</v>
      </c>
      <c r="I96" s="187" t="s">
        <v>638</v>
      </c>
      <c r="J96" s="187" t="s">
        <v>457</v>
      </c>
      <c r="K96" s="187" t="s">
        <v>382</v>
      </c>
      <c r="L96" s="189" t="s">
        <v>639</v>
      </c>
      <c r="M96" s="189" t="s">
        <v>404</v>
      </c>
      <c r="N96" s="190">
        <v>1</v>
      </c>
      <c r="O96" s="190">
        <v>1</v>
      </c>
      <c r="P96" s="190">
        <v>7</v>
      </c>
      <c r="Q96" s="59">
        <f t="shared" si="19"/>
        <v>7</v>
      </c>
      <c r="R96" s="59" t="str">
        <f t="shared" si="18"/>
        <v>DÜŞÜK RİSK</v>
      </c>
      <c r="S96" s="191" t="s">
        <v>405</v>
      </c>
      <c r="T96" s="187" t="s">
        <v>348</v>
      </c>
      <c r="U96" s="192" t="s">
        <v>406</v>
      </c>
      <c r="V96" s="193" t="s">
        <v>415</v>
      </c>
      <c r="W96" s="192" t="s">
        <v>406</v>
      </c>
      <c r="X96" s="189" t="s">
        <v>408</v>
      </c>
      <c r="Y96" s="190">
        <v>1</v>
      </c>
      <c r="Z96" s="190">
        <v>1</v>
      </c>
      <c r="AA96" s="190">
        <v>7</v>
      </c>
      <c r="AB96" s="59">
        <f t="shared" si="16"/>
        <v>7</v>
      </c>
      <c r="AC96" s="59" t="str">
        <f t="shared" si="17"/>
        <v>DÜŞÜK RİSK</v>
      </c>
      <c r="AD96" s="187" t="s">
        <v>308</v>
      </c>
      <c r="AE96" s="187" t="s">
        <v>348</v>
      </c>
      <c r="AF96" s="187" t="s">
        <v>617</v>
      </c>
      <c r="AG96" s="190" t="s">
        <v>1111</v>
      </c>
    </row>
    <row r="97" spans="1:33" ht="125.25" customHeight="1">
      <c r="A97" s="186">
        <v>3217</v>
      </c>
      <c r="B97" s="192">
        <v>45877</v>
      </c>
      <c r="C97" s="187" t="s">
        <v>124</v>
      </c>
      <c r="D97" s="187" t="s">
        <v>303</v>
      </c>
      <c r="E97" s="188" t="s">
        <v>137</v>
      </c>
      <c r="F97" s="187" t="s">
        <v>137</v>
      </c>
      <c r="G97" s="187" t="s">
        <v>640</v>
      </c>
      <c r="H97" s="187" t="s">
        <v>641</v>
      </c>
      <c r="I97" s="187" t="s">
        <v>642</v>
      </c>
      <c r="J97" s="187" t="s">
        <v>643</v>
      </c>
      <c r="K97" s="187" t="s">
        <v>460</v>
      </c>
      <c r="L97" s="189" t="s">
        <v>941</v>
      </c>
      <c r="M97" s="189" t="s">
        <v>404</v>
      </c>
      <c r="N97" s="190">
        <v>1</v>
      </c>
      <c r="O97" s="190">
        <v>1</v>
      </c>
      <c r="P97" s="190">
        <v>7</v>
      </c>
      <c r="Q97" s="59">
        <f t="shared" si="19"/>
        <v>7</v>
      </c>
      <c r="R97" s="59" t="str">
        <f t="shared" si="18"/>
        <v>DÜŞÜK RİSK</v>
      </c>
      <c r="S97" s="191" t="s">
        <v>405</v>
      </c>
      <c r="T97" s="187" t="s">
        <v>348</v>
      </c>
      <c r="U97" s="192" t="s">
        <v>406</v>
      </c>
      <c r="V97" s="193" t="s">
        <v>415</v>
      </c>
      <c r="W97" s="192" t="s">
        <v>406</v>
      </c>
      <c r="X97" s="189" t="s">
        <v>408</v>
      </c>
      <c r="Y97" s="190">
        <v>1</v>
      </c>
      <c r="Z97" s="190">
        <v>1</v>
      </c>
      <c r="AA97" s="190">
        <v>7</v>
      </c>
      <c r="AB97" s="59">
        <f t="shared" si="16"/>
        <v>7</v>
      </c>
      <c r="AC97" s="59" t="str">
        <f t="shared" si="17"/>
        <v>DÜŞÜK RİSK</v>
      </c>
      <c r="AD97" s="187" t="s">
        <v>308</v>
      </c>
      <c r="AE97" s="187" t="s">
        <v>348</v>
      </c>
      <c r="AF97" s="187" t="s">
        <v>617</v>
      </c>
      <c r="AG97" s="190" t="s">
        <v>1111</v>
      </c>
    </row>
    <row r="98" spans="1:33" ht="125.25" customHeight="1">
      <c r="A98" s="186">
        <v>3218</v>
      </c>
      <c r="B98" s="192">
        <v>45877</v>
      </c>
      <c r="C98" s="187" t="s">
        <v>124</v>
      </c>
      <c r="D98" s="187" t="s">
        <v>53</v>
      </c>
      <c r="E98" s="188" t="s">
        <v>137</v>
      </c>
      <c r="F98" s="187" t="s">
        <v>137</v>
      </c>
      <c r="G98" s="187" t="s">
        <v>455</v>
      </c>
      <c r="H98" s="187" t="s">
        <v>647</v>
      </c>
      <c r="I98" s="187" t="s">
        <v>648</v>
      </c>
      <c r="J98" s="187" t="s">
        <v>649</v>
      </c>
      <c r="K98" s="187" t="s">
        <v>402</v>
      </c>
      <c r="L98" s="189" t="s">
        <v>650</v>
      </c>
      <c r="M98" s="189" t="s">
        <v>404</v>
      </c>
      <c r="N98" s="190">
        <v>1</v>
      </c>
      <c r="O98" s="190">
        <v>2</v>
      </c>
      <c r="P98" s="190">
        <v>15</v>
      </c>
      <c r="Q98" s="59">
        <f t="shared" si="19"/>
        <v>30</v>
      </c>
      <c r="R98" s="59" t="str">
        <f t="shared" si="18"/>
        <v>OLASI RİSK</v>
      </c>
      <c r="S98" s="191" t="s">
        <v>405</v>
      </c>
      <c r="T98" s="189" t="s">
        <v>347</v>
      </c>
      <c r="U98" s="192" t="s">
        <v>406</v>
      </c>
      <c r="V98" s="193" t="s">
        <v>415</v>
      </c>
      <c r="W98" s="192" t="s">
        <v>406</v>
      </c>
      <c r="X98" s="189" t="s">
        <v>408</v>
      </c>
      <c r="Y98" s="190">
        <v>1</v>
      </c>
      <c r="Z98" s="190">
        <v>1</v>
      </c>
      <c r="AA98" s="190">
        <v>15</v>
      </c>
      <c r="AB98" s="59">
        <f t="shared" si="16"/>
        <v>15</v>
      </c>
      <c r="AC98" s="59" t="str">
        <f t="shared" si="17"/>
        <v>DÜŞÜK RİSK</v>
      </c>
      <c r="AD98" s="187" t="s">
        <v>309</v>
      </c>
      <c r="AE98" s="189" t="s">
        <v>347</v>
      </c>
      <c r="AF98" s="187" t="s">
        <v>651</v>
      </c>
      <c r="AG98" s="190" t="s">
        <v>652</v>
      </c>
    </row>
    <row r="99" spans="1:33" ht="125.25" customHeight="1">
      <c r="A99" s="186">
        <v>3219</v>
      </c>
      <c r="B99" s="192">
        <v>45877</v>
      </c>
      <c r="C99" s="187" t="s">
        <v>124</v>
      </c>
      <c r="D99" s="187" t="s">
        <v>53</v>
      </c>
      <c r="E99" s="188" t="s">
        <v>137</v>
      </c>
      <c r="F99" s="187" t="s">
        <v>137</v>
      </c>
      <c r="G99" s="187" t="s">
        <v>653</v>
      </c>
      <c r="H99" s="187" t="s">
        <v>654</v>
      </c>
      <c r="I99" s="187" t="s">
        <v>655</v>
      </c>
      <c r="J99" s="187" t="s">
        <v>656</v>
      </c>
      <c r="K99" s="187" t="s">
        <v>402</v>
      </c>
      <c r="L99" s="189" t="s">
        <v>657</v>
      </c>
      <c r="M99" s="189" t="s">
        <v>404</v>
      </c>
      <c r="N99" s="190">
        <v>1</v>
      </c>
      <c r="O99" s="190">
        <v>3</v>
      </c>
      <c r="P99" s="190">
        <v>100</v>
      </c>
      <c r="Q99" s="59">
        <f t="shared" si="19"/>
        <v>300</v>
      </c>
      <c r="R99" s="59" t="str">
        <f t="shared" si="18"/>
        <v>YÜKSEK RİSK</v>
      </c>
      <c r="S99" s="191" t="s">
        <v>405</v>
      </c>
      <c r="T99" s="189" t="s">
        <v>347</v>
      </c>
      <c r="U99" s="192" t="s">
        <v>406</v>
      </c>
      <c r="V99" s="193" t="s">
        <v>415</v>
      </c>
      <c r="W99" s="192" t="s">
        <v>406</v>
      </c>
      <c r="X99" s="189" t="s">
        <v>408</v>
      </c>
      <c r="Y99" s="190">
        <v>1</v>
      </c>
      <c r="Z99" s="190">
        <v>1</v>
      </c>
      <c r="AA99" s="190">
        <v>40</v>
      </c>
      <c r="AB99" s="59">
        <f t="shared" si="16"/>
        <v>40</v>
      </c>
      <c r="AC99" s="59" t="str">
        <f t="shared" si="17"/>
        <v>OLASI RİSK</v>
      </c>
      <c r="AD99" s="187" t="s">
        <v>308</v>
      </c>
      <c r="AE99" s="189" t="s">
        <v>347</v>
      </c>
      <c r="AF99" s="187" t="s">
        <v>409</v>
      </c>
      <c r="AG99" s="190" t="s">
        <v>652</v>
      </c>
    </row>
    <row r="100" spans="1:33" ht="125.25" customHeight="1">
      <c r="A100" s="186">
        <v>3220</v>
      </c>
      <c r="B100" s="192">
        <v>45877</v>
      </c>
      <c r="C100" s="187" t="s">
        <v>124</v>
      </c>
      <c r="D100" s="187" t="s">
        <v>53</v>
      </c>
      <c r="E100" s="188" t="s">
        <v>137</v>
      </c>
      <c r="F100" s="187" t="s">
        <v>137</v>
      </c>
      <c r="G100" s="187" t="s">
        <v>658</v>
      </c>
      <c r="H100" s="187" t="s">
        <v>659</v>
      </c>
      <c r="I100" s="187" t="s">
        <v>660</v>
      </c>
      <c r="J100" s="187" t="s">
        <v>661</v>
      </c>
      <c r="K100" s="187" t="s">
        <v>402</v>
      </c>
      <c r="L100" s="189" t="s">
        <v>657</v>
      </c>
      <c r="M100" s="189" t="s">
        <v>645</v>
      </c>
      <c r="N100" s="190">
        <v>1</v>
      </c>
      <c r="O100" s="190">
        <v>3</v>
      </c>
      <c r="P100" s="190">
        <v>100</v>
      </c>
      <c r="Q100" s="59">
        <f t="shared" si="19"/>
        <v>300</v>
      </c>
      <c r="R100" s="59" t="str">
        <f t="shared" si="18"/>
        <v>YÜKSEK RİSK</v>
      </c>
      <c r="S100" s="191" t="s">
        <v>405</v>
      </c>
      <c r="T100" s="187" t="s">
        <v>347</v>
      </c>
      <c r="U100" s="192" t="s">
        <v>406</v>
      </c>
      <c r="V100" s="193" t="s">
        <v>415</v>
      </c>
      <c r="W100" s="192" t="s">
        <v>406</v>
      </c>
      <c r="X100" s="189" t="s">
        <v>408</v>
      </c>
      <c r="Y100" s="190">
        <v>1</v>
      </c>
      <c r="Z100" s="190">
        <v>1</v>
      </c>
      <c r="AA100" s="190">
        <v>40</v>
      </c>
      <c r="AB100" s="59">
        <f t="shared" si="16"/>
        <v>40</v>
      </c>
      <c r="AC100" s="59" t="str">
        <f t="shared" si="17"/>
        <v>OLASI RİSK</v>
      </c>
      <c r="AD100" s="187" t="s">
        <v>308</v>
      </c>
      <c r="AE100" s="189" t="s">
        <v>347</v>
      </c>
      <c r="AF100" s="187" t="s">
        <v>409</v>
      </c>
      <c r="AG100" s="190" t="s">
        <v>652</v>
      </c>
    </row>
    <row r="101" spans="1:33" ht="125.25" customHeight="1">
      <c r="A101" s="186">
        <v>3221</v>
      </c>
      <c r="B101" s="192">
        <v>45877</v>
      </c>
      <c r="C101" s="187" t="s">
        <v>124</v>
      </c>
      <c r="D101" s="187" t="s">
        <v>53</v>
      </c>
      <c r="E101" s="188" t="s">
        <v>137</v>
      </c>
      <c r="F101" s="187" t="s">
        <v>137</v>
      </c>
      <c r="G101" s="187" t="s">
        <v>662</v>
      </c>
      <c r="H101" s="187" t="s">
        <v>663</v>
      </c>
      <c r="I101" s="187" t="s">
        <v>664</v>
      </c>
      <c r="J101" s="187" t="s">
        <v>665</v>
      </c>
      <c r="K101" s="187" t="s">
        <v>402</v>
      </c>
      <c r="L101" s="189" t="s">
        <v>666</v>
      </c>
      <c r="M101" s="189" t="s">
        <v>645</v>
      </c>
      <c r="N101" s="190">
        <v>0.5</v>
      </c>
      <c r="O101" s="190">
        <v>0.5</v>
      </c>
      <c r="P101" s="190">
        <v>40</v>
      </c>
      <c r="Q101" s="59">
        <f t="shared" si="19"/>
        <v>10</v>
      </c>
      <c r="R101" s="59" t="str">
        <f t="shared" si="18"/>
        <v>DÜŞÜK RİSK</v>
      </c>
      <c r="S101" s="191" t="s">
        <v>405</v>
      </c>
      <c r="T101" s="187" t="s">
        <v>347</v>
      </c>
      <c r="U101" s="192" t="s">
        <v>406</v>
      </c>
      <c r="V101" s="193" t="s">
        <v>415</v>
      </c>
      <c r="W101" s="192" t="s">
        <v>406</v>
      </c>
      <c r="X101" s="189" t="s">
        <v>408</v>
      </c>
      <c r="Y101" s="190">
        <v>0.5</v>
      </c>
      <c r="Z101" s="190">
        <v>0.5</v>
      </c>
      <c r="AA101" s="190">
        <v>40</v>
      </c>
      <c r="AB101" s="59">
        <f t="shared" si="16"/>
        <v>10</v>
      </c>
      <c r="AC101" s="59" t="str">
        <f t="shared" si="17"/>
        <v>DÜŞÜK RİSK</v>
      </c>
      <c r="AD101" s="187" t="s">
        <v>308</v>
      </c>
      <c r="AE101" s="189" t="s">
        <v>347</v>
      </c>
      <c r="AF101" s="187" t="s">
        <v>409</v>
      </c>
      <c r="AG101" s="190" t="s">
        <v>652</v>
      </c>
    </row>
    <row r="102" spans="1:33" ht="125.25" customHeight="1">
      <c r="A102" s="186">
        <v>3222</v>
      </c>
      <c r="B102" s="192">
        <v>45877</v>
      </c>
      <c r="C102" s="187" t="s">
        <v>124</v>
      </c>
      <c r="D102" s="187" t="s">
        <v>53</v>
      </c>
      <c r="E102" s="188" t="s">
        <v>137</v>
      </c>
      <c r="F102" s="187" t="s">
        <v>137</v>
      </c>
      <c r="G102" s="187" t="s">
        <v>662</v>
      </c>
      <c r="H102" s="187" t="s">
        <v>667</v>
      </c>
      <c r="I102" s="187" t="s">
        <v>668</v>
      </c>
      <c r="J102" s="187" t="s">
        <v>669</v>
      </c>
      <c r="K102" s="187" t="s">
        <v>402</v>
      </c>
      <c r="L102" s="189" t="s">
        <v>670</v>
      </c>
      <c r="M102" s="189" t="s">
        <v>645</v>
      </c>
      <c r="N102" s="190">
        <v>1</v>
      </c>
      <c r="O102" s="190">
        <v>3</v>
      </c>
      <c r="P102" s="190">
        <v>40</v>
      </c>
      <c r="Q102" s="59">
        <f t="shared" si="19"/>
        <v>120</v>
      </c>
      <c r="R102" s="59" t="str">
        <f t="shared" si="18"/>
        <v>ÖNEMLİ RİSK</v>
      </c>
      <c r="S102" s="191" t="s">
        <v>405</v>
      </c>
      <c r="T102" s="187" t="s">
        <v>347</v>
      </c>
      <c r="U102" s="192" t="s">
        <v>406</v>
      </c>
      <c r="V102" s="193" t="s">
        <v>415</v>
      </c>
      <c r="W102" s="192" t="s">
        <v>406</v>
      </c>
      <c r="X102" s="189" t="s">
        <v>408</v>
      </c>
      <c r="Y102" s="190">
        <v>1</v>
      </c>
      <c r="Z102" s="190">
        <v>2</v>
      </c>
      <c r="AA102" s="190">
        <v>15</v>
      </c>
      <c r="AB102" s="59">
        <f t="shared" si="16"/>
        <v>30</v>
      </c>
      <c r="AC102" s="59" t="str">
        <f t="shared" si="17"/>
        <v>OLASI RİSK</v>
      </c>
      <c r="AD102" s="187" t="s">
        <v>308</v>
      </c>
      <c r="AE102" s="189" t="s">
        <v>347</v>
      </c>
      <c r="AF102" s="187" t="s">
        <v>409</v>
      </c>
      <c r="AG102" s="190" t="s">
        <v>652</v>
      </c>
    </row>
    <row r="103" spans="1:33" ht="125.25" customHeight="1">
      <c r="A103" s="186">
        <v>3223</v>
      </c>
      <c r="B103" s="192">
        <v>45877</v>
      </c>
      <c r="C103" s="187" t="s">
        <v>124</v>
      </c>
      <c r="D103" s="187" t="s">
        <v>53</v>
      </c>
      <c r="E103" s="188" t="s">
        <v>137</v>
      </c>
      <c r="F103" s="187" t="s">
        <v>137</v>
      </c>
      <c r="G103" s="187" t="s">
        <v>671</v>
      </c>
      <c r="H103" s="187" t="s">
        <v>672</v>
      </c>
      <c r="I103" s="187" t="s">
        <v>673</v>
      </c>
      <c r="J103" s="187" t="s">
        <v>674</v>
      </c>
      <c r="K103" s="187" t="s">
        <v>402</v>
      </c>
      <c r="L103" s="189" t="s">
        <v>675</v>
      </c>
      <c r="M103" s="189" t="s">
        <v>404</v>
      </c>
      <c r="N103" s="190">
        <v>1</v>
      </c>
      <c r="O103" s="190">
        <v>2</v>
      </c>
      <c r="P103" s="190">
        <v>15</v>
      </c>
      <c r="Q103" s="59">
        <f t="shared" si="19"/>
        <v>30</v>
      </c>
      <c r="R103" s="59" t="str">
        <f t="shared" si="18"/>
        <v>OLASI RİSK</v>
      </c>
      <c r="S103" s="191" t="s">
        <v>405</v>
      </c>
      <c r="T103" s="189" t="s">
        <v>347</v>
      </c>
      <c r="U103" s="192" t="s">
        <v>406</v>
      </c>
      <c r="V103" s="193" t="s">
        <v>415</v>
      </c>
      <c r="W103" s="192" t="s">
        <v>406</v>
      </c>
      <c r="X103" s="189" t="s">
        <v>408</v>
      </c>
      <c r="Y103" s="190">
        <v>1</v>
      </c>
      <c r="Z103" s="190">
        <v>2</v>
      </c>
      <c r="AA103" s="190">
        <v>15</v>
      </c>
      <c r="AB103" s="59">
        <f t="shared" si="16"/>
        <v>30</v>
      </c>
      <c r="AC103" s="59" t="str">
        <f t="shared" si="17"/>
        <v>OLASI RİSK</v>
      </c>
      <c r="AD103" s="187" t="s">
        <v>308</v>
      </c>
      <c r="AE103" s="189" t="s">
        <v>347</v>
      </c>
      <c r="AF103" s="187" t="s">
        <v>409</v>
      </c>
      <c r="AG103" s="190" t="s">
        <v>652</v>
      </c>
    </row>
    <row r="104" spans="1:33" ht="125.25" customHeight="1">
      <c r="A104" s="186">
        <v>3224</v>
      </c>
      <c r="B104" s="192">
        <v>45877</v>
      </c>
      <c r="C104" s="187" t="s">
        <v>124</v>
      </c>
      <c r="D104" s="187" t="s">
        <v>53</v>
      </c>
      <c r="E104" s="188" t="s">
        <v>137</v>
      </c>
      <c r="F104" s="187" t="s">
        <v>137</v>
      </c>
      <c r="G104" s="187" t="s">
        <v>662</v>
      </c>
      <c r="H104" s="187" t="s">
        <v>676</v>
      </c>
      <c r="I104" s="187" t="s">
        <v>677</v>
      </c>
      <c r="J104" s="187" t="s">
        <v>678</v>
      </c>
      <c r="K104" s="187" t="s">
        <v>402</v>
      </c>
      <c r="L104" s="189" t="s">
        <v>679</v>
      </c>
      <c r="M104" s="189" t="s">
        <v>645</v>
      </c>
      <c r="N104" s="190">
        <v>0.5</v>
      </c>
      <c r="O104" s="190">
        <v>1</v>
      </c>
      <c r="P104" s="190">
        <v>40</v>
      </c>
      <c r="Q104" s="59">
        <f t="shared" si="19"/>
        <v>20</v>
      </c>
      <c r="R104" s="59" t="str">
        <f t="shared" si="18"/>
        <v>OLASI RİSK</v>
      </c>
      <c r="S104" s="191" t="s">
        <v>405</v>
      </c>
      <c r="T104" s="187" t="s">
        <v>347</v>
      </c>
      <c r="U104" s="192" t="s">
        <v>406</v>
      </c>
      <c r="V104" s="193" t="s">
        <v>415</v>
      </c>
      <c r="W104" s="192" t="s">
        <v>406</v>
      </c>
      <c r="X104" s="189" t="s">
        <v>408</v>
      </c>
      <c r="Y104" s="190">
        <v>0.5</v>
      </c>
      <c r="Z104" s="190">
        <v>0.5</v>
      </c>
      <c r="AA104" s="190">
        <v>40</v>
      </c>
      <c r="AB104" s="59">
        <f t="shared" si="16"/>
        <v>10</v>
      </c>
      <c r="AC104" s="59" t="str">
        <f t="shared" si="17"/>
        <v>DÜŞÜK RİSK</v>
      </c>
      <c r="AD104" s="187" t="s">
        <v>308</v>
      </c>
      <c r="AE104" s="189" t="s">
        <v>347</v>
      </c>
      <c r="AF104" s="187" t="s">
        <v>409</v>
      </c>
      <c r="AG104" s="190" t="s">
        <v>652</v>
      </c>
    </row>
    <row r="105" spans="1:33" ht="125.25" customHeight="1">
      <c r="A105" s="186">
        <v>3225</v>
      </c>
      <c r="B105" s="192">
        <v>45877</v>
      </c>
      <c r="C105" s="187" t="s">
        <v>124</v>
      </c>
      <c r="D105" s="187" t="s">
        <v>53</v>
      </c>
      <c r="E105" s="188" t="s">
        <v>137</v>
      </c>
      <c r="F105" s="187" t="s">
        <v>137</v>
      </c>
      <c r="G105" s="187" t="s">
        <v>680</v>
      </c>
      <c r="H105" s="187" t="s">
        <v>681</v>
      </c>
      <c r="I105" s="187" t="s">
        <v>682</v>
      </c>
      <c r="J105" s="187" t="s">
        <v>683</v>
      </c>
      <c r="K105" s="187" t="s">
        <v>402</v>
      </c>
      <c r="L105" s="189" t="s">
        <v>684</v>
      </c>
      <c r="M105" s="189" t="s">
        <v>645</v>
      </c>
      <c r="N105" s="190">
        <v>0.5</v>
      </c>
      <c r="O105" s="190">
        <v>1</v>
      </c>
      <c r="P105" s="190">
        <v>40</v>
      </c>
      <c r="Q105" s="59">
        <f t="shared" si="19"/>
        <v>20</v>
      </c>
      <c r="R105" s="59" t="str">
        <f t="shared" si="18"/>
        <v>OLASI RİSK</v>
      </c>
      <c r="S105" s="191" t="s">
        <v>405</v>
      </c>
      <c r="T105" s="187" t="s">
        <v>358</v>
      </c>
      <c r="U105" s="192" t="s">
        <v>406</v>
      </c>
      <c r="V105" s="193" t="s">
        <v>415</v>
      </c>
      <c r="W105" s="192" t="s">
        <v>406</v>
      </c>
      <c r="X105" s="189" t="s">
        <v>408</v>
      </c>
      <c r="Y105" s="190">
        <v>0.5</v>
      </c>
      <c r="Z105" s="190">
        <v>0.5</v>
      </c>
      <c r="AA105" s="190">
        <v>40</v>
      </c>
      <c r="AB105" s="59">
        <f t="shared" si="16"/>
        <v>10</v>
      </c>
      <c r="AC105" s="59" t="str">
        <f t="shared" si="17"/>
        <v>DÜŞÜK RİSK</v>
      </c>
      <c r="AD105" s="187" t="s">
        <v>308</v>
      </c>
      <c r="AE105" s="189" t="s">
        <v>347</v>
      </c>
      <c r="AF105" s="187" t="s">
        <v>409</v>
      </c>
      <c r="AG105" s="190" t="s">
        <v>652</v>
      </c>
    </row>
    <row r="106" spans="1:33" ht="125.25" customHeight="1">
      <c r="A106" s="186">
        <v>3226</v>
      </c>
      <c r="B106" s="192">
        <v>45877</v>
      </c>
      <c r="C106" s="187" t="s">
        <v>124</v>
      </c>
      <c r="D106" s="187" t="s">
        <v>53</v>
      </c>
      <c r="E106" s="188" t="s">
        <v>137</v>
      </c>
      <c r="F106" s="187" t="s">
        <v>137</v>
      </c>
      <c r="G106" s="187" t="s">
        <v>680</v>
      </c>
      <c r="H106" s="187" t="s">
        <v>685</v>
      </c>
      <c r="I106" s="187" t="s">
        <v>686</v>
      </c>
      <c r="J106" s="187" t="s">
        <v>687</v>
      </c>
      <c r="K106" s="187" t="s">
        <v>402</v>
      </c>
      <c r="L106" s="189" t="s">
        <v>684</v>
      </c>
      <c r="M106" s="189" t="s">
        <v>645</v>
      </c>
      <c r="N106" s="190">
        <v>0.5</v>
      </c>
      <c r="O106" s="190">
        <v>1</v>
      </c>
      <c r="P106" s="190">
        <v>40</v>
      </c>
      <c r="Q106" s="59">
        <f t="shared" si="19"/>
        <v>20</v>
      </c>
      <c r="R106" s="59" t="str">
        <f t="shared" si="18"/>
        <v>OLASI RİSK</v>
      </c>
      <c r="S106" s="191" t="s">
        <v>405</v>
      </c>
      <c r="T106" s="187" t="s">
        <v>347</v>
      </c>
      <c r="U106" s="192" t="s">
        <v>406</v>
      </c>
      <c r="V106" s="193" t="s">
        <v>415</v>
      </c>
      <c r="W106" s="192" t="s">
        <v>406</v>
      </c>
      <c r="X106" s="189" t="s">
        <v>408</v>
      </c>
      <c r="Y106" s="190">
        <v>0.5</v>
      </c>
      <c r="Z106" s="190">
        <v>0.5</v>
      </c>
      <c r="AA106" s="190">
        <v>40</v>
      </c>
      <c r="AB106" s="59">
        <f t="shared" ref="AB106:AB167" si="20">IF(OR(ISBLANK(Y106)=TRUE,ISBLANK(Z106)=TRUE,ISBLANK(AA106)=TRUE),"",PRODUCT(Y106,Z106,AA106))</f>
        <v>10</v>
      </c>
      <c r="AC106" s="59" t="str">
        <f t="shared" ref="AC106:AC167" si="21">IF(AB106="","",IF(AND(AB106&gt;=0,AB106&lt;20),"DÜŞÜK RİSK",IF(AND(AB106&gt;=20,AB106&lt;70),"OLASI RİSK",IF(AND(AB106&gt;=70,AB106&lt;200),"ÖNEMLİ RİSK",IF(AND(AB106&gt;=200,AB106&lt;400),"YÜKSEK RİSK",IF(AB106&gt;=400,"KABUL EDİLEMEZ RİSK",""))))))</f>
        <v>DÜŞÜK RİSK</v>
      </c>
      <c r="AD106" s="187" t="s">
        <v>308</v>
      </c>
      <c r="AE106" s="189" t="s">
        <v>347</v>
      </c>
      <c r="AF106" s="187" t="s">
        <v>409</v>
      </c>
      <c r="AG106" s="190" t="s">
        <v>652</v>
      </c>
    </row>
    <row r="107" spans="1:33" ht="125.25" customHeight="1">
      <c r="A107" s="186">
        <v>3227</v>
      </c>
      <c r="B107" s="192">
        <v>45877</v>
      </c>
      <c r="C107" s="187" t="s">
        <v>124</v>
      </c>
      <c r="D107" s="187" t="s">
        <v>53</v>
      </c>
      <c r="E107" s="188" t="s">
        <v>137</v>
      </c>
      <c r="F107" s="187" t="s">
        <v>137</v>
      </c>
      <c r="G107" s="187" t="s">
        <v>680</v>
      </c>
      <c r="H107" s="187" t="s">
        <v>688</v>
      </c>
      <c r="I107" s="187" t="s">
        <v>689</v>
      </c>
      <c r="J107" s="187" t="s">
        <v>690</v>
      </c>
      <c r="K107" s="187" t="s">
        <v>402</v>
      </c>
      <c r="L107" s="189" t="s">
        <v>691</v>
      </c>
      <c r="M107" s="189" t="s">
        <v>645</v>
      </c>
      <c r="N107" s="190">
        <v>0.5</v>
      </c>
      <c r="O107" s="190">
        <v>0.5</v>
      </c>
      <c r="P107" s="190">
        <v>40</v>
      </c>
      <c r="Q107" s="59">
        <f t="shared" si="19"/>
        <v>10</v>
      </c>
      <c r="R107" s="59" t="str">
        <f t="shared" si="18"/>
        <v>DÜŞÜK RİSK</v>
      </c>
      <c r="S107" s="191" t="s">
        <v>405</v>
      </c>
      <c r="T107" s="187" t="s">
        <v>347</v>
      </c>
      <c r="U107" s="192" t="s">
        <v>406</v>
      </c>
      <c r="V107" s="193" t="s">
        <v>415</v>
      </c>
      <c r="W107" s="192" t="s">
        <v>406</v>
      </c>
      <c r="X107" s="189" t="s">
        <v>408</v>
      </c>
      <c r="Y107" s="190">
        <v>0.5</v>
      </c>
      <c r="Z107" s="190">
        <v>0.5</v>
      </c>
      <c r="AA107" s="190">
        <v>40</v>
      </c>
      <c r="AB107" s="59">
        <f t="shared" si="20"/>
        <v>10</v>
      </c>
      <c r="AC107" s="59" t="str">
        <f t="shared" si="21"/>
        <v>DÜŞÜK RİSK</v>
      </c>
      <c r="AD107" s="187" t="s">
        <v>308</v>
      </c>
      <c r="AE107" s="189" t="s">
        <v>347</v>
      </c>
      <c r="AF107" s="187" t="s">
        <v>409</v>
      </c>
      <c r="AG107" s="190" t="s">
        <v>652</v>
      </c>
    </row>
    <row r="108" spans="1:33" ht="125.25" customHeight="1">
      <c r="A108" s="186">
        <v>3228</v>
      </c>
      <c r="B108" s="192">
        <v>45877</v>
      </c>
      <c r="C108" s="187" t="s">
        <v>124</v>
      </c>
      <c r="D108" s="187" t="s">
        <v>53</v>
      </c>
      <c r="E108" s="188" t="s">
        <v>137</v>
      </c>
      <c r="F108" s="187" t="s">
        <v>137</v>
      </c>
      <c r="G108" s="187" t="s">
        <v>692</v>
      </c>
      <c r="H108" s="187" t="s">
        <v>693</v>
      </c>
      <c r="I108" s="187" t="s">
        <v>694</v>
      </c>
      <c r="J108" s="187" t="s">
        <v>695</v>
      </c>
      <c r="K108" s="187" t="s">
        <v>402</v>
      </c>
      <c r="L108" s="189" t="s">
        <v>696</v>
      </c>
      <c r="M108" s="189" t="s">
        <v>645</v>
      </c>
      <c r="N108" s="190">
        <v>0.5</v>
      </c>
      <c r="O108" s="190">
        <v>1</v>
      </c>
      <c r="P108" s="190">
        <v>40</v>
      </c>
      <c r="Q108" s="59">
        <f t="shared" si="19"/>
        <v>20</v>
      </c>
      <c r="R108" s="59" t="str">
        <f t="shared" si="18"/>
        <v>OLASI RİSK</v>
      </c>
      <c r="S108" s="191" t="s">
        <v>405</v>
      </c>
      <c r="T108" s="187" t="s">
        <v>347</v>
      </c>
      <c r="U108" s="192" t="s">
        <v>406</v>
      </c>
      <c r="V108" s="193" t="s">
        <v>415</v>
      </c>
      <c r="W108" s="192" t="s">
        <v>406</v>
      </c>
      <c r="X108" s="189" t="s">
        <v>408</v>
      </c>
      <c r="Y108" s="190">
        <v>0.5</v>
      </c>
      <c r="Z108" s="190">
        <v>0.5</v>
      </c>
      <c r="AA108" s="190">
        <v>40</v>
      </c>
      <c r="AB108" s="59">
        <f t="shared" si="20"/>
        <v>10</v>
      </c>
      <c r="AC108" s="59" t="str">
        <f t="shared" si="21"/>
        <v>DÜŞÜK RİSK</v>
      </c>
      <c r="AD108" s="187" t="s">
        <v>308</v>
      </c>
      <c r="AE108" s="189" t="s">
        <v>347</v>
      </c>
      <c r="AF108" s="187" t="s">
        <v>409</v>
      </c>
      <c r="AG108" s="190" t="s">
        <v>652</v>
      </c>
    </row>
    <row r="109" spans="1:33" ht="125.25" customHeight="1">
      <c r="A109" s="186">
        <v>3229</v>
      </c>
      <c r="B109" s="192">
        <v>45877</v>
      </c>
      <c r="C109" s="187" t="s">
        <v>124</v>
      </c>
      <c r="D109" s="187" t="s">
        <v>53</v>
      </c>
      <c r="E109" s="188" t="s">
        <v>137</v>
      </c>
      <c r="F109" s="187" t="s">
        <v>137</v>
      </c>
      <c r="G109" s="187" t="s">
        <v>697</v>
      </c>
      <c r="H109" s="187" t="s">
        <v>698</v>
      </c>
      <c r="I109" s="187" t="s">
        <v>699</v>
      </c>
      <c r="J109" s="187" t="s">
        <v>700</v>
      </c>
      <c r="K109" s="187" t="s">
        <v>402</v>
      </c>
      <c r="L109" s="189" t="s">
        <v>701</v>
      </c>
      <c r="M109" s="189" t="s">
        <v>645</v>
      </c>
      <c r="N109" s="190">
        <v>0.5</v>
      </c>
      <c r="O109" s="190">
        <v>0.5</v>
      </c>
      <c r="P109" s="190">
        <v>15</v>
      </c>
      <c r="Q109" s="59">
        <f t="shared" si="19"/>
        <v>3.75</v>
      </c>
      <c r="R109" s="59" t="str">
        <f t="shared" si="18"/>
        <v>DÜŞÜK RİSK</v>
      </c>
      <c r="S109" s="191" t="s">
        <v>405</v>
      </c>
      <c r="T109" s="187" t="s">
        <v>348</v>
      </c>
      <c r="U109" s="192" t="s">
        <v>406</v>
      </c>
      <c r="V109" s="193" t="s">
        <v>415</v>
      </c>
      <c r="W109" s="192" t="s">
        <v>406</v>
      </c>
      <c r="X109" s="189" t="s">
        <v>408</v>
      </c>
      <c r="Y109" s="190">
        <v>0.5</v>
      </c>
      <c r="Z109" s="190">
        <v>0.5</v>
      </c>
      <c r="AA109" s="190">
        <v>15</v>
      </c>
      <c r="AB109" s="59">
        <f t="shared" si="20"/>
        <v>3.75</v>
      </c>
      <c r="AC109" s="59" t="str">
        <f t="shared" si="21"/>
        <v>DÜŞÜK RİSK</v>
      </c>
      <c r="AD109" s="187" t="s">
        <v>308</v>
      </c>
      <c r="AE109" s="187" t="s">
        <v>348</v>
      </c>
      <c r="AF109" s="187" t="s">
        <v>409</v>
      </c>
      <c r="AG109" s="190" t="s">
        <v>652</v>
      </c>
    </row>
    <row r="110" spans="1:33" ht="125.25" customHeight="1">
      <c r="A110" s="186">
        <v>3230</v>
      </c>
      <c r="B110" s="192">
        <v>45877</v>
      </c>
      <c r="C110" s="187" t="s">
        <v>124</v>
      </c>
      <c r="D110" s="187" t="s">
        <v>53</v>
      </c>
      <c r="E110" s="188" t="s">
        <v>137</v>
      </c>
      <c r="F110" s="187" t="s">
        <v>137</v>
      </c>
      <c r="G110" s="187" t="s">
        <v>468</v>
      </c>
      <c r="H110" s="187" t="s">
        <v>702</v>
      </c>
      <c r="I110" s="187" t="s">
        <v>703</v>
      </c>
      <c r="J110" s="187" t="s">
        <v>704</v>
      </c>
      <c r="K110" s="187" t="s">
        <v>402</v>
      </c>
      <c r="L110" s="189" t="s">
        <v>705</v>
      </c>
      <c r="M110" s="189" t="s">
        <v>404</v>
      </c>
      <c r="N110" s="190">
        <v>1</v>
      </c>
      <c r="O110" s="190">
        <v>1</v>
      </c>
      <c r="P110" s="190">
        <v>40</v>
      </c>
      <c r="Q110" s="59">
        <f t="shared" si="19"/>
        <v>40</v>
      </c>
      <c r="R110" s="59" t="str">
        <f t="shared" si="18"/>
        <v>OLASI RİSK</v>
      </c>
      <c r="S110" s="191" t="s">
        <v>405</v>
      </c>
      <c r="T110" s="187" t="s">
        <v>347</v>
      </c>
      <c r="U110" s="192" t="s">
        <v>406</v>
      </c>
      <c r="V110" s="193" t="s">
        <v>415</v>
      </c>
      <c r="W110" s="192" t="s">
        <v>406</v>
      </c>
      <c r="X110" s="189" t="s">
        <v>408</v>
      </c>
      <c r="Y110" s="190">
        <v>0.5</v>
      </c>
      <c r="Z110" s="190">
        <v>0.5</v>
      </c>
      <c r="AA110" s="190">
        <v>40</v>
      </c>
      <c r="AB110" s="59">
        <f t="shared" si="20"/>
        <v>10</v>
      </c>
      <c r="AC110" s="59" t="str">
        <f t="shared" si="21"/>
        <v>DÜŞÜK RİSK</v>
      </c>
      <c r="AD110" s="187" t="s">
        <v>309</v>
      </c>
      <c r="AE110" s="187" t="s">
        <v>347</v>
      </c>
      <c r="AF110" s="187" t="s">
        <v>706</v>
      </c>
      <c r="AG110" s="190" t="s">
        <v>652</v>
      </c>
    </row>
    <row r="111" spans="1:33" ht="125.25" customHeight="1">
      <c r="A111" s="186">
        <v>3231</v>
      </c>
      <c r="B111" s="192">
        <v>45877</v>
      </c>
      <c r="C111" s="187" t="s">
        <v>124</v>
      </c>
      <c r="D111" s="187" t="s">
        <v>53</v>
      </c>
      <c r="E111" s="188" t="s">
        <v>137</v>
      </c>
      <c r="F111" s="187" t="s">
        <v>137</v>
      </c>
      <c r="G111" s="187" t="s">
        <v>707</v>
      </c>
      <c r="H111" s="187" t="s">
        <v>708</v>
      </c>
      <c r="I111" s="187" t="s">
        <v>709</v>
      </c>
      <c r="J111" s="187" t="s">
        <v>710</v>
      </c>
      <c r="K111" s="187" t="s">
        <v>402</v>
      </c>
      <c r="L111" s="189" t="s">
        <v>711</v>
      </c>
      <c r="M111" s="189" t="s">
        <v>404</v>
      </c>
      <c r="N111" s="190">
        <v>1</v>
      </c>
      <c r="O111" s="190">
        <v>0.5</v>
      </c>
      <c r="P111" s="190">
        <v>40</v>
      </c>
      <c r="Q111" s="59">
        <f t="shared" si="19"/>
        <v>20</v>
      </c>
      <c r="R111" s="59" t="str">
        <f t="shared" si="18"/>
        <v>OLASI RİSK</v>
      </c>
      <c r="S111" s="191" t="s">
        <v>405</v>
      </c>
      <c r="T111" s="187" t="s">
        <v>347</v>
      </c>
      <c r="U111" s="192" t="s">
        <v>406</v>
      </c>
      <c r="V111" s="193" t="s">
        <v>415</v>
      </c>
      <c r="W111" s="192" t="s">
        <v>406</v>
      </c>
      <c r="X111" s="189" t="s">
        <v>408</v>
      </c>
      <c r="Y111" s="190">
        <v>0.5</v>
      </c>
      <c r="Z111" s="190">
        <v>0.5</v>
      </c>
      <c r="AA111" s="190">
        <v>40</v>
      </c>
      <c r="AB111" s="59">
        <f t="shared" si="20"/>
        <v>10</v>
      </c>
      <c r="AC111" s="59" t="str">
        <f t="shared" si="21"/>
        <v>DÜŞÜK RİSK</v>
      </c>
      <c r="AD111" s="187" t="s">
        <v>309</v>
      </c>
      <c r="AE111" s="187" t="s">
        <v>347</v>
      </c>
      <c r="AF111" s="187" t="s">
        <v>706</v>
      </c>
      <c r="AG111" s="190" t="s">
        <v>652</v>
      </c>
    </row>
    <row r="112" spans="1:33" ht="125.25" customHeight="1">
      <c r="A112" s="186">
        <v>3232</v>
      </c>
      <c r="B112" s="192">
        <v>45877</v>
      </c>
      <c r="C112" s="187" t="s">
        <v>124</v>
      </c>
      <c r="D112" s="187" t="s">
        <v>53</v>
      </c>
      <c r="E112" s="188" t="s">
        <v>137</v>
      </c>
      <c r="F112" s="187" t="s">
        <v>137</v>
      </c>
      <c r="G112" s="187" t="s">
        <v>707</v>
      </c>
      <c r="H112" s="187" t="s">
        <v>712</v>
      </c>
      <c r="I112" s="187" t="s">
        <v>713</v>
      </c>
      <c r="J112" s="187" t="s">
        <v>714</v>
      </c>
      <c r="K112" s="187" t="s">
        <v>402</v>
      </c>
      <c r="L112" s="189" t="s">
        <v>715</v>
      </c>
      <c r="M112" s="189" t="s">
        <v>404</v>
      </c>
      <c r="N112" s="190">
        <v>0.5</v>
      </c>
      <c r="O112" s="190">
        <v>0.5</v>
      </c>
      <c r="P112" s="190">
        <v>40</v>
      </c>
      <c r="Q112" s="59">
        <f t="shared" si="19"/>
        <v>10</v>
      </c>
      <c r="R112" s="59" t="str">
        <f t="shared" si="18"/>
        <v>DÜŞÜK RİSK</v>
      </c>
      <c r="S112" s="191" t="s">
        <v>405</v>
      </c>
      <c r="T112" s="187" t="s">
        <v>347</v>
      </c>
      <c r="U112" s="192" t="s">
        <v>406</v>
      </c>
      <c r="V112" s="193" t="s">
        <v>415</v>
      </c>
      <c r="W112" s="192" t="s">
        <v>406</v>
      </c>
      <c r="X112" s="189" t="s">
        <v>408</v>
      </c>
      <c r="Y112" s="190">
        <v>0.5</v>
      </c>
      <c r="Z112" s="190">
        <v>0.5</v>
      </c>
      <c r="AA112" s="190">
        <v>40</v>
      </c>
      <c r="AB112" s="59">
        <f t="shared" si="20"/>
        <v>10</v>
      </c>
      <c r="AC112" s="59" t="str">
        <f t="shared" si="21"/>
        <v>DÜŞÜK RİSK</v>
      </c>
      <c r="AD112" s="187" t="s">
        <v>309</v>
      </c>
      <c r="AE112" s="187" t="s">
        <v>347</v>
      </c>
      <c r="AF112" s="187" t="s">
        <v>706</v>
      </c>
      <c r="AG112" s="190" t="s">
        <v>652</v>
      </c>
    </row>
    <row r="113" spans="1:33" ht="125.25" customHeight="1">
      <c r="A113" s="186">
        <v>3233</v>
      </c>
      <c r="B113" s="192">
        <v>45877</v>
      </c>
      <c r="C113" s="187" t="s">
        <v>124</v>
      </c>
      <c r="D113" s="187" t="s">
        <v>53</v>
      </c>
      <c r="E113" s="188" t="s">
        <v>137</v>
      </c>
      <c r="F113" s="187" t="s">
        <v>137</v>
      </c>
      <c r="G113" s="187" t="s">
        <v>707</v>
      </c>
      <c r="H113" s="187" t="s">
        <v>716</v>
      </c>
      <c r="I113" s="187" t="s">
        <v>717</v>
      </c>
      <c r="J113" s="187" t="s">
        <v>718</v>
      </c>
      <c r="K113" s="187" t="s">
        <v>402</v>
      </c>
      <c r="L113" s="189" t="s">
        <v>719</v>
      </c>
      <c r="M113" s="189" t="s">
        <v>404</v>
      </c>
      <c r="N113" s="190">
        <v>1</v>
      </c>
      <c r="O113" s="190">
        <v>0.5</v>
      </c>
      <c r="P113" s="190">
        <v>40</v>
      </c>
      <c r="Q113" s="59">
        <f t="shared" si="19"/>
        <v>20</v>
      </c>
      <c r="R113" s="59" t="str">
        <f t="shared" si="18"/>
        <v>OLASI RİSK</v>
      </c>
      <c r="S113" s="191" t="s">
        <v>405</v>
      </c>
      <c r="T113" s="187" t="s">
        <v>347</v>
      </c>
      <c r="U113" s="192" t="s">
        <v>406</v>
      </c>
      <c r="V113" s="193" t="s">
        <v>415</v>
      </c>
      <c r="W113" s="192" t="s">
        <v>406</v>
      </c>
      <c r="X113" s="189" t="s">
        <v>408</v>
      </c>
      <c r="Y113" s="190">
        <v>0.5</v>
      </c>
      <c r="Z113" s="190">
        <v>0.5</v>
      </c>
      <c r="AA113" s="190">
        <v>40</v>
      </c>
      <c r="AB113" s="59">
        <f t="shared" si="20"/>
        <v>10</v>
      </c>
      <c r="AC113" s="59" t="str">
        <f t="shared" si="21"/>
        <v>DÜŞÜK RİSK</v>
      </c>
      <c r="AD113" s="187" t="s">
        <v>309</v>
      </c>
      <c r="AE113" s="187" t="s">
        <v>347</v>
      </c>
      <c r="AF113" s="187" t="s">
        <v>706</v>
      </c>
      <c r="AG113" s="190" t="s">
        <v>652</v>
      </c>
    </row>
    <row r="114" spans="1:33" ht="125.25" customHeight="1">
      <c r="A114" s="186">
        <v>3234</v>
      </c>
      <c r="B114" s="192">
        <v>45877</v>
      </c>
      <c r="C114" s="187" t="s">
        <v>124</v>
      </c>
      <c r="D114" s="187" t="s">
        <v>53</v>
      </c>
      <c r="E114" s="188" t="s">
        <v>137</v>
      </c>
      <c r="F114" s="187" t="s">
        <v>137</v>
      </c>
      <c r="G114" s="187" t="s">
        <v>707</v>
      </c>
      <c r="H114" s="187" t="s">
        <v>720</v>
      </c>
      <c r="I114" s="187" t="s">
        <v>717</v>
      </c>
      <c r="J114" s="187" t="s">
        <v>721</v>
      </c>
      <c r="K114" s="187" t="s">
        <v>402</v>
      </c>
      <c r="L114" s="189" t="s">
        <v>711</v>
      </c>
      <c r="M114" s="189" t="s">
        <v>404</v>
      </c>
      <c r="N114" s="190">
        <v>1</v>
      </c>
      <c r="O114" s="190">
        <v>0.5</v>
      </c>
      <c r="P114" s="190">
        <v>40</v>
      </c>
      <c r="Q114" s="59">
        <f t="shared" si="19"/>
        <v>20</v>
      </c>
      <c r="R114" s="59" t="str">
        <f t="shared" si="18"/>
        <v>OLASI RİSK</v>
      </c>
      <c r="S114" s="191" t="s">
        <v>405</v>
      </c>
      <c r="T114" s="187" t="s">
        <v>347</v>
      </c>
      <c r="U114" s="192" t="s">
        <v>406</v>
      </c>
      <c r="V114" s="193" t="s">
        <v>415</v>
      </c>
      <c r="W114" s="192" t="s">
        <v>406</v>
      </c>
      <c r="X114" s="189" t="s">
        <v>408</v>
      </c>
      <c r="Y114" s="190">
        <v>0.5</v>
      </c>
      <c r="Z114" s="190">
        <v>0.5</v>
      </c>
      <c r="AA114" s="190">
        <v>40</v>
      </c>
      <c r="AB114" s="59">
        <f t="shared" si="20"/>
        <v>10</v>
      </c>
      <c r="AC114" s="59" t="str">
        <f t="shared" si="21"/>
        <v>DÜŞÜK RİSK</v>
      </c>
      <c r="AD114" s="187" t="s">
        <v>309</v>
      </c>
      <c r="AE114" s="187" t="s">
        <v>347</v>
      </c>
      <c r="AF114" s="187" t="s">
        <v>706</v>
      </c>
      <c r="AG114" s="190" t="s">
        <v>652</v>
      </c>
    </row>
    <row r="115" spans="1:33" ht="125.25" customHeight="1">
      <c r="A115" s="186">
        <v>3235</v>
      </c>
      <c r="B115" s="192">
        <v>45877</v>
      </c>
      <c r="C115" s="187" t="s">
        <v>124</v>
      </c>
      <c r="D115" s="187" t="s">
        <v>53</v>
      </c>
      <c r="E115" s="188" t="s">
        <v>137</v>
      </c>
      <c r="F115" s="187" t="s">
        <v>137</v>
      </c>
      <c r="G115" s="187" t="s">
        <v>707</v>
      </c>
      <c r="H115" s="187" t="s">
        <v>722</v>
      </c>
      <c r="I115" s="187" t="s">
        <v>723</v>
      </c>
      <c r="J115" s="187" t="s">
        <v>724</v>
      </c>
      <c r="K115" s="187" t="s">
        <v>402</v>
      </c>
      <c r="L115" s="189" t="s">
        <v>725</v>
      </c>
      <c r="M115" s="189" t="s">
        <v>404</v>
      </c>
      <c r="N115" s="190">
        <v>0.5</v>
      </c>
      <c r="O115" s="190">
        <v>0.5</v>
      </c>
      <c r="P115" s="190">
        <v>40</v>
      </c>
      <c r="Q115" s="59">
        <f t="shared" si="19"/>
        <v>10</v>
      </c>
      <c r="R115" s="59" t="str">
        <f t="shared" si="18"/>
        <v>DÜŞÜK RİSK</v>
      </c>
      <c r="S115" s="191" t="s">
        <v>405</v>
      </c>
      <c r="T115" s="187" t="s">
        <v>347</v>
      </c>
      <c r="U115" s="192" t="s">
        <v>406</v>
      </c>
      <c r="V115" s="193" t="s">
        <v>415</v>
      </c>
      <c r="W115" s="192" t="s">
        <v>406</v>
      </c>
      <c r="X115" s="189" t="s">
        <v>408</v>
      </c>
      <c r="Y115" s="190">
        <v>0.5</v>
      </c>
      <c r="Z115" s="190">
        <v>0.5</v>
      </c>
      <c r="AA115" s="190">
        <v>40</v>
      </c>
      <c r="AB115" s="59">
        <f t="shared" si="20"/>
        <v>10</v>
      </c>
      <c r="AC115" s="59" t="str">
        <f t="shared" si="21"/>
        <v>DÜŞÜK RİSK</v>
      </c>
      <c r="AD115" s="187" t="s">
        <v>309</v>
      </c>
      <c r="AE115" s="187" t="s">
        <v>347</v>
      </c>
      <c r="AF115" s="187" t="s">
        <v>706</v>
      </c>
      <c r="AG115" s="190" t="s">
        <v>652</v>
      </c>
    </row>
    <row r="116" spans="1:33" ht="125.25" customHeight="1">
      <c r="A116" s="186">
        <v>3236</v>
      </c>
      <c r="B116" s="192">
        <v>45877</v>
      </c>
      <c r="C116" s="187" t="s">
        <v>124</v>
      </c>
      <c r="D116" s="187" t="s">
        <v>56</v>
      </c>
      <c r="E116" s="188" t="s">
        <v>137</v>
      </c>
      <c r="F116" s="187" t="s">
        <v>137</v>
      </c>
      <c r="G116" s="187" t="s">
        <v>726</v>
      </c>
      <c r="H116" s="187" t="s">
        <v>727</v>
      </c>
      <c r="I116" s="187" t="s">
        <v>728</v>
      </c>
      <c r="J116" s="187" t="s">
        <v>413</v>
      </c>
      <c r="K116" s="187" t="s">
        <v>460</v>
      </c>
      <c r="L116" s="189" t="s">
        <v>729</v>
      </c>
      <c r="M116" s="189" t="s">
        <v>645</v>
      </c>
      <c r="N116" s="190">
        <v>0.5</v>
      </c>
      <c r="O116" s="190">
        <v>0.5</v>
      </c>
      <c r="P116" s="190">
        <v>7</v>
      </c>
      <c r="Q116" s="59">
        <f t="shared" si="19"/>
        <v>1.75</v>
      </c>
      <c r="R116" s="59" t="str">
        <f t="shared" si="18"/>
        <v>DÜŞÜK RİSK</v>
      </c>
      <c r="S116" s="191" t="s">
        <v>405</v>
      </c>
      <c r="T116" s="187" t="s">
        <v>347</v>
      </c>
      <c r="U116" s="192" t="s">
        <v>406</v>
      </c>
      <c r="V116" s="193" t="s">
        <v>415</v>
      </c>
      <c r="W116" s="192" t="s">
        <v>406</v>
      </c>
      <c r="X116" s="189" t="s">
        <v>408</v>
      </c>
      <c r="Y116" s="190">
        <v>0.5</v>
      </c>
      <c r="Z116" s="190">
        <v>0.5</v>
      </c>
      <c r="AA116" s="190">
        <v>7</v>
      </c>
      <c r="AB116" s="59">
        <f t="shared" si="20"/>
        <v>1.75</v>
      </c>
      <c r="AC116" s="59" t="str">
        <f t="shared" si="21"/>
        <v>DÜŞÜK RİSK</v>
      </c>
      <c r="AD116" s="187" t="s">
        <v>309</v>
      </c>
      <c r="AE116" s="187" t="s">
        <v>347</v>
      </c>
      <c r="AF116" s="187" t="s">
        <v>706</v>
      </c>
      <c r="AG116" s="190" t="s">
        <v>730</v>
      </c>
    </row>
    <row r="117" spans="1:33" ht="125.25" customHeight="1">
      <c r="A117" s="186">
        <v>3237</v>
      </c>
      <c r="B117" s="192">
        <v>45877</v>
      </c>
      <c r="C117" s="187" t="s">
        <v>124</v>
      </c>
      <c r="D117" s="187" t="s">
        <v>56</v>
      </c>
      <c r="E117" s="188" t="s">
        <v>137</v>
      </c>
      <c r="F117" s="187" t="s">
        <v>137</v>
      </c>
      <c r="G117" s="187" t="s">
        <v>726</v>
      </c>
      <c r="H117" s="187" t="s">
        <v>731</v>
      </c>
      <c r="I117" s="187" t="s">
        <v>732</v>
      </c>
      <c r="J117" s="187" t="s">
        <v>733</v>
      </c>
      <c r="K117" s="187" t="s">
        <v>460</v>
      </c>
      <c r="L117" s="189" t="s">
        <v>734</v>
      </c>
      <c r="M117" s="189" t="s">
        <v>645</v>
      </c>
      <c r="N117" s="190">
        <v>3</v>
      </c>
      <c r="O117" s="190">
        <v>1</v>
      </c>
      <c r="P117" s="190">
        <v>7</v>
      </c>
      <c r="Q117" s="59">
        <f t="shared" si="19"/>
        <v>21</v>
      </c>
      <c r="R117" s="59" t="str">
        <f t="shared" si="18"/>
        <v>OLASI RİSK</v>
      </c>
      <c r="S117" s="191" t="s">
        <v>405</v>
      </c>
      <c r="T117" s="187" t="s">
        <v>347</v>
      </c>
      <c r="U117" s="192" t="s">
        <v>406</v>
      </c>
      <c r="V117" s="193" t="s">
        <v>415</v>
      </c>
      <c r="W117" s="192" t="s">
        <v>406</v>
      </c>
      <c r="X117" s="189" t="s">
        <v>408</v>
      </c>
      <c r="Y117" s="190">
        <v>1</v>
      </c>
      <c r="Z117" s="190">
        <v>0.5</v>
      </c>
      <c r="AA117" s="190">
        <v>3</v>
      </c>
      <c r="AB117" s="59">
        <f t="shared" si="20"/>
        <v>1.5</v>
      </c>
      <c r="AC117" s="59" t="str">
        <f t="shared" si="21"/>
        <v>DÜŞÜK RİSK</v>
      </c>
      <c r="AD117" s="187" t="s">
        <v>308</v>
      </c>
      <c r="AE117" s="187" t="s">
        <v>347</v>
      </c>
      <c r="AF117" s="187" t="s">
        <v>409</v>
      </c>
      <c r="AG117" s="190" t="s">
        <v>730</v>
      </c>
    </row>
    <row r="118" spans="1:33" ht="125.25" customHeight="1">
      <c r="A118" s="186">
        <v>3238</v>
      </c>
      <c r="B118" s="192">
        <v>45877</v>
      </c>
      <c r="C118" s="187" t="s">
        <v>124</v>
      </c>
      <c r="D118" s="187" t="s">
        <v>56</v>
      </c>
      <c r="E118" s="188" t="s">
        <v>137</v>
      </c>
      <c r="F118" s="187" t="s">
        <v>137</v>
      </c>
      <c r="G118" s="187" t="s">
        <v>735</v>
      </c>
      <c r="H118" s="187" t="s">
        <v>736</v>
      </c>
      <c r="I118" s="187" t="s">
        <v>737</v>
      </c>
      <c r="J118" s="187" t="s">
        <v>738</v>
      </c>
      <c r="K118" s="187" t="s">
        <v>460</v>
      </c>
      <c r="L118" s="189" t="s">
        <v>739</v>
      </c>
      <c r="M118" s="189" t="s">
        <v>645</v>
      </c>
      <c r="N118" s="190">
        <v>1</v>
      </c>
      <c r="O118" s="190">
        <v>1</v>
      </c>
      <c r="P118" s="190">
        <v>40</v>
      </c>
      <c r="Q118" s="59">
        <f t="shared" si="19"/>
        <v>40</v>
      </c>
      <c r="R118" s="59" t="str">
        <f t="shared" si="18"/>
        <v>OLASI RİSK</v>
      </c>
      <c r="S118" s="191" t="s">
        <v>405</v>
      </c>
      <c r="T118" s="187" t="s">
        <v>347</v>
      </c>
      <c r="U118" s="192" t="s">
        <v>406</v>
      </c>
      <c r="V118" s="193" t="s">
        <v>415</v>
      </c>
      <c r="W118" s="192" t="s">
        <v>406</v>
      </c>
      <c r="X118" s="189" t="s">
        <v>408</v>
      </c>
      <c r="Y118" s="190">
        <v>0.5</v>
      </c>
      <c r="Z118" s="190">
        <v>0.5</v>
      </c>
      <c r="AA118" s="190">
        <v>40</v>
      </c>
      <c r="AB118" s="59">
        <f t="shared" si="20"/>
        <v>10</v>
      </c>
      <c r="AC118" s="59" t="str">
        <f t="shared" si="21"/>
        <v>DÜŞÜK RİSK</v>
      </c>
      <c r="AD118" s="187" t="s">
        <v>308</v>
      </c>
      <c r="AE118" s="187" t="s">
        <v>347</v>
      </c>
      <c r="AF118" s="187" t="s">
        <v>409</v>
      </c>
      <c r="AG118" s="190" t="s">
        <v>730</v>
      </c>
    </row>
    <row r="119" spans="1:33" ht="125.25" customHeight="1">
      <c r="A119" s="186">
        <v>3239</v>
      </c>
      <c r="B119" s="192">
        <v>45877</v>
      </c>
      <c r="C119" s="187" t="s">
        <v>124</v>
      </c>
      <c r="D119" s="187" t="s">
        <v>56</v>
      </c>
      <c r="E119" s="188" t="s">
        <v>137</v>
      </c>
      <c r="F119" s="187" t="s">
        <v>137</v>
      </c>
      <c r="G119" s="187" t="s">
        <v>740</v>
      </c>
      <c r="H119" s="187" t="s">
        <v>741</v>
      </c>
      <c r="I119" s="187" t="s">
        <v>742</v>
      </c>
      <c r="J119" s="187" t="s">
        <v>743</v>
      </c>
      <c r="K119" s="187" t="s">
        <v>460</v>
      </c>
      <c r="L119" s="189" t="s">
        <v>744</v>
      </c>
      <c r="M119" s="189" t="s">
        <v>645</v>
      </c>
      <c r="N119" s="190">
        <v>3</v>
      </c>
      <c r="O119" s="190">
        <v>3</v>
      </c>
      <c r="P119" s="190">
        <v>15</v>
      </c>
      <c r="Q119" s="59">
        <f t="shared" si="19"/>
        <v>135</v>
      </c>
      <c r="R119" s="59" t="str">
        <f t="shared" si="18"/>
        <v>ÖNEMLİ RİSK</v>
      </c>
      <c r="S119" s="191" t="s">
        <v>405</v>
      </c>
      <c r="T119" s="187" t="s">
        <v>347</v>
      </c>
      <c r="U119" s="192" t="s">
        <v>406</v>
      </c>
      <c r="V119" s="193" t="s">
        <v>415</v>
      </c>
      <c r="W119" s="192" t="s">
        <v>406</v>
      </c>
      <c r="X119" s="189" t="s">
        <v>408</v>
      </c>
      <c r="Y119" s="190">
        <v>0.5</v>
      </c>
      <c r="Z119" s="190">
        <v>0.5</v>
      </c>
      <c r="AA119" s="190">
        <v>15</v>
      </c>
      <c r="AB119" s="59">
        <f t="shared" si="20"/>
        <v>3.75</v>
      </c>
      <c r="AC119" s="59" t="str">
        <f t="shared" si="21"/>
        <v>DÜŞÜK RİSK</v>
      </c>
      <c r="AD119" s="187" t="s">
        <v>308</v>
      </c>
      <c r="AE119" s="187" t="s">
        <v>347</v>
      </c>
      <c r="AF119" s="187" t="s">
        <v>409</v>
      </c>
      <c r="AG119" s="190" t="s">
        <v>730</v>
      </c>
    </row>
    <row r="120" spans="1:33" ht="125.25" customHeight="1">
      <c r="A120" s="186">
        <v>3240</v>
      </c>
      <c r="B120" s="192">
        <v>45877</v>
      </c>
      <c r="C120" s="187" t="s">
        <v>124</v>
      </c>
      <c r="D120" s="187" t="s">
        <v>56</v>
      </c>
      <c r="E120" s="188" t="s">
        <v>137</v>
      </c>
      <c r="F120" s="187" t="s">
        <v>137</v>
      </c>
      <c r="G120" s="187" t="s">
        <v>745</v>
      </c>
      <c r="H120" s="187" t="s">
        <v>746</v>
      </c>
      <c r="I120" s="187" t="s">
        <v>747</v>
      </c>
      <c r="J120" s="187" t="s">
        <v>738</v>
      </c>
      <c r="K120" s="187" t="s">
        <v>460</v>
      </c>
      <c r="L120" s="189" t="s">
        <v>748</v>
      </c>
      <c r="M120" s="189" t="s">
        <v>645</v>
      </c>
      <c r="N120" s="190">
        <v>1</v>
      </c>
      <c r="O120" s="190">
        <v>0.5</v>
      </c>
      <c r="P120" s="190">
        <v>15</v>
      </c>
      <c r="Q120" s="59">
        <f t="shared" si="19"/>
        <v>7.5</v>
      </c>
      <c r="R120" s="59" t="str">
        <f t="shared" si="18"/>
        <v>DÜŞÜK RİSK</v>
      </c>
      <c r="S120" s="191" t="s">
        <v>405</v>
      </c>
      <c r="T120" s="187" t="s">
        <v>126</v>
      </c>
      <c r="U120" s="192" t="s">
        <v>406</v>
      </c>
      <c r="V120" s="193" t="s">
        <v>415</v>
      </c>
      <c r="W120" s="192" t="s">
        <v>406</v>
      </c>
      <c r="X120" s="189" t="s">
        <v>408</v>
      </c>
      <c r="Y120" s="190">
        <v>0.5</v>
      </c>
      <c r="Z120" s="190">
        <v>0.5</v>
      </c>
      <c r="AA120" s="190">
        <v>40</v>
      </c>
      <c r="AB120" s="59">
        <f t="shared" si="20"/>
        <v>10</v>
      </c>
      <c r="AC120" s="59" t="str">
        <f t="shared" si="21"/>
        <v>DÜŞÜK RİSK</v>
      </c>
      <c r="AD120" s="187" t="s">
        <v>309</v>
      </c>
      <c r="AE120" s="187" t="s">
        <v>126</v>
      </c>
      <c r="AF120" s="187" t="s">
        <v>594</v>
      </c>
      <c r="AG120" s="190" t="s">
        <v>730</v>
      </c>
    </row>
    <row r="121" spans="1:33" ht="125.25" customHeight="1">
      <c r="A121" s="186">
        <v>3241</v>
      </c>
      <c r="B121" s="192">
        <v>45877</v>
      </c>
      <c r="C121" s="187" t="s">
        <v>124</v>
      </c>
      <c r="D121" s="187" t="s">
        <v>56</v>
      </c>
      <c r="E121" s="188" t="s">
        <v>137</v>
      </c>
      <c r="F121" s="187" t="s">
        <v>137</v>
      </c>
      <c r="G121" s="187" t="s">
        <v>745</v>
      </c>
      <c r="H121" s="187" t="s">
        <v>749</v>
      </c>
      <c r="I121" s="187" t="s">
        <v>750</v>
      </c>
      <c r="J121" s="187" t="s">
        <v>738</v>
      </c>
      <c r="K121" s="187" t="s">
        <v>460</v>
      </c>
      <c r="L121" s="189" t="s">
        <v>751</v>
      </c>
      <c r="M121" s="189" t="s">
        <v>645</v>
      </c>
      <c r="N121" s="190">
        <v>1</v>
      </c>
      <c r="O121" s="190">
        <v>0.5</v>
      </c>
      <c r="P121" s="190">
        <v>40</v>
      </c>
      <c r="Q121" s="59">
        <f t="shared" si="19"/>
        <v>20</v>
      </c>
      <c r="R121" s="59" t="str">
        <f t="shared" si="18"/>
        <v>OLASI RİSK</v>
      </c>
      <c r="S121" s="191" t="s">
        <v>405</v>
      </c>
      <c r="T121" s="187" t="s">
        <v>347</v>
      </c>
      <c r="U121" s="192" t="s">
        <v>406</v>
      </c>
      <c r="V121" s="193" t="s">
        <v>415</v>
      </c>
      <c r="W121" s="192" t="s">
        <v>406</v>
      </c>
      <c r="X121" s="189" t="s">
        <v>408</v>
      </c>
      <c r="Y121" s="190">
        <v>1</v>
      </c>
      <c r="Z121" s="190">
        <v>0.5</v>
      </c>
      <c r="AA121" s="190">
        <v>15</v>
      </c>
      <c r="AB121" s="59">
        <f t="shared" si="20"/>
        <v>7.5</v>
      </c>
      <c r="AC121" s="59" t="str">
        <f t="shared" si="21"/>
        <v>DÜŞÜK RİSK</v>
      </c>
      <c r="AD121" s="187" t="s">
        <v>308</v>
      </c>
      <c r="AE121" s="187" t="s">
        <v>347</v>
      </c>
      <c r="AF121" s="187" t="s">
        <v>409</v>
      </c>
      <c r="AG121" s="190" t="s">
        <v>730</v>
      </c>
    </row>
    <row r="122" spans="1:33" ht="125.25" customHeight="1">
      <c r="A122" s="186">
        <v>3242</v>
      </c>
      <c r="B122" s="192">
        <v>45877</v>
      </c>
      <c r="C122" s="187" t="s">
        <v>124</v>
      </c>
      <c r="D122" s="187" t="s">
        <v>56</v>
      </c>
      <c r="E122" s="188" t="s">
        <v>137</v>
      </c>
      <c r="F122" s="187" t="s">
        <v>137</v>
      </c>
      <c r="G122" s="187" t="s">
        <v>745</v>
      </c>
      <c r="H122" s="187" t="s">
        <v>752</v>
      </c>
      <c r="I122" s="187" t="s">
        <v>753</v>
      </c>
      <c r="J122" s="187" t="s">
        <v>754</v>
      </c>
      <c r="K122" s="187" t="s">
        <v>460</v>
      </c>
      <c r="L122" s="189" t="s">
        <v>755</v>
      </c>
      <c r="M122" s="189" t="s">
        <v>645</v>
      </c>
      <c r="N122" s="190">
        <v>1</v>
      </c>
      <c r="O122" s="190">
        <v>1</v>
      </c>
      <c r="P122" s="190">
        <v>40</v>
      </c>
      <c r="Q122" s="59">
        <f t="shared" si="19"/>
        <v>40</v>
      </c>
      <c r="R122" s="59" t="str">
        <f t="shared" si="18"/>
        <v>OLASI RİSK</v>
      </c>
      <c r="S122" s="191" t="s">
        <v>405</v>
      </c>
      <c r="T122" s="187" t="s">
        <v>126</v>
      </c>
      <c r="U122" s="192" t="s">
        <v>406</v>
      </c>
      <c r="V122" s="193" t="s">
        <v>415</v>
      </c>
      <c r="W122" s="192" t="s">
        <v>406</v>
      </c>
      <c r="X122" s="189" t="s">
        <v>408</v>
      </c>
      <c r="Y122" s="190">
        <v>0.5</v>
      </c>
      <c r="Z122" s="190">
        <v>0.5</v>
      </c>
      <c r="AA122" s="190">
        <v>40</v>
      </c>
      <c r="AB122" s="59">
        <f t="shared" si="20"/>
        <v>10</v>
      </c>
      <c r="AC122" s="59" t="str">
        <f t="shared" si="21"/>
        <v>DÜŞÜK RİSK</v>
      </c>
      <c r="AD122" s="187" t="s">
        <v>308</v>
      </c>
      <c r="AE122" s="187" t="s">
        <v>347</v>
      </c>
      <c r="AF122" s="187" t="s">
        <v>409</v>
      </c>
      <c r="AG122" s="190" t="s">
        <v>730</v>
      </c>
    </row>
    <row r="123" spans="1:33" ht="125.25" customHeight="1">
      <c r="A123" s="186">
        <v>3243</v>
      </c>
      <c r="B123" s="192">
        <v>45877</v>
      </c>
      <c r="C123" s="187" t="s">
        <v>124</v>
      </c>
      <c r="D123" s="187" t="s">
        <v>56</v>
      </c>
      <c r="E123" s="188" t="s">
        <v>137</v>
      </c>
      <c r="F123" s="187" t="s">
        <v>137</v>
      </c>
      <c r="G123" s="187" t="s">
        <v>745</v>
      </c>
      <c r="H123" s="187" t="s">
        <v>756</v>
      </c>
      <c r="I123" s="187" t="s">
        <v>757</v>
      </c>
      <c r="J123" s="187" t="s">
        <v>758</v>
      </c>
      <c r="K123" s="187" t="s">
        <v>460</v>
      </c>
      <c r="L123" s="189" t="s">
        <v>755</v>
      </c>
      <c r="M123" s="189" t="s">
        <v>645</v>
      </c>
      <c r="N123" s="190">
        <v>1</v>
      </c>
      <c r="O123" s="190">
        <v>0.5</v>
      </c>
      <c r="P123" s="190">
        <v>40</v>
      </c>
      <c r="Q123" s="59">
        <f t="shared" si="19"/>
        <v>20</v>
      </c>
      <c r="R123" s="59" t="str">
        <f t="shared" si="18"/>
        <v>OLASI RİSK</v>
      </c>
      <c r="S123" s="191" t="s">
        <v>405</v>
      </c>
      <c r="T123" s="187" t="s">
        <v>126</v>
      </c>
      <c r="U123" s="192" t="s">
        <v>406</v>
      </c>
      <c r="V123" s="193" t="s">
        <v>415</v>
      </c>
      <c r="W123" s="192" t="s">
        <v>406</v>
      </c>
      <c r="X123" s="189" t="s">
        <v>408</v>
      </c>
      <c r="Y123" s="190">
        <v>0.5</v>
      </c>
      <c r="Z123" s="190">
        <v>0.5</v>
      </c>
      <c r="AA123" s="190">
        <v>40</v>
      </c>
      <c r="AB123" s="59">
        <f t="shared" si="20"/>
        <v>10</v>
      </c>
      <c r="AC123" s="59" t="str">
        <f t="shared" si="21"/>
        <v>DÜŞÜK RİSK</v>
      </c>
      <c r="AD123" s="187" t="s">
        <v>309</v>
      </c>
      <c r="AE123" s="187" t="s">
        <v>126</v>
      </c>
      <c r="AF123" s="187" t="s">
        <v>594</v>
      </c>
      <c r="AG123" s="190" t="s">
        <v>730</v>
      </c>
    </row>
    <row r="124" spans="1:33" ht="125.25" customHeight="1">
      <c r="A124" s="186">
        <v>3244</v>
      </c>
      <c r="B124" s="192">
        <v>45877</v>
      </c>
      <c r="C124" s="187" t="s">
        <v>124</v>
      </c>
      <c r="D124" s="187" t="s">
        <v>56</v>
      </c>
      <c r="E124" s="188" t="s">
        <v>137</v>
      </c>
      <c r="F124" s="187" t="s">
        <v>137</v>
      </c>
      <c r="G124" s="187" t="s">
        <v>745</v>
      </c>
      <c r="H124" s="187" t="s">
        <v>759</v>
      </c>
      <c r="I124" s="187" t="s">
        <v>757</v>
      </c>
      <c r="J124" s="187" t="s">
        <v>760</v>
      </c>
      <c r="K124" s="187" t="s">
        <v>460</v>
      </c>
      <c r="L124" s="189" t="s">
        <v>761</v>
      </c>
      <c r="M124" s="189" t="s">
        <v>645</v>
      </c>
      <c r="N124" s="190">
        <v>1</v>
      </c>
      <c r="O124" s="190">
        <v>1</v>
      </c>
      <c r="P124" s="190">
        <v>40</v>
      </c>
      <c r="Q124" s="59">
        <f t="shared" si="19"/>
        <v>40</v>
      </c>
      <c r="R124" s="59" t="str">
        <f t="shared" si="18"/>
        <v>OLASI RİSK</v>
      </c>
      <c r="S124" s="191" t="s">
        <v>405</v>
      </c>
      <c r="T124" s="187" t="s">
        <v>126</v>
      </c>
      <c r="U124" s="192" t="s">
        <v>406</v>
      </c>
      <c r="V124" s="193" t="s">
        <v>415</v>
      </c>
      <c r="W124" s="192" t="s">
        <v>406</v>
      </c>
      <c r="X124" s="189" t="s">
        <v>408</v>
      </c>
      <c r="Y124" s="190">
        <v>1</v>
      </c>
      <c r="Z124" s="190">
        <v>0.5</v>
      </c>
      <c r="AA124" s="190">
        <v>15</v>
      </c>
      <c r="AB124" s="59">
        <f t="shared" si="20"/>
        <v>7.5</v>
      </c>
      <c r="AC124" s="59" t="str">
        <f t="shared" si="21"/>
        <v>DÜŞÜK RİSK</v>
      </c>
      <c r="AD124" s="187" t="s">
        <v>309</v>
      </c>
      <c r="AE124" s="187" t="s">
        <v>126</v>
      </c>
      <c r="AF124" s="187" t="s">
        <v>594</v>
      </c>
      <c r="AG124" s="190" t="s">
        <v>730</v>
      </c>
    </row>
    <row r="125" spans="1:33" ht="125.25" customHeight="1">
      <c r="A125" s="186">
        <v>3245</v>
      </c>
      <c r="B125" s="192">
        <v>45877</v>
      </c>
      <c r="C125" s="187" t="s">
        <v>124</v>
      </c>
      <c r="D125" s="187" t="s">
        <v>56</v>
      </c>
      <c r="E125" s="188" t="s">
        <v>137</v>
      </c>
      <c r="F125" s="187" t="s">
        <v>137</v>
      </c>
      <c r="G125" s="187" t="s">
        <v>745</v>
      </c>
      <c r="H125" s="187" t="s">
        <v>762</v>
      </c>
      <c r="I125" s="187" t="s">
        <v>763</v>
      </c>
      <c r="J125" s="187" t="s">
        <v>764</v>
      </c>
      <c r="K125" s="187" t="s">
        <v>460</v>
      </c>
      <c r="L125" s="189" t="s">
        <v>765</v>
      </c>
      <c r="M125" s="189" t="s">
        <v>645</v>
      </c>
      <c r="N125" s="190">
        <v>1</v>
      </c>
      <c r="O125" s="190">
        <v>1</v>
      </c>
      <c r="P125" s="190">
        <v>40</v>
      </c>
      <c r="Q125" s="59">
        <f t="shared" si="19"/>
        <v>40</v>
      </c>
      <c r="R125" s="59" t="str">
        <f t="shared" si="18"/>
        <v>OLASI RİSK</v>
      </c>
      <c r="S125" s="191" t="s">
        <v>405</v>
      </c>
      <c r="T125" s="187" t="s">
        <v>126</v>
      </c>
      <c r="U125" s="192" t="s">
        <v>406</v>
      </c>
      <c r="V125" s="193" t="s">
        <v>415</v>
      </c>
      <c r="W125" s="192" t="s">
        <v>406</v>
      </c>
      <c r="X125" s="189" t="s">
        <v>408</v>
      </c>
      <c r="Y125" s="190">
        <v>1</v>
      </c>
      <c r="Z125" s="190">
        <v>0.5</v>
      </c>
      <c r="AA125" s="190">
        <v>15</v>
      </c>
      <c r="AB125" s="59">
        <f t="shared" si="20"/>
        <v>7.5</v>
      </c>
      <c r="AC125" s="59" t="str">
        <f t="shared" si="21"/>
        <v>DÜŞÜK RİSK</v>
      </c>
      <c r="AD125" s="187" t="s">
        <v>309</v>
      </c>
      <c r="AE125" s="187" t="s">
        <v>126</v>
      </c>
      <c r="AF125" s="187" t="s">
        <v>594</v>
      </c>
      <c r="AG125" s="190" t="s">
        <v>730</v>
      </c>
    </row>
    <row r="126" spans="1:33" ht="125.25" customHeight="1">
      <c r="A126" s="186">
        <v>3246</v>
      </c>
      <c r="B126" s="192">
        <v>45877</v>
      </c>
      <c r="C126" s="187" t="s">
        <v>124</v>
      </c>
      <c r="D126" s="187" t="s">
        <v>56</v>
      </c>
      <c r="E126" s="188" t="s">
        <v>137</v>
      </c>
      <c r="F126" s="187" t="s">
        <v>137</v>
      </c>
      <c r="G126" s="187" t="s">
        <v>766</v>
      </c>
      <c r="H126" s="187" t="s">
        <v>767</v>
      </c>
      <c r="I126" s="187" t="s">
        <v>768</v>
      </c>
      <c r="J126" s="187" t="s">
        <v>769</v>
      </c>
      <c r="K126" s="187" t="s">
        <v>460</v>
      </c>
      <c r="L126" s="189" t="s">
        <v>770</v>
      </c>
      <c r="M126" s="189" t="s">
        <v>404</v>
      </c>
      <c r="N126" s="190">
        <v>0.5</v>
      </c>
      <c r="O126" s="190">
        <v>0.5</v>
      </c>
      <c r="P126" s="190">
        <v>40</v>
      </c>
      <c r="Q126" s="59">
        <f t="shared" si="19"/>
        <v>10</v>
      </c>
      <c r="R126" s="59" t="str">
        <f t="shared" si="18"/>
        <v>DÜŞÜK RİSK</v>
      </c>
      <c r="S126" s="191" t="s">
        <v>405</v>
      </c>
      <c r="T126" s="187" t="s">
        <v>126</v>
      </c>
      <c r="U126" s="192" t="s">
        <v>406</v>
      </c>
      <c r="V126" s="193" t="s">
        <v>415</v>
      </c>
      <c r="W126" s="192" t="s">
        <v>406</v>
      </c>
      <c r="X126" s="189" t="s">
        <v>408</v>
      </c>
      <c r="Y126" s="190">
        <v>0.5</v>
      </c>
      <c r="Z126" s="190">
        <v>0.5</v>
      </c>
      <c r="AA126" s="190">
        <v>40</v>
      </c>
      <c r="AB126" s="59">
        <f t="shared" si="20"/>
        <v>10</v>
      </c>
      <c r="AC126" s="59" t="str">
        <f t="shared" si="21"/>
        <v>DÜŞÜK RİSK</v>
      </c>
      <c r="AD126" s="187" t="s">
        <v>309</v>
      </c>
      <c r="AE126" s="187" t="s">
        <v>126</v>
      </c>
      <c r="AF126" s="187" t="s">
        <v>706</v>
      </c>
      <c r="AG126" s="190" t="s">
        <v>730</v>
      </c>
    </row>
    <row r="127" spans="1:33" ht="125.25" customHeight="1">
      <c r="A127" s="186">
        <v>3247</v>
      </c>
      <c r="B127" s="192">
        <v>45877</v>
      </c>
      <c r="C127" s="187" t="s">
        <v>124</v>
      </c>
      <c r="D127" s="187" t="s">
        <v>56</v>
      </c>
      <c r="E127" s="188" t="s">
        <v>137</v>
      </c>
      <c r="F127" s="187" t="s">
        <v>137</v>
      </c>
      <c r="G127" s="187" t="s">
        <v>771</v>
      </c>
      <c r="H127" s="187" t="s">
        <v>772</v>
      </c>
      <c r="I127" s="187" t="s">
        <v>773</v>
      </c>
      <c r="J127" s="187" t="s">
        <v>774</v>
      </c>
      <c r="K127" s="187" t="s">
        <v>460</v>
      </c>
      <c r="L127" s="189" t="s">
        <v>775</v>
      </c>
      <c r="M127" s="189" t="s">
        <v>404</v>
      </c>
      <c r="N127" s="190">
        <v>0.5</v>
      </c>
      <c r="O127" s="190">
        <v>0.5</v>
      </c>
      <c r="P127" s="190">
        <v>100</v>
      </c>
      <c r="Q127" s="59">
        <f t="shared" si="19"/>
        <v>25</v>
      </c>
      <c r="R127" s="59" t="str">
        <f t="shared" si="18"/>
        <v>OLASI RİSK</v>
      </c>
      <c r="S127" s="191" t="s">
        <v>405</v>
      </c>
      <c r="T127" s="187" t="s">
        <v>347</v>
      </c>
      <c r="U127" s="192" t="s">
        <v>406</v>
      </c>
      <c r="V127" s="193" t="s">
        <v>415</v>
      </c>
      <c r="W127" s="192" t="s">
        <v>406</v>
      </c>
      <c r="X127" s="189" t="s">
        <v>408</v>
      </c>
      <c r="Y127" s="190">
        <v>0.5</v>
      </c>
      <c r="Z127" s="190">
        <v>0.5</v>
      </c>
      <c r="AA127" s="190">
        <v>40</v>
      </c>
      <c r="AB127" s="59">
        <f t="shared" si="20"/>
        <v>10</v>
      </c>
      <c r="AC127" s="59" t="str">
        <f t="shared" si="21"/>
        <v>DÜŞÜK RİSK</v>
      </c>
      <c r="AD127" s="187" t="s">
        <v>309</v>
      </c>
      <c r="AE127" s="187" t="s">
        <v>347</v>
      </c>
      <c r="AF127" s="187" t="s">
        <v>706</v>
      </c>
      <c r="AG127" s="190" t="s">
        <v>730</v>
      </c>
    </row>
    <row r="128" spans="1:33" ht="125.25" customHeight="1">
      <c r="A128" s="186">
        <v>3248</v>
      </c>
      <c r="B128" s="192">
        <v>45877</v>
      </c>
      <c r="C128" s="187" t="s">
        <v>124</v>
      </c>
      <c r="D128" s="187" t="s">
        <v>56</v>
      </c>
      <c r="E128" s="188" t="s">
        <v>137</v>
      </c>
      <c r="F128" s="187" t="s">
        <v>137</v>
      </c>
      <c r="G128" s="187" t="s">
        <v>771</v>
      </c>
      <c r="H128" s="187" t="s">
        <v>776</v>
      </c>
      <c r="I128" s="187" t="s">
        <v>777</v>
      </c>
      <c r="J128" s="187" t="s">
        <v>778</v>
      </c>
      <c r="K128" s="187" t="s">
        <v>460</v>
      </c>
      <c r="L128" s="189" t="s">
        <v>779</v>
      </c>
      <c r="M128" s="189" t="s">
        <v>404</v>
      </c>
      <c r="N128" s="190">
        <v>1</v>
      </c>
      <c r="O128" s="190">
        <v>0.5</v>
      </c>
      <c r="P128" s="190">
        <v>100</v>
      </c>
      <c r="Q128" s="59">
        <f t="shared" si="19"/>
        <v>50</v>
      </c>
      <c r="R128" s="59" t="str">
        <f t="shared" si="18"/>
        <v>OLASI RİSK</v>
      </c>
      <c r="S128" s="191" t="s">
        <v>405</v>
      </c>
      <c r="T128" s="187" t="s">
        <v>347</v>
      </c>
      <c r="U128" s="192" t="s">
        <v>406</v>
      </c>
      <c r="V128" s="193" t="s">
        <v>415</v>
      </c>
      <c r="W128" s="192" t="s">
        <v>406</v>
      </c>
      <c r="X128" s="189" t="s">
        <v>408</v>
      </c>
      <c r="Y128" s="190">
        <v>0.5</v>
      </c>
      <c r="Z128" s="190">
        <v>0.5</v>
      </c>
      <c r="AA128" s="190">
        <v>40</v>
      </c>
      <c r="AB128" s="59">
        <f t="shared" si="20"/>
        <v>10</v>
      </c>
      <c r="AC128" s="59" t="str">
        <f t="shared" si="21"/>
        <v>DÜŞÜK RİSK</v>
      </c>
      <c r="AD128" s="187" t="s">
        <v>308</v>
      </c>
      <c r="AE128" s="187" t="s">
        <v>347</v>
      </c>
      <c r="AF128" s="187" t="s">
        <v>409</v>
      </c>
      <c r="AG128" s="190" t="s">
        <v>730</v>
      </c>
    </row>
    <row r="129" spans="1:33" ht="125.25" customHeight="1">
      <c r="A129" s="186">
        <v>3249</v>
      </c>
      <c r="B129" s="192">
        <v>45877</v>
      </c>
      <c r="C129" s="187" t="s">
        <v>124</v>
      </c>
      <c r="D129" s="187" t="s">
        <v>56</v>
      </c>
      <c r="E129" s="188" t="s">
        <v>137</v>
      </c>
      <c r="F129" s="187" t="s">
        <v>137</v>
      </c>
      <c r="G129" s="187" t="s">
        <v>780</v>
      </c>
      <c r="H129" s="187" t="s">
        <v>781</v>
      </c>
      <c r="I129" s="187" t="s">
        <v>782</v>
      </c>
      <c r="J129" s="187" t="s">
        <v>783</v>
      </c>
      <c r="K129" s="187" t="s">
        <v>460</v>
      </c>
      <c r="L129" s="189" t="s">
        <v>784</v>
      </c>
      <c r="M129" s="189" t="s">
        <v>404</v>
      </c>
      <c r="N129" s="190">
        <v>1</v>
      </c>
      <c r="O129" s="190">
        <v>0.5</v>
      </c>
      <c r="P129" s="190">
        <v>100</v>
      </c>
      <c r="Q129" s="59">
        <f t="shared" si="19"/>
        <v>50</v>
      </c>
      <c r="R129" s="59" t="str">
        <f t="shared" si="18"/>
        <v>OLASI RİSK</v>
      </c>
      <c r="S129" s="191" t="s">
        <v>405</v>
      </c>
      <c r="T129" s="187" t="s">
        <v>308</v>
      </c>
      <c r="U129" s="192" t="s">
        <v>406</v>
      </c>
      <c r="V129" s="193" t="s">
        <v>415</v>
      </c>
      <c r="W129" s="192" t="s">
        <v>406</v>
      </c>
      <c r="X129" s="189" t="s">
        <v>408</v>
      </c>
      <c r="Y129" s="190">
        <v>0.5</v>
      </c>
      <c r="Z129" s="190">
        <v>0.5</v>
      </c>
      <c r="AA129" s="190">
        <v>40</v>
      </c>
      <c r="AB129" s="59">
        <f t="shared" si="20"/>
        <v>10</v>
      </c>
      <c r="AC129" s="59" t="str">
        <f t="shared" si="21"/>
        <v>DÜŞÜK RİSK</v>
      </c>
      <c r="AD129" s="187" t="s">
        <v>308</v>
      </c>
      <c r="AE129" s="187" t="s">
        <v>308</v>
      </c>
      <c r="AF129" s="187" t="s">
        <v>785</v>
      </c>
      <c r="AG129" s="190" t="s">
        <v>730</v>
      </c>
    </row>
    <row r="130" spans="1:33" ht="125.25" customHeight="1">
      <c r="A130" s="186">
        <v>3250</v>
      </c>
      <c r="B130" s="192">
        <v>45877</v>
      </c>
      <c r="C130" s="187" t="s">
        <v>124</v>
      </c>
      <c r="D130" s="187" t="s">
        <v>56</v>
      </c>
      <c r="E130" s="188" t="s">
        <v>137</v>
      </c>
      <c r="F130" s="187" t="s">
        <v>137</v>
      </c>
      <c r="G130" s="187" t="s">
        <v>771</v>
      </c>
      <c r="H130" s="187" t="s">
        <v>786</v>
      </c>
      <c r="I130" s="187" t="s">
        <v>787</v>
      </c>
      <c r="J130" s="187" t="s">
        <v>788</v>
      </c>
      <c r="K130" s="187" t="s">
        <v>460</v>
      </c>
      <c r="L130" s="189" t="s">
        <v>789</v>
      </c>
      <c r="M130" s="189" t="s">
        <v>404</v>
      </c>
      <c r="N130" s="190">
        <v>1</v>
      </c>
      <c r="O130" s="190">
        <v>0.5</v>
      </c>
      <c r="P130" s="190">
        <v>100</v>
      </c>
      <c r="Q130" s="59">
        <f t="shared" si="19"/>
        <v>50</v>
      </c>
      <c r="R130" s="59" t="str">
        <f t="shared" si="18"/>
        <v>OLASI RİSK</v>
      </c>
      <c r="S130" s="191" t="s">
        <v>405</v>
      </c>
      <c r="T130" s="187" t="s">
        <v>308</v>
      </c>
      <c r="U130" s="192" t="s">
        <v>406</v>
      </c>
      <c r="V130" s="193" t="s">
        <v>415</v>
      </c>
      <c r="W130" s="192" t="s">
        <v>406</v>
      </c>
      <c r="X130" s="189" t="s">
        <v>408</v>
      </c>
      <c r="Y130" s="190">
        <v>0.5</v>
      </c>
      <c r="Z130" s="190">
        <v>0.5</v>
      </c>
      <c r="AA130" s="190">
        <v>40</v>
      </c>
      <c r="AB130" s="59">
        <f t="shared" si="20"/>
        <v>10</v>
      </c>
      <c r="AC130" s="59" t="str">
        <f t="shared" si="21"/>
        <v>DÜŞÜK RİSK</v>
      </c>
      <c r="AD130" s="187" t="s">
        <v>308</v>
      </c>
      <c r="AE130" s="187" t="s">
        <v>308</v>
      </c>
      <c r="AF130" s="187" t="s">
        <v>785</v>
      </c>
      <c r="AG130" s="190" t="s">
        <v>730</v>
      </c>
    </row>
    <row r="131" spans="1:33" ht="125.25" customHeight="1">
      <c r="A131" s="186">
        <v>3251</v>
      </c>
      <c r="B131" s="192">
        <v>45877</v>
      </c>
      <c r="C131" s="187" t="s">
        <v>124</v>
      </c>
      <c r="D131" s="187" t="s">
        <v>56</v>
      </c>
      <c r="E131" s="188" t="s">
        <v>137</v>
      </c>
      <c r="F131" s="187" t="s">
        <v>137</v>
      </c>
      <c r="G131" s="187" t="s">
        <v>790</v>
      </c>
      <c r="H131" s="187" t="s">
        <v>791</v>
      </c>
      <c r="I131" s="187" t="s">
        <v>792</v>
      </c>
      <c r="J131" s="187" t="s">
        <v>793</v>
      </c>
      <c r="K131" s="187" t="s">
        <v>460</v>
      </c>
      <c r="L131" s="189" t="s">
        <v>794</v>
      </c>
      <c r="M131" s="189" t="s">
        <v>404</v>
      </c>
      <c r="N131" s="190">
        <v>1</v>
      </c>
      <c r="O131" s="190">
        <v>1</v>
      </c>
      <c r="P131" s="190">
        <v>15</v>
      </c>
      <c r="Q131" s="59">
        <f t="shared" si="19"/>
        <v>15</v>
      </c>
      <c r="R131" s="59" t="str">
        <f t="shared" si="18"/>
        <v>DÜŞÜK RİSK</v>
      </c>
      <c r="S131" s="191" t="s">
        <v>405</v>
      </c>
      <c r="T131" s="187" t="s">
        <v>308</v>
      </c>
      <c r="U131" s="192" t="s">
        <v>406</v>
      </c>
      <c r="V131" s="193" t="s">
        <v>415</v>
      </c>
      <c r="W131" s="192" t="s">
        <v>406</v>
      </c>
      <c r="X131" s="189" t="s">
        <v>408</v>
      </c>
      <c r="Y131" s="190">
        <v>1</v>
      </c>
      <c r="Z131" s="190">
        <v>1</v>
      </c>
      <c r="AA131" s="190">
        <v>15</v>
      </c>
      <c r="AB131" s="59">
        <f t="shared" si="20"/>
        <v>15</v>
      </c>
      <c r="AC131" s="59" t="str">
        <f t="shared" si="21"/>
        <v>DÜŞÜK RİSK</v>
      </c>
      <c r="AD131" s="187" t="s">
        <v>308</v>
      </c>
      <c r="AE131" s="187" t="s">
        <v>308</v>
      </c>
      <c r="AF131" s="187" t="s">
        <v>785</v>
      </c>
      <c r="AG131" s="190" t="s">
        <v>730</v>
      </c>
    </row>
    <row r="132" spans="1:33" ht="125.25" customHeight="1">
      <c r="A132" s="186">
        <v>3252</v>
      </c>
      <c r="B132" s="192">
        <v>45877</v>
      </c>
      <c r="C132" s="187" t="s">
        <v>124</v>
      </c>
      <c r="D132" s="187" t="s">
        <v>56</v>
      </c>
      <c r="E132" s="188" t="s">
        <v>137</v>
      </c>
      <c r="F132" s="187" t="s">
        <v>137</v>
      </c>
      <c r="G132" s="187" t="s">
        <v>795</v>
      </c>
      <c r="H132" s="187" t="s">
        <v>796</v>
      </c>
      <c r="I132" s="187" t="s">
        <v>797</v>
      </c>
      <c r="J132" s="187" t="s">
        <v>798</v>
      </c>
      <c r="K132" s="187" t="s">
        <v>460</v>
      </c>
      <c r="L132" s="189" t="s">
        <v>799</v>
      </c>
      <c r="M132" s="189" t="s">
        <v>404</v>
      </c>
      <c r="N132" s="190">
        <v>1</v>
      </c>
      <c r="O132" s="190">
        <v>1</v>
      </c>
      <c r="P132" s="190">
        <v>40</v>
      </c>
      <c r="Q132" s="59">
        <f t="shared" si="19"/>
        <v>40</v>
      </c>
      <c r="R132" s="59" t="str">
        <f t="shared" si="18"/>
        <v>OLASI RİSK</v>
      </c>
      <c r="S132" s="191" t="s">
        <v>405</v>
      </c>
      <c r="T132" s="187" t="s">
        <v>347</v>
      </c>
      <c r="U132" s="192" t="s">
        <v>406</v>
      </c>
      <c r="V132" s="193" t="s">
        <v>415</v>
      </c>
      <c r="W132" s="192" t="s">
        <v>406</v>
      </c>
      <c r="X132" s="189" t="s">
        <v>408</v>
      </c>
      <c r="Y132" s="190">
        <v>0.5</v>
      </c>
      <c r="Z132" s="190">
        <v>1</v>
      </c>
      <c r="AA132" s="190">
        <v>40</v>
      </c>
      <c r="AB132" s="59">
        <f t="shared" si="20"/>
        <v>20</v>
      </c>
      <c r="AC132" s="59" t="str">
        <f t="shared" si="21"/>
        <v>OLASI RİSK</v>
      </c>
      <c r="AD132" s="187" t="s">
        <v>309</v>
      </c>
      <c r="AE132" s="187" t="s">
        <v>347</v>
      </c>
      <c r="AF132" s="187" t="s">
        <v>800</v>
      </c>
      <c r="AG132" s="190" t="s">
        <v>730</v>
      </c>
    </row>
    <row r="133" spans="1:33" ht="165">
      <c r="A133" s="186">
        <v>3253</v>
      </c>
      <c r="B133" s="192">
        <v>45877</v>
      </c>
      <c r="C133" s="187" t="s">
        <v>124</v>
      </c>
      <c r="D133" s="187" t="s">
        <v>56</v>
      </c>
      <c r="E133" s="188" t="s">
        <v>137</v>
      </c>
      <c r="F133" s="187" t="s">
        <v>137</v>
      </c>
      <c r="G133" s="187" t="s">
        <v>795</v>
      </c>
      <c r="H133" s="187" t="s">
        <v>796</v>
      </c>
      <c r="I133" s="187" t="s">
        <v>801</v>
      </c>
      <c r="J133" s="187" t="s">
        <v>802</v>
      </c>
      <c r="K133" s="187" t="s">
        <v>460</v>
      </c>
      <c r="L133" s="189" t="s">
        <v>799</v>
      </c>
      <c r="M133" s="189" t="s">
        <v>404</v>
      </c>
      <c r="N133" s="190">
        <v>1</v>
      </c>
      <c r="O133" s="190">
        <v>1</v>
      </c>
      <c r="P133" s="190">
        <v>40</v>
      </c>
      <c r="Q133" s="59">
        <f t="shared" si="19"/>
        <v>40</v>
      </c>
      <c r="R133" s="59" t="str">
        <f t="shared" si="18"/>
        <v>OLASI RİSK</v>
      </c>
      <c r="S133" s="191" t="s">
        <v>405</v>
      </c>
      <c r="T133" s="187" t="s">
        <v>347</v>
      </c>
      <c r="U133" s="192" t="s">
        <v>406</v>
      </c>
      <c r="V133" s="193" t="s">
        <v>415</v>
      </c>
      <c r="W133" s="192" t="s">
        <v>406</v>
      </c>
      <c r="X133" s="189" t="s">
        <v>408</v>
      </c>
      <c r="Y133" s="190">
        <v>0.5</v>
      </c>
      <c r="Z133" s="190">
        <v>1</v>
      </c>
      <c r="AA133" s="190">
        <v>40</v>
      </c>
      <c r="AB133" s="59">
        <f t="shared" si="20"/>
        <v>20</v>
      </c>
      <c r="AC133" s="59" t="str">
        <f t="shared" si="21"/>
        <v>OLASI RİSK</v>
      </c>
      <c r="AD133" s="187" t="s">
        <v>309</v>
      </c>
      <c r="AE133" s="187" t="s">
        <v>347</v>
      </c>
      <c r="AF133" s="187" t="s">
        <v>800</v>
      </c>
      <c r="AG133" s="190" t="s">
        <v>730</v>
      </c>
    </row>
    <row r="134" spans="1:33" ht="125.25" customHeight="1">
      <c r="A134" s="186">
        <v>3254</v>
      </c>
      <c r="B134" s="192">
        <v>45877</v>
      </c>
      <c r="C134" s="187" t="s">
        <v>124</v>
      </c>
      <c r="D134" s="187" t="s">
        <v>56</v>
      </c>
      <c r="E134" s="188" t="s">
        <v>137</v>
      </c>
      <c r="F134" s="187" t="s">
        <v>137</v>
      </c>
      <c r="G134" s="187" t="s">
        <v>795</v>
      </c>
      <c r="H134" s="187" t="s">
        <v>796</v>
      </c>
      <c r="I134" s="187" t="s">
        <v>803</v>
      </c>
      <c r="J134" s="187" t="s">
        <v>943</v>
      </c>
      <c r="K134" s="187" t="s">
        <v>460</v>
      </c>
      <c r="L134" s="189" t="s">
        <v>799</v>
      </c>
      <c r="M134" s="189" t="s">
        <v>404</v>
      </c>
      <c r="N134" s="190">
        <v>3</v>
      </c>
      <c r="O134" s="190">
        <v>1</v>
      </c>
      <c r="P134" s="190">
        <v>40</v>
      </c>
      <c r="Q134" s="59">
        <f t="shared" si="19"/>
        <v>120</v>
      </c>
      <c r="R134" s="59" t="str">
        <f t="shared" si="18"/>
        <v>ÖNEMLİ RİSK</v>
      </c>
      <c r="S134" s="191" t="s">
        <v>405</v>
      </c>
      <c r="T134" s="187" t="s">
        <v>347</v>
      </c>
      <c r="U134" s="192" t="s">
        <v>406</v>
      </c>
      <c r="V134" s="193" t="s">
        <v>415</v>
      </c>
      <c r="W134" s="192" t="s">
        <v>406</v>
      </c>
      <c r="X134" s="189" t="s">
        <v>408</v>
      </c>
      <c r="Y134" s="190">
        <v>0.5</v>
      </c>
      <c r="Z134" s="190">
        <v>1</v>
      </c>
      <c r="AA134" s="190">
        <v>40</v>
      </c>
      <c r="AB134" s="59">
        <f t="shared" si="20"/>
        <v>20</v>
      </c>
      <c r="AC134" s="59" t="str">
        <f t="shared" si="21"/>
        <v>OLASI RİSK</v>
      </c>
      <c r="AD134" s="187" t="s">
        <v>309</v>
      </c>
      <c r="AE134" s="187" t="s">
        <v>347</v>
      </c>
      <c r="AF134" s="187" t="s">
        <v>800</v>
      </c>
      <c r="AG134" s="190" t="s">
        <v>730</v>
      </c>
    </row>
    <row r="135" spans="1:33" ht="125.25" customHeight="1">
      <c r="A135" s="186">
        <v>3255</v>
      </c>
      <c r="B135" s="192">
        <v>45877</v>
      </c>
      <c r="C135" s="187" t="s">
        <v>124</v>
      </c>
      <c r="D135" s="187" t="s">
        <v>56</v>
      </c>
      <c r="E135" s="188" t="s">
        <v>137</v>
      </c>
      <c r="F135" s="187" t="s">
        <v>137</v>
      </c>
      <c r="G135" s="187" t="s">
        <v>795</v>
      </c>
      <c r="H135" s="187" t="s">
        <v>796</v>
      </c>
      <c r="I135" s="187" t="s">
        <v>804</v>
      </c>
      <c r="J135" s="187" t="s">
        <v>805</v>
      </c>
      <c r="K135" s="187" t="s">
        <v>460</v>
      </c>
      <c r="L135" s="189" t="s">
        <v>799</v>
      </c>
      <c r="M135" s="189" t="s">
        <v>404</v>
      </c>
      <c r="N135" s="190">
        <v>3</v>
      </c>
      <c r="O135" s="190">
        <v>1</v>
      </c>
      <c r="P135" s="190">
        <v>40</v>
      </c>
      <c r="Q135" s="59">
        <f t="shared" si="19"/>
        <v>120</v>
      </c>
      <c r="R135" s="59" t="str">
        <f t="shared" si="18"/>
        <v>ÖNEMLİ RİSK</v>
      </c>
      <c r="S135" s="191" t="s">
        <v>405</v>
      </c>
      <c r="T135" s="187" t="s">
        <v>347</v>
      </c>
      <c r="U135" s="192" t="s">
        <v>406</v>
      </c>
      <c r="V135" s="193" t="s">
        <v>415</v>
      </c>
      <c r="W135" s="192" t="s">
        <v>406</v>
      </c>
      <c r="X135" s="189" t="s">
        <v>408</v>
      </c>
      <c r="Y135" s="190">
        <v>0.5</v>
      </c>
      <c r="Z135" s="190">
        <v>1</v>
      </c>
      <c r="AA135" s="190">
        <v>40</v>
      </c>
      <c r="AB135" s="59">
        <f t="shared" si="20"/>
        <v>20</v>
      </c>
      <c r="AC135" s="59" t="str">
        <f t="shared" si="21"/>
        <v>OLASI RİSK</v>
      </c>
      <c r="AD135" s="187" t="s">
        <v>309</v>
      </c>
      <c r="AE135" s="187" t="s">
        <v>347</v>
      </c>
      <c r="AF135" s="187" t="s">
        <v>800</v>
      </c>
      <c r="AG135" s="190" t="s">
        <v>730</v>
      </c>
    </row>
    <row r="136" spans="1:33" ht="165">
      <c r="A136" s="186">
        <v>3256</v>
      </c>
      <c r="B136" s="192">
        <v>45877</v>
      </c>
      <c r="C136" s="187" t="s">
        <v>124</v>
      </c>
      <c r="D136" s="187" t="s">
        <v>56</v>
      </c>
      <c r="E136" s="188" t="s">
        <v>137</v>
      </c>
      <c r="F136" s="187" t="s">
        <v>137</v>
      </c>
      <c r="G136" s="187" t="s">
        <v>795</v>
      </c>
      <c r="H136" s="187" t="s">
        <v>796</v>
      </c>
      <c r="I136" s="187" t="s">
        <v>806</v>
      </c>
      <c r="J136" s="187" t="s">
        <v>807</v>
      </c>
      <c r="K136" s="187" t="s">
        <v>460</v>
      </c>
      <c r="L136" s="189" t="s">
        <v>799</v>
      </c>
      <c r="M136" s="189" t="s">
        <v>404</v>
      </c>
      <c r="N136" s="190">
        <v>3</v>
      </c>
      <c r="O136" s="190">
        <v>1</v>
      </c>
      <c r="P136" s="190">
        <v>40</v>
      </c>
      <c r="Q136" s="59">
        <f t="shared" si="19"/>
        <v>120</v>
      </c>
      <c r="R136" s="59" t="str">
        <f t="shared" si="18"/>
        <v>ÖNEMLİ RİSK</v>
      </c>
      <c r="S136" s="191" t="s">
        <v>405</v>
      </c>
      <c r="T136" s="187" t="s">
        <v>347</v>
      </c>
      <c r="U136" s="192" t="s">
        <v>406</v>
      </c>
      <c r="V136" s="193" t="s">
        <v>415</v>
      </c>
      <c r="W136" s="192" t="s">
        <v>406</v>
      </c>
      <c r="X136" s="189" t="s">
        <v>408</v>
      </c>
      <c r="Y136" s="190">
        <v>0.5</v>
      </c>
      <c r="Z136" s="190">
        <v>1</v>
      </c>
      <c r="AA136" s="190">
        <v>40</v>
      </c>
      <c r="AB136" s="59">
        <f t="shared" si="20"/>
        <v>20</v>
      </c>
      <c r="AC136" s="59" t="str">
        <f t="shared" si="21"/>
        <v>OLASI RİSK</v>
      </c>
      <c r="AD136" s="187" t="s">
        <v>309</v>
      </c>
      <c r="AE136" s="187" t="s">
        <v>347</v>
      </c>
      <c r="AF136" s="187" t="s">
        <v>800</v>
      </c>
      <c r="AG136" s="190" t="s">
        <v>730</v>
      </c>
    </row>
    <row r="137" spans="1:33" ht="125.25" customHeight="1">
      <c r="A137" s="186">
        <v>3257</v>
      </c>
      <c r="B137" s="192">
        <v>45877</v>
      </c>
      <c r="C137" s="187" t="s">
        <v>124</v>
      </c>
      <c r="D137" s="187" t="s">
        <v>55</v>
      </c>
      <c r="E137" s="188" t="s">
        <v>137</v>
      </c>
      <c r="F137" s="187" t="s">
        <v>137</v>
      </c>
      <c r="G137" s="187" t="s">
        <v>808</v>
      </c>
      <c r="H137" s="187" t="s">
        <v>809</v>
      </c>
      <c r="I137" s="187" t="s">
        <v>810</v>
      </c>
      <c r="J137" s="187" t="s">
        <v>811</v>
      </c>
      <c r="K137" s="187" t="s">
        <v>402</v>
      </c>
      <c r="L137" s="189" t="s">
        <v>812</v>
      </c>
      <c r="M137" s="189" t="s">
        <v>404</v>
      </c>
      <c r="N137" s="190">
        <v>1</v>
      </c>
      <c r="O137" s="190">
        <v>1</v>
      </c>
      <c r="P137" s="190">
        <v>40</v>
      </c>
      <c r="Q137" s="59">
        <f t="shared" si="19"/>
        <v>40</v>
      </c>
      <c r="R137" s="59" t="str">
        <f t="shared" si="18"/>
        <v>OLASI RİSK</v>
      </c>
      <c r="S137" s="191" t="s">
        <v>405</v>
      </c>
      <c r="T137" s="187" t="s">
        <v>347</v>
      </c>
      <c r="U137" s="192" t="s">
        <v>406</v>
      </c>
      <c r="V137" s="193" t="s">
        <v>415</v>
      </c>
      <c r="W137" s="192" t="s">
        <v>406</v>
      </c>
      <c r="X137" s="189" t="s">
        <v>408</v>
      </c>
      <c r="Y137" s="190">
        <v>0.5</v>
      </c>
      <c r="Z137" s="190">
        <v>0.5</v>
      </c>
      <c r="AA137" s="190">
        <v>15</v>
      </c>
      <c r="AB137" s="59">
        <f t="shared" si="20"/>
        <v>3.75</v>
      </c>
      <c r="AC137" s="59" t="str">
        <f t="shared" si="21"/>
        <v>DÜŞÜK RİSK</v>
      </c>
      <c r="AD137" s="187" t="s">
        <v>309</v>
      </c>
      <c r="AE137" s="187" t="s">
        <v>347</v>
      </c>
      <c r="AF137" s="187" t="s">
        <v>800</v>
      </c>
      <c r="AG137" s="190" t="s">
        <v>410</v>
      </c>
    </row>
    <row r="138" spans="1:33" ht="125.25" customHeight="1">
      <c r="A138" s="186">
        <v>3259</v>
      </c>
      <c r="B138" s="192">
        <v>45877</v>
      </c>
      <c r="C138" s="187" t="s">
        <v>124</v>
      </c>
      <c r="D138" s="187" t="s">
        <v>55</v>
      </c>
      <c r="E138" s="188" t="s">
        <v>137</v>
      </c>
      <c r="F138" s="187" t="s">
        <v>137</v>
      </c>
      <c r="G138" s="187" t="s">
        <v>813</v>
      </c>
      <c r="H138" s="187" t="s">
        <v>814</v>
      </c>
      <c r="I138" s="187" t="s">
        <v>815</v>
      </c>
      <c r="J138" s="187" t="s">
        <v>816</v>
      </c>
      <c r="K138" s="187" t="s">
        <v>402</v>
      </c>
      <c r="L138" s="189" t="s">
        <v>817</v>
      </c>
      <c r="M138" s="189" t="s">
        <v>404</v>
      </c>
      <c r="N138" s="190">
        <v>1</v>
      </c>
      <c r="O138" s="190">
        <v>2</v>
      </c>
      <c r="P138" s="190">
        <v>7</v>
      </c>
      <c r="Q138" s="59">
        <f t="shared" si="19"/>
        <v>14</v>
      </c>
      <c r="R138" s="59" t="str">
        <f t="shared" si="18"/>
        <v>DÜŞÜK RİSK</v>
      </c>
      <c r="S138" s="191" t="s">
        <v>405</v>
      </c>
      <c r="T138" s="189" t="s">
        <v>347</v>
      </c>
      <c r="U138" s="192" t="s">
        <v>406</v>
      </c>
      <c r="V138" s="193" t="s">
        <v>415</v>
      </c>
      <c r="W138" s="192" t="s">
        <v>406</v>
      </c>
      <c r="X138" s="189" t="s">
        <v>408</v>
      </c>
      <c r="Y138" s="190">
        <v>0.5</v>
      </c>
      <c r="Z138" s="190">
        <v>0.5</v>
      </c>
      <c r="AA138" s="190">
        <v>7</v>
      </c>
      <c r="AB138" s="59">
        <f t="shared" si="20"/>
        <v>1.75</v>
      </c>
      <c r="AC138" s="59" t="str">
        <f t="shared" si="21"/>
        <v>DÜŞÜK RİSK</v>
      </c>
      <c r="AD138" s="187" t="s">
        <v>308</v>
      </c>
      <c r="AE138" s="187" t="s">
        <v>347</v>
      </c>
      <c r="AF138" s="187" t="s">
        <v>409</v>
      </c>
      <c r="AG138" s="190" t="s">
        <v>410</v>
      </c>
    </row>
    <row r="139" spans="1:33" ht="125.25" customHeight="1">
      <c r="A139" s="186">
        <v>3260</v>
      </c>
      <c r="B139" s="192">
        <v>45877</v>
      </c>
      <c r="C139" s="187" t="s">
        <v>124</v>
      </c>
      <c r="D139" s="187" t="s">
        <v>55</v>
      </c>
      <c r="E139" s="188" t="s">
        <v>137</v>
      </c>
      <c r="F139" s="187" t="s">
        <v>137</v>
      </c>
      <c r="G139" s="187" t="s">
        <v>813</v>
      </c>
      <c r="H139" s="187" t="s">
        <v>818</v>
      </c>
      <c r="I139" s="187" t="s">
        <v>819</v>
      </c>
      <c r="J139" s="187" t="s">
        <v>816</v>
      </c>
      <c r="K139" s="187" t="s">
        <v>402</v>
      </c>
      <c r="L139" s="189" t="s">
        <v>820</v>
      </c>
      <c r="M139" s="189" t="s">
        <v>404</v>
      </c>
      <c r="N139" s="190">
        <v>1</v>
      </c>
      <c r="O139" s="190">
        <v>2</v>
      </c>
      <c r="P139" s="190">
        <v>7</v>
      </c>
      <c r="Q139" s="59">
        <f t="shared" si="19"/>
        <v>14</v>
      </c>
      <c r="R139" s="59" t="str">
        <f t="shared" si="18"/>
        <v>DÜŞÜK RİSK</v>
      </c>
      <c r="S139" s="191" t="s">
        <v>405</v>
      </c>
      <c r="T139" s="189" t="s">
        <v>347</v>
      </c>
      <c r="U139" s="192" t="s">
        <v>406</v>
      </c>
      <c r="V139" s="193" t="s">
        <v>415</v>
      </c>
      <c r="W139" s="192" t="s">
        <v>406</v>
      </c>
      <c r="X139" s="189" t="s">
        <v>408</v>
      </c>
      <c r="Y139" s="190">
        <v>0.5</v>
      </c>
      <c r="Z139" s="190">
        <v>0.5</v>
      </c>
      <c r="AA139" s="190">
        <v>7</v>
      </c>
      <c r="AB139" s="59">
        <f t="shared" si="20"/>
        <v>1.75</v>
      </c>
      <c r="AC139" s="59" t="str">
        <f t="shared" si="21"/>
        <v>DÜŞÜK RİSK</v>
      </c>
      <c r="AD139" s="187" t="s">
        <v>308</v>
      </c>
      <c r="AE139" s="187" t="s">
        <v>347</v>
      </c>
      <c r="AF139" s="187" t="s">
        <v>409</v>
      </c>
      <c r="AG139" s="190" t="s">
        <v>410</v>
      </c>
    </row>
    <row r="140" spans="1:33" ht="125.25" customHeight="1">
      <c r="A140" s="186">
        <v>3261</v>
      </c>
      <c r="B140" s="192">
        <v>45877</v>
      </c>
      <c r="C140" s="187" t="s">
        <v>124</v>
      </c>
      <c r="D140" s="187" t="s">
        <v>55</v>
      </c>
      <c r="E140" s="188" t="s">
        <v>137</v>
      </c>
      <c r="F140" s="187" t="s">
        <v>137</v>
      </c>
      <c r="G140" s="187" t="s">
        <v>821</v>
      </c>
      <c r="H140" s="187" t="s">
        <v>959</v>
      </c>
      <c r="I140" s="187" t="s">
        <v>1070</v>
      </c>
      <c r="J140" s="187" t="s">
        <v>822</v>
      </c>
      <c r="K140" s="187" t="s">
        <v>402</v>
      </c>
      <c r="L140" s="189" t="s">
        <v>823</v>
      </c>
      <c r="M140" s="189" t="s">
        <v>404</v>
      </c>
      <c r="N140" s="190">
        <v>0.5</v>
      </c>
      <c r="O140" s="190">
        <v>0.5</v>
      </c>
      <c r="P140" s="190">
        <v>40</v>
      </c>
      <c r="Q140" s="59">
        <f t="shared" si="19"/>
        <v>10</v>
      </c>
      <c r="R140" s="59" t="str">
        <f t="shared" ref="R140:R171" si="22">IF(Q140="","",IF(AND(Q140&gt;=0,Q140&lt;20),"DÜŞÜK RİSK",IF(AND(Q140&gt;=20,Q140&lt;70),"OLASI RİSK",IF(AND(Q140&gt;=70,Q140&lt;200),"ÖNEMLİ RİSK",IF(AND(Q140&gt;=200,Q140&lt;400),"YÜKSEK RİSK",IF(Q140&gt;=400,"KABUL EDİLEMEZ RİSK",""))))))</f>
        <v>DÜŞÜK RİSK</v>
      </c>
      <c r="S140" s="191" t="s">
        <v>405</v>
      </c>
      <c r="T140" s="187" t="s">
        <v>126</v>
      </c>
      <c r="U140" s="192" t="s">
        <v>406</v>
      </c>
      <c r="V140" s="193" t="s">
        <v>415</v>
      </c>
      <c r="W140" s="192" t="s">
        <v>406</v>
      </c>
      <c r="X140" s="189" t="s">
        <v>408</v>
      </c>
      <c r="Y140" s="190">
        <v>0.5</v>
      </c>
      <c r="Z140" s="190">
        <v>0.5</v>
      </c>
      <c r="AA140" s="190">
        <v>40</v>
      </c>
      <c r="AB140" s="59">
        <f t="shared" si="20"/>
        <v>10</v>
      </c>
      <c r="AC140" s="59" t="str">
        <f t="shared" si="21"/>
        <v>DÜŞÜK RİSK</v>
      </c>
      <c r="AD140" s="187" t="s">
        <v>309</v>
      </c>
      <c r="AE140" s="187" t="s">
        <v>126</v>
      </c>
      <c r="AF140" s="187" t="s">
        <v>824</v>
      </c>
      <c r="AG140" s="190" t="s">
        <v>410</v>
      </c>
    </row>
    <row r="141" spans="1:33" ht="125.25" customHeight="1">
      <c r="A141" s="186">
        <v>3262</v>
      </c>
      <c r="B141" s="192">
        <v>45877</v>
      </c>
      <c r="C141" s="187" t="s">
        <v>124</v>
      </c>
      <c r="D141" s="187" t="s">
        <v>55</v>
      </c>
      <c r="E141" s="188" t="s">
        <v>137</v>
      </c>
      <c r="F141" s="187" t="s">
        <v>137</v>
      </c>
      <c r="G141" s="187" t="s">
        <v>825</v>
      </c>
      <c r="H141" s="187" t="s">
        <v>826</v>
      </c>
      <c r="I141" s="187" t="s">
        <v>1071</v>
      </c>
      <c r="J141" s="187" t="s">
        <v>827</v>
      </c>
      <c r="K141" s="187" t="s">
        <v>402</v>
      </c>
      <c r="L141" s="189" t="s">
        <v>828</v>
      </c>
      <c r="M141" s="189" t="s">
        <v>404</v>
      </c>
      <c r="N141" s="190">
        <v>0.5</v>
      </c>
      <c r="O141" s="190">
        <v>0.5</v>
      </c>
      <c r="P141" s="190">
        <v>40</v>
      </c>
      <c r="Q141" s="59">
        <f t="shared" si="19"/>
        <v>10</v>
      </c>
      <c r="R141" s="59" t="str">
        <f t="shared" si="22"/>
        <v>DÜŞÜK RİSK</v>
      </c>
      <c r="S141" s="191" t="s">
        <v>405</v>
      </c>
      <c r="T141" s="189" t="s">
        <v>347</v>
      </c>
      <c r="U141" s="192" t="s">
        <v>406</v>
      </c>
      <c r="V141" s="193" t="s">
        <v>415</v>
      </c>
      <c r="W141" s="192" t="s">
        <v>406</v>
      </c>
      <c r="X141" s="189" t="s">
        <v>408</v>
      </c>
      <c r="Y141" s="190">
        <v>0.5</v>
      </c>
      <c r="Z141" s="190">
        <v>0.5</v>
      </c>
      <c r="AA141" s="190">
        <v>40</v>
      </c>
      <c r="AB141" s="59">
        <f t="shared" si="20"/>
        <v>10</v>
      </c>
      <c r="AC141" s="59" t="str">
        <f t="shared" si="21"/>
        <v>DÜŞÜK RİSK</v>
      </c>
      <c r="AD141" s="187" t="s">
        <v>309</v>
      </c>
      <c r="AE141" s="189" t="s">
        <v>347</v>
      </c>
      <c r="AF141" s="187" t="s">
        <v>706</v>
      </c>
      <c r="AG141" s="190" t="s">
        <v>410</v>
      </c>
    </row>
    <row r="142" spans="1:33" ht="125.25" customHeight="1">
      <c r="A142" s="186">
        <v>3263</v>
      </c>
      <c r="B142" s="192">
        <v>45877</v>
      </c>
      <c r="C142" s="187" t="s">
        <v>124</v>
      </c>
      <c r="D142" s="187" t="s">
        <v>55</v>
      </c>
      <c r="E142" s="188" t="s">
        <v>137</v>
      </c>
      <c r="F142" s="187" t="s">
        <v>137</v>
      </c>
      <c r="G142" s="187" t="s">
        <v>825</v>
      </c>
      <c r="H142" s="187" t="s">
        <v>829</v>
      </c>
      <c r="I142" s="187" t="s">
        <v>830</v>
      </c>
      <c r="J142" s="187" t="s">
        <v>831</v>
      </c>
      <c r="K142" s="187" t="s">
        <v>402</v>
      </c>
      <c r="L142" s="189" t="s">
        <v>832</v>
      </c>
      <c r="M142" s="189" t="s">
        <v>404</v>
      </c>
      <c r="N142" s="190">
        <v>0.5</v>
      </c>
      <c r="O142" s="190">
        <v>0.5</v>
      </c>
      <c r="P142" s="190">
        <v>15</v>
      </c>
      <c r="Q142" s="59">
        <f t="shared" si="19"/>
        <v>3.75</v>
      </c>
      <c r="R142" s="59" t="str">
        <f t="shared" si="22"/>
        <v>DÜŞÜK RİSK</v>
      </c>
      <c r="S142" s="191" t="s">
        <v>405</v>
      </c>
      <c r="T142" s="189" t="s">
        <v>347</v>
      </c>
      <c r="U142" s="192" t="s">
        <v>406</v>
      </c>
      <c r="V142" s="193" t="s">
        <v>415</v>
      </c>
      <c r="W142" s="192" t="s">
        <v>406</v>
      </c>
      <c r="X142" s="189" t="s">
        <v>408</v>
      </c>
      <c r="Y142" s="190">
        <v>0.5</v>
      </c>
      <c r="Z142" s="190">
        <v>0.5</v>
      </c>
      <c r="AA142" s="190">
        <v>15</v>
      </c>
      <c r="AB142" s="59">
        <f t="shared" si="20"/>
        <v>3.75</v>
      </c>
      <c r="AC142" s="59" t="str">
        <f t="shared" si="21"/>
        <v>DÜŞÜK RİSK</v>
      </c>
      <c r="AD142" s="187" t="s">
        <v>309</v>
      </c>
      <c r="AE142" s="189" t="s">
        <v>347</v>
      </c>
      <c r="AF142" s="187" t="s">
        <v>706</v>
      </c>
      <c r="AG142" s="190" t="s">
        <v>410</v>
      </c>
    </row>
    <row r="143" spans="1:33" ht="125.25" customHeight="1">
      <c r="A143" s="186">
        <v>3264</v>
      </c>
      <c r="B143" s="192">
        <v>45877</v>
      </c>
      <c r="C143" s="187" t="s">
        <v>124</v>
      </c>
      <c r="D143" s="187" t="s">
        <v>55</v>
      </c>
      <c r="E143" s="188" t="s">
        <v>137</v>
      </c>
      <c r="F143" s="187" t="s">
        <v>137</v>
      </c>
      <c r="G143" s="187" t="s">
        <v>825</v>
      </c>
      <c r="H143" s="187" t="s">
        <v>833</v>
      </c>
      <c r="I143" s="187" t="s">
        <v>834</v>
      </c>
      <c r="J143" s="187" t="s">
        <v>835</v>
      </c>
      <c r="K143" s="187" t="s">
        <v>402</v>
      </c>
      <c r="L143" s="189" t="s">
        <v>836</v>
      </c>
      <c r="M143" s="189" t="s">
        <v>404</v>
      </c>
      <c r="N143" s="190">
        <v>0.5</v>
      </c>
      <c r="O143" s="190">
        <v>0.5</v>
      </c>
      <c r="P143" s="190">
        <v>40</v>
      </c>
      <c r="Q143" s="59">
        <f t="shared" si="19"/>
        <v>10</v>
      </c>
      <c r="R143" s="59" t="str">
        <f t="shared" si="22"/>
        <v>DÜŞÜK RİSK</v>
      </c>
      <c r="S143" s="191" t="s">
        <v>405</v>
      </c>
      <c r="T143" s="189" t="s">
        <v>347</v>
      </c>
      <c r="U143" s="192" t="s">
        <v>406</v>
      </c>
      <c r="V143" s="193" t="s">
        <v>415</v>
      </c>
      <c r="W143" s="192" t="s">
        <v>406</v>
      </c>
      <c r="X143" s="189" t="s">
        <v>408</v>
      </c>
      <c r="Y143" s="190">
        <v>0.5</v>
      </c>
      <c r="Z143" s="190">
        <v>0.5</v>
      </c>
      <c r="AA143" s="190">
        <v>40</v>
      </c>
      <c r="AB143" s="59">
        <f t="shared" si="20"/>
        <v>10</v>
      </c>
      <c r="AC143" s="59" t="str">
        <f t="shared" si="21"/>
        <v>DÜŞÜK RİSK</v>
      </c>
      <c r="AD143" s="187" t="s">
        <v>309</v>
      </c>
      <c r="AE143" s="189" t="s">
        <v>347</v>
      </c>
      <c r="AF143" s="187" t="s">
        <v>706</v>
      </c>
      <c r="AG143" s="190" t="s">
        <v>410</v>
      </c>
    </row>
    <row r="144" spans="1:33" ht="125.25" customHeight="1">
      <c r="A144" s="186">
        <v>3265</v>
      </c>
      <c r="B144" s="192">
        <v>45877</v>
      </c>
      <c r="C144" s="187" t="s">
        <v>124</v>
      </c>
      <c r="D144" s="187" t="s">
        <v>55</v>
      </c>
      <c r="E144" s="188" t="s">
        <v>137</v>
      </c>
      <c r="F144" s="187" t="s">
        <v>137</v>
      </c>
      <c r="G144" s="187" t="s">
        <v>837</v>
      </c>
      <c r="H144" s="187" t="s">
        <v>838</v>
      </c>
      <c r="I144" s="187" t="s">
        <v>839</v>
      </c>
      <c r="J144" s="187" t="s">
        <v>840</v>
      </c>
      <c r="K144" s="187" t="s">
        <v>402</v>
      </c>
      <c r="L144" s="189" t="s">
        <v>841</v>
      </c>
      <c r="M144" s="189" t="s">
        <v>404</v>
      </c>
      <c r="N144" s="190">
        <v>0.5</v>
      </c>
      <c r="O144" s="190">
        <v>0.5</v>
      </c>
      <c r="P144" s="190">
        <v>40</v>
      </c>
      <c r="Q144" s="59">
        <f t="shared" si="19"/>
        <v>10</v>
      </c>
      <c r="R144" s="59" t="str">
        <f t="shared" si="22"/>
        <v>DÜŞÜK RİSK</v>
      </c>
      <c r="S144" s="191" t="s">
        <v>405</v>
      </c>
      <c r="T144" s="189" t="s">
        <v>347</v>
      </c>
      <c r="U144" s="192" t="s">
        <v>406</v>
      </c>
      <c r="V144" s="193" t="s">
        <v>415</v>
      </c>
      <c r="W144" s="192" t="s">
        <v>406</v>
      </c>
      <c r="X144" s="189" t="s">
        <v>408</v>
      </c>
      <c r="Y144" s="190">
        <v>0.5</v>
      </c>
      <c r="Z144" s="190">
        <v>0.5</v>
      </c>
      <c r="AA144" s="190">
        <v>40</v>
      </c>
      <c r="AB144" s="59">
        <f t="shared" si="20"/>
        <v>10</v>
      </c>
      <c r="AC144" s="59" t="str">
        <f t="shared" si="21"/>
        <v>DÜŞÜK RİSK</v>
      </c>
      <c r="AD144" s="187" t="s">
        <v>309</v>
      </c>
      <c r="AE144" s="189" t="s">
        <v>347</v>
      </c>
      <c r="AF144" s="187" t="s">
        <v>706</v>
      </c>
      <c r="AG144" s="190" t="s">
        <v>410</v>
      </c>
    </row>
    <row r="145" spans="1:33" ht="125.25" customHeight="1">
      <c r="A145" s="186">
        <v>3266</v>
      </c>
      <c r="B145" s="192">
        <v>45877</v>
      </c>
      <c r="C145" s="187" t="s">
        <v>124</v>
      </c>
      <c r="D145" s="187" t="s">
        <v>55</v>
      </c>
      <c r="E145" s="188" t="s">
        <v>137</v>
      </c>
      <c r="F145" s="187" t="s">
        <v>137</v>
      </c>
      <c r="G145" s="187" t="s">
        <v>837</v>
      </c>
      <c r="H145" s="187" t="s">
        <v>842</v>
      </c>
      <c r="I145" s="187" t="s">
        <v>843</v>
      </c>
      <c r="J145" s="187" t="s">
        <v>844</v>
      </c>
      <c r="K145" s="187" t="s">
        <v>402</v>
      </c>
      <c r="L145" s="189" t="s">
        <v>845</v>
      </c>
      <c r="M145" s="189" t="s">
        <v>404</v>
      </c>
      <c r="N145" s="190">
        <v>0.5</v>
      </c>
      <c r="O145" s="190">
        <v>0.5</v>
      </c>
      <c r="P145" s="190">
        <v>15</v>
      </c>
      <c r="Q145" s="59">
        <f t="shared" si="19"/>
        <v>3.75</v>
      </c>
      <c r="R145" s="59" t="str">
        <f t="shared" si="22"/>
        <v>DÜŞÜK RİSK</v>
      </c>
      <c r="S145" s="191" t="s">
        <v>405</v>
      </c>
      <c r="T145" s="189" t="s">
        <v>347</v>
      </c>
      <c r="U145" s="192" t="s">
        <v>406</v>
      </c>
      <c r="V145" s="193" t="s">
        <v>415</v>
      </c>
      <c r="W145" s="192" t="s">
        <v>406</v>
      </c>
      <c r="X145" s="189" t="s">
        <v>408</v>
      </c>
      <c r="Y145" s="190">
        <v>0.5</v>
      </c>
      <c r="Z145" s="190">
        <v>0.5</v>
      </c>
      <c r="AA145" s="190">
        <v>15</v>
      </c>
      <c r="AB145" s="59">
        <f t="shared" si="20"/>
        <v>3.75</v>
      </c>
      <c r="AC145" s="59" t="str">
        <f t="shared" si="21"/>
        <v>DÜŞÜK RİSK</v>
      </c>
      <c r="AD145" s="187" t="s">
        <v>309</v>
      </c>
      <c r="AE145" s="189" t="s">
        <v>347</v>
      </c>
      <c r="AF145" s="187" t="s">
        <v>706</v>
      </c>
      <c r="AG145" s="190" t="s">
        <v>410</v>
      </c>
    </row>
    <row r="146" spans="1:33" ht="125.25" customHeight="1">
      <c r="A146" s="186">
        <v>3267</v>
      </c>
      <c r="B146" s="192">
        <v>45877</v>
      </c>
      <c r="C146" s="187" t="s">
        <v>124</v>
      </c>
      <c r="D146" s="187" t="s">
        <v>55</v>
      </c>
      <c r="E146" s="188" t="s">
        <v>137</v>
      </c>
      <c r="F146" s="187" t="s">
        <v>137</v>
      </c>
      <c r="G146" s="187" t="s">
        <v>846</v>
      </c>
      <c r="H146" s="187" t="s">
        <v>847</v>
      </c>
      <c r="I146" s="187" t="s">
        <v>848</v>
      </c>
      <c r="J146" s="187" t="s">
        <v>849</v>
      </c>
      <c r="K146" s="187" t="s">
        <v>402</v>
      </c>
      <c r="L146" s="189" t="s">
        <v>850</v>
      </c>
      <c r="M146" s="189" t="s">
        <v>404</v>
      </c>
      <c r="N146" s="190">
        <v>1</v>
      </c>
      <c r="O146" s="190">
        <v>0.5</v>
      </c>
      <c r="P146" s="190">
        <v>15</v>
      </c>
      <c r="Q146" s="59">
        <f t="shared" si="19"/>
        <v>7.5</v>
      </c>
      <c r="R146" s="59" t="str">
        <f t="shared" si="22"/>
        <v>DÜŞÜK RİSK</v>
      </c>
      <c r="S146" s="191" t="s">
        <v>405</v>
      </c>
      <c r="T146" s="189" t="s">
        <v>347</v>
      </c>
      <c r="U146" s="192" t="s">
        <v>406</v>
      </c>
      <c r="V146" s="193" t="s">
        <v>415</v>
      </c>
      <c r="W146" s="192" t="s">
        <v>406</v>
      </c>
      <c r="X146" s="189" t="s">
        <v>408</v>
      </c>
      <c r="Y146" s="190">
        <v>0.5</v>
      </c>
      <c r="Z146" s="190">
        <v>0.5</v>
      </c>
      <c r="AA146" s="190">
        <v>15</v>
      </c>
      <c r="AB146" s="59">
        <f t="shared" si="20"/>
        <v>3.75</v>
      </c>
      <c r="AC146" s="59" t="str">
        <f t="shared" si="21"/>
        <v>DÜŞÜK RİSK</v>
      </c>
      <c r="AD146" s="187" t="s">
        <v>309</v>
      </c>
      <c r="AE146" s="189" t="s">
        <v>347</v>
      </c>
      <c r="AF146" s="187" t="s">
        <v>706</v>
      </c>
      <c r="AG146" s="190" t="s">
        <v>410</v>
      </c>
    </row>
    <row r="147" spans="1:33" ht="125.25" customHeight="1">
      <c r="A147" s="186">
        <v>3268</v>
      </c>
      <c r="B147" s="192">
        <v>45877</v>
      </c>
      <c r="C147" s="187" t="s">
        <v>124</v>
      </c>
      <c r="D147" s="187" t="s">
        <v>55</v>
      </c>
      <c r="E147" s="188" t="s">
        <v>137</v>
      </c>
      <c r="F147" s="187" t="s">
        <v>137</v>
      </c>
      <c r="G147" s="187" t="s">
        <v>846</v>
      </c>
      <c r="H147" s="187" t="s">
        <v>851</v>
      </c>
      <c r="I147" s="187" t="s">
        <v>852</v>
      </c>
      <c r="J147" s="187" t="s">
        <v>853</v>
      </c>
      <c r="K147" s="187" t="s">
        <v>402</v>
      </c>
      <c r="L147" s="189" t="s">
        <v>854</v>
      </c>
      <c r="M147" s="189" t="s">
        <v>404</v>
      </c>
      <c r="N147" s="190">
        <v>1</v>
      </c>
      <c r="O147" s="190">
        <v>0.5</v>
      </c>
      <c r="P147" s="190">
        <v>15</v>
      </c>
      <c r="Q147" s="59">
        <f t="shared" si="19"/>
        <v>7.5</v>
      </c>
      <c r="R147" s="59" t="str">
        <f t="shared" si="22"/>
        <v>DÜŞÜK RİSK</v>
      </c>
      <c r="S147" s="191" t="s">
        <v>405</v>
      </c>
      <c r="T147" s="189" t="s">
        <v>347</v>
      </c>
      <c r="U147" s="192" t="s">
        <v>406</v>
      </c>
      <c r="V147" s="193" t="s">
        <v>415</v>
      </c>
      <c r="W147" s="192" t="s">
        <v>406</v>
      </c>
      <c r="X147" s="189" t="s">
        <v>408</v>
      </c>
      <c r="Y147" s="190">
        <v>0.5</v>
      </c>
      <c r="Z147" s="190">
        <v>0.5</v>
      </c>
      <c r="AA147" s="190">
        <v>15</v>
      </c>
      <c r="AB147" s="59">
        <f t="shared" si="20"/>
        <v>3.75</v>
      </c>
      <c r="AC147" s="59" t="str">
        <f t="shared" si="21"/>
        <v>DÜŞÜK RİSK</v>
      </c>
      <c r="AD147" s="187" t="s">
        <v>309</v>
      </c>
      <c r="AE147" s="189" t="s">
        <v>347</v>
      </c>
      <c r="AF147" s="187" t="s">
        <v>706</v>
      </c>
      <c r="AG147" s="190" t="s">
        <v>410</v>
      </c>
    </row>
    <row r="148" spans="1:33" ht="125.25" customHeight="1">
      <c r="A148" s="186">
        <v>3269</v>
      </c>
      <c r="B148" s="192">
        <v>45877</v>
      </c>
      <c r="C148" s="187" t="s">
        <v>124</v>
      </c>
      <c r="D148" s="187" t="s">
        <v>55</v>
      </c>
      <c r="E148" s="188" t="s">
        <v>137</v>
      </c>
      <c r="F148" s="187" t="s">
        <v>137</v>
      </c>
      <c r="G148" s="187" t="s">
        <v>846</v>
      </c>
      <c r="H148" s="187" t="s">
        <v>855</v>
      </c>
      <c r="I148" s="187" t="s">
        <v>856</v>
      </c>
      <c r="J148" s="187" t="s">
        <v>857</v>
      </c>
      <c r="K148" s="187" t="s">
        <v>402</v>
      </c>
      <c r="L148" s="189" t="s">
        <v>858</v>
      </c>
      <c r="M148" s="189" t="s">
        <v>404</v>
      </c>
      <c r="N148" s="190">
        <v>1</v>
      </c>
      <c r="O148" s="190">
        <v>0.5</v>
      </c>
      <c r="P148" s="190">
        <v>3</v>
      </c>
      <c r="Q148" s="59">
        <f t="shared" si="19"/>
        <v>1.5</v>
      </c>
      <c r="R148" s="59" t="str">
        <f t="shared" si="22"/>
        <v>DÜŞÜK RİSK</v>
      </c>
      <c r="S148" s="191" t="s">
        <v>405</v>
      </c>
      <c r="T148" s="189" t="s">
        <v>347</v>
      </c>
      <c r="U148" s="192" t="s">
        <v>406</v>
      </c>
      <c r="V148" s="193" t="s">
        <v>415</v>
      </c>
      <c r="W148" s="192" t="s">
        <v>406</v>
      </c>
      <c r="X148" s="189" t="s">
        <v>408</v>
      </c>
      <c r="Y148" s="190">
        <v>0.5</v>
      </c>
      <c r="Z148" s="190">
        <v>0.5</v>
      </c>
      <c r="AA148" s="190">
        <v>3</v>
      </c>
      <c r="AB148" s="59">
        <f t="shared" si="20"/>
        <v>0.75</v>
      </c>
      <c r="AC148" s="59" t="str">
        <f t="shared" si="21"/>
        <v>DÜŞÜK RİSK</v>
      </c>
      <c r="AD148" s="187" t="s">
        <v>308</v>
      </c>
      <c r="AE148" s="189" t="s">
        <v>347</v>
      </c>
      <c r="AF148" s="187" t="s">
        <v>859</v>
      </c>
      <c r="AG148" s="190" t="s">
        <v>410</v>
      </c>
    </row>
    <row r="149" spans="1:33" ht="125.25" customHeight="1">
      <c r="A149" s="186">
        <v>3270</v>
      </c>
      <c r="B149" s="192">
        <v>45877</v>
      </c>
      <c r="C149" s="187" t="s">
        <v>124</v>
      </c>
      <c r="D149" s="187" t="s">
        <v>55</v>
      </c>
      <c r="E149" s="188" t="s">
        <v>137</v>
      </c>
      <c r="F149" s="187" t="s">
        <v>137</v>
      </c>
      <c r="G149" s="187" t="s">
        <v>860</v>
      </c>
      <c r="H149" s="187" t="s">
        <v>861</v>
      </c>
      <c r="I149" s="187" t="s">
        <v>862</v>
      </c>
      <c r="J149" s="187" t="s">
        <v>863</v>
      </c>
      <c r="K149" s="187" t="s">
        <v>402</v>
      </c>
      <c r="L149" s="189" t="s">
        <v>1116</v>
      </c>
      <c r="M149" s="189" t="s">
        <v>404</v>
      </c>
      <c r="N149" s="190">
        <v>1</v>
      </c>
      <c r="O149" s="190">
        <v>0.5</v>
      </c>
      <c r="P149" s="190">
        <v>15</v>
      </c>
      <c r="Q149" s="59">
        <f t="shared" si="19"/>
        <v>7.5</v>
      </c>
      <c r="R149" s="59" t="str">
        <f t="shared" si="22"/>
        <v>DÜŞÜK RİSK</v>
      </c>
      <c r="S149" s="191" t="s">
        <v>405</v>
      </c>
      <c r="T149" s="189" t="s">
        <v>347</v>
      </c>
      <c r="U149" s="192" t="s">
        <v>406</v>
      </c>
      <c r="V149" s="193" t="s">
        <v>415</v>
      </c>
      <c r="W149" s="192" t="s">
        <v>406</v>
      </c>
      <c r="X149" s="189" t="s">
        <v>408</v>
      </c>
      <c r="Y149" s="190">
        <v>0.5</v>
      </c>
      <c r="Z149" s="190">
        <v>0.5</v>
      </c>
      <c r="AA149" s="190">
        <v>15</v>
      </c>
      <c r="AB149" s="59">
        <f t="shared" si="20"/>
        <v>3.75</v>
      </c>
      <c r="AC149" s="59" t="str">
        <f t="shared" si="21"/>
        <v>DÜŞÜK RİSK</v>
      </c>
      <c r="AD149" s="187" t="s">
        <v>309</v>
      </c>
      <c r="AE149" s="189" t="s">
        <v>347</v>
      </c>
      <c r="AF149" s="187" t="s">
        <v>706</v>
      </c>
      <c r="AG149" s="190" t="s">
        <v>410</v>
      </c>
    </row>
    <row r="150" spans="1:33" ht="125.25" customHeight="1">
      <c r="A150" s="186">
        <v>3271</v>
      </c>
      <c r="B150" s="192">
        <v>45877</v>
      </c>
      <c r="C150" s="187" t="s">
        <v>124</v>
      </c>
      <c r="D150" s="187" t="s">
        <v>55</v>
      </c>
      <c r="E150" s="188" t="s">
        <v>137</v>
      </c>
      <c r="F150" s="187" t="s">
        <v>137</v>
      </c>
      <c r="G150" s="187" t="s">
        <v>860</v>
      </c>
      <c r="H150" s="187" t="s">
        <v>865</v>
      </c>
      <c r="I150" s="187" t="s">
        <v>866</v>
      </c>
      <c r="J150" s="187" t="s">
        <v>867</v>
      </c>
      <c r="K150" s="187" t="s">
        <v>402</v>
      </c>
      <c r="L150" s="189" t="s">
        <v>864</v>
      </c>
      <c r="M150" s="189" t="s">
        <v>404</v>
      </c>
      <c r="N150" s="190">
        <v>1</v>
      </c>
      <c r="O150" s="190">
        <v>0.5</v>
      </c>
      <c r="P150" s="190">
        <v>3</v>
      </c>
      <c r="Q150" s="59">
        <f t="shared" si="19"/>
        <v>1.5</v>
      </c>
      <c r="R150" s="59" t="str">
        <f t="shared" si="22"/>
        <v>DÜŞÜK RİSK</v>
      </c>
      <c r="S150" s="191" t="s">
        <v>405</v>
      </c>
      <c r="T150" s="189" t="s">
        <v>347</v>
      </c>
      <c r="U150" s="192" t="s">
        <v>406</v>
      </c>
      <c r="V150" s="193" t="s">
        <v>415</v>
      </c>
      <c r="W150" s="192" t="s">
        <v>406</v>
      </c>
      <c r="X150" s="189" t="s">
        <v>408</v>
      </c>
      <c r="Y150" s="190">
        <v>0.5</v>
      </c>
      <c r="Z150" s="190">
        <v>0.5</v>
      </c>
      <c r="AA150" s="190">
        <v>15</v>
      </c>
      <c r="AB150" s="59">
        <f t="shared" si="20"/>
        <v>3.75</v>
      </c>
      <c r="AC150" s="59" t="str">
        <f t="shared" si="21"/>
        <v>DÜŞÜK RİSK</v>
      </c>
      <c r="AD150" s="187" t="s">
        <v>309</v>
      </c>
      <c r="AE150" s="189" t="s">
        <v>347</v>
      </c>
      <c r="AF150" s="187" t="s">
        <v>706</v>
      </c>
      <c r="AG150" s="190" t="s">
        <v>410</v>
      </c>
    </row>
    <row r="151" spans="1:33" ht="125.25" customHeight="1">
      <c r="A151" s="186">
        <v>3272</v>
      </c>
      <c r="B151" s="192">
        <v>45877</v>
      </c>
      <c r="C151" s="187" t="s">
        <v>124</v>
      </c>
      <c r="D151" s="187" t="s">
        <v>55</v>
      </c>
      <c r="E151" s="188" t="s">
        <v>137</v>
      </c>
      <c r="F151" s="187" t="s">
        <v>137</v>
      </c>
      <c r="G151" s="187" t="s">
        <v>868</v>
      </c>
      <c r="H151" s="187" t="s">
        <v>1072</v>
      </c>
      <c r="I151" s="187" t="s">
        <v>869</v>
      </c>
      <c r="J151" s="187" t="s">
        <v>870</v>
      </c>
      <c r="K151" s="187" t="s">
        <v>402</v>
      </c>
      <c r="L151" s="189" t="s">
        <v>871</v>
      </c>
      <c r="M151" s="189" t="s">
        <v>404</v>
      </c>
      <c r="N151" s="190">
        <v>1</v>
      </c>
      <c r="O151" s="190">
        <v>3</v>
      </c>
      <c r="P151" s="190">
        <v>3</v>
      </c>
      <c r="Q151" s="59">
        <f t="shared" si="19"/>
        <v>9</v>
      </c>
      <c r="R151" s="59" t="str">
        <f t="shared" si="22"/>
        <v>DÜŞÜK RİSK</v>
      </c>
      <c r="S151" s="191" t="s">
        <v>405</v>
      </c>
      <c r="T151" s="187" t="s">
        <v>356</v>
      </c>
      <c r="U151" s="192" t="s">
        <v>406</v>
      </c>
      <c r="V151" s="193" t="s">
        <v>415</v>
      </c>
      <c r="W151" s="192" t="s">
        <v>406</v>
      </c>
      <c r="X151" s="189" t="s">
        <v>408</v>
      </c>
      <c r="Y151" s="190">
        <v>1</v>
      </c>
      <c r="Z151" s="190">
        <v>3</v>
      </c>
      <c r="AA151" s="190">
        <v>3</v>
      </c>
      <c r="AB151" s="59">
        <f t="shared" si="20"/>
        <v>9</v>
      </c>
      <c r="AC151" s="59" t="str">
        <f t="shared" si="21"/>
        <v>DÜŞÜK RİSK</v>
      </c>
      <c r="AD151" s="187" t="s">
        <v>309</v>
      </c>
      <c r="AE151" s="187" t="s">
        <v>356</v>
      </c>
      <c r="AF151" s="187" t="s">
        <v>872</v>
      </c>
      <c r="AG151" s="190" t="s">
        <v>410</v>
      </c>
    </row>
    <row r="152" spans="1:33" ht="125.25" customHeight="1">
      <c r="A152" s="186">
        <v>3273</v>
      </c>
      <c r="B152" s="192">
        <v>45877</v>
      </c>
      <c r="C152" s="187" t="s">
        <v>124</v>
      </c>
      <c r="D152" s="187" t="s">
        <v>55</v>
      </c>
      <c r="E152" s="188" t="s">
        <v>137</v>
      </c>
      <c r="F152" s="187" t="s">
        <v>137</v>
      </c>
      <c r="G152" s="187" t="s">
        <v>873</v>
      </c>
      <c r="H152" s="187" t="s">
        <v>874</v>
      </c>
      <c r="I152" s="187" t="s">
        <v>875</v>
      </c>
      <c r="J152" s="187" t="s">
        <v>876</v>
      </c>
      <c r="K152" s="187" t="s">
        <v>402</v>
      </c>
      <c r="L152" s="189" t="s">
        <v>877</v>
      </c>
      <c r="M152" s="189" t="s">
        <v>404</v>
      </c>
      <c r="N152" s="190">
        <v>0.5</v>
      </c>
      <c r="O152" s="190">
        <v>1</v>
      </c>
      <c r="P152" s="190">
        <v>100</v>
      </c>
      <c r="Q152" s="59">
        <f t="shared" si="19"/>
        <v>50</v>
      </c>
      <c r="R152" s="59" t="str">
        <f t="shared" si="22"/>
        <v>OLASI RİSK</v>
      </c>
      <c r="S152" s="191" t="s">
        <v>405</v>
      </c>
      <c r="T152" s="189" t="s">
        <v>347</v>
      </c>
      <c r="U152" s="192" t="s">
        <v>406</v>
      </c>
      <c r="V152" s="193" t="s">
        <v>415</v>
      </c>
      <c r="W152" s="192" t="s">
        <v>406</v>
      </c>
      <c r="X152" s="189" t="s">
        <v>408</v>
      </c>
      <c r="Y152" s="190">
        <v>0.5</v>
      </c>
      <c r="Z152" s="190">
        <v>0.5</v>
      </c>
      <c r="AA152" s="190">
        <v>40</v>
      </c>
      <c r="AB152" s="59">
        <f t="shared" si="20"/>
        <v>10</v>
      </c>
      <c r="AC152" s="59" t="str">
        <f t="shared" si="21"/>
        <v>DÜŞÜK RİSK</v>
      </c>
      <c r="AD152" s="187" t="s">
        <v>309</v>
      </c>
      <c r="AE152" s="189" t="s">
        <v>347</v>
      </c>
      <c r="AF152" s="187" t="s">
        <v>706</v>
      </c>
      <c r="AG152" s="190" t="s">
        <v>410</v>
      </c>
    </row>
    <row r="153" spans="1:33" ht="125.25" customHeight="1">
      <c r="A153" s="186">
        <v>3274</v>
      </c>
      <c r="B153" s="192">
        <v>45877</v>
      </c>
      <c r="C153" s="187" t="s">
        <v>124</v>
      </c>
      <c r="D153" s="187" t="s">
        <v>55</v>
      </c>
      <c r="E153" s="188" t="s">
        <v>137</v>
      </c>
      <c r="F153" s="187" t="s">
        <v>137</v>
      </c>
      <c r="G153" s="187" t="s">
        <v>873</v>
      </c>
      <c r="H153" s="187" t="s">
        <v>878</v>
      </c>
      <c r="I153" s="187" t="s">
        <v>879</v>
      </c>
      <c r="J153" s="187" t="s">
        <v>880</v>
      </c>
      <c r="K153" s="187" t="s">
        <v>402</v>
      </c>
      <c r="L153" s="189" t="s">
        <v>881</v>
      </c>
      <c r="M153" s="189" t="s">
        <v>404</v>
      </c>
      <c r="N153" s="190">
        <v>0.5</v>
      </c>
      <c r="O153" s="190">
        <v>1</v>
      </c>
      <c r="P153" s="190">
        <v>100</v>
      </c>
      <c r="Q153" s="59">
        <f t="shared" ref="Q153:Q171" si="23">IF(OR(ISBLANK(N153)=TRUE,ISBLANK(O153)=TRUE,ISBLANK(P153)=TRUE),"",PRODUCT(N153,O153,P153))</f>
        <v>50</v>
      </c>
      <c r="R153" s="59" t="str">
        <f t="shared" si="22"/>
        <v>OLASI RİSK</v>
      </c>
      <c r="S153" s="191" t="s">
        <v>405</v>
      </c>
      <c r="T153" s="189" t="s">
        <v>347</v>
      </c>
      <c r="U153" s="192" t="s">
        <v>406</v>
      </c>
      <c r="V153" s="193" t="s">
        <v>415</v>
      </c>
      <c r="W153" s="192" t="s">
        <v>406</v>
      </c>
      <c r="X153" s="189" t="s">
        <v>408</v>
      </c>
      <c r="Y153" s="190">
        <v>0.5</v>
      </c>
      <c r="Z153" s="190">
        <v>0.5</v>
      </c>
      <c r="AA153" s="190">
        <v>40</v>
      </c>
      <c r="AB153" s="59">
        <f t="shared" si="20"/>
        <v>10</v>
      </c>
      <c r="AC153" s="59" t="str">
        <f t="shared" si="21"/>
        <v>DÜŞÜK RİSK</v>
      </c>
      <c r="AD153" s="187" t="s">
        <v>309</v>
      </c>
      <c r="AE153" s="189" t="s">
        <v>347</v>
      </c>
      <c r="AF153" s="187" t="s">
        <v>706</v>
      </c>
      <c r="AG153" s="190" t="s">
        <v>410</v>
      </c>
    </row>
    <row r="154" spans="1:33" ht="125.25" customHeight="1">
      <c r="A154" s="186">
        <v>3275</v>
      </c>
      <c r="B154" s="192">
        <v>45877</v>
      </c>
      <c r="C154" s="187" t="s">
        <v>124</v>
      </c>
      <c r="D154" s="187" t="s">
        <v>55</v>
      </c>
      <c r="E154" s="188" t="s">
        <v>137</v>
      </c>
      <c r="F154" s="187" t="s">
        <v>137</v>
      </c>
      <c r="G154" s="187" t="s">
        <v>944</v>
      </c>
      <c r="H154" s="187" t="s">
        <v>955</v>
      </c>
      <c r="I154" s="187" t="s">
        <v>956</v>
      </c>
      <c r="J154" s="187" t="s">
        <v>957</v>
      </c>
      <c r="K154" s="187" t="s">
        <v>460</v>
      </c>
      <c r="L154" s="189" t="s">
        <v>958</v>
      </c>
      <c r="M154" s="189" t="s">
        <v>404</v>
      </c>
      <c r="N154" s="190">
        <v>1</v>
      </c>
      <c r="O154" s="190">
        <v>2</v>
      </c>
      <c r="P154" s="190">
        <v>15</v>
      </c>
      <c r="Q154" s="59">
        <f t="shared" si="23"/>
        <v>30</v>
      </c>
      <c r="R154" s="59" t="str">
        <f t="shared" si="22"/>
        <v>OLASI RİSK</v>
      </c>
      <c r="S154" s="189" t="s">
        <v>405</v>
      </c>
      <c r="T154" s="187" t="s">
        <v>352</v>
      </c>
      <c r="U154" s="192" t="s">
        <v>406</v>
      </c>
      <c r="V154" s="193" t="s">
        <v>453</v>
      </c>
      <c r="W154" s="192" t="s">
        <v>406</v>
      </c>
      <c r="X154" s="189" t="s">
        <v>408</v>
      </c>
      <c r="Y154" s="190">
        <v>1</v>
      </c>
      <c r="Z154" s="190">
        <v>1</v>
      </c>
      <c r="AA154" s="190">
        <v>15</v>
      </c>
      <c r="AB154" s="59">
        <f t="shared" si="20"/>
        <v>15</v>
      </c>
      <c r="AC154" s="59" t="str">
        <f t="shared" si="21"/>
        <v>DÜŞÜK RİSK</v>
      </c>
      <c r="AD154" s="187" t="s">
        <v>308</v>
      </c>
      <c r="AE154" s="187" t="s">
        <v>347</v>
      </c>
      <c r="AF154" s="187" t="s">
        <v>916</v>
      </c>
      <c r="AG154" s="190" t="s">
        <v>410</v>
      </c>
    </row>
    <row r="155" spans="1:33" ht="125.25" customHeight="1">
      <c r="A155" s="186">
        <v>3276</v>
      </c>
      <c r="B155" s="192">
        <v>45877</v>
      </c>
      <c r="C155" s="187" t="s">
        <v>124</v>
      </c>
      <c r="D155" s="187" t="s">
        <v>54</v>
      </c>
      <c r="E155" s="188" t="s">
        <v>137</v>
      </c>
      <c r="F155" s="187" t="s">
        <v>137</v>
      </c>
      <c r="G155" s="187" t="s">
        <v>882</v>
      </c>
      <c r="H155" s="187" t="s">
        <v>883</v>
      </c>
      <c r="I155" s="187" t="s">
        <v>884</v>
      </c>
      <c r="J155" s="187" t="s">
        <v>885</v>
      </c>
      <c r="K155" s="187" t="s">
        <v>402</v>
      </c>
      <c r="L155" s="189" t="s">
        <v>886</v>
      </c>
      <c r="M155" s="189" t="s">
        <v>404</v>
      </c>
      <c r="N155" s="190">
        <v>1</v>
      </c>
      <c r="O155" s="190">
        <v>0.5</v>
      </c>
      <c r="P155" s="190">
        <v>3</v>
      </c>
      <c r="Q155" s="59">
        <f t="shared" si="23"/>
        <v>1.5</v>
      </c>
      <c r="R155" s="59" t="str">
        <f t="shared" si="22"/>
        <v>DÜŞÜK RİSK</v>
      </c>
      <c r="S155" s="191" t="s">
        <v>405</v>
      </c>
      <c r="T155" s="189" t="s">
        <v>347</v>
      </c>
      <c r="U155" s="192" t="s">
        <v>406</v>
      </c>
      <c r="V155" s="193" t="s">
        <v>415</v>
      </c>
      <c r="W155" s="192" t="s">
        <v>406</v>
      </c>
      <c r="X155" s="189" t="s">
        <v>408</v>
      </c>
      <c r="Y155" s="190">
        <v>0.5</v>
      </c>
      <c r="Z155" s="190">
        <v>0.5</v>
      </c>
      <c r="AA155" s="190">
        <v>3</v>
      </c>
      <c r="AB155" s="59">
        <f t="shared" si="20"/>
        <v>0.75</v>
      </c>
      <c r="AC155" s="59" t="str">
        <f t="shared" si="21"/>
        <v>DÜŞÜK RİSK</v>
      </c>
      <c r="AD155" s="187" t="s">
        <v>309</v>
      </c>
      <c r="AE155" s="189" t="s">
        <v>347</v>
      </c>
      <c r="AF155" s="187" t="s">
        <v>706</v>
      </c>
      <c r="AG155" s="190" t="s">
        <v>410</v>
      </c>
    </row>
    <row r="156" spans="1:33" ht="125.25" customHeight="1">
      <c r="A156" s="186">
        <v>3277</v>
      </c>
      <c r="B156" s="192">
        <v>45877</v>
      </c>
      <c r="C156" s="187" t="s">
        <v>124</v>
      </c>
      <c r="D156" s="187" t="s">
        <v>54</v>
      </c>
      <c r="E156" s="188" t="s">
        <v>137</v>
      </c>
      <c r="F156" s="187" t="s">
        <v>137</v>
      </c>
      <c r="G156" s="187" t="s">
        <v>882</v>
      </c>
      <c r="H156" s="187" t="s">
        <v>887</v>
      </c>
      <c r="I156" s="187" t="s">
        <v>888</v>
      </c>
      <c r="J156" s="187" t="s">
        <v>889</v>
      </c>
      <c r="K156" s="187" t="s">
        <v>402</v>
      </c>
      <c r="L156" s="189" t="s">
        <v>890</v>
      </c>
      <c r="M156" s="189" t="s">
        <v>404</v>
      </c>
      <c r="N156" s="190">
        <v>1</v>
      </c>
      <c r="O156" s="190">
        <v>0.5</v>
      </c>
      <c r="P156" s="190">
        <v>3</v>
      </c>
      <c r="Q156" s="59">
        <f t="shared" si="23"/>
        <v>1.5</v>
      </c>
      <c r="R156" s="59" t="str">
        <f t="shared" si="22"/>
        <v>DÜŞÜK RİSK</v>
      </c>
      <c r="S156" s="191" t="s">
        <v>405</v>
      </c>
      <c r="T156" s="189" t="s">
        <v>351</v>
      </c>
      <c r="U156" s="192" t="s">
        <v>406</v>
      </c>
      <c r="V156" s="193" t="s">
        <v>415</v>
      </c>
      <c r="W156" s="192" t="s">
        <v>406</v>
      </c>
      <c r="X156" s="189" t="s">
        <v>408</v>
      </c>
      <c r="Y156" s="190">
        <v>0.5</v>
      </c>
      <c r="Z156" s="190">
        <v>0.5</v>
      </c>
      <c r="AA156" s="190">
        <v>3</v>
      </c>
      <c r="AB156" s="59">
        <f t="shared" si="20"/>
        <v>0.75</v>
      </c>
      <c r="AC156" s="59" t="str">
        <f t="shared" si="21"/>
        <v>DÜŞÜK RİSK</v>
      </c>
      <c r="AD156" s="187" t="s">
        <v>309</v>
      </c>
      <c r="AE156" s="189" t="s">
        <v>351</v>
      </c>
      <c r="AF156" s="187" t="s">
        <v>891</v>
      </c>
      <c r="AG156" s="190" t="s">
        <v>410</v>
      </c>
    </row>
    <row r="157" spans="1:33" ht="125.25" customHeight="1">
      <c r="A157" s="186">
        <v>3278</v>
      </c>
      <c r="B157" s="192">
        <v>45877</v>
      </c>
      <c r="C157" s="187" t="s">
        <v>124</v>
      </c>
      <c r="D157" s="187" t="s">
        <v>54</v>
      </c>
      <c r="E157" s="188" t="s">
        <v>137</v>
      </c>
      <c r="F157" s="187" t="s">
        <v>137</v>
      </c>
      <c r="G157" s="187" t="s">
        <v>892</v>
      </c>
      <c r="H157" s="187" t="s">
        <v>893</v>
      </c>
      <c r="I157" s="187" t="s">
        <v>894</v>
      </c>
      <c r="J157" s="187" t="s">
        <v>895</v>
      </c>
      <c r="K157" s="187" t="s">
        <v>402</v>
      </c>
      <c r="L157" s="189" t="s">
        <v>896</v>
      </c>
      <c r="M157" s="189" t="s">
        <v>404</v>
      </c>
      <c r="N157" s="190">
        <v>6</v>
      </c>
      <c r="O157" s="190">
        <v>2</v>
      </c>
      <c r="P157" s="190">
        <v>3</v>
      </c>
      <c r="Q157" s="59">
        <f t="shared" si="23"/>
        <v>36</v>
      </c>
      <c r="R157" s="59" t="str">
        <f t="shared" si="22"/>
        <v>OLASI RİSK</v>
      </c>
      <c r="S157" s="191" t="s">
        <v>405</v>
      </c>
      <c r="T157" s="189" t="s">
        <v>308</v>
      </c>
      <c r="U157" s="192" t="s">
        <v>406</v>
      </c>
      <c r="V157" s="193" t="s">
        <v>415</v>
      </c>
      <c r="W157" s="192" t="s">
        <v>406</v>
      </c>
      <c r="X157" s="189" t="s">
        <v>408</v>
      </c>
      <c r="Y157" s="190">
        <v>0.5</v>
      </c>
      <c r="Z157" s="190">
        <v>0.5</v>
      </c>
      <c r="AA157" s="190">
        <v>3</v>
      </c>
      <c r="AB157" s="59">
        <f t="shared" si="20"/>
        <v>0.75</v>
      </c>
      <c r="AC157" s="59" t="str">
        <f t="shared" si="21"/>
        <v>DÜŞÜK RİSK</v>
      </c>
      <c r="AD157" s="187" t="s">
        <v>296</v>
      </c>
      <c r="AE157" s="189" t="s">
        <v>308</v>
      </c>
      <c r="AF157" s="187" t="s">
        <v>398</v>
      </c>
      <c r="AG157" s="190" t="s">
        <v>897</v>
      </c>
    </row>
    <row r="158" spans="1:33" ht="125.25" customHeight="1">
      <c r="A158" s="186">
        <v>3280</v>
      </c>
      <c r="B158" s="192">
        <v>45877</v>
      </c>
      <c r="C158" s="187" t="s">
        <v>124</v>
      </c>
      <c r="D158" s="187" t="s">
        <v>54</v>
      </c>
      <c r="E158" s="188" t="s">
        <v>137</v>
      </c>
      <c r="F158" s="187" t="s">
        <v>137</v>
      </c>
      <c r="G158" s="187" t="s">
        <v>898</v>
      </c>
      <c r="H158" s="187" t="s">
        <v>960</v>
      </c>
      <c r="I158" s="187" t="s">
        <v>899</v>
      </c>
      <c r="J158" s="187" t="s">
        <v>900</v>
      </c>
      <c r="K158" s="187" t="s">
        <v>402</v>
      </c>
      <c r="L158" s="189" t="s">
        <v>901</v>
      </c>
      <c r="M158" s="189" t="s">
        <v>404</v>
      </c>
      <c r="N158" s="190">
        <v>0.5</v>
      </c>
      <c r="O158" s="190">
        <v>0.5</v>
      </c>
      <c r="P158" s="190">
        <v>3</v>
      </c>
      <c r="Q158" s="59">
        <f t="shared" si="23"/>
        <v>0.75</v>
      </c>
      <c r="R158" s="59" t="str">
        <f t="shared" si="22"/>
        <v>DÜŞÜK RİSK</v>
      </c>
      <c r="S158" s="191" t="s">
        <v>405</v>
      </c>
      <c r="T158" s="189" t="s">
        <v>352</v>
      </c>
      <c r="U158" s="192" t="s">
        <v>406</v>
      </c>
      <c r="V158" s="193" t="s">
        <v>415</v>
      </c>
      <c r="W158" s="192" t="s">
        <v>406</v>
      </c>
      <c r="X158" s="189" t="s">
        <v>408</v>
      </c>
      <c r="Y158" s="190">
        <v>0.5</v>
      </c>
      <c r="Z158" s="190">
        <v>0.5</v>
      </c>
      <c r="AA158" s="190">
        <v>3</v>
      </c>
      <c r="AB158" s="59">
        <f t="shared" si="20"/>
        <v>0.75</v>
      </c>
      <c r="AC158" s="59" t="str">
        <f t="shared" si="21"/>
        <v>DÜŞÜK RİSK</v>
      </c>
      <c r="AD158" s="187" t="s">
        <v>308</v>
      </c>
      <c r="AE158" s="189" t="s">
        <v>352</v>
      </c>
      <c r="AF158" s="187" t="s">
        <v>961</v>
      </c>
      <c r="AG158" s="190" t="s">
        <v>410</v>
      </c>
    </row>
    <row r="159" spans="1:33" ht="125.25" customHeight="1">
      <c r="A159" s="186">
        <v>3281</v>
      </c>
      <c r="B159" s="192">
        <v>45877</v>
      </c>
      <c r="C159" s="187" t="s">
        <v>124</v>
      </c>
      <c r="D159" s="187" t="s">
        <v>54</v>
      </c>
      <c r="E159" s="188" t="s">
        <v>137</v>
      </c>
      <c r="F159" s="187" t="s">
        <v>137</v>
      </c>
      <c r="G159" s="187" t="s">
        <v>962</v>
      </c>
      <c r="H159" s="187" t="s">
        <v>963</v>
      </c>
      <c r="I159" s="187" t="s">
        <v>964</v>
      </c>
      <c r="J159" s="187" t="s">
        <v>965</v>
      </c>
      <c r="K159" s="187" t="s">
        <v>460</v>
      </c>
      <c r="L159" s="189" t="s">
        <v>966</v>
      </c>
      <c r="M159" s="189" t="s">
        <v>404</v>
      </c>
      <c r="N159" s="190">
        <v>1</v>
      </c>
      <c r="O159" s="190">
        <v>3</v>
      </c>
      <c r="P159" s="190">
        <v>3</v>
      </c>
      <c r="Q159" s="59">
        <f t="shared" si="23"/>
        <v>9</v>
      </c>
      <c r="R159" s="59" t="str">
        <f t="shared" si="22"/>
        <v>DÜŞÜK RİSK</v>
      </c>
      <c r="S159" s="191" t="s">
        <v>405</v>
      </c>
      <c r="T159" s="189" t="s">
        <v>352</v>
      </c>
      <c r="U159" s="192" t="s">
        <v>406</v>
      </c>
      <c r="V159" s="193" t="s">
        <v>415</v>
      </c>
      <c r="W159" s="192" t="s">
        <v>406</v>
      </c>
      <c r="X159" s="189" t="s">
        <v>408</v>
      </c>
      <c r="Y159" s="190">
        <v>0.5</v>
      </c>
      <c r="Z159" s="190">
        <v>0.5</v>
      </c>
      <c r="AA159" s="190">
        <v>1</v>
      </c>
      <c r="AB159" s="59">
        <f t="shared" si="20"/>
        <v>0.25</v>
      </c>
      <c r="AC159" s="59" t="str">
        <f t="shared" si="21"/>
        <v>DÜŞÜK RİSK</v>
      </c>
      <c r="AD159" s="187" t="s">
        <v>308</v>
      </c>
      <c r="AE159" s="189" t="s">
        <v>352</v>
      </c>
      <c r="AF159" s="187" t="s">
        <v>961</v>
      </c>
      <c r="AG159" s="190" t="s">
        <v>967</v>
      </c>
    </row>
    <row r="160" spans="1:33" ht="125.25" customHeight="1">
      <c r="A160" s="186">
        <v>3282</v>
      </c>
      <c r="B160" s="192">
        <v>45877</v>
      </c>
      <c r="C160" s="187" t="s">
        <v>124</v>
      </c>
      <c r="D160" s="187" t="s">
        <v>54</v>
      </c>
      <c r="E160" s="188" t="s">
        <v>137</v>
      </c>
      <c r="F160" s="187" t="s">
        <v>137</v>
      </c>
      <c r="G160" s="187" t="s">
        <v>962</v>
      </c>
      <c r="H160" s="187" t="s">
        <v>968</v>
      </c>
      <c r="I160" s="187" t="s">
        <v>969</v>
      </c>
      <c r="J160" s="187" t="s">
        <v>970</v>
      </c>
      <c r="K160" s="187" t="s">
        <v>460</v>
      </c>
      <c r="L160" s="189" t="s">
        <v>971</v>
      </c>
      <c r="M160" s="189" t="s">
        <v>404</v>
      </c>
      <c r="N160" s="190">
        <v>1</v>
      </c>
      <c r="O160" s="190">
        <v>3</v>
      </c>
      <c r="P160" s="190">
        <v>3</v>
      </c>
      <c r="Q160" s="59">
        <f t="shared" si="23"/>
        <v>9</v>
      </c>
      <c r="R160" s="59" t="str">
        <f t="shared" si="22"/>
        <v>DÜŞÜK RİSK</v>
      </c>
      <c r="S160" s="191" t="s">
        <v>405</v>
      </c>
      <c r="T160" s="189" t="s">
        <v>352</v>
      </c>
      <c r="U160" s="192" t="s">
        <v>406</v>
      </c>
      <c r="V160" s="193" t="s">
        <v>415</v>
      </c>
      <c r="W160" s="192" t="s">
        <v>406</v>
      </c>
      <c r="X160" s="189" t="s">
        <v>408</v>
      </c>
      <c r="Y160" s="190">
        <v>1</v>
      </c>
      <c r="Z160" s="190">
        <v>3</v>
      </c>
      <c r="AA160" s="190">
        <v>3</v>
      </c>
      <c r="AB160" s="59">
        <f t="shared" si="20"/>
        <v>9</v>
      </c>
      <c r="AC160" s="59" t="str">
        <f t="shared" si="21"/>
        <v>DÜŞÜK RİSK</v>
      </c>
      <c r="AD160" s="187" t="s">
        <v>308</v>
      </c>
      <c r="AE160" s="189" t="s">
        <v>352</v>
      </c>
      <c r="AF160" s="187" t="s">
        <v>916</v>
      </c>
      <c r="AG160" s="190" t="s">
        <v>967</v>
      </c>
    </row>
    <row r="161" spans="1:33" ht="125.25" customHeight="1">
      <c r="A161" s="186">
        <v>3283</v>
      </c>
      <c r="B161" s="192">
        <v>45877</v>
      </c>
      <c r="C161" s="187" t="s">
        <v>124</v>
      </c>
      <c r="D161" s="187" t="s">
        <v>54</v>
      </c>
      <c r="E161" s="188" t="s">
        <v>137</v>
      </c>
      <c r="F161" s="187" t="s">
        <v>137</v>
      </c>
      <c r="G161" s="187" t="s">
        <v>902</v>
      </c>
      <c r="H161" s="187" t="s">
        <v>903</v>
      </c>
      <c r="I161" s="187" t="s">
        <v>904</v>
      </c>
      <c r="J161" s="187" t="s">
        <v>905</v>
      </c>
      <c r="K161" s="187" t="s">
        <v>460</v>
      </c>
      <c r="L161" s="189" t="s">
        <v>972</v>
      </c>
      <c r="M161" s="189" t="s">
        <v>404</v>
      </c>
      <c r="N161" s="190">
        <v>1</v>
      </c>
      <c r="O161" s="190">
        <v>1</v>
      </c>
      <c r="P161" s="190">
        <v>3</v>
      </c>
      <c r="Q161" s="59">
        <f t="shared" si="23"/>
        <v>3</v>
      </c>
      <c r="R161" s="59" t="str">
        <f t="shared" si="22"/>
        <v>DÜŞÜK RİSK</v>
      </c>
      <c r="S161" s="191" t="s">
        <v>405</v>
      </c>
      <c r="T161" s="189" t="s">
        <v>352</v>
      </c>
      <c r="U161" s="192" t="s">
        <v>406</v>
      </c>
      <c r="V161" s="193" t="s">
        <v>415</v>
      </c>
      <c r="W161" s="192" t="s">
        <v>406</v>
      </c>
      <c r="X161" s="189" t="s">
        <v>408</v>
      </c>
      <c r="Y161" s="190">
        <v>1</v>
      </c>
      <c r="Z161" s="190">
        <v>1</v>
      </c>
      <c r="AA161" s="190">
        <v>3</v>
      </c>
      <c r="AB161" s="59">
        <f t="shared" si="20"/>
        <v>3</v>
      </c>
      <c r="AC161" s="59" t="str">
        <f t="shared" si="21"/>
        <v>DÜŞÜK RİSK</v>
      </c>
      <c r="AD161" s="187" t="s">
        <v>308</v>
      </c>
      <c r="AE161" s="189" t="s">
        <v>352</v>
      </c>
      <c r="AF161" s="187" t="s">
        <v>912</v>
      </c>
      <c r="AG161" s="190" t="s">
        <v>906</v>
      </c>
    </row>
    <row r="162" spans="1:33" ht="125.25" customHeight="1">
      <c r="A162" s="186">
        <v>3284</v>
      </c>
      <c r="B162" s="192">
        <v>45877</v>
      </c>
      <c r="C162" s="187" t="s">
        <v>124</v>
      </c>
      <c r="D162" s="187" t="s">
        <v>54</v>
      </c>
      <c r="E162" s="188" t="s">
        <v>137</v>
      </c>
      <c r="F162" s="187" t="s">
        <v>137</v>
      </c>
      <c r="G162" s="187" t="s">
        <v>973</v>
      </c>
      <c r="H162" s="187" t="s">
        <v>974</v>
      </c>
      <c r="I162" s="187" t="s">
        <v>975</v>
      </c>
      <c r="J162" s="187" t="s">
        <v>457</v>
      </c>
      <c r="K162" s="187" t="s">
        <v>460</v>
      </c>
      <c r="L162" s="189" t="s">
        <v>976</v>
      </c>
      <c r="M162" s="189" t="s">
        <v>404</v>
      </c>
      <c r="N162" s="190">
        <v>0.5</v>
      </c>
      <c r="O162" s="190">
        <v>2</v>
      </c>
      <c r="P162" s="190">
        <v>1</v>
      </c>
      <c r="Q162" s="59">
        <f t="shared" si="23"/>
        <v>1</v>
      </c>
      <c r="R162" s="59" t="str">
        <f t="shared" si="22"/>
        <v>DÜŞÜK RİSK</v>
      </c>
      <c r="S162" s="191" t="s">
        <v>405</v>
      </c>
      <c r="T162" s="189" t="s">
        <v>347</v>
      </c>
      <c r="U162" s="192" t="s">
        <v>406</v>
      </c>
      <c r="V162" s="193" t="s">
        <v>453</v>
      </c>
      <c r="W162" s="192" t="s">
        <v>406</v>
      </c>
      <c r="X162" s="189" t="s">
        <v>408</v>
      </c>
      <c r="Y162" s="190">
        <v>0.5</v>
      </c>
      <c r="Z162" s="190">
        <v>2</v>
      </c>
      <c r="AA162" s="190">
        <v>1</v>
      </c>
      <c r="AB162" s="59">
        <f t="shared" si="20"/>
        <v>1</v>
      </c>
      <c r="AC162" s="59" t="str">
        <f t="shared" si="21"/>
        <v>DÜŞÜK RİSK</v>
      </c>
      <c r="AD162" s="187" t="s">
        <v>308</v>
      </c>
      <c r="AE162" s="189" t="s">
        <v>347</v>
      </c>
      <c r="AF162" s="187" t="s">
        <v>977</v>
      </c>
      <c r="AG162" s="190" t="s">
        <v>410</v>
      </c>
    </row>
    <row r="163" spans="1:33" ht="125.25" customHeight="1">
      <c r="A163" s="186">
        <v>3285</v>
      </c>
      <c r="B163" s="192">
        <v>45877</v>
      </c>
      <c r="C163" s="187" t="s">
        <v>124</v>
      </c>
      <c r="D163" s="187" t="s">
        <v>54</v>
      </c>
      <c r="E163" s="188" t="s">
        <v>137</v>
      </c>
      <c r="F163" s="187" t="s">
        <v>137</v>
      </c>
      <c r="G163" s="187" t="s">
        <v>973</v>
      </c>
      <c r="H163" s="187" t="s">
        <v>1073</v>
      </c>
      <c r="I163" s="187" t="s">
        <v>980</v>
      </c>
      <c r="J163" s="187" t="s">
        <v>457</v>
      </c>
      <c r="K163" s="187" t="s">
        <v>402</v>
      </c>
      <c r="L163" s="189" t="s">
        <v>981</v>
      </c>
      <c r="M163" s="189" t="s">
        <v>404</v>
      </c>
      <c r="N163" s="190">
        <v>0.5</v>
      </c>
      <c r="O163" s="190">
        <v>2</v>
      </c>
      <c r="P163" s="190">
        <v>1</v>
      </c>
      <c r="Q163" s="59">
        <f t="shared" si="23"/>
        <v>1</v>
      </c>
      <c r="R163" s="59" t="str">
        <f t="shared" si="22"/>
        <v>DÜŞÜK RİSK</v>
      </c>
      <c r="S163" s="191" t="s">
        <v>405</v>
      </c>
      <c r="T163" s="189" t="s">
        <v>347</v>
      </c>
      <c r="U163" s="192" t="s">
        <v>406</v>
      </c>
      <c r="V163" s="193" t="s">
        <v>453</v>
      </c>
      <c r="W163" s="192" t="s">
        <v>406</v>
      </c>
      <c r="X163" s="189" t="s">
        <v>408</v>
      </c>
      <c r="Y163" s="190">
        <v>0.5</v>
      </c>
      <c r="Z163" s="190">
        <v>2</v>
      </c>
      <c r="AA163" s="190">
        <v>1</v>
      </c>
      <c r="AB163" s="59">
        <f t="shared" si="20"/>
        <v>1</v>
      </c>
      <c r="AC163" s="59" t="str">
        <f t="shared" si="21"/>
        <v>DÜŞÜK RİSK</v>
      </c>
      <c r="AD163" s="187" t="s">
        <v>308</v>
      </c>
      <c r="AE163" s="189" t="s">
        <v>347</v>
      </c>
      <c r="AF163" s="187" t="s">
        <v>977</v>
      </c>
      <c r="AG163" s="190" t="s">
        <v>410</v>
      </c>
    </row>
    <row r="164" spans="1:33" ht="125.25" customHeight="1">
      <c r="A164" s="186">
        <v>3286</v>
      </c>
      <c r="B164" s="192">
        <v>45877</v>
      </c>
      <c r="C164" s="187" t="s">
        <v>124</v>
      </c>
      <c r="D164" s="187" t="s">
        <v>54</v>
      </c>
      <c r="E164" s="188" t="s">
        <v>137</v>
      </c>
      <c r="F164" s="187" t="s">
        <v>137</v>
      </c>
      <c r="G164" s="187" t="s">
        <v>907</v>
      </c>
      <c r="H164" s="187" t="s">
        <v>1074</v>
      </c>
      <c r="I164" s="187" t="s">
        <v>1075</v>
      </c>
      <c r="J164" s="187" t="s">
        <v>1076</v>
      </c>
      <c r="K164" s="187" t="s">
        <v>1015</v>
      </c>
      <c r="L164" s="189" t="s">
        <v>1077</v>
      </c>
      <c r="M164" s="189" t="s">
        <v>404</v>
      </c>
      <c r="N164" s="190">
        <v>0.5</v>
      </c>
      <c r="O164" s="190">
        <v>1</v>
      </c>
      <c r="P164" s="190">
        <v>7</v>
      </c>
      <c r="Q164" s="59">
        <f t="shared" si="23"/>
        <v>3.5</v>
      </c>
      <c r="R164" s="59" t="str">
        <f t="shared" si="22"/>
        <v>DÜŞÜK RİSK</v>
      </c>
      <c r="S164" s="191" t="s">
        <v>405</v>
      </c>
      <c r="T164" s="187" t="s">
        <v>352</v>
      </c>
      <c r="U164" s="192" t="s">
        <v>406</v>
      </c>
      <c r="V164" s="193" t="s">
        <v>453</v>
      </c>
      <c r="W164" s="192" t="s">
        <v>406</v>
      </c>
      <c r="X164" s="189" t="s">
        <v>408</v>
      </c>
      <c r="Y164" s="190">
        <v>0.5</v>
      </c>
      <c r="Z164" s="190">
        <v>1</v>
      </c>
      <c r="AA164" s="190">
        <v>7</v>
      </c>
      <c r="AB164" s="59">
        <f t="shared" si="20"/>
        <v>3.5</v>
      </c>
      <c r="AC164" s="59" t="str">
        <f t="shared" si="21"/>
        <v>DÜŞÜK RİSK</v>
      </c>
      <c r="AD164" s="187" t="s">
        <v>308</v>
      </c>
      <c r="AE164" s="187" t="s">
        <v>352</v>
      </c>
      <c r="AF164" s="187" t="s">
        <v>916</v>
      </c>
      <c r="AG164" s="190" t="s">
        <v>1044</v>
      </c>
    </row>
    <row r="165" spans="1:33" ht="125.25" customHeight="1">
      <c r="A165" s="186">
        <v>3287</v>
      </c>
      <c r="B165" s="192">
        <v>45877</v>
      </c>
      <c r="C165" s="187" t="s">
        <v>122</v>
      </c>
      <c r="D165" s="187" t="s">
        <v>270</v>
      </c>
      <c r="E165" s="188" t="s">
        <v>137</v>
      </c>
      <c r="F165" s="187" t="s">
        <v>137</v>
      </c>
      <c r="G165" s="187" t="s">
        <v>907</v>
      </c>
      <c r="H165" s="187" t="s">
        <v>908</v>
      </c>
      <c r="I165" s="187" t="s">
        <v>909</v>
      </c>
      <c r="J165" s="187" t="s">
        <v>910</v>
      </c>
      <c r="K165" s="187" t="s">
        <v>402</v>
      </c>
      <c r="L165" s="189" t="s">
        <v>911</v>
      </c>
      <c r="M165" s="189" t="s">
        <v>404</v>
      </c>
      <c r="N165" s="190">
        <v>0.5</v>
      </c>
      <c r="O165" s="190">
        <v>0.5</v>
      </c>
      <c r="P165" s="190">
        <v>3</v>
      </c>
      <c r="Q165" s="59">
        <f t="shared" si="23"/>
        <v>0.75</v>
      </c>
      <c r="R165" s="59" t="str">
        <f t="shared" si="22"/>
        <v>DÜŞÜK RİSK</v>
      </c>
      <c r="S165" s="191" t="s">
        <v>405</v>
      </c>
      <c r="T165" s="187" t="s">
        <v>352</v>
      </c>
      <c r="U165" s="192" t="s">
        <v>406</v>
      </c>
      <c r="V165" s="193" t="s">
        <v>415</v>
      </c>
      <c r="W165" s="192" t="s">
        <v>406</v>
      </c>
      <c r="X165" s="189" t="s">
        <v>408</v>
      </c>
      <c r="Y165" s="190">
        <v>0.5</v>
      </c>
      <c r="Z165" s="190">
        <v>0.5</v>
      </c>
      <c r="AA165" s="190">
        <v>3</v>
      </c>
      <c r="AB165" s="59">
        <f t="shared" si="20"/>
        <v>0.75</v>
      </c>
      <c r="AC165" s="59" t="str">
        <f t="shared" si="21"/>
        <v>DÜŞÜK RİSK</v>
      </c>
      <c r="AD165" s="187" t="s">
        <v>309</v>
      </c>
      <c r="AE165" s="187" t="s">
        <v>352</v>
      </c>
      <c r="AF165" s="187" t="s">
        <v>912</v>
      </c>
      <c r="AG165" s="190" t="s">
        <v>913</v>
      </c>
    </row>
    <row r="166" spans="1:33" ht="125.25" customHeight="1">
      <c r="A166" s="186">
        <v>3288</v>
      </c>
      <c r="B166" s="192">
        <v>45877</v>
      </c>
      <c r="C166" s="187" t="s">
        <v>122</v>
      </c>
      <c r="D166" s="187" t="s">
        <v>270</v>
      </c>
      <c r="E166" s="188" t="s">
        <v>137</v>
      </c>
      <c r="F166" s="187" t="s">
        <v>137</v>
      </c>
      <c r="G166" s="187" t="s">
        <v>907</v>
      </c>
      <c r="H166" s="187" t="s">
        <v>914</v>
      </c>
      <c r="I166" s="187" t="s">
        <v>915</v>
      </c>
      <c r="J166" s="187" t="s">
        <v>457</v>
      </c>
      <c r="K166" s="187" t="s">
        <v>402</v>
      </c>
      <c r="L166" s="189" t="s">
        <v>982</v>
      </c>
      <c r="M166" s="189" t="s">
        <v>404</v>
      </c>
      <c r="N166" s="190">
        <v>3</v>
      </c>
      <c r="O166" s="190">
        <v>6</v>
      </c>
      <c r="P166" s="190">
        <v>3</v>
      </c>
      <c r="Q166" s="59">
        <f t="shared" si="23"/>
        <v>54</v>
      </c>
      <c r="R166" s="59" t="str">
        <f t="shared" si="22"/>
        <v>OLASI RİSK</v>
      </c>
      <c r="S166" s="191" t="s">
        <v>405</v>
      </c>
      <c r="T166" s="187" t="s">
        <v>352</v>
      </c>
      <c r="U166" s="192" t="s">
        <v>406</v>
      </c>
      <c r="V166" s="193" t="s">
        <v>415</v>
      </c>
      <c r="W166" s="192" t="s">
        <v>406</v>
      </c>
      <c r="X166" s="189" t="s">
        <v>408</v>
      </c>
      <c r="Y166" s="190">
        <v>1</v>
      </c>
      <c r="Z166" s="190">
        <v>3</v>
      </c>
      <c r="AA166" s="190">
        <v>3</v>
      </c>
      <c r="AB166" s="59">
        <f t="shared" si="20"/>
        <v>9</v>
      </c>
      <c r="AC166" s="59" t="str">
        <f t="shared" si="21"/>
        <v>DÜŞÜK RİSK</v>
      </c>
      <c r="AD166" s="187" t="s">
        <v>308</v>
      </c>
      <c r="AE166" s="187" t="s">
        <v>352</v>
      </c>
      <c r="AF166" s="187" t="s">
        <v>1078</v>
      </c>
      <c r="AG166" s="190" t="s">
        <v>913</v>
      </c>
    </row>
    <row r="167" spans="1:33" ht="125.25" customHeight="1">
      <c r="A167" s="186">
        <v>3289</v>
      </c>
      <c r="B167" s="192">
        <v>45877</v>
      </c>
      <c r="C167" s="187" t="s">
        <v>122</v>
      </c>
      <c r="D167" s="187" t="s">
        <v>270</v>
      </c>
      <c r="E167" s="188" t="s">
        <v>137</v>
      </c>
      <c r="F167" s="187" t="s">
        <v>137</v>
      </c>
      <c r="G167" s="187" t="s">
        <v>917</v>
      </c>
      <c r="H167" s="187" t="s">
        <v>918</v>
      </c>
      <c r="I167" s="187" t="s">
        <v>919</v>
      </c>
      <c r="J167" s="187" t="s">
        <v>920</v>
      </c>
      <c r="K167" s="187" t="s">
        <v>930</v>
      </c>
      <c r="L167" s="189" t="s">
        <v>1117</v>
      </c>
      <c r="M167" s="189" t="s">
        <v>404</v>
      </c>
      <c r="N167" s="190">
        <v>0.5</v>
      </c>
      <c r="O167" s="190">
        <v>0.5</v>
      </c>
      <c r="P167" s="190">
        <v>3</v>
      </c>
      <c r="Q167" s="59">
        <f t="shared" si="23"/>
        <v>0.75</v>
      </c>
      <c r="R167" s="59" t="str">
        <f t="shared" si="22"/>
        <v>DÜŞÜK RİSK</v>
      </c>
      <c r="S167" s="191" t="s">
        <v>405</v>
      </c>
      <c r="T167" s="187" t="s">
        <v>349</v>
      </c>
      <c r="U167" s="192" t="s">
        <v>406</v>
      </c>
      <c r="V167" s="193" t="s">
        <v>415</v>
      </c>
      <c r="W167" s="192" t="s">
        <v>406</v>
      </c>
      <c r="X167" s="189" t="s">
        <v>408</v>
      </c>
      <c r="Y167" s="190">
        <v>0.5</v>
      </c>
      <c r="Z167" s="190">
        <v>0.5</v>
      </c>
      <c r="AA167" s="190">
        <v>3</v>
      </c>
      <c r="AB167" s="59">
        <f t="shared" si="20"/>
        <v>0.75</v>
      </c>
      <c r="AC167" s="59" t="str">
        <f t="shared" si="21"/>
        <v>DÜŞÜK RİSK</v>
      </c>
      <c r="AD167" s="187" t="s">
        <v>309</v>
      </c>
      <c r="AE167" s="187" t="s">
        <v>349</v>
      </c>
      <c r="AF167" s="187" t="s">
        <v>921</v>
      </c>
      <c r="AG167" s="190" t="s">
        <v>922</v>
      </c>
    </row>
    <row r="168" spans="1:33" ht="125.25" customHeight="1">
      <c r="A168" s="186">
        <v>3290</v>
      </c>
      <c r="B168" s="192">
        <v>45877</v>
      </c>
      <c r="C168" s="187" t="s">
        <v>122</v>
      </c>
      <c r="D168" s="187" t="s">
        <v>270</v>
      </c>
      <c r="E168" s="188" t="s">
        <v>137</v>
      </c>
      <c r="F168" s="187" t="s">
        <v>137</v>
      </c>
      <c r="G168" s="187" t="s">
        <v>917</v>
      </c>
      <c r="H168" s="187" t="s">
        <v>923</v>
      </c>
      <c r="I168" s="187" t="s">
        <v>924</v>
      </c>
      <c r="J168" s="187" t="s">
        <v>925</v>
      </c>
      <c r="K168" s="187" t="s">
        <v>930</v>
      </c>
      <c r="L168" s="189" t="s">
        <v>983</v>
      </c>
      <c r="M168" s="189" t="s">
        <v>404</v>
      </c>
      <c r="N168" s="190">
        <v>0.5</v>
      </c>
      <c r="O168" s="190">
        <v>0.5</v>
      </c>
      <c r="P168" s="190">
        <v>1</v>
      </c>
      <c r="Q168" s="59">
        <f t="shared" si="23"/>
        <v>0.25</v>
      </c>
      <c r="R168" s="59" t="str">
        <f t="shared" si="22"/>
        <v>DÜŞÜK RİSK</v>
      </c>
      <c r="S168" s="191" t="s">
        <v>405</v>
      </c>
      <c r="T168" s="187" t="s">
        <v>349</v>
      </c>
      <c r="U168" s="192" t="s">
        <v>406</v>
      </c>
      <c r="V168" s="193" t="s">
        <v>415</v>
      </c>
      <c r="W168" s="192" t="s">
        <v>406</v>
      </c>
      <c r="X168" s="189" t="s">
        <v>408</v>
      </c>
      <c r="Y168" s="190">
        <v>0.5</v>
      </c>
      <c r="Z168" s="190">
        <v>0.5</v>
      </c>
      <c r="AA168" s="190">
        <v>3</v>
      </c>
      <c r="AB168" s="59">
        <f t="shared" ref="AB168:AB171" si="24">IF(OR(ISBLANK(Y168)=TRUE,ISBLANK(Z168)=TRUE,ISBLANK(AA168)=TRUE),"",PRODUCT(Y168,Z168,AA168))</f>
        <v>0.75</v>
      </c>
      <c r="AC168" s="59" t="str">
        <f t="shared" ref="AC168:AC171" si="25">IF(AB168="","",IF(AND(AB168&gt;=0,AB168&lt;20),"DÜŞÜK RİSK",IF(AND(AB168&gt;=20,AB168&lt;70),"OLASI RİSK",IF(AND(AB168&gt;=70,AB168&lt;200),"ÖNEMLİ RİSK",IF(AND(AB168&gt;=200,AB168&lt;400),"YÜKSEK RİSK",IF(AB168&gt;=400,"KABUL EDİLEMEZ RİSK",""))))))</f>
        <v>DÜŞÜK RİSK</v>
      </c>
      <c r="AD168" s="187" t="s">
        <v>309</v>
      </c>
      <c r="AE168" s="187" t="s">
        <v>349</v>
      </c>
      <c r="AF168" s="187" t="s">
        <v>921</v>
      </c>
      <c r="AG168" s="190" t="s">
        <v>922</v>
      </c>
    </row>
    <row r="169" spans="1:33" ht="125.25" customHeight="1">
      <c r="A169" s="186">
        <v>3291</v>
      </c>
      <c r="B169" s="192">
        <v>45877</v>
      </c>
      <c r="C169" s="187" t="s">
        <v>124</v>
      </c>
      <c r="D169" s="187" t="s">
        <v>55</v>
      </c>
      <c r="E169" s="188" t="s">
        <v>137</v>
      </c>
      <c r="F169" s="187" t="s">
        <v>137</v>
      </c>
      <c r="G169" s="187" t="s">
        <v>944</v>
      </c>
      <c r="H169" s="187" t="s">
        <v>945</v>
      </c>
      <c r="I169" s="187" t="s">
        <v>946</v>
      </c>
      <c r="J169" s="187" t="s">
        <v>947</v>
      </c>
      <c r="K169" s="187" t="s">
        <v>460</v>
      </c>
      <c r="L169" s="189" t="s">
        <v>948</v>
      </c>
      <c r="M169" s="189" t="s">
        <v>404</v>
      </c>
      <c r="N169" s="190">
        <v>1</v>
      </c>
      <c r="O169" s="190">
        <v>2</v>
      </c>
      <c r="P169" s="190">
        <v>15</v>
      </c>
      <c r="Q169" s="59">
        <f t="shared" si="23"/>
        <v>30</v>
      </c>
      <c r="R169" s="59" t="str">
        <f t="shared" si="22"/>
        <v>OLASI RİSK</v>
      </c>
      <c r="S169" s="189" t="s">
        <v>405</v>
      </c>
      <c r="T169" s="187" t="s">
        <v>347</v>
      </c>
      <c r="U169" s="192" t="s">
        <v>406</v>
      </c>
      <c r="V169" s="193" t="s">
        <v>453</v>
      </c>
      <c r="W169" s="192" t="s">
        <v>406</v>
      </c>
      <c r="X169" s="189" t="s">
        <v>408</v>
      </c>
      <c r="Y169" s="190">
        <v>1</v>
      </c>
      <c r="Z169" s="190">
        <v>1</v>
      </c>
      <c r="AA169" s="190">
        <v>15</v>
      </c>
      <c r="AB169" s="59">
        <f t="shared" si="24"/>
        <v>15</v>
      </c>
      <c r="AC169" s="59" t="str">
        <f t="shared" si="25"/>
        <v>DÜŞÜK RİSK</v>
      </c>
      <c r="AD169" s="187" t="s">
        <v>308</v>
      </c>
      <c r="AE169" s="187" t="s">
        <v>347</v>
      </c>
      <c r="AF169" s="187" t="s">
        <v>916</v>
      </c>
      <c r="AG169" s="190" t="s">
        <v>410</v>
      </c>
    </row>
    <row r="170" spans="1:33" ht="125.25" customHeight="1">
      <c r="A170" s="186">
        <v>3292</v>
      </c>
      <c r="B170" s="192">
        <v>45877</v>
      </c>
      <c r="C170" s="187" t="s">
        <v>124</v>
      </c>
      <c r="D170" s="187" t="s">
        <v>55</v>
      </c>
      <c r="E170" s="188" t="s">
        <v>137</v>
      </c>
      <c r="F170" s="187" t="s">
        <v>137</v>
      </c>
      <c r="G170" s="187" t="s">
        <v>944</v>
      </c>
      <c r="H170" s="187" t="s">
        <v>949</v>
      </c>
      <c r="I170" s="187" t="s">
        <v>950</v>
      </c>
      <c r="J170" s="187" t="s">
        <v>951</v>
      </c>
      <c r="K170" s="187" t="s">
        <v>460</v>
      </c>
      <c r="L170" s="189" t="s">
        <v>1118</v>
      </c>
      <c r="M170" s="189" t="s">
        <v>404</v>
      </c>
      <c r="N170" s="190">
        <v>1</v>
      </c>
      <c r="O170" s="190">
        <v>2</v>
      </c>
      <c r="P170" s="190">
        <v>15</v>
      </c>
      <c r="Q170" s="59">
        <f t="shared" si="23"/>
        <v>30</v>
      </c>
      <c r="R170" s="59" t="str">
        <f t="shared" si="22"/>
        <v>OLASI RİSK</v>
      </c>
      <c r="S170" s="189" t="s">
        <v>405</v>
      </c>
      <c r="T170" s="187" t="s">
        <v>347</v>
      </c>
      <c r="U170" s="192" t="s">
        <v>406</v>
      </c>
      <c r="V170" s="193" t="s">
        <v>453</v>
      </c>
      <c r="W170" s="192" t="s">
        <v>406</v>
      </c>
      <c r="X170" s="189" t="s">
        <v>408</v>
      </c>
      <c r="Y170" s="190">
        <v>1</v>
      </c>
      <c r="Z170" s="190">
        <v>1</v>
      </c>
      <c r="AA170" s="190">
        <v>15</v>
      </c>
      <c r="AB170" s="59">
        <f t="shared" si="24"/>
        <v>15</v>
      </c>
      <c r="AC170" s="59" t="str">
        <f t="shared" si="25"/>
        <v>DÜŞÜK RİSK</v>
      </c>
      <c r="AD170" s="187" t="s">
        <v>308</v>
      </c>
      <c r="AE170" s="187" t="s">
        <v>347</v>
      </c>
      <c r="AF170" s="187" t="s">
        <v>916</v>
      </c>
      <c r="AG170" s="190" t="s">
        <v>410</v>
      </c>
    </row>
    <row r="171" spans="1:33" ht="125.25" customHeight="1">
      <c r="A171" s="186">
        <v>3293</v>
      </c>
      <c r="B171" s="192">
        <v>45877</v>
      </c>
      <c r="C171" s="187" t="s">
        <v>124</v>
      </c>
      <c r="D171" s="187" t="s">
        <v>55</v>
      </c>
      <c r="E171" s="188" t="s">
        <v>137</v>
      </c>
      <c r="F171" s="187" t="s">
        <v>137</v>
      </c>
      <c r="G171" s="187" t="s">
        <v>944</v>
      </c>
      <c r="H171" s="187" t="s">
        <v>952</v>
      </c>
      <c r="I171" s="187" t="s">
        <v>953</v>
      </c>
      <c r="J171" s="187" t="s">
        <v>954</v>
      </c>
      <c r="K171" s="187" t="s">
        <v>460</v>
      </c>
      <c r="L171" s="189" t="s">
        <v>948</v>
      </c>
      <c r="M171" s="189" t="s">
        <v>404</v>
      </c>
      <c r="N171" s="190">
        <v>1</v>
      </c>
      <c r="O171" s="190">
        <v>2</v>
      </c>
      <c r="P171" s="190">
        <v>15</v>
      </c>
      <c r="Q171" s="59">
        <f t="shared" si="23"/>
        <v>30</v>
      </c>
      <c r="R171" s="59" t="str">
        <f t="shared" si="22"/>
        <v>OLASI RİSK</v>
      </c>
      <c r="S171" s="189" t="s">
        <v>405</v>
      </c>
      <c r="T171" s="187" t="s">
        <v>347</v>
      </c>
      <c r="U171" s="192" t="s">
        <v>406</v>
      </c>
      <c r="V171" s="193" t="s">
        <v>453</v>
      </c>
      <c r="W171" s="192" t="s">
        <v>406</v>
      </c>
      <c r="X171" s="189" t="s">
        <v>408</v>
      </c>
      <c r="Y171" s="190">
        <v>1</v>
      </c>
      <c r="Z171" s="190">
        <v>1</v>
      </c>
      <c r="AA171" s="190">
        <v>15</v>
      </c>
      <c r="AB171" s="59">
        <f t="shared" si="24"/>
        <v>15</v>
      </c>
      <c r="AC171" s="59" t="str">
        <f t="shared" si="25"/>
        <v>DÜŞÜK RİSK</v>
      </c>
      <c r="AD171" s="187" t="s">
        <v>308</v>
      </c>
      <c r="AE171" s="187" t="s">
        <v>347</v>
      </c>
      <c r="AF171" s="187" t="s">
        <v>916</v>
      </c>
      <c r="AG171" s="190" t="s">
        <v>410</v>
      </c>
    </row>
    <row r="172" spans="1:33"/>
    <row r="173" spans="1:33"/>
    <row r="174" spans="1:33"/>
    <row r="175" spans="1:33"/>
    <row r="176" spans="1:33"/>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sheetData>
  <sheetProtection insertRows="0" autoFilter="0"/>
  <autoFilter ref="A6:AG171" xr:uid="{00000000-0009-0000-0000-000006000000}">
    <filterColumn colId="13" showButton="0"/>
    <filterColumn colId="14" showButton="0"/>
    <filterColumn colId="15" showButton="0"/>
    <filterColumn colId="16" showButton="0"/>
    <filterColumn colId="18" showButton="0"/>
    <filterColumn colId="19" showButton="0"/>
    <filterColumn colId="24" showButton="0"/>
    <filterColumn colId="25" showButton="0"/>
    <filterColumn colId="26" showButton="0"/>
    <filterColumn colId="27" showButton="0"/>
    <filterColumn colId="29" showButton="0"/>
    <filterColumn colId="30" showButton="0"/>
    <sortState xmlns:xlrd2="http://schemas.microsoft.com/office/spreadsheetml/2017/richdata2" ref="A9:AG3582">
      <sortCondition ref="B6:B3582"/>
    </sortState>
  </autoFilter>
  <mergeCells count="34">
    <mergeCell ref="AD6:AF6"/>
    <mergeCell ref="W6:W7"/>
    <mergeCell ref="X6:X7"/>
    <mergeCell ref="Y6:AC6"/>
    <mergeCell ref="H6:H7"/>
    <mergeCell ref="J6:J7"/>
    <mergeCell ref="K6:K7"/>
    <mergeCell ref="L6:L7"/>
    <mergeCell ref="M6:M7"/>
    <mergeCell ref="A4:C4"/>
    <mergeCell ref="AC4:AD4"/>
    <mergeCell ref="AE4:AG4"/>
    <mergeCell ref="A5:AG5"/>
    <mergeCell ref="A6:A7"/>
    <mergeCell ref="B6:B7"/>
    <mergeCell ref="C6:C7"/>
    <mergeCell ref="D6:D7"/>
    <mergeCell ref="F6:F7"/>
    <mergeCell ref="G6:G7"/>
    <mergeCell ref="I6:I7"/>
    <mergeCell ref="AG6:AG7"/>
    <mergeCell ref="E6:E7"/>
    <mergeCell ref="N6:R6"/>
    <mergeCell ref="S6:U6"/>
    <mergeCell ref="V6:V7"/>
    <mergeCell ref="A1:AG1"/>
    <mergeCell ref="A2:AG2"/>
    <mergeCell ref="A3:C3"/>
    <mergeCell ref="D3:G3"/>
    <mergeCell ref="H3:I3"/>
    <mergeCell ref="J3:L3"/>
    <mergeCell ref="Y3:AB3"/>
    <mergeCell ref="AC3:AD3"/>
    <mergeCell ref="AE3:AG3"/>
  </mergeCells>
  <phoneticPr fontId="53" type="noConversion"/>
  <conditionalFormatting sqref="H3:I3">
    <cfRule type="cellIs" dxfId="16" priority="302" operator="equal">
      <formula>"Diğer ise belirtiniz;"</formula>
    </cfRule>
  </conditionalFormatting>
  <conditionalFormatting sqref="R8:R171 AC8:AC171">
    <cfRule type="cellIs" dxfId="15" priority="1" stopIfTrue="1" operator="equal">
      <formula>"KABUL EDİLEMEZ RİSK"</formula>
    </cfRule>
    <cfRule type="cellIs" dxfId="14" priority="2" stopIfTrue="1" operator="equal">
      <formula>"YÜKSEK RİSK"</formula>
    </cfRule>
    <cfRule type="cellIs" dxfId="13" priority="3" stopIfTrue="1" operator="equal">
      <formula>"ÖNEMLİ RİSK"</formula>
    </cfRule>
    <cfRule type="cellIs" dxfId="12" priority="4" stopIfTrue="1" operator="equal">
      <formula>"OLASI RİSK"</formula>
    </cfRule>
    <cfRule type="cellIs" dxfId="11" priority="5" operator="equal">
      <formula>"DÜŞÜK RİSK"</formula>
    </cfRule>
  </conditionalFormatting>
  <dataValidations count="5">
    <dataValidation type="date" errorStyle="information" operator="greaterThan" allowBlank="1" showInputMessage="1" showErrorMessage="1" error="01.01.2000 formatında değer giriniz." sqref="AE3:AG3 Y3:AB3 W10:W171 U8 B8:B171" xr:uid="{00000000-0002-0000-0600-000000000000}">
      <formula1>36526</formula1>
    </dataValidation>
    <dataValidation errorStyle="information" operator="greaterThan" allowBlank="1" showInputMessage="1" showErrorMessage="1" error="01.01.2000 formatında değer giriniz." prompt="- Belirli bir tarih için &quot;01.01.2000&quot; formatında bir tarih giriniz_x000a_- Her zaman devam edecek eylemler için &quot;Sürekli&quot; ifadesi kullanınız." sqref="U10:U171" xr:uid="{00000000-0002-0000-0600-000001000000}"/>
    <dataValidation type="list" allowBlank="1" showInputMessage="1" showErrorMessage="1" sqref="P8:P171 AA8:AA171" xr:uid="{00000000-0002-0000-0600-000002000000}">
      <formula1>"1,3,7,15,40,100"</formula1>
    </dataValidation>
    <dataValidation type="list" allowBlank="1" showInputMessage="1" showErrorMessage="1" sqref="O8:O171 Z8:Z171" xr:uid="{00000000-0002-0000-0600-000003000000}">
      <mc:AlternateContent xmlns:x12ac="http://schemas.microsoft.com/office/spreadsheetml/2011/1/ac" xmlns:mc="http://schemas.openxmlformats.org/markup-compatibility/2006">
        <mc:Choice Requires="x12ac">
          <x12ac:list>"0,5",1,2,3,6,10</x12ac:list>
        </mc:Choice>
        <mc:Fallback>
          <formula1>"0,5,1,2,3,6,10"</formula1>
        </mc:Fallback>
      </mc:AlternateContent>
    </dataValidation>
    <dataValidation type="list" allowBlank="1" showInputMessage="1" showErrorMessage="1" sqref="N8:N171 Y8:Y171" xr:uid="{00000000-0002-0000-0600-000004000000}">
      <mc:AlternateContent xmlns:x12ac="http://schemas.microsoft.com/office/spreadsheetml/2011/1/ac" xmlns:mc="http://schemas.openxmlformats.org/markup-compatibility/2006">
        <mc:Choice Requires="x12ac">
          <x12ac:list>"0,2","0,5",1,3,6,10</x12ac:list>
        </mc:Choice>
        <mc:Fallback>
          <formula1>"0,2,0,5,1,3,6,10"</formula1>
        </mc:Fallback>
      </mc:AlternateContent>
    </dataValidation>
  </dataValidations>
  <printOptions horizontalCentered="1"/>
  <pageMargins left="0.23622047244094491" right="0.23622047244094491" top="0.35433070866141736" bottom="0.35433070866141736" header="0.31496062992125984" footer="0.31496062992125984"/>
  <pageSetup paperSize="8" scale="32" fitToHeight="0" orientation="landscape" r:id="rId1"/>
  <drawing r:id="rId2"/>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600-000005000000}">
          <x14:formula1>
            <xm:f>Veri!$A$19:$A$47</xm:f>
          </x14:formula1>
          <xm:sqref>D4</xm:sqref>
        </x14:dataValidation>
        <x14:dataValidation type="list" allowBlank="1" showInputMessage="1" showErrorMessage="1" xr:uid="{00000000-0002-0000-0600-000006000000}">
          <x14:formula1>
            <xm:f>OFFSET(Veri!$E$2,1,MATCH(C8,Veri!$E$2:$I$2,0)-1,COUNTA(OFFSET(Veri!$E$2,1,MATCH(C8,Veri!$E$2:$I$2,0)-1,10,1)),1)</xm:f>
          </x14:formula1>
          <xm:sqref>D8:D9</xm:sqref>
        </x14:dataValidation>
        <x14:dataValidation type="list" allowBlank="1" showInputMessage="1" showErrorMessage="1" xr:uid="{00000000-0002-0000-0600-000007000000}">
          <x14:formula1>
            <xm:f>Veri!$K$2:$K$5</xm:f>
          </x14:formula1>
          <xm:sqref>AD8:AD9</xm:sqref>
        </x14:dataValidation>
        <x14:dataValidation type="list" allowBlank="1" showInputMessage="1" showErrorMessage="1" xr:uid="{00000000-0002-0000-0600-000008000000}">
          <x14:formula1>
            <xm:f>Veri!$E$2:$I$2</xm:f>
          </x14:formula1>
          <xm:sqref>C8:C9</xm:sqref>
        </x14:dataValidation>
        <x14:dataValidation type="list" allowBlank="1" showInputMessage="1" showErrorMessage="1" xr:uid="{00000000-0002-0000-0600-000009000000}">
          <x14:formula1>
            <xm:f>Veri!$M$2:$M$14</xm:f>
          </x14:formula1>
          <xm:sqref>T8:T9</xm:sqref>
        </x14:dataValidation>
        <x14:dataValidation type="list" allowBlank="1" showInputMessage="1" showErrorMessage="1" xr:uid="{00000000-0002-0000-0600-00000A000000}">
          <x14:formula1>
            <xm:f>Veri!$O$2:$O$42</xm:f>
          </x14:formula1>
          <xm:sqref>E8:E9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5" tint="0.59999389629810485"/>
    <pageSetUpPr fitToPage="1"/>
  </sheetPr>
  <dimension ref="B2:O118"/>
  <sheetViews>
    <sheetView showGridLines="0" topLeftCell="A112" zoomScale="85" zoomScaleNormal="85" zoomScaleSheetLayoutView="50" workbookViewId="0">
      <selection activeCell="P66" sqref="P66"/>
    </sheetView>
  </sheetViews>
  <sheetFormatPr baseColWidth="10" defaultColWidth="9.1640625" defaultRowHeight="15" outlineLevelRow="1"/>
  <cols>
    <col min="1" max="1" width="1.5" customWidth="1"/>
    <col min="2" max="2" width="40.5" style="36" customWidth="1"/>
    <col min="3" max="7" width="12.5" style="35" customWidth="1"/>
    <col min="8" max="8" width="8.1640625" style="35" customWidth="1"/>
    <col min="9" max="13" width="12.5" style="35" customWidth="1"/>
    <col min="14" max="14" width="8.1640625" style="35" customWidth="1"/>
    <col min="15" max="15" width="1.5" style="35" customWidth="1"/>
  </cols>
  <sheetData>
    <row r="2" spans="2:14">
      <c r="B2" s="215" t="s">
        <v>357</v>
      </c>
      <c r="C2" s="215"/>
      <c r="D2" s="215"/>
      <c r="E2" s="215"/>
      <c r="F2" s="215"/>
      <c r="G2" s="215"/>
      <c r="H2" s="215"/>
      <c r="I2" s="215"/>
      <c r="J2" s="215"/>
      <c r="K2" s="215"/>
      <c r="L2" s="215"/>
      <c r="M2" s="215"/>
      <c r="N2" s="215"/>
    </row>
    <row r="3" spans="2:14">
      <c r="B3" s="215"/>
      <c r="C3" s="215"/>
      <c r="D3" s="215"/>
      <c r="E3" s="215"/>
      <c r="F3" s="215"/>
      <c r="G3" s="215"/>
      <c r="H3" s="215"/>
      <c r="I3" s="215"/>
      <c r="J3" s="215"/>
      <c r="K3" s="215"/>
      <c r="L3" s="215"/>
      <c r="M3" s="215"/>
      <c r="N3" s="215"/>
    </row>
    <row r="5" spans="2:14" ht="19.5" customHeight="1" thickBot="1">
      <c r="B5" s="47"/>
      <c r="C5" s="219" t="s">
        <v>58</v>
      </c>
      <c r="D5" s="219"/>
      <c r="E5" s="219"/>
      <c r="F5" s="219"/>
      <c r="G5" s="219"/>
      <c r="H5" s="220"/>
      <c r="I5" s="219" t="s">
        <v>60</v>
      </c>
      <c r="J5" s="219"/>
      <c r="K5" s="219"/>
      <c r="L5" s="219"/>
      <c r="M5" s="219"/>
      <c r="N5" s="219"/>
    </row>
    <row r="6" spans="2:14" ht="29.5" customHeight="1" thickBot="1">
      <c r="B6" s="159" t="s">
        <v>286</v>
      </c>
      <c r="C6" s="160" t="s">
        <v>61</v>
      </c>
      <c r="D6" s="160" t="s">
        <v>62</v>
      </c>
      <c r="E6" s="161" t="s">
        <v>63</v>
      </c>
      <c r="F6" s="160" t="s">
        <v>64</v>
      </c>
      <c r="G6" s="162" t="s">
        <v>65</v>
      </c>
      <c r="H6" s="172" t="s">
        <v>59</v>
      </c>
      <c r="I6" s="163" t="s">
        <v>61</v>
      </c>
      <c r="J6" s="160" t="s">
        <v>62</v>
      </c>
      <c r="K6" s="161" t="s">
        <v>63</v>
      </c>
      <c r="L6" s="160" t="s">
        <v>64</v>
      </c>
      <c r="M6" s="162" t="s">
        <v>65</v>
      </c>
      <c r="N6" s="160" t="s">
        <v>59</v>
      </c>
    </row>
    <row r="7" spans="2:14" ht="18" customHeight="1" thickTop="1" thickBot="1">
      <c r="B7" s="125" t="s">
        <v>125</v>
      </c>
      <c r="C7" s="126">
        <f>COUNTIFS('RD Fine Kinney (Konsolide)'!$C$8:$C$171,'Analiz (Konsolide)'!$B7,'RD Fine Kinney (Konsolide)'!$R$8:$R$171,'Analiz (Konsolide)'!C$6)</f>
        <v>0</v>
      </c>
      <c r="D7" s="126">
        <f>COUNTIFS('RD Fine Kinney (Konsolide)'!$C$8:$C$171,'Analiz (Konsolide)'!$B7,'RD Fine Kinney (Konsolide)'!$R$8:$R$171,'Analiz (Konsolide)'!D$6)</f>
        <v>0</v>
      </c>
      <c r="E7" s="126">
        <f>COUNTIFS('RD Fine Kinney (Konsolide)'!$C$8:$C$171,'Analiz (Konsolide)'!$B7,'RD Fine Kinney (Konsolide)'!$R$8:$R$171,'Analiz (Konsolide)'!E$6)</f>
        <v>0</v>
      </c>
      <c r="F7" s="126">
        <f>COUNTIFS('RD Fine Kinney (Konsolide)'!$C$8:$C$171,'Analiz (Konsolide)'!$B7,'RD Fine Kinney (Konsolide)'!$R$8:$R$171,'Analiz (Konsolide)'!F$6)</f>
        <v>0</v>
      </c>
      <c r="G7" s="138">
        <f>COUNTIFS('RD Fine Kinney (Konsolide)'!$C$8:$C$171,'Analiz (Konsolide)'!$B7,'RD Fine Kinney (Konsolide)'!$R$8:$R$171,'Analiz (Konsolide)'!G$6)</f>
        <v>0</v>
      </c>
      <c r="H7" s="173">
        <f>SUM(C7:G7)</f>
        <v>0</v>
      </c>
      <c r="I7" s="139">
        <f>COUNTIFS('RD Fine Kinney (Konsolide)'!$C$8:$C$171,'Analiz (Konsolide)'!$B7,'RD Fine Kinney (Konsolide)'!$AC$8:$AC$171,'Analiz (Konsolide)'!I$6)</f>
        <v>0</v>
      </c>
      <c r="J7" s="126">
        <f>COUNTIFS('RD Fine Kinney (Konsolide)'!$C$8:$C$171,'Analiz (Konsolide)'!$B7,'RD Fine Kinney (Konsolide)'!$AC$8:$AC$171,'Analiz (Konsolide)'!J$6)</f>
        <v>0</v>
      </c>
      <c r="K7" s="126">
        <f>COUNTIFS('RD Fine Kinney (Konsolide)'!$C$8:$C$171,'Analiz (Konsolide)'!$B7,'RD Fine Kinney (Konsolide)'!$AC$8:$AC$171,'Analiz (Konsolide)'!K$6)</f>
        <v>0</v>
      </c>
      <c r="L7" s="126">
        <f>COUNTIFS('RD Fine Kinney (Konsolide)'!$C$8:$C$171,'Analiz (Konsolide)'!$B7,'RD Fine Kinney (Konsolide)'!$AC$8:$AC$171,'Analiz (Konsolide)'!L$6)</f>
        <v>0</v>
      </c>
      <c r="M7" s="138">
        <f>COUNTIFS('RD Fine Kinney (Konsolide)'!$C$8:$C$171,'Analiz (Konsolide)'!$B7,'RD Fine Kinney (Konsolide)'!$AC$8:$AC$171,'Analiz (Konsolide)'!M$6)</f>
        <v>0</v>
      </c>
      <c r="N7" s="139">
        <f>SUM(I7:M7)</f>
        <v>0</v>
      </c>
    </row>
    <row r="8" spans="2:14" ht="18" hidden="1" customHeight="1" outlineLevel="1" thickTop="1" thickBot="1">
      <c r="B8" s="127" t="s">
        <v>278</v>
      </c>
      <c r="C8" s="128">
        <f>COUNTIFS('RD Fine Kinney (Konsolide)'!$D$8:$D$171,'Analiz (Konsolide)'!$B8,'RD Fine Kinney (Konsolide)'!$R$8:$R$171,'Analiz (Konsolide)'!C$6)</f>
        <v>0</v>
      </c>
      <c r="D8" s="128">
        <f>COUNTIFS('RD Fine Kinney (Konsolide)'!$D$8:$D$171,'Analiz (Konsolide)'!$B8,'RD Fine Kinney (Konsolide)'!$R$8:$R$171,'Analiz (Konsolide)'!D$6)</f>
        <v>0</v>
      </c>
      <c r="E8" s="128">
        <f>COUNTIFS('RD Fine Kinney (Konsolide)'!$D$8:$D$171,'Analiz (Konsolide)'!$B8,'RD Fine Kinney (Konsolide)'!$R$8:$R$171,'Analiz (Konsolide)'!E$6)</f>
        <v>0</v>
      </c>
      <c r="F8" s="128">
        <f>COUNTIFS('RD Fine Kinney (Konsolide)'!$D$8:$D$171,'Analiz (Konsolide)'!$B8,'RD Fine Kinney (Konsolide)'!$R$8:$R$171,'Analiz (Konsolide)'!F$6)</f>
        <v>0</v>
      </c>
      <c r="G8" s="128">
        <f>COUNTIFS('RD Fine Kinney (Konsolide)'!$D$8:$D$171,'Analiz (Konsolide)'!$B8,'RD Fine Kinney (Konsolide)'!$R$8:$R$171,'Analiz (Konsolide)'!G$6)</f>
        <v>0</v>
      </c>
      <c r="H8" s="179">
        <f t="shared" ref="H8:H40" si="0">SUM(C8:G8)</f>
        <v>0</v>
      </c>
      <c r="I8" s="128">
        <f>COUNTIFS('RD Fine Kinney (Konsolide)'!$D$8:$D$171,'Analiz (Konsolide)'!$B8,'RD Fine Kinney (Konsolide)'!$AC$8:$AC$171,'Analiz (Konsolide)'!I$6)</f>
        <v>0</v>
      </c>
      <c r="J8" s="128">
        <f>COUNTIFS('RD Fine Kinney (Konsolide)'!$D$8:$D$171,'Analiz (Konsolide)'!$B8,'RD Fine Kinney (Konsolide)'!$AC$8:$AC$171,'Analiz (Konsolide)'!J$6)</f>
        <v>0</v>
      </c>
      <c r="K8" s="128">
        <f>COUNTIFS('RD Fine Kinney (Konsolide)'!$D$8:$D$171,'Analiz (Konsolide)'!$B8,'RD Fine Kinney (Konsolide)'!$AC$8:$AC$171,'Analiz (Konsolide)'!K$6)</f>
        <v>0</v>
      </c>
      <c r="L8" s="128">
        <f>COUNTIFS('RD Fine Kinney (Konsolide)'!$D$8:$D$171,'Analiz (Konsolide)'!$B8,'RD Fine Kinney (Konsolide)'!$AC$8:$AC$171,'Analiz (Konsolide)'!L$6)</f>
        <v>0</v>
      </c>
      <c r="M8" s="128">
        <f>COUNTIFS('RD Fine Kinney (Konsolide)'!$D$8:$D$171,'Analiz (Konsolide)'!$B8,'RD Fine Kinney (Konsolide)'!$AC$8:$AC$171,'Analiz (Konsolide)'!M$6)</f>
        <v>0</v>
      </c>
      <c r="N8" s="140">
        <f t="shared" ref="N8:N40" si="1">SUM(I8:M8)</f>
        <v>0</v>
      </c>
    </row>
    <row r="9" spans="2:14" ht="18" hidden="1" customHeight="1" outlineLevel="1" thickTop="1" thickBot="1">
      <c r="B9" s="127" t="s">
        <v>279</v>
      </c>
      <c r="C9" s="128">
        <f>COUNTIFS('RD Fine Kinney (Konsolide)'!$D$8:$D$171,'Analiz (Konsolide)'!$B9,'RD Fine Kinney (Konsolide)'!$R$8:$R$171,'Analiz (Konsolide)'!C$6)</f>
        <v>0</v>
      </c>
      <c r="D9" s="128">
        <f>COUNTIFS('RD Fine Kinney (Konsolide)'!$D$8:$D$171,'Analiz (Konsolide)'!$B9,'RD Fine Kinney (Konsolide)'!$R$8:$R$171,'Analiz (Konsolide)'!D$6)</f>
        <v>0</v>
      </c>
      <c r="E9" s="128">
        <f>COUNTIFS('RD Fine Kinney (Konsolide)'!$D$8:$D$171,'Analiz (Konsolide)'!$B9,'RD Fine Kinney (Konsolide)'!$R$8:$R$171,'Analiz (Konsolide)'!E$6)</f>
        <v>0</v>
      </c>
      <c r="F9" s="128">
        <f>COUNTIFS('RD Fine Kinney (Konsolide)'!$D$8:$D$171,'Analiz (Konsolide)'!$B9,'RD Fine Kinney (Konsolide)'!$R$8:$R$171,'Analiz (Konsolide)'!F$6)</f>
        <v>0</v>
      </c>
      <c r="G9" s="128">
        <f>COUNTIFS('RD Fine Kinney (Konsolide)'!$D$8:$D$171,'Analiz (Konsolide)'!$B9,'RD Fine Kinney (Konsolide)'!$R$8:$R$171,'Analiz (Konsolide)'!G$6)</f>
        <v>0</v>
      </c>
      <c r="H9" s="179">
        <f t="shared" si="0"/>
        <v>0</v>
      </c>
      <c r="I9" s="128">
        <f>COUNTIFS('RD Fine Kinney (Konsolide)'!$D$8:$D$171,'Analiz (Konsolide)'!$B9,'RD Fine Kinney (Konsolide)'!$AC$8:$AC$171,'Analiz (Konsolide)'!I$6)</f>
        <v>0</v>
      </c>
      <c r="J9" s="128">
        <f>COUNTIFS('RD Fine Kinney (Konsolide)'!$D$8:$D$171,'Analiz (Konsolide)'!$B9,'RD Fine Kinney (Konsolide)'!$AC$8:$AC$171,'Analiz (Konsolide)'!J$6)</f>
        <v>0</v>
      </c>
      <c r="K9" s="128">
        <f>COUNTIFS('RD Fine Kinney (Konsolide)'!$D$8:$D$171,'Analiz (Konsolide)'!$B9,'RD Fine Kinney (Konsolide)'!$AC$8:$AC$171,'Analiz (Konsolide)'!K$6)</f>
        <v>0</v>
      </c>
      <c r="L9" s="128">
        <f>COUNTIFS('RD Fine Kinney (Konsolide)'!$D$8:$D$171,'Analiz (Konsolide)'!$B9,'RD Fine Kinney (Konsolide)'!$AC$8:$AC$171,'Analiz (Konsolide)'!L$6)</f>
        <v>0</v>
      </c>
      <c r="M9" s="128">
        <f>COUNTIFS('RD Fine Kinney (Konsolide)'!$D$8:$D$171,'Analiz (Konsolide)'!$B9,'RD Fine Kinney (Konsolide)'!$AC$8:$AC$171,'Analiz (Konsolide)'!M$6)</f>
        <v>0</v>
      </c>
      <c r="N9" s="140">
        <f t="shared" si="1"/>
        <v>0</v>
      </c>
    </row>
    <row r="10" spans="2:14" ht="18" hidden="1" customHeight="1" outlineLevel="1" thickTop="1" thickBot="1">
      <c r="B10" s="127" t="s">
        <v>280</v>
      </c>
      <c r="C10" s="128">
        <f>COUNTIFS('RD Fine Kinney (Konsolide)'!$D$8:$D$171,'Analiz (Konsolide)'!$B10,'RD Fine Kinney (Konsolide)'!$R$8:$R$171,'Analiz (Konsolide)'!C$6)</f>
        <v>0</v>
      </c>
      <c r="D10" s="128">
        <f>COUNTIFS('RD Fine Kinney (Konsolide)'!$D$8:$D$171,'Analiz (Konsolide)'!$B10,'RD Fine Kinney (Konsolide)'!$R$8:$R$171,'Analiz (Konsolide)'!D$6)</f>
        <v>0</v>
      </c>
      <c r="E10" s="128">
        <f>COUNTIFS('RD Fine Kinney (Konsolide)'!$D$8:$D$171,'Analiz (Konsolide)'!$B10,'RD Fine Kinney (Konsolide)'!$R$8:$R$171,'Analiz (Konsolide)'!E$6)</f>
        <v>0</v>
      </c>
      <c r="F10" s="128">
        <f>COUNTIFS('RD Fine Kinney (Konsolide)'!$D$8:$D$171,'Analiz (Konsolide)'!$B10,'RD Fine Kinney (Konsolide)'!$R$8:$R$171,'Analiz (Konsolide)'!F$6)</f>
        <v>0</v>
      </c>
      <c r="G10" s="128">
        <f>COUNTIFS('RD Fine Kinney (Konsolide)'!$D$8:$D$171,'Analiz (Konsolide)'!$B10,'RD Fine Kinney (Konsolide)'!$R$8:$R$171,'Analiz (Konsolide)'!G$6)</f>
        <v>0</v>
      </c>
      <c r="H10" s="179">
        <f t="shared" si="0"/>
        <v>0</v>
      </c>
      <c r="I10" s="128">
        <f>COUNTIFS('RD Fine Kinney (Konsolide)'!$D$8:$D$171,'Analiz (Konsolide)'!$B10,'RD Fine Kinney (Konsolide)'!$AC$8:$AC$171,'Analiz (Konsolide)'!I$6)</f>
        <v>0</v>
      </c>
      <c r="J10" s="128">
        <f>COUNTIFS('RD Fine Kinney (Konsolide)'!$D$8:$D$171,'Analiz (Konsolide)'!$B10,'RD Fine Kinney (Konsolide)'!$AC$8:$AC$171,'Analiz (Konsolide)'!J$6)</f>
        <v>0</v>
      </c>
      <c r="K10" s="128">
        <f>COUNTIFS('RD Fine Kinney (Konsolide)'!$D$8:$D$171,'Analiz (Konsolide)'!$B10,'RD Fine Kinney (Konsolide)'!$AC$8:$AC$171,'Analiz (Konsolide)'!K$6)</f>
        <v>0</v>
      </c>
      <c r="L10" s="128">
        <f>COUNTIFS('RD Fine Kinney (Konsolide)'!$D$8:$D$171,'Analiz (Konsolide)'!$B10,'RD Fine Kinney (Konsolide)'!$AC$8:$AC$171,'Analiz (Konsolide)'!L$6)</f>
        <v>0</v>
      </c>
      <c r="M10" s="128">
        <f>COUNTIFS('RD Fine Kinney (Konsolide)'!$D$8:$D$171,'Analiz (Konsolide)'!$B10,'RD Fine Kinney (Konsolide)'!$AC$8:$AC$171,'Analiz (Konsolide)'!M$6)</f>
        <v>0</v>
      </c>
      <c r="N10" s="140">
        <f t="shared" si="1"/>
        <v>0</v>
      </c>
    </row>
    <row r="11" spans="2:14" ht="18" hidden="1" customHeight="1" outlineLevel="1" thickTop="1" thickBot="1">
      <c r="B11" s="127" t="s">
        <v>281</v>
      </c>
      <c r="C11" s="128">
        <f>COUNTIFS('RD Fine Kinney (Konsolide)'!$D$8:$D$171,'Analiz (Konsolide)'!$B11,'RD Fine Kinney (Konsolide)'!$R$8:$R$171,'Analiz (Konsolide)'!C$6)</f>
        <v>0</v>
      </c>
      <c r="D11" s="128">
        <f>COUNTIFS('RD Fine Kinney (Konsolide)'!$D$8:$D$171,'Analiz (Konsolide)'!$B11,'RD Fine Kinney (Konsolide)'!$R$8:$R$171,'Analiz (Konsolide)'!D$6)</f>
        <v>0</v>
      </c>
      <c r="E11" s="128">
        <f>COUNTIFS('RD Fine Kinney (Konsolide)'!$D$8:$D$171,'Analiz (Konsolide)'!$B11,'RD Fine Kinney (Konsolide)'!$R$8:$R$171,'Analiz (Konsolide)'!E$6)</f>
        <v>0</v>
      </c>
      <c r="F11" s="142">
        <f>COUNTIFS('RD Fine Kinney (Konsolide)'!$D$8:$D$171,'Analiz (Konsolide)'!$B11,'RD Fine Kinney (Konsolide)'!$R$8:$R$171,'Analiz (Konsolide)'!F$6)</f>
        <v>0</v>
      </c>
      <c r="G11" s="128">
        <f>COUNTIFS('RD Fine Kinney (Konsolide)'!$D$8:$D$171,'Analiz (Konsolide)'!$B11,'RD Fine Kinney (Konsolide)'!$R$8:$R$171,'Analiz (Konsolide)'!G$6)</f>
        <v>0</v>
      </c>
      <c r="H11" s="180">
        <f t="shared" si="0"/>
        <v>0</v>
      </c>
      <c r="I11" s="142">
        <f>COUNTIFS('RD Fine Kinney (Konsolide)'!$D$8:$D$171,'Analiz (Konsolide)'!$B11,'RD Fine Kinney (Konsolide)'!$AC$8:$AC$171,'Analiz (Konsolide)'!I$6)</f>
        <v>0</v>
      </c>
      <c r="J11" s="128">
        <f>COUNTIFS('RD Fine Kinney (Konsolide)'!$D$8:$D$171,'Analiz (Konsolide)'!$B11,'RD Fine Kinney (Konsolide)'!$AC$8:$AC$171,'Analiz (Konsolide)'!J$6)</f>
        <v>0</v>
      </c>
      <c r="K11" s="128">
        <f>COUNTIFS('RD Fine Kinney (Konsolide)'!$D$8:$D$171,'Analiz (Konsolide)'!$B11,'RD Fine Kinney (Konsolide)'!$AC$8:$AC$171,'Analiz (Konsolide)'!K$6)</f>
        <v>0</v>
      </c>
      <c r="L11" s="128">
        <f>COUNTIFS('RD Fine Kinney (Konsolide)'!$D$8:$D$171,'Analiz (Konsolide)'!$B11,'RD Fine Kinney (Konsolide)'!$AC$8:$AC$171,'Analiz (Konsolide)'!L$6)</f>
        <v>0</v>
      </c>
      <c r="M11" s="128">
        <f>COUNTIFS('RD Fine Kinney (Konsolide)'!$D$8:$D$171,'Analiz (Konsolide)'!$B11,'RD Fine Kinney (Konsolide)'!$AC$8:$AC$171,'Analiz (Konsolide)'!M$6)</f>
        <v>0</v>
      </c>
      <c r="N11" s="140">
        <f t="shared" si="1"/>
        <v>0</v>
      </c>
    </row>
    <row r="12" spans="2:14" ht="18" customHeight="1" collapsed="1" thickTop="1" thickBot="1">
      <c r="B12" s="129" t="s">
        <v>126</v>
      </c>
      <c r="C12" s="143">
        <f>COUNTIFS('RD Fine Kinney (Konsolide)'!$C$8:$C$171,'Analiz (Konsolide)'!$B12,'RD Fine Kinney (Konsolide)'!$R$8:$R$171,'Analiz (Konsolide)'!C$6)</f>
        <v>45</v>
      </c>
      <c r="D12" s="143">
        <f>COUNTIFS('RD Fine Kinney (Konsolide)'!$C$8:$C$171,'Analiz (Konsolide)'!$B12,'RD Fine Kinney (Konsolide)'!$R$8:$R$171,'Analiz (Konsolide)'!D$6)</f>
        <v>23</v>
      </c>
      <c r="E12" s="143">
        <f>COUNTIFS('RD Fine Kinney (Konsolide)'!$C$8:$C$171,'Analiz (Konsolide)'!$B12,'RD Fine Kinney (Konsolide)'!$R$8:$R$171,'Analiz (Konsolide)'!E$6)</f>
        <v>4</v>
      </c>
      <c r="F12" s="143">
        <f>COUNTIFS('RD Fine Kinney (Konsolide)'!$C$8:$C$171,'Analiz (Konsolide)'!$B12,'RD Fine Kinney (Konsolide)'!$R$8:$R$171,'Analiz (Konsolide)'!F$6)</f>
        <v>0</v>
      </c>
      <c r="G12" s="143">
        <f>COUNTIFS('RD Fine Kinney (Konsolide)'!$C$8:$C$171,'Analiz (Konsolide)'!$B12,'RD Fine Kinney (Konsolide)'!$R$8:$R$171,'Analiz (Konsolide)'!G$6)</f>
        <v>0</v>
      </c>
      <c r="H12" s="174">
        <f t="shared" si="0"/>
        <v>72</v>
      </c>
      <c r="I12" s="168">
        <f>COUNTIFS('RD Fine Kinney (Konsolide)'!$C$8:$C$171,'Analiz (Konsolide)'!$B12,'RD Fine Kinney (Konsolide)'!$AC$8:$AC$171,'Analiz (Konsolide)'!I$6)</f>
        <v>64</v>
      </c>
      <c r="J12" s="143">
        <f>COUNTIFS('RD Fine Kinney (Konsolide)'!$C$8:$C$171,'Analiz (Konsolide)'!$B12,'RD Fine Kinney (Konsolide)'!$AC$8:$AC$171,'Analiz (Konsolide)'!J$6)</f>
        <v>8</v>
      </c>
      <c r="K12" s="143">
        <f>COUNTIFS('RD Fine Kinney (Konsolide)'!$C$8:$C$171,'Analiz (Konsolide)'!$B12,'RD Fine Kinney (Konsolide)'!$AC$8:$AC$171,'Analiz (Konsolide)'!K$6)</f>
        <v>0</v>
      </c>
      <c r="L12" s="143">
        <f>COUNTIFS('RD Fine Kinney (Konsolide)'!$C$8:$C$171,'Analiz (Konsolide)'!$B12,'RD Fine Kinney (Konsolide)'!$AC$8:$AC$171,'Analiz (Konsolide)'!L$6)</f>
        <v>0</v>
      </c>
      <c r="M12" s="143">
        <f>COUNTIFS('RD Fine Kinney (Konsolide)'!$C$8:$C$171,'Analiz (Konsolide)'!$B12,'RD Fine Kinney (Konsolide)'!$AC$8:$AC$171,'Analiz (Konsolide)'!M$6)</f>
        <v>0</v>
      </c>
      <c r="N12" s="143">
        <f t="shared" si="1"/>
        <v>72</v>
      </c>
    </row>
    <row r="13" spans="2:14" ht="18" customHeight="1" outlineLevel="1" thickTop="1" thickBot="1">
      <c r="B13" s="131" t="s">
        <v>297</v>
      </c>
      <c r="C13" s="128">
        <f>COUNTIFS('RD Fine Kinney (Konsolide)'!$D$8:$D$171,'Analiz (Konsolide)'!$B13,'RD Fine Kinney (Konsolide)'!$R$8:$R$171,'Analiz (Konsolide)'!C$6)</f>
        <v>13</v>
      </c>
      <c r="D13" s="128">
        <f>COUNTIFS('RD Fine Kinney (Konsolide)'!$D$8:$D$171,'Analiz (Konsolide)'!$B13,'RD Fine Kinney (Konsolide)'!$R$8:$R$171,'Analiz (Konsolide)'!D$6)</f>
        <v>7</v>
      </c>
      <c r="E13" s="128">
        <f>COUNTIFS('RD Fine Kinney (Konsolide)'!$D$8:$D$171,'Analiz (Konsolide)'!$B13,'RD Fine Kinney (Konsolide)'!$R$8:$R$171,'Analiz (Konsolide)'!E$6)</f>
        <v>2</v>
      </c>
      <c r="F13" s="128">
        <f>COUNTIFS('RD Fine Kinney (Konsolide)'!$D$8:$D$171,'Analiz (Konsolide)'!$B13,'RD Fine Kinney (Konsolide)'!$R$8:$R$171,'Analiz (Konsolide)'!F$6)</f>
        <v>0</v>
      </c>
      <c r="G13" s="128">
        <f>COUNTIFS('RD Fine Kinney (Konsolide)'!$D$8:$D$171,'Analiz (Konsolide)'!$B13,'RD Fine Kinney (Konsolide)'!$R$8:$R$171,'Analiz (Konsolide)'!G$6)</f>
        <v>0</v>
      </c>
      <c r="H13" s="179">
        <f t="shared" si="0"/>
        <v>22</v>
      </c>
      <c r="I13" s="128">
        <f>COUNTIFS('RD Fine Kinney (Konsolide)'!$D$8:$D$171,'Analiz (Konsolide)'!$B13,'RD Fine Kinney (Konsolide)'!$AC$8:$AC$171,'Analiz (Konsolide)'!I$6)</f>
        <v>18</v>
      </c>
      <c r="J13" s="128">
        <f>COUNTIFS('RD Fine Kinney (Konsolide)'!$D$8:$D$171,'Analiz (Konsolide)'!$B13,'RD Fine Kinney (Konsolide)'!$AC$8:$AC$171,'Analiz (Konsolide)'!J$6)</f>
        <v>4</v>
      </c>
      <c r="K13" s="128">
        <f>COUNTIFS('RD Fine Kinney (Konsolide)'!$D$8:$D$171,'Analiz (Konsolide)'!$B13,'RD Fine Kinney (Konsolide)'!$AC$8:$AC$171,'Analiz (Konsolide)'!K$6)</f>
        <v>0</v>
      </c>
      <c r="L13" s="128">
        <f>COUNTIFS('RD Fine Kinney (Konsolide)'!$D$8:$D$171,'Analiz (Konsolide)'!$B13,'RD Fine Kinney (Konsolide)'!$AC$8:$AC$171,'Analiz (Konsolide)'!L$6)</f>
        <v>0</v>
      </c>
      <c r="M13" s="128">
        <f>COUNTIFS('RD Fine Kinney (Konsolide)'!$D$8:$D$171,'Analiz (Konsolide)'!$B13,'RD Fine Kinney (Konsolide)'!$AC$8:$AC$171,'Analiz (Konsolide)'!M$6)</f>
        <v>0</v>
      </c>
      <c r="N13" s="140">
        <f t="shared" si="1"/>
        <v>22</v>
      </c>
    </row>
    <row r="14" spans="2:14" ht="18" customHeight="1" outlineLevel="1" thickTop="1" thickBot="1">
      <c r="B14" s="131" t="s">
        <v>298</v>
      </c>
      <c r="C14" s="128">
        <f>COUNTIFS('RD Fine Kinney (Konsolide)'!$D$8:$D$171,'Analiz (Konsolide)'!$B14,'RD Fine Kinney (Konsolide)'!$R$8:$R$171,'Analiz (Konsolide)'!C$6)</f>
        <v>8</v>
      </c>
      <c r="D14" s="128">
        <f>COUNTIFS('RD Fine Kinney (Konsolide)'!$D$8:$D$171,'Analiz (Konsolide)'!$B14,'RD Fine Kinney (Konsolide)'!$R$8:$R$171,'Analiz (Konsolide)'!D$6)</f>
        <v>11</v>
      </c>
      <c r="E14" s="128">
        <f>COUNTIFS('RD Fine Kinney (Konsolide)'!$D$8:$D$171,'Analiz (Konsolide)'!$B14,'RD Fine Kinney (Konsolide)'!$R$8:$R$171,'Analiz (Konsolide)'!E$6)</f>
        <v>2</v>
      </c>
      <c r="F14" s="128">
        <f>COUNTIFS('RD Fine Kinney (Konsolide)'!$D$8:$D$171,'Analiz (Konsolide)'!$B14,'RD Fine Kinney (Konsolide)'!$R$8:$R$171,'Analiz (Konsolide)'!F$6)</f>
        <v>0</v>
      </c>
      <c r="G14" s="128">
        <f>COUNTIFS('RD Fine Kinney (Konsolide)'!$D$8:$D$171,'Analiz (Konsolide)'!$B14,'RD Fine Kinney (Konsolide)'!$R$8:$R$171,'Analiz (Konsolide)'!G$6)</f>
        <v>0</v>
      </c>
      <c r="H14" s="179">
        <f t="shared" si="0"/>
        <v>21</v>
      </c>
      <c r="I14" s="128">
        <f>COUNTIFS('RD Fine Kinney (Konsolide)'!$D$8:$D$171,'Analiz (Konsolide)'!$B14,'RD Fine Kinney (Konsolide)'!$AC$8:$AC$171,'Analiz (Konsolide)'!I$6)</f>
        <v>19</v>
      </c>
      <c r="J14" s="128">
        <f>COUNTIFS('RD Fine Kinney (Konsolide)'!$D$8:$D$171,'Analiz (Konsolide)'!$B14,'RD Fine Kinney (Konsolide)'!$AC$8:$AC$171,'Analiz (Konsolide)'!J$6)</f>
        <v>2</v>
      </c>
      <c r="K14" s="128">
        <f>COUNTIFS('RD Fine Kinney (Konsolide)'!$D$8:$D$171,'Analiz (Konsolide)'!$B14,'RD Fine Kinney (Konsolide)'!$AC$8:$AC$171,'Analiz (Konsolide)'!K$6)</f>
        <v>0</v>
      </c>
      <c r="L14" s="128">
        <f>COUNTIFS('RD Fine Kinney (Konsolide)'!$D$8:$D$171,'Analiz (Konsolide)'!$B14,'RD Fine Kinney (Konsolide)'!$AC$8:$AC$171,'Analiz (Konsolide)'!L$6)</f>
        <v>0</v>
      </c>
      <c r="M14" s="128">
        <f>COUNTIFS('RD Fine Kinney (Konsolide)'!$D$8:$D$171,'Analiz (Konsolide)'!$B14,'RD Fine Kinney (Konsolide)'!$AC$8:$AC$171,'Analiz (Konsolide)'!M$6)</f>
        <v>0</v>
      </c>
      <c r="N14" s="140">
        <f t="shared" si="1"/>
        <v>21</v>
      </c>
    </row>
    <row r="15" spans="2:14" ht="18" customHeight="1" outlineLevel="1" thickTop="1" thickBot="1">
      <c r="B15" s="131" t="s">
        <v>299</v>
      </c>
      <c r="C15" s="128">
        <f>COUNTIFS('RD Fine Kinney (Konsolide)'!$D$8:$D$171,'Analiz (Konsolide)'!$B15,'RD Fine Kinney (Konsolide)'!$R$8:$R$171,'Analiz (Konsolide)'!C$6)</f>
        <v>9</v>
      </c>
      <c r="D15" s="128">
        <f>COUNTIFS('RD Fine Kinney (Konsolide)'!$D$8:$D$171,'Analiz (Konsolide)'!$B15,'RD Fine Kinney (Konsolide)'!$R$8:$R$171,'Analiz (Konsolide)'!D$6)</f>
        <v>2</v>
      </c>
      <c r="E15" s="128">
        <f>COUNTIFS('RD Fine Kinney (Konsolide)'!$D$8:$D$171,'Analiz (Konsolide)'!$B15,'RD Fine Kinney (Konsolide)'!$R$8:$R$171,'Analiz (Konsolide)'!E$6)</f>
        <v>0</v>
      </c>
      <c r="F15" s="128">
        <f>COUNTIFS('RD Fine Kinney (Konsolide)'!$D$8:$D$171,'Analiz (Konsolide)'!$B15,'RD Fine Kinney (Konsolide)'!$R$8:$R$171,'Analiz (Konsolide)'!F$6)</f>
        <v>0</v>
      </c>
      <c r="G15" s="128">
        <f>COUNTIFS('RD Fine Kinney (Konsolide)'!$D$8:$D$171,'Analiz (Konsolide)'!$B15,'RD Fine Kinney (Konsolide)'!$R$8:$R$171,'Analiz (Konsolide)'!G$6)</f>
        <v>0</v>
      </c>
      <c r="H15" s="179">
        <f t="shared" si="0"/>
        <v>11</v>
      </c>
      <c r="I15" s="128">
        <f>COUNTIFS('RD Fine Kinney (Konsolide)'!$D$8:$D$171,'Analiz (Konsolide)'!$B15,'RD Fine Kinney (Konsolide)'!$AC$8:$AC$171,'Analiz (Konsolide)'!I$6)</f>
        <v>11</v>
      </c>
      <c r="J15" s="128">
        <f>COUNTIFS('RD Fine Kinney (Konsolide)'!$D$8:$D$171,'Analiz (Konsolide)'!$B15,'RD Fine Kinney (Konsolide)'!$AC$8:$AC$171,'Analiz (Konsolide)'!J$6)</f>
        <v>0</v>
      </c>
      <c r="K15" s="128">
        <f>COUNTIFS('RD Fine Kinney (Konsolide)'!$D$8:$D$171,'Analiz (Konsolide)'!$B15,'RD Fine Kinney (Konsolide)'!$AC$8:$AC$171,'Analiz (Konsolide)'!K$6)</f>
        <v>0</v>
      </c>
      <c r="L15" s="128">
        <f>COUNTIFS('RD Fine Kinney (Konsolide)'!$D$8:$D$171,'Analiz (Konsolide)'!$B15,'RD Fine Kinney (Konsolide)'!$AC$8:$AC$171,'Analiz (Konsolide)'!L$6)</f>
        <v>0</v>
      </c>
      <c r="M15" s="128">
        <f>COUNTIFS('RD Fine Kinney (Konsolide)'!$D$8:$D$171,'Analiz (Konsolide)'!$B15,'RD Fine Kinney (Konsolide)'!$AC$8:$AC$171,'Analiz (Konsolide)'!M$6)</f>
        <v>0</v>
      </c>
      <c r="N15" s="140">
        <f t="shared" si="1"/>
        <v>11</v>
      </c>
    </row>
    <row r="16" spans="2:14" ht="18" customHeight="1" outlineLevel="1" thickTop="1" thickBot="1">
      <c r="B16" s="131" t="s">
        <v>300</v>
      </c>
      <c r="C16" s="128">
        <f>COUNTIFS('RD Fine Kinney (Konsolide)'!$D$8:$D$171,'Analiz (Konsolide)'!$B16,'RD Fine Kinney (Konsolide)'!$R$8:$R$171,'Analiz (Konsolide)'!C$6)</f>
        <v>5</v>
      </c>
      <c r="D16" s="128">
        <f>COUNTIFS('RD Fine Kinney (Konsolide)'!$D$8:$D$171,'Analiz (Konsolide)'!$B16,'RD Fine Kinney (Konsolide)'!$R$8:$R$171,'Analiz (Konsolide)'!D$6)</f>
        <v>1</v>
      </c>
      <c r="E16" s="128">
        <f>COUNTIFS('RD Fine Kinney (Konsolide)'!$D$8:$D$171,'Analiz (Konsolide)'!$B16,'RD Fine Kinney (Konsolide)'!$R$8:$R$171,'Analiz (Konsolide)'!E$6)</f>
        <v>0</v>
      </c>
      <c r="F16" s="128">
        <f>COUNTIFS('RD Fine Kinney (Konsolide)'!$D$8:$D$171,'Analiz (Konsolide)'!$B16,'RD Fine Kinney (Konsolide)'!$R$8:$R$171,'Analiz (Konsolide)'!F$6)</f>
        <v>0</v>
      </c>
      <c r="G16" s="128">
        <f>COUNTIFS('RD Fine Kinney (Konsolide)'!$D$8:$D$171,'Analiz (Konsolide)'!$B16,'RD Fine Kinney (Konsolide)'!$R$8:$R$171,'Analiz (Konsolide)'!G$6)</f>
        <v>0</v>
      </c>
      <c r="H16" s="179">
        <f t="shared" si="0"/>
        <v>6</v>
      </c>
      <c r="I16" s="128">
        <f>COUNTIFS('RD Fine Kinney (Konsolide)'!$D$8:$D$171,'Analiz (Konsolide)'!$B16,'RD Fine Kinney (Konsolide)'!$AC$8:$AC$171,'Analiz (Konsolide)'!I$6)</f>
        <v>5</v>
      </c>
      <c r="J16" s="128">
        <f>COUNTIFS('RD Fine Kinney (Konsolide)'!$D$8:$D$171,'Analiz (Konsolide)'!$B16,'RD Fine Kinney (Konsolide)'!$AC$8:$AC$171,'Analiz (Konsolide)'!J$6)</f>
        <v>1</v>
      </c>
      <c r="K16" s="128">
        <f>COUNTIFS('RD Fine Kinney (Konsolide)'!$D$8:$D$171,'Analiz (Konsolide)'!$B16,'RD Fine Kinney (Konsolide)'!$AC$8:$AC$171,'Analiz (Konsolide)'!K$6)</f>
        <v>0</v>
      </c>
      <c r="L16" s="128">
        <f>COUNTIFS('RD Fine Kinney (Konsolide)'!$D$8:$D$171,'Analiz (Konsolide)'!$B16,'RD Fine Kinney (Konsolide)'!$AC$8:$AC$171,'Analiz (Konsolide)'!L$6)</f>
        <v>0</v>
      </c>
      <c r="M16" s="128">
        <f>COUNTIFS('RD Fine Kinney (Konsolide)'!$D$8:$D$171,'Analiz (Konsolide)'!$B16,'RD Fine Kinney (Konsolide)'!$AC$8:$AC$171,'Analiz (Konsolide)'!M$6)</f>
        <v>0</v>
      </c>
      <c r="N16" s="140">
        <f t="shared" si="1"/>
        <v>6</v>
      </c>
    </row>
    <row r="17" spans="2:14" ht="18" customHeight="1" outlineLevel="1" thickTop="1" thickBot="1">
      <c r="B17" s="131" t="s">
        <v>341</v>
      </c>
      <c r="C17" s="144">
        <f>COUNTIFS('RD Fine Kinney (Konsolide)'!$D$8:$D$171,'Analiz (Konsolide)'!$B17,'RD Fine Kinney (Konsolide)'!$R$8:$R$171,'Analiz (Konsolide)'!C$6)</f>
        <v>10</v>
      </c>
      <c r="D17" s="128">
        <f>COUNTIFS('RD Fine Kinney (Konsolide)'!$D$8:$D$171,'Analiz (Konsolide)'!$B17,'RD Fine Kinney (Konsolide)'!$R$8:$R$171,'Analiz (Konsolide)'!D$6)</f>
        <v>2</v>
      </c>
      <c r="E17" s="128">
        <f>COUNTIFS('RD Fine Kinney (Konsolide)'!$D$8:$D$171,'Analiz (Konsolide)'!$B17,'RD Fine Kinney (Konsolide)'!$R$8:$R$171,'Analiz (Konsolide)'!E$6)</f>
        <v>0</v>
      </c>
      <c r="F17" s="128">
        <f>COUNTIFS('RD Fine Kinney (Konsolide)'!$D$8:$D$171,'Analiz (Konsolide)'!$B17,'RD Fine Kinney (Konsolide)'!$R$8:$R$171,'Analiz (Konsolide)'!F$6)</f>
        <v>0</v>
      </c>
      <c r="G17" s="128">
        <f>COUNTIFS('RD Fine Kinney (Konsolide)'!$D$8:$D$171,'Analiz (Konsolide)'!$B17,'RD Fine Kinney (Konsolide)'!$R$8:$R$171,'Analiz (Konsolide)'!G$6)</f>
        <v>0</v>
      </c>
      <c r="H17" s="179">
        <f t="shared" si="0"/>
        <v>12</v>
      </c>
      <c r="I17" s="128">
        <f>COUNTIFS('RD Fine Kinney (Konsolide)'!$D$8:$D$171,'Analiz (Konsolide)'!$B17,'RD Fine Kinney (Konsolide)'!$AC$8:$AC$171,'Analiz (Konsolide)'!I$6)</f>
        <v>11</v>
      </c>
      <c r="J17" s="128">
        <f>COUNTIFS('RD Fine Kinney (Konsolide)'!$D$8:$D$171,'Analiz (Konsolide)'!$B17,'RD Fine Kinney (Konsolide)'!$AC$8:$AC$171,'Analiz (Konsolide)'!J$6)</f>
        <v>1</v>
      </c>
      <c r="K17" s="128">
        <f>COUNTIFS('RD Fine Kinney (Konsolide)'!$D$8:$D$171,'Analiz (Konsolide)'!$B17,'RD Fine Kinney (Konsolide)'!$AC$8:$AC$171,'Analiz (Konsolide)'!K$6)</f>
        <v>0</v>
      </c>
      <c r="L17" s="146">
        <f>COUNTIFS('RD Fine Kinney (Konsolide)'!$D$8:$D$171,'Analiz (Konsolide)'!$B17,'RD Fine Kinney (Konsolide)'!$AC$8:$AC$171,'Analiz (Konsolide)'!L$6)</f>
        <v>0</v>
      </c>
      <c r="M17" s="128">
        <f>COUNTIFS('RD Fine Kinney (Konsolide)'!$D$8:$D$171,'Analiz (Konsolide)'!$B17,'RD Fine Kinney (Konsolide)'!$AC$8:$AC$171,'Analiz (Konsolide)'!M$6)</f>
        <v>0</v>
      </c>
      <c r="N17" s="140">
        <f t="shared" si="1"/>
        <v>12</v>
      </c>
    </row>
    <row r="18" spans="2:14" ht="18" customHeight="1" thickTop="1" thickBot="1">
      <c r="B18" s="132" t="s">
        <v>124</v>
      </c>
      <c r="C18" s="130">
        <f>COUNTIFS('RD Fine Kinney (Konsolide)'!$C$8:$C$171,'Analiz (Konsolide)'!$B18,'RD Fine Kinney (Konsolide)'!$R$8:$R$171,'Analiz (Konsolide)'!C$6)</f>
        <v>42</v>
      </c>
      <c r="D18" s="145">
        <f>COUNTIFS('RD Fine Kinney (Konsolide)'!$C$8:$C$171,'Analiz (Konsolide)'!$B18,'RD Fine Kinney (Konsolide)'!$R$8:$R$171,'Analiz (Konsolide)'!D$6)</f>
        <v>35</v>
      </c>
      <c r="E18" s="145">
        <f>COUNTIFS('RD Fine Kinney (Konsolide)'!$C$8:$C$171,'Analiz (Konsolide)'!$B18,'RD Fine Kinney (Konsolide)'!$R$8:$R$171,'Analiz (Konsolide)'!E$6)</f>
        <v>9</v>
      </c>
      <c r="F18" s="145">
        <f>COUNTIFS('RD Fine Kinney (Konsolide)'!$C$8:$C$171,'Analiz (Konsolide)'!$B18,'RD Fine Kinney (Konsolide)'!$R$8:$R$171,'Analiz (Konsolide)'!F$6)</f>
        <v>2</v>
      </c>
      <c r="G18" s="145">
        <f>COUNTIFS('RD Fine Kinney (Konsolide)'!$C$8:$C$171,'Analiz (Konsolide)'!$B18,'RD Fine Kinney (Konsolide)'!$R$8:$R$171,'Analiz (Konsolide)'!G$6)</f>
        <v>0</v>
      </c>
      <c r="H18" s="175">
        <f t="shared" si="0"/>
        <v>88</v>
      </c>
      <c r="I18" s="169">
        <f>COUNTIFS('RD Fine Kinney (Konsolide)'!$C$8:$C$171,'Analiz (Konsolide)'!$B18,'RD Fine Kinney (Konsolide)'!$AC$8:$AC$171,'Analiz (Konsolide)'!I$6)</f>
        <v>74</v>
      </c>
      <c r="J18" s="145">
        <f>COUNTIFS('RD Fine Kinney (Konsolide)'!$C$8:$C$171,'Analiz (Konsolide)'!$B18,'RD Fine Kinney (Konsolide)'!$AC$8:$AC$171,'Analiz (Konsolide)'!J$6)</f>
        <v>14</v>
      </c>
      <c r="K18" s="145">
        <f>COUNTIFS('RD Fine Kinney (Konsolide)'!$C$8:$C$171,'Analiz (Konsolide)'!$B18,'RD Fine Kinney (Konsolide)'!$AC$8:$AC$171,'Analiz (Konsolide)'!K$6)</f>
        <v>0</v>
      </c>
      <c r="L18" s="130">
        <f>COUNTIFS('RD Fine Kinney (Konsolide)'!$C$8:$C$171,'Analiz (Konsolide)'!$B18,'RD Fine Kinney (Konsolide)'!$AC$8:$AC$171,'Analiz (Konsolide)'!L$6)</f>
        <v>0</v>
      </c>
      <c r="M18" s="145">
        <f>COUNTIFS('RD Fine Kinney (Konsolide)'!$C$8:$C$171,'Analiz (Konsolide)'!$B18,'RD Fine Kinney (Konsolide)'!$AC$8:$AC$171,'Analiz (Konsolide)'!M$6)</f>
        <v>0</v>
      </c>
      <c r="N18" s="145">
        <f t="shared" si="1"/>
        <v>88</v>
      </c>
    </row>
    <row r="19" spans="2:14" ht="18" customHeight="1" outlineLevel="1" thickTop="1" thickBot="1">
      <c r="B19" s="133" t="s">
        <v>303</v>
      </c>
      <c r="C19" s="128">
        <f>COUNTIFS('RD Fine Kinney (Konsolide)'!$D$8:$D$171,'Analiz (Konsolide)'!$B19,'RD Fine Kinney (Konsolide)'!$R$8:$R$171,'Analiz (Konsolide)'!C$6)</f>
        <v>10</v>
      </c>
      <c r="D19" s="128">
        <f>COUNTIFS('RD Fine Kinney (Konsolide)'!$D$8:$D$171,'Analiz (Konsolide)'!$B19,'RD Fine Kinney (Konsolide)'!$R$8:$R$171,'Analiz (Konsolide)'!D$6)</f>
        <v>2</v>
      </c>
      <c r="E19" s="128">
        <f>COUNTIFS('RD Fine Kinney (Konsolide)'!$D$8:$D$171,'Analiz (Konsolide)'!$B19,'RD Fine Kinney (Konsolide)'!$R$8:$R$171,'Analiz (Konsolide)'!E$6)</f>
        <v>0</v>
      </c>
      <c r="F19" s="128">
        <f>COUNTIFS('RD Fine Kinney (Konsolide)'!$D$8:$D$171,'Analiz (Konsolide)'!$B19,'RD Fine Kinney (Konsolide)'!$R$8:$R$171,'Analiz (Konsolide)'!F$6)</f>
        <v>0</v>
      </c>
      <c r="G19" s="128">
        <f>COUNTIFS('RD Fine Kinney (Konsolide)'!$D$8:$D$171,'Analiz (Konsolide)'!$B19,'RD Fine Kinney (Konsolide)'!$R$8:$R$171,'Analiz (Konsolide)'!G$6)</f>
        <v>0</v>
      </c>
      <c r="H19" s="179">
        <f t="shared" si="0"/>
        <v>12</v>
      </c>
      <c r="I19" s="128">
        <f>COUNTIFS('RD Fine Kinney (Konsolide)'!$D$8:$D$171,'Analiz (Konsolide)'!$B19,'RD Fine Kinney (Konsolide)'!$AC$8:$AC$171,'Analiz (Konsolide)'!I$6)</f>
        <v>10</v>
      </c>
      <c r="J19" s="128">
        <f>COUNTIFS('RD Fine Kinney (Konsolide)'!$D$8:$D$171,'Analiz (Konsolide)'!$B19,'RD Fine Kinney (Konsolide)'!$AC$8:$AC$171,'Analiz (Konsolide)'!J$6)</f>
        <v>2</v>
      </c>
      <c r="K19" s="128">
        <f>COUNTIFS('RD Fine Kinney (Konsolide)'!$D$8:$D$171,'Analiz (Konsolide)'!$B19,'RD Fine Kinney (Konsolide)'!$AC$8:$AC$171,'Analiz (Konsolide)'!K$6)</f>
        <v>0</v>
      </c>
      <c r="L19" s="128">
        <f>COUNTIFS('RD Fine Kinney (Konsolide)'!$D$8:$D$171,'Analiz (Konsolide)'!$B19,'RD Fine Kinney (Konsolide)'!$AC$8:$AC$171,'Analiz (Konsolide)'!L$6)</f>
        <v>0</v>
      </c>
      <c r="M19" s="128">
        <f>COUNTIFS('RD Fine Kinney (Konsolide)'!$D$8:$D$171,'Analiz (Konsolide)'!$B19,'RD Fine Kinney (Konsolide)'!$AC$8:$AC$171,'Analiz (Konsolide)'!M$6)</f>
        <v>0</v>
      </c>
      <c r="N19" s="140">
        <f t="shared" si="1"/>
        <v>12</v>
      </c>
    </row>
    <row r="20" spans="2:14" ht="18" customHeight="1" outlineLevel="1" thickTop="1" thickBot="1">
      <c r="B20" s="133" t="s">
        <v>304</v>
      </c>
      <c r="C20" s="128">
        <f>COUNTIFS('RD Fine Kinney (Konsolide)'!$D$8:$D$171,'Analiz (Konsolide)'!$B20,'RD Fine Kinney (Konsolide)'!$R$8:$R$171,'Analiz (Konsolide)'!C$6)</f>
        <v>0</v>
      </c>
      <c r="D20" s="128">
        <f>COUNTIFS('RD Fine Kinney (Konsolide)'!$D$8:$D$171,'Analiz (Konsolide)'!$B20,'RD Fine Kinney (Konsolide)'!$R$8:$R$171,'Analiz (Konsolide)'!D$6)</f>
        <v>2</v>
      </c>
      <c r="E20" s="128">
        <f>COUNTIFS('RD Fine Kinney (Konsolide)'!$D$8:$D$171,'Analiz (Konsolide)'!$B20,'RD Fine Kinney (Konsolide)'!$R$8:$R$171,'Analiz (Konsolide)'!E$6)</f>
        <v>3</v>
      </c>
      <c r="F20" s="128">
        <f>COUNTIFS('RD Fine Kinney (Konsolide)'!$D$8:$D$171,'Analiz (Konsolide)'!$B20,'RD Fine Kinney (Konsolide)'!$R$8:$R$171,'Analiz (Konsolide)'!F$6)</f>
        <v>0</v>
      </c>
      <c r="G20" s="128">
        <f>COUNTIFS('RD Fine Kinney (Konsolide)'!$D$8:$D$171,'Analiz (Konsolide)'!$B20,'RD Fine Kinney (Konsolide)'!$R$8:$R$171,'Analiz (Konsolide)'!G$6)</f>
        <v>0</v>
      </c>
      <c r="H20" s="179">
        <f t="shared" si="0"/>
        <v>5</v>
      </c>
      <c r="I20" s="128">
        <f>COUNTIFS('RD Fine Kinney (Konsolide)'!$D$8:$D$171,'Analiz (Konsolide)'!$B20,'RD Fine Kinney (Konsolide)'!$AC$8:$AC$171,'Analiz (Konsolide)'!I$6)</f>
        <v>2</v>
      </c>
      <c r="J20" s="128">
        <f>COUNTIFS('RD Fine Kinney (Konsolide)'!$D$8:$D$171,'Analiz (Konsolide)'!$B20,'RD Fine Kinney (Konsolide)'!$AC$8:$AC$171,'Analiz (Konsolide)'!J$6)</f>
        <v>3</v>
      </c>
      <c r="K20" s="128">
        <f>COUNTIFS('RD Fine Kinney (Konsolide)'!$D$8:$D$171,'Analiz (Konsolide)'!$B20,'RD Fine Kinney (Konsolide)'!$AC$8:$AC$171,'Analiz (Konsolide)'!K$6)</f>
        <v>0</v>
      </c>
      <c r="L20" s="128">
        <f>COUNTIFS('RD Fine Kinney (Konsolide)'!$D$8:$D$171,'Analiz (Konsolide)'!$B20,'RD Fine Kinney (Konsolide)'!$AC$8:$AC$171,'Analiz (Konsolide)'!L$6)</f>
        <v>0</v>
      </c>
      <c r="M20" s="128">
        <f>COUNTIFS('RD Fine Kinney (Konsolide)'!$D$8:$D$171,'Analiz (Konsolide)'!$B20,'RD Fine Kinney (Konsolide)'!$AC$8:$AC$171,'Analiz (Konsolide)'!M$6)</f>
        <v>0</v>
      </c>
      <c r="N20" s="140">
        <f t="shared" si="1"/>
        <v>5</v>
      </c>
    </row>
    <row r="21" spans="2:14" ht="18" customHeight="1" outlineLevel="1" thickTop="1" thickBot="1">
      <c r="B21" s="133" t="s">
        <v>305</v>
      </c>
      <c r="C21" s="128">
        <f>COUNTIFS('RD Fine Kinney (Konsolide)'!$D$8:$D$171,'Analiz (Konsolide)'!$B21,'RD Fine Kinney (Konsolide)'!$R$8:$R$171,'Analiz (Konsolide)'!C$6)</f>
        <v>0</v>
      </c>
      <c r="D21" s="128">
        <f>COUNTIFS('RD Fine Kinney (Konsolide)'!$D$8:$D$171,'Analiz (Konsolide)'!$B21,'RD Fine Kinney (Konsolide)'!$R$8:$R$171,'Analiz (Konsolide)'!D$6)</f>
        <v>0</v>
      </c>
      <c r="E21" s="128">
        <f>COUNTIFS('RD Fine Kinney (Konsolide)'!$D$8:$D$171,'Analiz (Konsolide)'!$B21,'RD Fine Kinney (Konsolide)'!$R$8:$R$171,'Analiz (Konsolide)'!E$6)</f>
        <v>0</v>
      </c>
      <c r="F21" s="128">
        <f>COUNTIFS('RD Fine Kinney (Konsolide)'!$D$8:$D$171,'Analiz (Konsolide)'!$B21,'RD Fine Kinney (Konsolide)'!$R$8:$R$171,'Analiz (Konsolide)'!F$6)</f>
        <v>0</v>
      </c>
      <c r="G21" s="128">
        <f>COUNTIFS('RD Fine Kinney (Konsolide)'!$D$8:$D$171,'Analiz (Konsolide)'!$B21,'RD Fine Kinney (Konsolide)'!$R$8:$R$171,'Analiz (Konsolide)'!G$6)</f>
        <v>0</v>
      </c>
      <c r="H21" s="179">
        <f t="shared" si="0"/>
        <v>0</v>
      </c>
      <c r="I21" s="128">
        <f>COUNTIFS('RD Fine Kinney (Konsolide)'!$D$8:$D$171,'Analiz (Konsolide)'!$B21,'RD Fine Kinney (Konsolide)'!$AC$8:$AC$171,'Analiz (Konsolide)'!I$6)</f>
        <v>0</v>
      </c>
      <c r="J21" s="128">
        <f>COUNTIFS('RD Fine Kinney (Konsolide)'!$D$8:$D$171,'Analiz (Konsolide)'!$B21,'RD Fine Kinney (Konsolide)'!$AC$8:$AC$171,'Analiz (Konsolide)'!J$6)</f>
        <v>0</v>
      </c>
      <c r="K21" s="128">
        <f>COUNTIFS('RD Fine Kinney (Konsolide)'!$D$8:$D$171,'Analiz (Konsolide)'!$B21,'RD Fine Kinney (Konsolide)'!$AC$8:$AC$171,'Analiz (Konsolide)'!K$6)</f>
        <v>0</v>
      </c>
      <c r="L21" s="128">
        <f>COUNTIFS('RD Fine Kinney (Konsolide)'!$D$8:$D$171,'Analiz (Konsolide)'!$B21,'RD Fine Kinney (Konsolide)'!$AC$8:$AC$171,'Analiz (Konsolide)'!L$6)</f>
        <v>0</v>
      </c>
      <c r="M21" s="128">
        <f>COUNTIFS('RD Fine Kinney (Konsolide)'!$D$8:$D$171,'Analiz (Konsolide)'!$B21,'RD Fine Kinney (Konsolide)'!$AC$8:$AC$171,'Analiz (Konsolide)'!M$6)</f>
        <v>0</v>
      </c>
      <c r="N21" s="140">
        <f t="shared" si="1"/>
        <v>0</v>
      </c>
    </row>
    <row r="22" spans="2:14" ht="18" customHeight="1" outlineLevel="1" thickTop="1" thickBot="1">
      <c r="B22" s="133" t="s">
        <v>53</v>
      </c>
      <c r="C22" s="128">
        <f>COUNTIFS('RD Fine Kinney (Konsolide)'!$D$8:$D$171,'Analiz (Konsolide)'!$B22,'RD Fine Kinney (Konsolide)'!$R$8:$R$171,'Analiz (Konsolide)'!C$6)</f>
        <v>5</v>
      </c>
      <c r="D22" s="128">
        <f>COUNTIFS('RD Fine Kinney (Konsolide)'!$D$8:$D$171,'Analiz (Konsolide)'!$B22,'RD Fine Kinney (Konsolide)'!$R$8:$R$171,'Analiz (Konsolide)'!D$6)</f>
        <v>10</v>
      </c>
      <c r="E22" s="128">
        <f>COUNTIFS('RD Fine Kinney (Konsolide)'!$D$8:$D$171,'Analiz (Konsolide)'!$B22,'RD Fine Kinney (Konsolide)'!$R$8:$R$171,'Analiz (Konsolide)'!E$6)</f>
        <v>1</v>
      </c>
      <c r="F22" s="128">
        <f>COUNTIFS('RD Fine Kinney (Konsolide)'!$D$8:$D$171,'Analiz (Konsolide)'!$B22,'RD Fine Kinney (Konsolide)'!$R$8:$R$171,'Analiz (Konsolide)'!F$6)</f>
        <v>2</v>
      </c>
      <c r="G22" s="128">
        <f>COUNTIFS('RD Fine Kinney (Konsolide)'!$D$8:$D$171,'Analiz (Konsolide)'!$B22,'RD Fine Kinney (Konsolide)'!$R$8:$R$171,'Analiz (Konsolide)'!G$6)</f>
        <v>0</v>
      </c>
      <c r="H22" s="179">
        <f t="shared" si="0"/>
        <v>18</v>
      </c>
      <c r="I22" s="128">
        <f>COUNTIFS('RD Fine Kinney (Konsolide)'!$D$8:$D$171,'Analiz (Konsolide)'!$B22,'RD Fine Kinney (Konsolide)'!$AC$8:$AC$171,'Analiz (Konsolide)'!I$6)</f>
        <v>14</v>
      </c>
      <c r="J22" s="128">
        <f>COUNTIFS('RD Fine Kinney (Konsolide)'!$D$8:$D$171,'Analiz (Konsolide)'!$B22,'RD Fine Kinney (Konsolide)'!$AC$8:$AC$171,'Analiz (Konsolide)'!J$6)</f>
        <v>4</v>
      </c>
      <c r="K22" s="128">
        <f>COUNTIFS('RD Fine Kinney (Konsolide)'!$D$8:$D$171,'Analiz (Konsolide)'!$B22,'RD Fine Kinney (Konsolide)'!$AC$8:$AC$171,'Analiz (Konsolide)'!K$6)</f>
        <v>0</v>
      </c>
      <c r="L22" s="128">
        <f>COUNTIFS('RD Fine Kinney (Konsolide)'!$D$8:$D$171,'Analiz (Konsolide)'!$B22,'RD Fine Kinney (Konsolide)'!$AC$8:$AC$171,'Analiz (Konsolide)'!L$6)</f>
        <v>0</v>
      </c>
      <c r="M22" s="128">
        <f>COUNTIFS('RD Fine Kinney (Konsolide)'!$D$8:$D$171,'Analiz (Konsolide)'!$B22,'RD Fine Kinney (Konsolide)'!$AC$8:$AC$171,'Analiz (Konsolide)'!M$6)</f>
        <v>0</v>
      </c>
      <c r="N22" s="140">
        <f t="shared" si="1"/>
        <v>18</v>
      </c>
    </row>
    <row r="23" spans="2:14" ht="18" customHeight="1" outlineLevel="1" thickTop="1" thickBot="1">
      <c r="B23" s="133" t="s">
        <v>55</v>
      </c>
      <c r="C23" s="128">
        <f>COUNTIFS('RD Fine Kinney (Konsolide)'!$D$8:$D$171,'Analiz (Konsolide)'!$B23,'RD Fine Kinney (Konsolide)'!$R$8:$R$171,'Analiz (Konsolide)'!C$6)</f>
        <v>14</v>
      </c>
      <c r="D23" s="128">
        <f>COUNTIFS('RD Fine Kinney (Konsolide)'!$D$8:$D$171,'Analiz (Konsolide)'!$B23,'RD Fine Kinney (Konsolide)'!$R$8:$R$171,'Analiz (Konsolide)'!D$6)</f>
        <v>7</v>
      </c>
      <c r="E23" s="128">
        <f>COUNTIFS('RD Fine Kinney (Konsolide)'!$D$8:$D$171,'Analiz (Konsolide)'!$B23,'RD Fine Kinney (Konsolide)'!$R$8:$R$171,'Analiz (Konsolide)'!E$6)</f>
        <v>0</v>
      </c>
      <c r="F23" s="128">
        <f>COUNTIFS('RD Fine Kinney (Konsolide)'!$D$8:$D$171,'Analiz (Konsolide)'!$B23,'RD Fine Kinney (Konsolide)'!$R$8:$R$171,'Analiz (Konsolide)'!F$6)</f>
        <v>0</v>
      </c>
      <c r="G23" s="128">
        <f>COUNTIFS('RD Fine Kinney (Konsolide)'!$D$8:$D$171,'Analiz (Konsolide)'!$B23,'RD Fine Kinney (Konsolide)'!$R$8:$R$171,'Analiz (Konsolide)'!G$6)</f>
        <v>0</v>
      </c>
      <c r="H23" s="179">
        <f t="shared" si="0"/>
        <v>21</v>
      </c>
      <c r="I23" s="128">
        <f>COUNTIFS('RD Fine Kinney (Konsolide)'!$D$8:$D$171,'Analiz (Konsolide)'!$B23,'RD Fine Kinney (Konsolide)'!$AC$8:$AC$171,'Analiz (Konsolide)'!I$6)</f>
        <v>21</v>
      </c>
      <c r="J23" s="128">
        <f>COUNTIFS('RD Fine Kinney (Konsolide)'!$D$8:$D$171,'Analiz (Konsolide)'!$B23,'RD Fine Kinney (Konsolide)'!$AC$8:$AC$171,'Analiz (Konsolide)'!J$6)</f>
        <v>0</v>
      </c>
      <c r="K23" s="128">
        <f>COUNTIFS('RD Fine Kinney (Konsolide)'!$D$8:$D$171,'Analiz (Konsolide)'!$B23,'RD Fine Kinney (Konsolide)'!$AC$8:$AC$171,'Analiz (Konsolide)'!K$6)</f>
        <v>0</v>
      </c>
      <c r="L23" s="128">
        <f>COUNTIFS('RD Fine Kinney (Konsolide)'!$D$8:$D$171,'Analiz (Konsolide)'!$B23,'RD Fine Kinney (Konsolide)'!$AC$8:$AC$171,'Analiz (Konsolide)'!L$6)</f>
        <v>0</v>
      </c>
      <c r="M23" s="128">
        <f>COUNTIFS('RD Fine Kinney (Konsolide)'!$D$8:$D$171,'Analiz (Konsolide)'!$B23,'RD Fine Kinney (Konsolide)'!$AC$8:$AC$171,'Analiz (Konsolide)'!M$6)</f>
        <v>0</v>
      </c>
      <c r="N23" s="140">
        <f t="shared" si="1"/>
        <v>21</v>
      </c>
    </row>
    <row r="24" spans="2:14" ht="18" customHeight="1" outlineLevel="1" thickTop="1" thickBot="1">
      <c r="B24" s="133" t="s">
        <v>57</v>
      </c>
      <c r="C24" s="128">
        <f>COUNTIFS('RD Fine Kinney (Konsolide)'!$D$8:$D$171,'Analiz (Konsolide)'!$B24,'RD Fine Kinney (Konsolide)'!$R$8:$R$171,'Analiz (Konsolide)'!C$6)</f>
        <v>0</v>
      </c>
      <c r="D24" s="128">
        <f>COUNTIFS('RD Fine Kinney (Konsolide)'!$D$8:$D$171,'Analiz (Konsolide)'!$B24,'RD Fine Kinney (Konsolide)'!$R$8:$R$171,'Analiz (Konsolide)'!D$6)</f>
        <v>0</v>
      </c>
      <c r="E24" s="128">
        <f>COUNTIFS('RD Fine Kinney (Konsolide)'!$D$8:$D$171,'Analiz (Konsolide)'!$B24,'RD Fine Kinney (Konsolide)'!$R$8:$R$171,'Analiz (Konsolide)'!E$6)</f>
        <v>0</v>
      </c>
      <c r="F24" s="128">
        <f>COUNTIFS('RD Fine Kinney (Konsolide)'!$D$8:$D$171,'Analiz (Konsolide)'!$B24,'RD Fine Kinney (Konsolide)'!$R$8:$R$171,'Analiz (Konsolide)'!F$6)</f>
        <v>0</v>
      </c>
      <c r="G24" s="128">
        <f>COUNTIFS('RD Fine Kinney (Konsolide)'!$D$8:$D$171,'Analiz (Konsolide)'!$B24,'RD Fine Kinney (Konsolide)'!$R$8:$R$171,'Analiz (Konsolide)'!G$6)</f>
        <v>0</v>
      </c>
      <c r="H24" s="179">
        <f t="shared" si="0"/>
        <v>0</v>
      </c>
      <c r="I24" s="128">
        <f>COUNTIFS('RD Fine Kinney (Konsolide)'!$D$8:$D$171,'Analiz (Konsolide)'!$B24,'RD Fine Kinney (Konsolide)'!$AC$8:$AC$171,'Analiz (Konsolide)'!I$6)</f>
        <v>0</v>
      </c>
      <c r="J24" s="128">
        <f>COUNTIFS('RD Fine Kinney (Konsolide)'!$D$8:$D$171,'Analiz (Konsolide)'!$B24,'RD Fine Kinney (Konsolide)'!$AC$8:$AC$171,'Analiz (Konsolide)'!J$6)</f>
        <v>0</v>
      </c>
      <c r="K24" s="128">
        <f>COUNTIFS('RD Fine Kinney (Konsolide)'!$D$8:$D$171,'Analiz (Konsolide)'!$B24,'RD Fine Kinney (Konsolide)'!$AC$8:$AC$171,'Analiz (Konsolide)'!K$6)</f>
        <v>0</v>
      </c>
      <c r="L24" s="128">
        <f>COUNTIFS('RD Fine Kinney (Konsolide)'!$D$8:$D$171,'Analiz (Konsolide)'!$B24,'RD Fine Kinney (Konsolide)'!$AC$8:$AC$171,'Analiz (Konsolide)'!L$6)</f>
        <v>0</v>
      </c>
      <c r="M24" s="128">
        <f>COUNTIFS('RD Fine Kinney (Konsolide)'!$D$8:$D$171,'Analiz (Konsolide)'!$B24,'RD Fine Kinney (Konsolide)'!$AC$8:$AC$171,'Analiz (Konsolide)'!M$6)</f>
        <v>0</v>
      </c>
      <c r="N24" s="140">
        <f t="shared" si="1"/>
        <v>0</v>
      </c>
    </row>
    <row r="25" spans="2:14" ht="18" customHeight="1" outlineLevel="1" thickTop="1" thickBot="1">
      <c r="B25" s="133" t="s">
        <v>56</v>
      </c>
      <c r="C25" s="128">
        <f>COUNTIFS('RD Fine Kinney (Konsolide)'!$D$8:$D$171,'Analiz (Konsolide)'!$B25,'RD Fine Kinney (Konsolide)'!$R$8:$R$171,'Analiz (Konsolide)'!C$6)</f>
        <v>4</v>
      </c>
      <c r="D25" s="128">
        <f>COUNTIFS('RD Fine Kinney (Konsolide)'!$D$8:$D$171,'Analiz (Konsolide)'!$B25,'RD Fine Kinney (Konsolide)'!$R$8:$R$171,'Analiz (Konsolide)'!D$6)</f>
        <v>13</v>
      </c>
      <c r="E25" s="128">
        <f>COUNTIFS('RD Fine Kinney (Konsolide)'!$D$8:$D$171,'Analiz (Konsolide)'!$B25,'RD Fine Kinney (Konsolide)'!$R$8:$R$171,'Analiz (Konsolide)'!E$6)</f>
        <v>4</v>
      </c>
      <c r="F25" s="128">
        <f>COUNTIFS('RD Fine Kinney (Konsolide)'!$D$8:$D$171,'Analiz (Konsolide)'!$B25,'RD Fine Kinney (Konsolide)'!$R$8:$R$171,'Analiz (Konsolide)'!F$6)</f>
        <v>0</v>
      </c>
      <c r="G25" s="128">
        <f>COUNTIFS('RD Fine Kinney (Konsolide)'!$D$8:$D$171,'Analiz (Konsolide)'!$B25,'RD Fine Kinney (Konsolide)'!$R$8:$R$171,'Analiz (Konsolide)'!G$6)</f>
        <v>0</v>
      </c>
      <c r="H25" s="179">
        <f t="shared" si="0"/>
        <v>21</v>
      </c>
      <c r="I25" s="128">
        <f>COUNTIFS('RD Fine Kinney (Konsolide)'!$D$8:$D$171,'Analiz (Konsolide)'!$B25,'RD Fine Kinney (Konsolide)'!$AC$8:$AC$171,'Analiz (Konsolide)'!I$6)</f>
        <v>16</v>
      </c>
      <c r="J25" s="128">
        <f>COUNTIFS('RD Fine Kinney (Konsolide)'!$D$8:$D$171,'Analiz (Konsolide)'!$B25,'RD Fine Kinney (Konsolide)'!$AC$8:$AC$171,'Analiz (Konsolide)'!J$6)</f>
        <v>5</v>
      </c>
      <c r="K25" s="128">
        <f>COUNTIFS('RD Fine Kinney (Konsolide)'!$D$8:$D$171,'Analiz (Konsolide)'!$B25,'RD Fine Kinney (Konsolide)'!$AC$8:$AC$171,'Analiz (Konsolide)'!K$6)</f>
        <v>0</v>
      </c>
      <c r="L25" s="128">
        <f>COUNTIFS('RD Fine Kinney (Konsolide)'!$D$8:$D$171,'Analiz (Konsolide)'!$B25,'RD Fine Kinney (Konsolide)'!$AC$8:$AC$171,'Analiz (Konsolide)'!L$6)</f>
        <v>0</v>
      </c>
      <c r="M25" s="128">
        <f>COUNTIFS('RD Fine Kinney (Konsolide)'!$D$8:$D$171,'Analiz (Konsolide)'!$B25,'RD Fine Kinney (Konsolide)'!$AC$8:$AC$171,'Analiz (Konsolide)'!M$6)</f>
        <v>0</v>
      </c>
      <c r="N25" s="140">
        <f t="shared" si="1"/>
        <v>21</v>
      </c>
    </row>
    <row r="26" spans="2:14" ht="18" customHeight="1" outlineLevel="1" thickTop="1" thickBot="1">
      <c r="B26" s="133" t="s">
        <v>54</v>
      </c>
      <c r="C26" s="128">
        <f>COUNTIFS('RD Fine Kinney (Konsolide)'!$D$8:$D$171,'Analiz (Konsolide)'!$B26,'RD Fine Kinney (Konsolide)'!$R$8:$R$171,'Analiz (Konsolide)'!C$6)</f>
        <v>9</v>
      </c>
      <c r="D26" s="128">
        <f>COUNTIFS('RD Fine Kinney (Konsolide)'!$D$8:$D$171,'Analiz (Konsolide)'!$B26,'RD Fine Kinney (Konsolide)'!$R$8:$R$171,'Analiz (Konsolide)'!D$6)</f>
        <v>1</v>
      </c>
      <c r="E26" s="128">
        <f>COUNTIFS('RD Fine Kinney (Konsolide)'!$D$8:$D$171,'Analiz (Konsolide)'!$B26,'RD Fine Kinney (Konsolide)'!$R$8:$R$171,'Analiz (Konsolide)'!E$6)</f>
        <v>1</v>
      </c>
      <c r="F26" s="128">
        <f>COUNTIFS('RD Fine Kinney (Konsolide)'!$D$8:$D$171,'Analiz (Konsolide)'!$B26,'RD Fine Kinney (Konsolide)'!$R$8:$R$171,'Analiz (Konsolide)'!F$6)</f>
        <v>0</v>
      </c>
      <c r="G26" s="128">
        <f>COUNTIFS('RD Fine Kinney (Konsolide)'!$D$8:$D$171,'Analiz (Konsolide)'!$B26,'RD Fine Kinney (Konsolide)'!$R$8:$R$171,'Analiz (Konsolide)'!G$6)</f>
        <v>0</v>
      </c>
      <c r="H26" s="179">
        <f t="shared" si="0"/>
        <v>11</v>
      </c>
      <c r="I26" s="148">
        <f>COUNTIFS('RD Fine Kinney (Konsolide)'!$D$8:$D$171,'Analiz (Konsolide)'!$B26,'RD Fine Kinney (Konsolide)'!$AC$8:$AC$171,'Analiz (Konsolide)'!I$6)</f>
        <v>11</v>
      </c>
      <c r="J26" s="148">
        <f>COUNTIFS('RD Fine Kinney (Konsolide)'!$D$8:$D$171,'Analiz (Konsolide)'!$B26,'RD Fine Kinney (Konsolide)'!$AC$8:$AC$171,'Analiz (Konsolide)'!J$6)</f>
        <v>0</v>
      </c>
      <c r="K26" s="128">
        <f>COUNTIFS('RD Fine Kinney (Konsolide)'!$D$8:$D$171,'Analiz (Konsolide)'!$B26,'RD Fine Kinney (Konsolide)'!$AC$8:$AC$171,'Analiz (Konsolide)'!K$6)</f>
        <v>0</v>
      </c>
      <c r="L26" s="148">
        <f>COUNTIFS('RD Fine Kinney (Konsolide)'!$D$8:$D$171,'Analiz (Konsolide)'!$B26,'RD Fine Kinney (Konsolide)'!$AC$8:$AC$171,'Analiz (Konsolide)'!L$6)</f>
        <v>0</v>
      </c>
      <c r="M26" s="148">
        <f>COUNTIFS('RD Fine Kinney (Konsolide)'!$D$8:$D$171,'Analiz (Konsolide)'!$B26,'RD Fine Kinney (Konsolide)'!$AC$8:$AC$171,'Analiz (Konsolide)'!M$6)</f>
        <v>0</v>
      </c>
      <c r="N26" s="140">
        <f t="shared" si="1"/>
        <v>11</v>
      </c>
    </row>
    <row r="27" spans="2:14" ht="18" customHeight="1" thickTop="1" thickBot="1">
      <c r="B27" s="134" t="s">
        <v>122</v>
      </c>
      <c r="C27" s="147">
        <f>COUNTIFS('RD Fine Kinney (Konsolide)'!$C$8:$C$171,'Analiz (Konsolide)'!$B27,'RD Fine Kinney (Konsolide)'!$R$8:$R$171,'Analiz (Konsolide)'!C$6)</f>
        <v>3</v>
      </c>
      <c r="D27" s="147">
        <f>COUNTIFS('RD Fine Kinney (Konsolide)'!$C$8:$C$171,'Analiz (Konsolide)'!$B27,'RD Fine Kinney (Konsolide)'!$R$8:$R$171,'Analiz (Konsolide)'!D$6)</f>
        <v>1</v>
      </c>
      <c r="E27" s="147">
        <f>COUNTIFS('RD Fine Kinney (Konsolide)'!$C$8:$C$171,'Analiz (Konsolide)'!$B27,'RD Fine Kinney (Konsolide)'!$R$8:$R$171,'Analiz (Konsolide)'!E$6)</f>
        <v>0</v>
      </c>
      <c r="F27" s="147">
        <f>COUNTIFS('RD Fine Kinney (Konsolide)'!$C$8:$C$171,'Analiz (Konsolide)'!$B27,'RD Fine Kinney (Konsolide)'!$R$8:$R$171,'Analiz (Konsolide)'!F$6)</f>
        <v>0</v>
      </c>
      <c r="G27" s="147">
        <f>COUNTIFS('RD Fine Kinney (Konsolide)'!$C$8:$C$171,'Analiz (Konsolide)'!$B27,'RD Fine Kinney (Konsolide)'!$R$8:$R$171,'Analiz (Konsolide)'!G$6)</f>
        <v>0</v>
      </c>
      <c r="H27" s="176">
        <f t="shared" si="0"/>
        <v>4</v>
      </c>
      <c r="I27" s="170">
        <f>COUNTIFS('RD Fine Kinney (Konsolide)'!$C$8:$C$171,'Analiz (Konsolide)'!$B27,'RD Fine Kinney (Konsolide)'!$AC$8:$AC$171,'Analiz (Konsolide)'!I$6)</f>
        <v>4</v>
      </c>
      <c r="J27" s="130">
        <f>COUNTIFS('RD Fine Kinney (Konsolide)'!$C$8:$C$171,'Analiz (Konsolide)'!$B27,'RD Fine Kinney (Konsolide)'!$AC$8:$AC$171,'Analiz (Konsolide)'!J$6)</f>
        <v>0</v>
      </c>
      <c r="K27" s="147">
        <f>COUNTIFS('RD Fine Kinney (Konsolide)'!$C$8:$C$171,'Analiz (Konsolide)'!$B27,'RD Fine Kinney (Konsolide)'!$AC$8:$AC$171,'Analiz (Konsolide)'!K$6)</f>
        <v>0</v>
      </c>
      <c r="L27" s="130">
        <f>COUNTIFS('RD Fine Kinney (Konsolide)'!$C$8:$C$171,'Analiz (Konsolide)'!$B27,'RD Fine Kinney (Konsolide)'!$AC$8:$AC$171,'Analiz (Konsolide)'!L$6)</f>
        <v>0</v>
      </c>
      <c r="M27" s="130">
        <f>COUNTIFS('RD Fine Kinney (Konsolide)'!$C$8:$C$171,'Analiz (Konsolide)'!$B27,'RD Fine Kinney (Konsolide)'!$AC$8:$AC$171,'Analiz (Konsolide)'!M$6)</f>
        <v>0</v>
      </c>
      <c r="N27" s="147">
        <f t="shared" si="1"/>
        <v>4</v>
      </c>
    </row>
    <row r="28" spans="2:14" ht="18" hidden="1" customHeight="1" outlineLevel="1" thickTop="1" thickBot="1">
      <c r="B28" s="135" t="s">
        <v>267</v>
      </c>
      <c r="C28" s="128">
        <f>COUNTIFS('RD Fine Kinney (Konsolide)'!$D$8:$D$171,'Analiz (Konsolide)'!$B28,'RD Fine Kinney (Konsolide)'!$R$8:$R$171,'Analiz (Konsolide)'!C$6)</f>
        <v>0</v>
      </c>
      <c r="D28" s="128">
        <f>COUNTIFS('RD Fine Kinney (Konsolide)'!$D$8:$D$171,'Analiz (Konsolide)'!$B28,'RD Fine Kinney (Konsolide)'!$R$8:$R$171,'Analiz (Konsolide)'!D$6)</f>
        <v>0</v>
      </c>
      <c r="E28" s="128">
        <f>COUNTIFS('RD Fine Kinney (Konsolide)'!$D$8:$D$171,'Analiz (Konsolide)'!$B28,'RD Fine Kinney (Konsolide)'!$R$8:$R$171,'Analiz (Konsolide)'!E$6)</f>
        <v>0</v>
      </c>
      <c r="F28" s="128">
        <f>COUNTIFS('RD Fine Kinney (Konsolide)'!$D$8:$D$171,'Analiz (Konsolide)'!$B28,'RD Fine Kinney (Konsolide)'!$R$8:$R$171,'Analiz (Konsolide)'!F$6)</f>
        <v>0</v>
      </c>
      <c r="G28" s="128">
        <f>COUNTIFS('RD Fine Kinney (Konsolide)'!$D$8:$D$171,'Analiz (Konsolide)'!$B28,'RD Fine Kinney (Konsolide)'!$R$8:$R$171,'Analiz (Konsolide)'!G$6)</f>
        <v>0</v>
      </c>
      <c r="H28" s="179">
        <f t="shared" si="0"/>
        <v>0</v>
      </c>
      <c r="I28" s="128">
        <f>COUNTIFS('RD Fine Kinney (Konsolide)'!$D$8:$D$171,'Analiz (Konsolide)'!$B28,'RD Fine Kinney (Konsolide)'!$AC$8:$AC$171,'Analiz (Konsolide)'!I$6)</f>
        <v>0</v>
      </c>
      <c r="J28" s="128">
        <f>COUNTIFS('RD Fine Kinney (Konsolide)'!$D$8:$D$171,'Analiz (Konsolide)'!$B28,'RD Fine Kinney (Konsolide)'!$AC$8:$AC$171,'Analiz (Konsolide)'!J$6)</f>
        <v>0</v>
      </c>
      <c r="K28" s="128">
        <f>COUNTIFS('RD Fine Kinney (Konsolide)'!$D$8:$D$171,'Analiz (Konsolide)'!$B28,'RD Fine Kinney (Konsolide)'!$AC$8:$AC$171,'Analiz (Konsolide)'!K$6)</f>
        <v>0</v>
      </c>
      <c r="L28" s="128">
        <f>COUNTIFS('RD Fine Kinney (Konsolide)'!$D$8:$D$171,'Analiz (Konsolide)'!$B28,'RD Fine Kinney (Konsolide)'!$AC$8:$AC$171,'Analiz (Konsolide)'!L$6)</f>
        <v>0</v>
      </c>
      <c r="M28" s="128">
        <f>COUNTIFS('RD Fine Kinney (Konsolide)'!$D$8:$D$171,'Analiz (Konsolide)'!$B28,'RD Fine Kinney (Konsolide)'!$AC$8:$AC$171,'Analiz (Konsolide)'!M$6)</f>
        <v>0</v>
      </c>
      <c r="N28" s="140">
        <f t="shared" si="1"/>
        <v>0</v>
      </c>
    </row>
    <row r="29" spans="2:14" ht="18" hidden="1" customHeight="1" outlineLevel="1" thickTop="1" thickBot="1">
      <c r="B29" s="135" t="s">
        <v>268</v>
      </c>
      <c r="C29" s="128">
        <f>COUNTIFS('RD Fine Kinney (Konsolide)'!$D$8:$D$171,'Analiz (Konsolide)'!$B29,'RD Fine Kinney (Konsolide)'!$R$8:$R$171,'Analiz (Konsolide)'!C$6)</f>
        <v>0</v>
      </c>
      <c r="D29" s="128">
        <f>COUNTIFS('RD Fine Kinney (Konsolide)'!$D$8:$D$171,'Analiz (Konsolide)'!$B29,'RD Fine Kinney (Konsolide)'!$R$8:$R$171,'Analiz (Konsolide)'!D$6)</f>
        <v>0</v>
      </c>
      <c r="E29" s="128">
        <f>COUNTIFS('RD Fine Kinney (Konsolide)'!$D$8:$D$171,'Analiz (Konsolide)'!$B29,'RD Fine Kinney (Konsolide)'!$R$8:$R$171,'Analiz (Konsolide)'!E$6)</f>
        <v>0</v>
      </c>
      <c r="F29" s="128">
        <f>COUNTIFS('RD Fine Kinney (Konsolide)'!$D$8:$D$171,'Analiz (Konsolide)'!$B29,'RD Fine Kinney (Konsolide)'!$R$8:$R$171,'Analiz (Konsolide)'!F$6)</f>
        <v>0</v>
      </c>
      <c r="G29" s="128">
        <f>COUNTIFS('RD Fine Kinney (Konsolide)'!$D$8:$D$171,'Analiz (Konsolide)'!$B29,'RD Fine Kinney (Konsolide)'!$R$8:$R$171,'Analiz (Konsolide)'!G$6)</f>
        <v>0</v>
      </c>
      <c r="H29" s="179">
        <f t="shared" si="0"/>
        <v>0</v>
      </c>
      <c r="I29" s="128">
        <f>COUNTIFS('RD Fine Kinney (Konsolide)'!$D$8:$D$171,'Analiz (Konsolide)'!$B29,'RD Fine Kinney (Konsolide)'!$AC$8:$AC$171,'Analiz (Konsolide)'!I$6)</f>
        <v>0</v>
      </c>
      <c r="J29" s="128">
        <f>COUNTIFS('RD Fine Kinney (Konsolide)'!$D$8:$D$171,'Analiz (Konsolide)'!$B29,'RD Fine Kinney (Konsolide)'!$AC$8:$AC$171,'Analiz (Konsolide)'!J$6)</f>
        <v>0</v>
      </c>
      <c r="K29" s="128">
        <f>COUNTIFS('RD Fine Kinney (Konsolide)'!$D$8:$D$171,'Analiz (Konsolide)'!$B29,'RD Fine Kinney (Konsolide)'!$AC$8:$AC$171,'Analiz (Konsolide)'!K$6)</f>
        <v>0</v>
      </c>
      <c r="L29" s="128">
        <f>COUNTIFS('RD Fine Kinney (Konsolide)'!$D$8:$D$171,'Analiz (Konsolide)'!$B29,'RD Fine Kinney (Konsolide)'!$AC$8:$AC$171,'Analiz (Konsolide)'!L$6)</f>
        <v>0</v>
      </c>
      <c r="M29" s="128">
        <f>COUNTIFS('RD Fine Kinney (Konsolide)'!$D$8:$D$171,'Analiz (Konsolide)'!$B29,'RD Fine Kinney (Konsolide)'!$AC$8:$AC$171,'Analiz (Konsolide)'!M$6)</f>
        <v>0</v>
      </c>
      <c r="N29" s="140">
        <f t="shared" si="1"/>
        <v>0</v>
      </c>
    </row>
    <row r="30" spans="2:14" ht="18" hidden="1" customHeight="1" outlineLevel="1" thickTop="1" thickBot="1">
      <c r="B30" s="135" t="s">
        <v>269</v>
      </c>
      <c r="C30" s="128">
        <f>COUNTIFS('RD Fine Kinney (Konsolide)'!$D$8:$D$171,'Analiz (Konsolide)'!$B30,'RD Fine Kinney (Konsolide)'!$R$8:$R$171,'Analiz (Konsolide)'!C$6)</f>
        <v>0</v>
      </c>
      <c r="D30" s="128">
        <f>COUNTIFS('RD Fine Kinney (Konsolide)'!$D$8:$D$171,'Analiz (Konsolide)'!$B30,'RD Fine Kinney (Konsolide)'!$R$8:$R$171,'Analiz (Konsolide)'!D$6)</f>
        <v>0</v>
      </c>
      <c r="E30" s="128">
        <f>COUNTIFS('RD Fine Kinney (Konsolide)'!$D$8:$D$171,'Analiz (Konsolide)'!$B30,'RD Fine Kinney (Konsolide)'!$R$8:$R$171,'Analiz (Konsolide)'!E$6)</f>
        <v>0</v>
      </c>
      <c r="F30" s="128">
        <f>COUNTIFS('RD Fine Kinney (Konsolide)'!$D$8:$D$171,'Analiz (Konsolide)'!$B30,'RD Fine Kinney (Konsolide)'!$R$8:$R$171,'Analiz (Konsolide)'!F$6)</f>
        <v>0</v>
      </c>
      <c r="G30" s="128">
        <f>COUNTIFS('RD Fine Kinney (Konsolide)'!$D$8:$D$171,'Analiz (Konsolide)'!$B30,'RD Fine Kinney (Konsolide)'!$R$8:$R$171,'Analiz (Konsolide)'!G$6)</f>
        <v>0</v>
      </c>
      <c r="H30" s="179">
        <f t="shared" si="0"/>
        <v>0</v>
      </c>
      <c r="I30" s="128">
        <f>COUNTIFS('RD Fine Kinney (Konsolide)'!$D$8:$D$171,'Analiz (Konsolide)'!$B30,'RD Fine Kinney (Konsolide)'!$AC$8:$AC$171,'Analiz (Konsolide)'!I$6)</f>
        <v>0</v>
      </c>
      <c r="J30" s="128">
        <f>COUNTIFS('RD Fine Kinney (Konsolide)'!$D$8:$D$171,'Analiz (Konsolide)'!$B30,'RD Fine Kinney (Konsolide)'!$AC$8:$AC$171,'Analiz (Konsolide)'!J$6)</f>
        <v>0</v>
      </c>
      <c r="K30" s="128">
        <f>COUNTIFS('RD Fine Kinney (Konsolide)'!$D$8:$D$171,'Analiz (Konsolide)'!$B30,'RD Fine Kinney (Konsolide)'!$AC$8:$AC$171,'Analiz (Konsolide)'!K$6)</f>
        <v>0</v>
      </c>
      <c r="L30" s="128">
        <f>COUNTIFS('RD Fine Kinney (Konsolide)'!$D$8:$D$171,'Analiz (Konsolide)'!$B30,'RD Fine Kinney (Konsolide)'!$AC$8:$AC$171,'Analiz (Konsolide)'!L$6)</f>
        <v>0</v>
      </c>
      <c r="M30" s="128">
        <f>COUNTIFS('RD Fine Kinney (Konsolide)'!$D$8:$D$171,'Analiz (Konsolide)'!$B30,'RD Fine Kinney (Konsolide)'!$AC$8:$AC$171,'Analiz (Konsolide)'!M$6)</f>
        <v>0</v>
      </c>
      <c r="N30" s="140">
        <f t="shared" si="1"/>
        <v>0</v>
      </c>
    </row>
    <row r="31" spans="2:14" ht="18" hidden="1" customHeight="1" outlineLevel="1" thickTop="1" thickBot="1">
      <c r="B31" s="135" t="s">
        <v>270</v>
      </c>
      <c r="C31" s="128">
        <f>COUNTIFS('RD Fine Kinney (Konsolide)'!$D$8:$D$171,'Analiz (Konsolide)'!$B31,'RD Fine Kinney (Konsolide)'!$R$8:$R$171,'Analiz (Konsolide)'!C$6)</f>
        <v>3</v>
      </c>
      <c r="D31" s="128">
        <f>COUNTIFS('RD Fine Kinney (Konsolide)'!$D$8:$D$171,'Analiz (Konsolide)'!$B31,'RD Fine Kinney (Konsolide)'!$R$8:$R$171,'Analiz (Konsolide)'!D$6)</f>
        <v>1</v>
      </c>
      <c r="E31" s="128">
        <f>COUNTIFS('RD Fine Kinney (Konsolide)'!$D$8:$D$171,'Analiz (Konsolide)'!$B31,'RD Fine Kinney (Konsolide)'!$R$8:$R$171,'Analiz (Konsolide)'!E$6)</f>
        <v>0</v>
      </c>
      <c r="F31" s="128">
        <f>COUNTIFS('RD Fine Kinney (Konsolide)'!$D$8:$D$171,'Analiz (Konsolide)'!$B31,'RD Fine Kinney (Konsolide)'!$R$8:$R$171,'Analiz (Konsolide)'!F$6)</f>
        <v>0</v>
      </c>
      <c r="G31" s="128">
        <f>COUNTIFS('RD Fine Kinney (Konsolide)'!$D$8:$D$171,'Analiz (Konsolide)'!$B31,'RD Fine Kinney (Konsolide)'!$R$8:$R$171,'Analiz (Konsolide)'!G$6)</f>
        <v>0</v>
      </c>
      <c r="H31" s="179">
        <f t="shared" si="0"/>
        <v>4</v>
      </c>
      <c r="I31" s="128">
        <f>COUNTIFS('RD Fine Kinney (Konsolide)'!$D$8:$D$171,'Analiz (Konsolide)'!$B31,'RD Fine Kinney (Konsolide)'!$AC$8:$AC$171,'Analiz (Konsolide)'!I$6)</f>
        <v>4</v>
      </c>
      <c r="J31" s="128">
        <f>COUNTIFS('RD Fine Kinney (Konsolide)'!$D$8:$D$171,'Analiz (Konsolide)'!$B31,'RD Fine Kinney (Konsolide)'!$AC$8:$AC$171,'Analiz (Konsolide)'!J$6)</f>
        <v>0</v>
      </c>
      <c r="K31" s="128">
        <f>COUNTIFS('RD Fine Kinney (Konsolide)'!$D$8:$D$171,'Analiz (Konsolide)'!$B31,'RD Fine Kinney (Konsolide)'!$AC$8:$AC$171,'Analiz (Konsolide)'!K$6)</f>
        <v>0</v>
      </c>
      <c r="L31" s="128">
        <f>COUNTIFS('RD Fine Kinney (Konsolide)'!$D$8:$D$171,'Analiz (Konsolide)'!$B31,'RD Fine Kinney (Konsolide)'!$AC$8:$AC$171,'Analiz (Konsolide)'!L$6)</f>
        <v>0</v>
      </c>
      <c r="M31" s="128">
        <f>COUNTIFS('RD Fine Kinney (Konsolide)'!$D$8:$D$171,'Analiz (Konsolide)'!$B31,'RD Fine Kinney (Konsolide)'!$AC$8:$AC$171,'Analiz (Konsolide)'!M$6)</f>
        <v>0</v>
      </c>
      <c r="N31" s="140">
        <f t="shared" si="1"/>
        <v>4</v>
      </c>
    </row>
    <row r="32" spans="2:14" ht="18" hidden="1" customHeight="1" outlineLevel="1" thickTop="1" thickBot="1">
      <c r="B32" s="135" t="s">
        <v>271</v>
      </c>
      <c r="C32" s="128">
        <f>COUNTIFS('RD Fine Kinney (Konsolide)'!$D$8:$D$171,'Analiz (Konsolide)'!$B32,'RD Fine Kinney (Konsolide)'!$R$8:$R$171,'Analiz (Konsolide)'!C$6)</f>
        <v>0</v>
      </c>
      <c r="D32" s="128">
        <f>COUNTIFS('RD Fine Kinney (Konsolide)'!$D$8:$D$171,'Analiz (Konsolide)'!$B32,'RD Fine Kinney (Konsolide)'!$R$8:$R$171,'Analiz (Konsolide)'!D$6)</f>
        <v>0</v>
      </c>
      <c r="E32" s="128">
        <f>COUNTIFS('RD Fine Kinney (Konsolide)'!$D$8:$D$171,'Analiz (Konsolide)'!$B32,'RD Fine Kinney (Konsolide)'!$R$8:$R$171,'Analiz (Konsolide)'!E$6)</f>
        <v>0</v>
      </c>
      <c r="F32" s="128">
        <f>COUNTIFS('RD Fine Kinney (Konsolide)'!$D$8:$D$171,'Analiz (Konsolide)'!$B32,'RD Fine Kinney (Konsolide)'!$R$8:$R$171,'Analiz (Konsolide)'!F$6)</f>
        <v>0</v>
      </c>
      <c r="G32" s="128">
        <f>COUNTIFS('RD Fine Kinney (Konsolide)'!$D$8:$D$171,'Analiz (Konsolide)'!$B32,'RD Fine Kinney (Konsolide)'!$R$8:$R$171,'Analiz (Konsolide)'!G$6)</f>
        <v>0</v>
      </c>
      <c r="H32" s="179">
        <f t="shared" si="0"/>
        <v>0</v>
      </c>
      <c r="I32" s="128">
        <f>COUNTIFS('RD Fine Kinney (Konsolide)'!$D$8:$D$171,'Analiz (Konsolide)'!$B32,'RD Fine Kinney (Konsolide)'!$AC$8:$AC$171,'Analiz (Konsolide)'!I$6)</f>
        <v>0</v>
      </c>
      <c r="J32" s="128">
        <f>COUNTIFS('RD Fine Kinney (Konsolide)'!$D$8:$D$171,'Analiz (Konsolide)'!$B32,'RD Fine Kinney (Konsolide)'!$AC$8:$AC$171,'Analiz (Konsolide)'!J$6)</f>
        <v>0</v>
      </c>
      <c r="K32" s="128">
        <f>COUNTIFS('RD Fine Kinney (Konsolide)'!$D$8:$D$171,'Analiz (Konsolide)'!$B32,'RD Fine Kinney (Konsolide)'!$AC$8:$AC$171,'Analiz (Konsolide)'!K$6)</f>
        <v>0</v>
      </c>
      <c r="L32" s="128">
        <f>COUNTIFS('RD Fine Kinney (Konsolide)'!$D$8:$D$171,'Analiz (Konsolide)'!$B32,'RD Fine Kinney (Konsolide)'!$AC$8:$AC$171,'Analiz (Konsolide)'!L$6)</f>
        <v>0</v>
      </c>
      <c r="M32" s="128">
        <f>COUNTIFS('RD Fine Kinney (Konsolide)'!$D$8:$D$171,'Analiz (Konsolide)'!$B32,'RD Fine Kinney (Konsolide)'!$AC$8:$AC$171,'Analiz (Konsolide)'!M$6)</f>
        <v>0</v>
      </c>
      <c r="N32" s="140">
        <f t="shared" si="1"/>
        <v>0</v>
      </c>
    </row>
    <row r="33" spans="2:14" ht="18" hidden="1" customHeight="1" outlineLevel="1" thickTop="1" thickBot="1">
      <c r="B33" s="135" t="s">
        <v>272</v>
      </c>
      <c r="C33" s="149">
        <f>COUNTIFS('RD Fine Kinney (Konsolide)'!$D$8:$D$171,'Analiz (Konsolide)'!$B33,'RD Fine Kinney (Konsolide)'!$R$8:$R$171,'Analiz (Konsolide)'!C$6)</f>
        <v>0</v>
      </c>
      <c r="D33" s="150">
        <f>COUNTIFS('RD Fine Kinney (Konsolide)'!$D$8:$D$171,'Analiz (Konsolide)'!$B33,'RD Fine Kinney (Konsolide)'!$R$8:$R$171,'Analiz (Konsolide)'!D$6)</f>
        <v>0</v>
      </c>
      <c r="E33" s="150">
        <f>COUNTIFS('RD Fine Kinney (Konsolide)'!$D$8:$D$171,'Analiz (Konsolide)'!$B33,'RD Fine Kinney (Konsolide)'!$R$8:$R$171,'Analiz (Konsolide)'!E$6)</f>
        <v>0</v>
      </c>
      <c r="F33" s="150">
        <f>COUNTIFS('RD Fine Kinney (Konsolide)'!$D$8:$D$171,'Analiz (Konsolide)'!$B33,'RD Fine Kinney (Konsolide)'!$R$8:$R$171,'Analiz (Konsolide)'!F$6)</f>
        <v>0</v>
      </c>
      <c r="G33" s="128">
        <f>COUNTIFS('RD Fine Kinney (Konsolide)'!$D$8:$D$171,'Analiz (Konsolide)'!$B33,'RD Fine Kinney (Konsolide)'!$R$8:$R$171,'Analiz (Konsolide)'!G$6)</f>
        <v>0</v>
      </c>
      <c r="H33" s="179">
        <f t="shared" si="0"/>
        <v>0</v>
      </c>
      <c r="I33" s="150">
        <f>COUNTIFS('RD Fine Kinney (Konsolide)'!$D$8:$D$171,'Analiz (Konsolide)'!$B33,'RD Fine Kinney (Konsolide)'!$AC$8:$AC$171,'Analiz (Konsolide)'!I$6)</f>
        <v>0</v>
      </c>
      <c r="J33" s="150">
        <f>COUNTIFS('RD Fine Kinney (Konsolide)'!$D$8:$D$171,'Analiz (Konsolide)'!$B33,'RD Fine Kinney (Konsolide)'!$AC$8:$AC$171,'Analiz (Konsolide)'!J$6)</f>
        <v>0</v>
      </c>
      <c r="K33" s="150">
        <f>COUNTIFS('RD Fine Kinney (Konsolide)'!$D$8:$D$171,'Analiz (Konsolide)'!$B33,'RD Fine Kinney (Konsolide)'!$AC$8:$AC$171,'Analiz (Konsolide)'!K$6)</f>
        <v>0</v>
      </c>
      <c r="L33" s="150">
        <f>COUNTIFS('RD Fine Kinney (Konsolide)'!$D$8:$D$171,'Analiz (Konsolide)'!$B33,'RD Fine Kinney (Konsolide)'!$AC$8:$AC$171,'Analiz (Konsolide)'!L$6)</f>
        <v>0</v>
      </c>
      <c r="M33" s="150">
        <f>COUNTIFS('RD Fine Kinney (Konsolide)'!$D$8:$D$171,'Analiz (Konsolide)'!$B33,'RD Fine Kinney (Konsolide)'!$AC$8:$AC$171,'Analiz (Konsolide)'!M$6)</f>
        <v>0</v>
      </c>
      <c r="N33" s="140">
        <f t="shared" si="1"/>
        <v>0</v>
      </c>
    </row>
    <row r="34" spans="2:14" ht="18" customHeight="1" collapsed="1" thickTop="1" thickBot="1">
      <c r="B34" s="136" t="s">
        <v>123</v>
      </c>
      <c r="C34" s="151">
        <f>COUNTIFS('RD Fine Kinney (Konsolide)'!$C$8:$C$171,'Analiz (Konsolide)'!$B34,'RD Fine Kinney (Konsolide)'!$R$8:$R$171,'Analiz (Konsolide)'!C$6)</f>
        <v>0</v>
      </c>
      <c r="D34" s="151">
        <f>COUNTIFS('RD Fine Kinney (Konsolide)'!$C$8:$C$171,'Analiz (Konsolide)'!$B34,'RD Fine Kinney (Konsolide)'!$R$8:$R$171,'Analiz (Konsolide)'!D$6)</f>
        <v>0</v>
      </c>
      <c r="E34" s="151">
        <f>COUNTIFS('RD Fine Kinney (Konsolide)'!$C$8:$C$171,'Analiz (Konsolide)'!$B34,'RD Fine Kinney (Konsolide)'!$R$8:$R$171,'Analiz (Konsolide)'!E$6)</f>
        <v>0</v>
      </c>
      <c r="F34" s="151">
        <f>COUNTIFS('RD Fine Kinney (Konsolide)'!$C$8:$C$171,'Analiz (Konsolide)'!$B34,'RD Fine Kinney (Konsolide)'!$R$8:$R$171,'Analiz (Konsolide)'!F$6)</f>
        <v>0</v>
      </c>
      <c r="G34" s="151">
        <f>COUNTIFS('RD Fine Kinney (Konsolide)'!$C$8:$C$171,'Analiz (Konsolide)'!$B34,'RD Fine Kinney (Konsolide)'!$R$8:$R$171,'Analiz (Konsolide)'!G$6)</f>
        <v>0</v>
      </c>
      <c r="H34" s="177">
        <f t="shared" si="0"/>
        <v>0</v>
      </c>
      <c r="I34" s="171">
        <f>COUNTIFS('RD Fine Kinney (Konsolide)'!$C$8:$C$171,'Analiz (Konsolide)'!$B34,'RD Fine Kinney (Konsolide)'!$AC$8:$AC$171,'Analiz (Konsolide)'!I$6)</f>
        <v>0</v>
      </c>
      <c r="J34" s="151">
        <f>COUNTIFS('RD Fine Kinney (Konsolide)'!$C$8:$C$171,'Analiz (Konsolide)'!$B34,'RD Fine Kinney (Konsolide)'!$AC$8:$AC$171,'Analiz (Konsolide)'!J$6)</f>
        <v>0</v>
      </c>
      <c r="K34" s="151">
        <f>COUNTIFS('RD Fine Kinney (Konsolide)'!$C$8:$C$171,'Analiz (Konsolide)'!$B34,'RD Fine Kinney (Konsolide)'!$AC$8:$AC$171,'Analiz (Konsolide)'!K$6)</f>
        <v>0</v>
      </c>
      <c r="L34" s="151">
        <f>COUNTIFS('RD Fine Kinney (Konsolide)'!$C$8:$C$171,'Analiz (Konsolide)'!$B34,'RD Fine Kinney (Konsolide)'!$AC$8:$AC$171,'Analiz (Konsolide)'!L$6)</f>
        <v>0</v>
      </c>
      <c r="M34" s="151">
        <f>COUNTIFS('RD Fine Kinney (Konsolide)'!$C$8:$C$171,'Analiz (Konsolide)'!$B34,'RD Fine Kinney (Konsolide)'!$AC$8:$AC$171,'Analiz (Konsolide)'!M$6)</f>
        <v>0</v>
      </c>
      <c r="N34" s="151">
        <f t="shared" si="1"/>
        <v>0</v>
      </c>
    </row>
    <row r="35" spans="2:14" ht="18" hidden="1" customHeight="1" outlineLevel="1" thickTop="1" thickBot="1">
      <c r="B35" s="137" t="s">
        <v>273</v>
      </c>
      <c r="C35" s="128">
        <f>COUNTIFS('RD Fine Kinney (Konsolide)'!$D$8:$D$171,'Analiz (Konsolide)'!$B35,'RD Fine Kinney (Konsolide)'!$R$8:$R$171,'Analiz (Konsolide)'!C$6)</f>
        <v>0</v>
      </c>
      <c r="D35" s="128">
        <f>COUNTIFS('RD Fine Kinney (Konsolide)'!$D$8:$D$171,'Analiz (Konsolide)'!$B35,'RD Fine Kinney (Konsolide)'!$R$8:$R$171,'Analiz (Konsolide)'!D$6)</f>
        <v>0</v>
      </c>
      <c r="E35" s="128">
        <f>COUNTIFS('RD Fine Kinney (Konsolide)'!$D$8:$D$171,'Analiz (Konsolide)'!$B35,'RD Fine Kinney (Konsolide)'!$R$8:$R$171,'Analiz (Konsolide)'!E$6)</f>
        <v>0</v>
      </c>
      <c r="F35" s="128">
        <f>COUNTIFS('RD Fine Kinney (Konsolide)'!$D$8:$D$171,'Analiz (Konsolide)'!$B35,'RD Fine Kinney (Konsolide)'!$R$8:$R$171,'Analiz (Konsolide)'!F$6)</f>
        <v>0</v>
      </c>
      <c r="G35" s="128">
        <f>COUNTIFS('RD Fine Kinney (Konsolide)'!$D$8:$D$171,'Analiz (Konsolide)'!$B35,'RD Fine Kinney (Konsolide)'!$R$8:$R$171,'Analiz (Konsolide)'!G$6)</f>
        <v>0</v>
      </c>
      <c r="H35" s="179">
        <f t="shared" si="0"/>
        <v>0</v>
      </c>
      <c r="I35" s="128">
        <f>COUNTIFS('RD Fine Kinney (Konsolide)'!$D$8:$D$171,'Analiz (Konsolide)'!$B35,'RD Fine Kinney (Konsolide)'!$AC$8:$AC$171,'Analiz (Konsolide)'!I$6)</f>
        <v>0</v>
      </c>
      <c r="J35" s="128">
        <f>COUNTIFS('RD Fine Kinney (Konsolide)'!$D$8:$D$171,'Analiz (Konsolide)'!$B35,'RD Fine Kinney (Konsolide)'!$AC$8:$AC$171,'Analiz (Konsolide)'!J$6)</f>
        <v>0</v>
      </c>
      <c r="K35" s="128">
        <f>COUNTIFS('RD Fine Kinney (Konsolide)'!$D$8:$D$171,'Analiz (Konsolide)'!$B35,'RD Fine Kinney (Konsolide)'!$AC$8:$AC$171,'Analiz (Konsolide)'!K$6)</f>
        <v>0</v>
      </c>
      <c r="L35" s="128">
        <f>COUNTIFS('RD Fine Kinney (Konsolide)'!$D$8:$D$171,'Analiz (Konsolide)'!$B35,'RD Fine Kinney (Konsolide)'!$AC$8:$AC$171,'Analiz (Konsolide)'!L$6)</f>
        <v>0</v>
      </c>
      <c r="M35" s="128">
        <f>COUNTIFS('RD Fine Kinney (Konsolide)'!$D$8:$D$171,'Analiz (Konsolide)'!$B35,'RD Fine Kinney (Konsolide)'!$AC$8:$AC$171,'Analiz (Konsolide)'!M$6)</f>
        <v>0</v>
      </c>
      <c r="N35" s="140">
        <f t="shared" si="1"/>
        <v>0</v>
      </c>
    </row>
    <row r="36" spans="2:14" ht="18" hidden="1" customHeight="1" outlineLevel="1" thickTop="1" thickBot="1">
      <c r="B36" s="137" t="s">
        <v>274</v>
      </c>
      <c r="C36" s="128">
        <f>COUNTIFS('RD Fine Kinney (Konsolide)'!$D$8:$D$171,'Analiz (Konsolide)'!$B36,'RD Fine Kinney (Konsolide)'!$R$8:$R$171,'Analiz (Konsolide)'!C$6)</f>
        <v>0</v>
      </c>
      <c r="D36" s="128">
        <f>COUNTIFS('RD Fine Kinney (Konsolide)'!$D$8:$D$171,'Analiz (Konsolide)'!$B36,'RD Fine Kinney (Konsolide)'!$R$8:$R$171,'Analiz (Konsolide)'!D$6)</f>
        <v>0</v>
      </c>
      <c r="E36" s="128">
        <f>COUNTIFS('RD Fine Kinney (Konsolide)'!$D$8:$D$171,'Analiz (Konsolide)'!$B36,'RD Fine Kinney (Konsolide)'!$R$8:$R$171,'Analiz (Konsolide)'!E$6)</f>
        <v>0</v>
      </c>
      <c r="F36" s="128">
        <f>COUNTIFS('RD Fine Kinney (Konsolide)'!$D$8:$D$171,'Analiz (Konsolide)'!$B36,'RD Fine Kinney (Konsolide)'!$R$8:$R$171,'Analiz (Konsolide)'!F$6)</f>
        <v>0</v>
      </c>
      <c r="G36" s="128">
        <f>COUNTIFS('RD Fine Kinney (Konsolide)'!$D$8:$D$171,'Analiz (Konsolide)'!$B36,'RD Fine Kinney (Konsolide)'!$R$8:$R$171,'Analiz (Konsolide)'!G$6)</f>
        <v>0</v>
      </c>
      <c r="H36" s="179">
        <f t="shared" si="0"/>
        <v>0</v>
      </c>
      <c r="I36" s="128">
        <f>COUNTIFS('RD Fine Kinney (Konsolide)'!$D$8:$D$171,'Analiz (Konsolide)'!$B36,'RD Fine Kinney (Konsolide)'!$AC$8:$AC$171,'Analiz (Konsolide)'!I$6)</f>
        <v>0</v>
      </c>
      <c r="J36" s="128">
        <f>COUNTIFS('RD Fine Kinney (Konsolide)'!$D$8:$D$171,'Analiz (Konsolide)'!$B36,'RD Fine Kinney (Konsolide)'!$AC$8:$AC$171,'Analiz (Konsolide)'!J$6)</f>
        <v>0</v>
      </c>
      <c r="K36" s="128">
        <f>COUNTIFS('RD Fine Kinney (Konsolide)'!$D$8:$D$171,'Analiz (Konsolide)'!$B36,'RD Fine Kinney (Konsolide)'!$AC$8:$AC$171,'Analiz (Konsolide)'!K$6)</f>
        <v>0</v>
      </c>
      <c r="L36" s="128">
        <f>COUNTIFS('RD Fine Kinney (Konsolide)'!$D$8:$D$171,'Analiz (Konsolide)'!$B36,'RD Fine Kinney (Konsolide)'!$AC$8:$AC$171,'Analiz (Konsolide)'!L$6)</f>
        <v>0</v>
      </c>
      <c r="M36" s="128">
        <f>COUNTIFS('RD Fine Kinney (Konsolide)'!$D$8:$D$171,'Analiz (Konsolide)'!$B36,'RD Fine Kinney (Konsolide)'!$AC$8:$AC$171,'Analiz (Konsolide)'!M$6)</f>
        <v>0</v>
      </c>
      <c r="N36" s="140">
        <f t="shared" si="1"/>
        <v>0</v>
      </c>
    </row>
    <row r="37" spans="2:14" ht="18" hidden="1" customHeight="1" outlineLevel="1" thickTop="1" thickBot="1">
      <c r="B37" s="137" t="s">
        <v>275</v>
      </c>
      <c r="C37" s="128">
        <f>COUNTIFS('RD Fine Kinney (Konsolide)'!$D$8:$D$171,'Analiz (Konsolide)'!$B37,'RD Fine Kinney (Konsolide)'!$R$8:$R$171,'Analiz (Konsolide)'!C$6)</f>
        <v>0</v>
      </c>
      <c r="D37" s="128">
        <f>COUNTIFS('RD Fine Kinney (Konsolide)'!$D$8:$D$171,'Analiz (Konsolide)'!$B37,'RD Fine Kinney (Konsolide)'!$R$8:$R$171,'Analiz (Konsolide)'!D$6)</f>
        <v>0</v>
      </c>
      <c r="E37" s="128">
        <f>COUNTIFS('RD Fine Kinney (Konsolide)'!$D$8:$D$171,'Analiz (Konsolide)'!$B37,'RD Fine Kinney (Konsolide)'!$R$8:$R$171,'Analiz (Konsolide)'!E$6)</f>
        <v>0</v>
      </c>
      <c r="F37" s="128">
        <f>COUNTIFS('RD Fine Kinney (Konsolide)'!$D$8:$D$171,'Analiz (Konsolide)'!$B37,'RD Fine Kinney (Konsolide)'!$R$8:$R$171,'Analiz (Konsolide)'!F$6)</f>
        <v>0</v>
      </c>
      <c r="G37" s="128">
        <f>COUNTIFS('RD Fine Kinney (Konsolide)'!$D$8:$D$171,'Analiz (Konsolide)'!$B37,'RD Fine Kinney (Konsolide)'!$R$8:$R$171,'Analiz (Konsolide)'!G$6)</f>
        <v>0</v>
      </c>
      <c r="H37" s="179">
        <f t="shared" si="0"/>
        <v>0</v>
      </c>
      <c r="I37" s="128">
        <f>COUNTIFS('RD Fine Kinney (Konsolide)'!$D$8:$D$171,'Analiz (Konsolide)'!$B37,'RD Fine Kinney (Konsolide)'!$AC$8:$AC$171,'Analiz (Konsolide)'!I$6)</f>
        <v>0</v>
      </c>
      <c r="J37" s="128">
        <f>COUNTIFS('RD Fine Kinney (Konsolide)'!$D$8:$D$171,'Analiz (Konsolide)'!$B37,'RD Fine Kinney (Konsolide)'!$AC$8:$AC$171,'Analiz (Konsolide)'!J$6)</f>
        <v>0</v>
      </c>
      <c r="K37" s="128">
        <f>COUNTIFS('RD Fine Kinney (Konsolide)'!$D$8:$D$171,'Analiz (Konsolide)'!$B37,'RD Fine Kinney (Konsolide)'!$AC$8:$AC$171,'Analiz (Konsolide)'!K$6)</f>
        <v>0</v>
      </c>
      <c r="L37" s="128">
        <f>COUNTIFS('RD Fine Kinney (Konsolide)'!$D$8:$D$171,'Analiz (Konsolide)'!$B37,'RD Fine Kinney (Konsolide)'!$AC$8:$AC$171,'Analiz (Konsolide)'!L$6)</f>
        <v>0</v>
      </c>
      <c r="M37" s="128">
        <f>COUNTIFS('RD Fine Kinney (Konsolide)'!$D$8:$D$171,'Analiz (Konsolide)'!$B37,'RD Fine Kinney (Konsolide)'!$AC$8:$AC$171,'Analiz (Konsolide)'!M$6)</f>
        <v>0</v>
      </c>
      <c r="N37" s="140">
        <f t="shared" si="1"/>
        <v>0</v>
      </c>
    </row>
    <row r="38" spans="2:14" ht="18" hidden="1" customHeight="1" outlineLevel="1" thickTop="1" thickBot="1">
      <c r="B38" s="137" t="s">
        <v>277</v>
      </c>
      <c r="C38" s="128">
        <f>COUNTIFS('RD Fine Kinney (Konsolide)'!$D$8:$D$171,'Analiz (Konsolide)'!$B38,'RD Fine Kinney (Konsolide)'!$R$8:$R$171,'Analiz (Konsolide)'!C$6)</f>
        <v>0</v>
      </c>
      <c r="D38" s="128">
        <f>COUNTIFS('RD Fine Kinney (Konsolide)'!$D$8:$D$171,'Analiz (Konsolide)'!$B38,'RD Fine Kinney (Konsolide)'!$R$8:$R$171,'Analiz (Konsolide)'!D$6)</f>
        <v>0</v>
      </c>
      <c r="E38" s="128">
        <f>COUNTIFS('RD Fine Kinney (Konsolide)'!$D$8:$D$171,'Analiz (Konsolide)'!$B38,'RD Fine Kinney (Konsolide)'!$R$8:$R$171,'Analiz (Konsolide)'!E$6)</f>
        <v>0</v>
      </c>
      <c r="F38" s="128">
        <f>COUNTIFS('RD Fine Kinney (Konsolide)'!$D$8:$D$171,'Analiz (Konsolide)'!$B38,'RD Fine Kinney (Konsolide)'!$R$8:$R$171,'Analiz (Konsolide)'!F$6)</f>
        <v>0</v>
      </c>
      <c r="G38" s="128">
        <f>COUNTIFS('RD Fine Kinney (Konsolide)'!$D$8:$D$171,'Analiz (Konsolide)'!$B38,'RD Fine Kinney (Konsolide)'!$R$8:$R$171,'Analiz (Konsolide)'!G$6)</f>
        <v>0</v>
      </c>
      <c r="H38" s="179">
        <f t="shared" si="0"/>
        <v>0</v>
      </c>
      <c r="I38" s="128">
        <f>COUNTIFS('RD Fine Kinney (Konsolide)'!$D$8:$D$171,'Analiz (Konsolide)'!$B38,'RD Fine Kinney (Konsolide)'!$AC$8:$AC$171,'Analiz (Konsolide)'!I$6)</f>
        <v>0</v>
      </c>
      <c r="J38" s="128">
        <f>COUNTIFS('RD Fine Kinney (Konsolide)'!$D$8:$D$171,'Analiz (Konsolide)'!$B38,'RD Fine Kinney (Konsolide)'!$AC$8:$AC$171,'Analiz (Konsolide)'!J$6)</f>
        <v>0</v>
      </c>
      <c r="K38" s="128">
        <f>COUNTIFS('RD Fine Kinney (Konsolide)'!$D$8:$D$171,'Analiz (Konsolide)'!$B38,'RD Fine Kinney (Konsolide)'!$AC$8:$AC$171,'Analiz (Konsolide)'!K$6)</f>
        <v>0</v>
      </c>
      <c r="L38" s="128">
        <f>COUNTIFS('RD Fine Kinney (Konsolide)'!$D$8:$D$171,'Analiz (Konsolide)'!$B38,'RD Fine Kinney (Konsolide)'!$AC$8:$AC$171,'Analiz (Konsolide)'!L$6)</f>
        <v>0</v>
      </c>
      <c r="M38" s="128">
        <f>COUNTIFS('RD Fine Kinney (Konsolide)'!$D$8:$D$171,'Analiz (Konsolide)'!$B38,'RD Fine Kinney (Konsolide)'!$AC$8:$AC$171,'Analiz (Konsolide)'!M$6)</f>
        <v>0</v>
      </c>
      <c r="N38" s="140">
        <f t="shared" si="1"/>
        <v>0</v>
      </c>
    </row>
    <row r="39" spans="2:14" ht="18" hidden="1" customHeight="1" outlineLevel="1" thickTop="1" thickBot="1">
      <c r="B39" s="137" t="s">
        <v>276</v>
      </c>
      <c r="C39" s="128">
        <f>COUNTIFS('RD Fine Kinney (Konsolide)'!$D$8:$D$171,'Analiz (Konsolide)'!$B39,'RD Fine Kinney (Konsolide)'!$R$8:$R$171,'Analiz (Konsolide)'!C$6)</f>
        <v>0</v>
      </c>
      <c r="D39" s="128">
        <f>COUNTIFS('RD Fine Kinney (Konsolide)'!$D$8:$D$171,'Analiz (Konsolide)'!$B39,'RD Fine Kinney (Konsolide)'!$R$8:$R$171,'Analiz (Konsolide)'!D$6)</f>
        <v>0</v>
      </c>
      <c r="E39" s="128">
        <f>COUNTIFS('RD Fine Kinney (Konsolide)'!$D$8:$D$171,'Analiz (Konsolide)'!$B39,'RD Fine Kinney (Konsolide)'!$R$8:$R$171,'Analiz (Konsolide)'!E$6)</f>
        <v>0</v>
      </c>
      <c r="F39" s="128">
        <f>COUNTIFS('RD Fine Kinney (Konsolide)'!$D$8:$D$171,'Analiz (Konsolide)'!$B39,'RD Fine Kinney (Konsolide)'!$R$8:$R$171,'Analiz (Konsolide)'!F$6)</f>
        <v>0</v>
      </c>
      <c r="G39" s="128">
        <f>COUNTIFS('RD Fine Kinney (Konsolide)'!$D$8:$D$171,'Analiz (Konsolide)'!$B39,'RD Fine Kinney (Konsolide)'!$R$8:$R$171,'Analiz (Konsolide)'!G$6)</f>
        <v>0</v>
      </c>
      <c r="H39" s="179">
        <f t="shared" si="0"/>
        <v>0</v>
      </c>
      <c r="I39" s="128">
        <f>COUNTIFS('RD Fine Kinney (Konsolide)'!$D$8:$D$171,'Analiz (Konsolide)'!$B39,'RD Fine Kinney (Konsolide)'!$AC$8:$AC$171,'Analiz (Konsolide)'!I$6)</f>
        <v>0</v>
      </c>
      <c r="J39" s="128">
        <f>COUNTIFS('RD Fine Kinney (Konsolide)'!$D$8:$D$171,'Analiz (Konsolide)'!$B39,'RD Fine Kinney (Konsolide)'!$AC$8:$AC$171,'Analiz (Konsolide)'!J$6)</f>
        <v>0</v>
      </c>
      <c r="K39" s="128">
        <f>COUNTIFS('RD Fine Kinney (Konsolide)'!$D$8:$D$171,'Analiz (Konsolide)'!$B39,'RD Fine Kinney (Konsolide)'!$AC$8:$AC$171,'Analiz (Konsolide)'!K$6)</f>
        <v>0</v>
      </c>
      <c r="L39" s="128">
        <f>COUNTIFS('RD Fine Kinney (Konsolide)'!$D$8:$D$171,'Analiz (Konsolide)'!$B39,'RD Fine Kinney (Konsolide)'!$AC$8:$AC$171,'Analiz (Konsolide)'!L$6)</f>
        <v>0</v>
      </c>
      <c r="M39" s="128">
        <f>COUNTIFS('RD Fine Kinney (Konsolide)'!$D$8:$D$171,'Analiz (Konsolide)'!$B39,'RD Fine Kinney (Konsolide)'!$AC$8:$AC$171,'Analiz (Konsolide)'!M$6)</f>
        <v>0</v>
      </c>
      <c r="N39" s="140">
        <f t="shared" si="1"/>
        <v>0</v>
      </c>
    </row>
    <row r="40" spans="2:14" ht="18" customHeight="1" collapsed="1" thickTop="1">
      <c r="B40" s="167" t="s">
        <v>59</v>
      </c>
      <c r="C40" s="164">
        <f>SUM(C7,C12,C18,C27,C34)</f>
        <v>90</v>
      </c>
      <c r="D40" s="164">
        <f t="shared" ref="D40:M40" si="2">SUM(D7,D12,D18,D27,D34)</f>
        <v>59</v>
      </c>
      <c r="E40" s="164">
        <f t="shared" si="2"/>
        <v>13</v>
      </c>
      <c r="F40" s="164">
        <f t="shared" si="2"/>
        <v>2</v>
      </c>
      <c r="G40" s="165">
        <f t="shared" si="2"/>
        <v>0</v>
      </c>
      <c r="H40" s="178">
        <f t="shared" si="0"/>
        <v>164</v>
      </c>
      <c r="I40" s="166">
        <f t="shared" si="2"/>
        <v>142</v>
      </c>
      <c r="J40" s="164">
        <f t="shared" si="2"/>
        <v>22</v>
      </c>
      <c r="K40" s="164">
        <f t="shared" si="2"/>
        <v>0</v>
      </c>
      <c r="L40" s="164">
        <f t="shared" si="2"/>
        <v>0</v>
      </c>
      <c r="M40" s="165">
        <f t="shared" si="2"/>
        <v>0</v>
      </c>
      <c r="N40" s="165">
        <f t="shared" si="1"/>
        <v>164</v>
      </c>
    </row>
    <row r="41" spans="2:14">
      <c r="B41" s="35"/>
    </row>
    <row r="80" spans="2:14">
      <c r="B80" s="215" t="s">
        <v>344</v>
      </c>
      <c r="C80" s="215"/>
      <c r="D80" s="215"/>
      <c r="E80" s="215"/>
      <c r="F80" s="215"/>
      <c r="G80" s="215"/>
      <c r="H80" s="215"/>
      <c r="I80" s="215"/>
      <c r="J80" s="215"/>
      <c r="K80" s="215"/>
      <c r="L80" s="215"/>
      <c r="M80" s="215"/>
      <c r="N80" s="215"/>
    </row>
    <row r="81" spans="2:14">
      <c r="B81" s="215"/>
      <c r="C81" s="215"/>
      <c r="D81" s="215"/>
      <c r="E81" s="215"/>
      <c r="F81" s="215"/>
      <c r="G81" s="215"/>
      <c r="H81" s="215"/>
      <c r="I81" s="215"/>
      <c r="J81" s="215"/>
      <c r="K81" s="215"/>
      <c r="L81" s="215"/>
      <c r="M81" s="215"/>
      <c r="N81" s="215"/>
    </row>
    <row r="82" spans="2:14">
      <c r="B82" s="156"/>
      <c r="C82" s="156"/>
      <c r="D82" s="156"/>
      <c r="E82" s="156"/>
      <c r="F82" s="156"/>
      <c r="G82" s="156"/>
      <c r="H82" s="156"/>
      <c r="I82" s="156"/>
      <c r="J82" s="156"/>
      <c r="K82" s="156"/>
      <c r="L82" s="156"/>
      <c r="M82" s="156"/>
    </row>
    <row r="83" spans="2:14" ht="29.5" customHeight="1" thickBot="1">
      <c r="B83" s="152"/>
      <c r="C83" s="157" t="s">
        <v>61</v>
      </c>
      <c r="D83" s="157" t="s">
        <v>62</v>
      </c>
      <c r="E83" s="157" t="s">
        <v>63</v>
      </c>
      <c r="F83" s="157" t="s">
        <v>64</v>
      </c>
      <c r="G83" s="157" t="s">
        <v>65</v>
      </c>
      <c r="H83" s="157" t="s">
        <v>59</v>
      </c>
    </row>
    <row r="84" spans="2:14" ht="18" customHeight="1" thickTop="1" thickBot="1">
      <c r="B84" s="153" t="s">
        <v>343</v>
      </c>
      <c r="C84" s="155">
        <f>COUNTIFS('RD Fine Kinney (Konsolide)'!$R$8:$R$171,'Analiz (Konsolide)'!C$83,'RD Fine Kinney (Konsolide)'!$U$8:$U$171,"&gt;1.1.2000")</f>
        <v>0</v>
      </c>
      <c r="D84" s="155">
        <f>COUNTIFS('RD Fine Kinney (Konsolide)'!$R$8:$R$171,'Analiz (Konsolide)'!D$83,'RD Fine Kinney (Konsolide)'!$U$8:$U$171,"&gt;1.1.2000")</f>
        <v>0</v>
      </c>
      <c r="E84" s="155">
        <f>COUNTIFS('RD Fine Kinney (Konsolide)'!$R$8:$R$171,'Analiz (Konsolide)'!E$83,'RD Fine Kinney (Konsolide)'!$U$8:$U$171,"&gt;1.1.2000")</f>
        <v>0</v>
      </c>
      <c r="F84" s="155">
        <f>COUNTIFS('RD Fine Kinney (Konsolide)'!$R$8:$R$171,'Analiz (Konsolide)'!F$83,'RD Fine Kinney (Konsolide)'!$U$8:$U$171,"&gt;1.1.2000")</f>
        <v>0</v>
      </c>
      <c r="G84" s="155">
        <f>COUNTIFS('RD Fine Kinney (Konsolide)'!$R$8:$R$171,'Analiz (Konsolide)'!G$83,'RD Fine Kinney (Konsolide)'!$U$8:$U$171,"&gt;1.1.2000")</f>
        <v>0</v>
      </c>
      <c r="H84" s="157">
        <f>SUM(C84:G84)</f>
        <v>0</v>
      </c>
    </row>
    <row r="85" spans="2:14" ht="18" customHeight="1" thickTop="1" thickBot="1">
      <c r="B85" s="154" t="s">
        <v>345</v>
      </c>
      <c r="C85" s="155">
        <f>COUNTIFS('RD Fine Kinney (Konsolide)'!$R$8:$R$171,'Analiz (Konsolide)'!C$83,'RD Fine Kinney (Konsolide)'!$U$8:$U$171,"&gt;1.1.2000",'RD Fine Kinney (Konsolide)'!$W$8:$W$171,"&lt;&gt;")</f>
        <v>0</v>
      </c>
      <c r="D85" s="155">
        <f>COUNTIFS('RD Fine Kinney (Konsolide)'!$R$8:$R$171,'Analiz (Konsolide)'!D$83,'RD Fine Kinney (Konsolide)'!$U$8:$U$171,"&gt;1.1.2000",'RD Fine Kinney (Konsolide)'!$W$8:$W$171,"&lt;&gt;")</f>
        <v>0</v>
      </c>
      <c r="E85" s="155">
        <f>COUNTIFS('RD Fine Kinney (Konsolide)'!$R$8:$R$171,'Analiz (Konsolide)'!E$83,'RD Fine Kinney (Konsolide)'!$U$8:$U$171,"&gt;1.1.2000",'RD Fine Kinney (Konsolide)'!$W$8:$W$171,"&lt;&gt;")</f>
        <v>0</v>
      </c>
      <c r="F85" s="155">
        <f>COUNTIFS('RD Fine Kinney (Konsolide)'!$R$8:$R$171,'Analiz (Konsolide)'!F$83,'RD Fine Kinney (Konsolide)'!$U$8:$U$171,"&gt;1.1.2000",'RD Fine Kinney (Konsolide)'!$W$8:$W$171,"&lt;&gt;")</f>
        <v>0</v>
      </c>
      <c r="G85" s="155">
        <f>COUNTIFS('RD Fine Kinney (Konsolide)'!$R$8:$R$171,'Analiz (Konsolide)'!G$83,'RD Fine Kinney (Konsolide)'!$U$8:$U$171,"&gt;1.1.2000",'RD Fine Kinney (Konsolide)'!$W$8:$W$171,"&lt;&gt;")</f>
        <v>0</v>
      </c>
      <c r="H85" s="157">
        <f>SUM(C85:G85)</f>
        <v>0</v>
      </c>
    </row>
    <row r="86" spans="2:14" ht="18" customHeight="1" thickTop="1" thickBot="1">
      <c r="B86" s="141" t="s">
        <v>346</v>
      </c>
      <c r="C86" s="155">
        <f>COUNTIFS('RD Fine Kinney (Konsolide)'!$R$8:$R$171,'Analiz (Konsolide)'!C$83,'RD Fine Kinney (Konsolide)'!$U$8:$U$171,"&gt;1.1.2000",'RD Fine Kinney (Konsolide)'!$W$8:$W$171,"")</f>
        <v>0</v>
      </c>
      <c r="D86" s="155">
        <f>COUNTIFS('RD Fine Kinney (Konsolide)'!$R$8:$R$171,'Analiz (Konsolide)'!D$83,'RD Fine Kinney (Konsolide)'!$U$8:$U$171,"&gt;1.1.2000",'RD Fine Kinney (Konsolide)'!$W$8:$W$171,"")</f>
        <v>0</v>
      </c>
      <c r="E86" s="155">
        <f>COUNTIFS('RD Fine Kinney (Konsolide)'!$R$8:$R$171,'Analiz (Konsolide)'!E$83,'RD Fine Kinney (Konsolide)'!$U$8:$U$171,"&gt;1.1.2000",'RD Fine Kinney (Konsolide)'!$W$8:$W$171,"")</f>
        <v>0</v>
      </c>
      <c r="F86" s="155">
        <f>COUNTIFS('RD Fine Kinney (Konsolide)'!$R$8:$R$171,'Analiz (Konsolide)'!F$83,'RD Fine Kinney (Konsolide)'!$U$8:$U$171,"&gt;1.1.2000",'RD Fine Kinney (Konsolide)'!$W$8:$W$171,"")</f>
        <v>0</v>
      </c>
      <c r="G86" s="155">
        <f>COUNTIFS('RD Fine Kinney (Konsolide)'!$R$8:$R$171,'Analiz (Konsolide)'!G$83,'RD Fine Kinney (Konsolide)'!$U$8:$U$171,"&gt;1.1.2000",'RD Fine Kinney (Konsolide)'!$W$8:$W$171,"")</f>
        <v>0</v>
      </c>
      <c r="H86" s="157">
        <f>SUM(C86:G86)</f>
        <v>0</v>
      </c>
    </row>
    <row r="87" spans="2:14" ht="18" customHeight="1" thickTop="1"/>
    <row r="88" spans="2:14" ht="18" customHeight="1"/>
    <row r="89" spans="2:14" ht="18" customHeight="1"/>
    <row r="90" spans="2:14" ht="18" customHeight="1"/>
    <row r="91" spans="2:14" ht="18" customHeight="1"/>
    <row r="103" spans="2:14" ht="19.5" customHeight="1" thickBot="1">
      <c r="C103" s="217" t="s">
        <v>354</v>
      </c>
      <c r="D103" s="217"/>
      <c r="E103" s="217"/>
      <c r="F103" s="217"/>
      <c r="G103" s="217"/>
      <c r="H103" s="218"/>
      <c r="I103" s="216" t="s">
        <v>355</v>
      </c>
      <c r="J103" s="217"/>
      <c r="K103" s="217"/>
      <c r="L103" s="217"/>
      <c r="M103" s="217"/>
      <c r="N103" s="218"/>
    </row>
    <row r="104" spans="2:14" ht="29.5" customHeight="1" thickTop="1" thickBot="1">
      <c r="B104" s="158" t="s">
        <v>16</v>
      </c>
      <c r="C104" s="157" t="s">
        <v>61</v>
      </c>
      <c r="D104" s="157" t="s">
        <v>62</v>
      </c>
      <c r="E104" s="157" t="s">
        <v>63</v>
      </c>
      <c r="F104" s="157" t="s">
        <v>64</v>
      </c>
      <c r="G104" s="157" t="s">
        <v>65</v>
      </c>
      <c r="H104" s="157" t="s">
        <v>59</v>
      </c>
      <c r="I104" s="157" t="s">
        <v>61</v>
      </c>
      <c r="J104" s="157" t="s">
        <v>62</v>
      </c>
      <c r="K104" s="157" t="s">
        <v>63</v>
      </c>
      <c r="L104" s="157" t="s">
        <v>64</v>
      </c>
      <c r="M104" s="157" t="s">
        <v>65</v>
      </c>
      <c r="N104" s="157" t="s">
        <v>59</v>
      </c>
    </row>
    <row r="105" spans="2:14" ht="18" customHeight="1" thickTop="1" thickBot="1">
      <c r="B105" s="153" t="s">
        <v>349</v>
      </c>
      <c r="C105" s="155">
        <f>COUNTIFS('RD Fine Kinney (Konsolide)'!$R$8:$R$171,'Analiz (Konsolide)'!C$104,'RD Fine Kinney (Konsolide)'!$T$8:$T$171,'Analiz (Konsolide)'!$B105,'RD Fine Kinney (Konsolide)'!$U$8:$U$171,"&gt;1.1.2000",'RD Fine Kinney (Konsolide)'!$W$8:$W$171,"&lt;&gt;")</f>
        <v>0</v>
      </c>
      <c r="D105" s="155">
        <f>COUNTIFS('RD Fine Kinney (Konsolide)'!$R$8:$R$171,'Analiz (Konsolide)'!D$104,'RD Fine Kinney (Konsolide)'!$T$8:$T$171,'Analiz (Konsolide)'!$B105,'RD Fine Kinney (Konsolide)'!$U$8:$U$171,"&gt;1.1.2000",'RD Fine Kinney (Konsolide)'!$W$8:$W$171,"&lt;&gt;")</f>
        <v>0</v>
      </c>
      <c r="E105" s="155">
        <f>COUNTIFS('RD Fine Kinney (Konsolide)'!$R$8:$R$171,'Analiz (Konsolide)'!E$104,'RD Fine Kinney (Konsolide)'!$T$8:$T$171,'Analiz (Konsolide)'!$B105,'RD Fine Kinney (Konsolide)'!$U$8:$U$171,"&gt;1.1.2000",'RD Fine Kinney (Konsolide)'!$W$8:$W$171,"&lt;&gt;")</f>
        <v>0</v>
      </c>
      <c r="F105" s="155">
        <f>COUNTIFS('RD Fine Kinney (Konsolide)'!$R$8:$R$171,'Analiz (Konsolide)'!F$104,'RD Fine Kinney (Konsolide)'!$T$8:$T$171,'Analiz (Konsolide)'!$B105,'RD Fine Kinney (Konsolide)'!$U$8:$U$171,"&gt;1.1.2000",'RD Fine Kinney (Konsolide)'!$W$8:$W$171,"&lt;&gt;")</f>
        <v>0</v>
      </c>
      <c r="G105" s="155">
        <f>COUNTIFS('RD Fine Kinney (Konsolide)'!$R$8:$R$171,'Analiz (Konsolide)'!G$104,'RD Fine Kinney (Konsolide)'!$T$8:$T$171,'Analiz (Konsolide)'!$B105,'RD Fine Kinney (Konsolide)'!$U$8:$U$171,"&gt;1.1.2000",'RD Fine Kinney (Konsolide)'!$W$8:$W$171,"&lt;&gt;")</f>
        <v>0</v>
      </c>
      <c r="H105" s="157">
        <f>SUM(C105:G105)</f>
        <v>0</v>
      </c>
      <c r="I105" s="155">
        <f>COUNTIFS('RD Fine Kinney (Konsolide)'!$R$8:$R$171,'Analiz (Konsolide)'!I$104,'RD Fine Kinney (Konsolide)'!$T$8:$T$171,'Analiz (Konsolide)'!$B105,'RD Fine Kinney (Konsolide)'!$U$8:$U$171,"&gt;1.1.2000",'RD Fine Kinney (Konsolide)'!$W$8:$W$171,"")</f>
        <v>0</v>
      </c>
      <c r="J105" s="155">
        <f>COUNTIFS('RD Fine Kinney (Konsolide)'!$R$8:$R$171,'Analiz (Konsolide)'!J$104,'RD Fine Kinney (Konsolide)'!$T$8:$T$171,'Analiz (Konsolide)'!$B105,'RD Fine Kinney (Konsolide)'!$U$8:$U$171,"&gt;1.1.2000",'RD Fine Kinney (Konsolide)'!$W$8:$W$171,"")</f>
        <v>0</v>
      </c>
      <c r="K105" s="155">
        <f>COUNTIFS('RD Fine Kinney (Konsolide)'!$R$8:$R$171,'Analiz (Konsolide)'!K$104,'RD Fine Kinney (Konsolide)'!$T$8:$T$171,'Analiz (Konsolide)'!$B105,'RD Fine Kinney (Konsolide)'!$U$8:$U$171,"&gt;1.1.2000",'RD Fine Kinney (Konsolide)'!$W$8:$W$171,"")</f>
        <v>0</v>
      </c>
      <c r="L105" s="155">
        <f>COUNTIFS('RD Fine Kinney (Konsolide)'!$R$8:$R$171,'Analiz (Konsolide)'!L$104,'RD Fine Kinney (Konsolide)'!$T$8:$T$171,'Analiz (Konsolide)'!$B105,'RD Fine Kinney (Konsolide)'!$U$8:$U$171,"&gt;1.1.2000",'RD Fine Kinney (Konsolide)'!$W$8:$W$171,"")</f>
        <v>0</v>
      </c>
      <c r="M105" s="155">
        <f>COUNTIFS('RD Fine Kinney (Konsolide)'!$R$8:$R$171,'Analiz (Konsolide)'!M$104,'RD Fine Kinney (Konsolide)'!$T$8:$T$171,'Analiz (Konsolide)'!$B105,'RD Fine Kinney (Konsolide)'!$U$8:$U$171,"&gt;1.1.2000",'RD Fine Kinney (Konsolide)'!$W$8:$W$171,"")</f>
        <v>0</v>
      </c>
      <c r="N105" s="157">
        <f>SUM(I105:M105)</f>
        <v>0</v>
      </c>
    </row>
    <row r="106" spans="2:14" ht="18" customHeight="1" thickTop="1" thickBot="1">
      <c r="B106" s="153" t="s">
        <v>356</v>
      </c>
      <c r="C106" s="155">
        <f>COUNTIFS('RD Fine Kinney (Konsolide)'!$R$8:$R$171,'Analiz (Konsolide)'!C$104,'RD Fine Kinney (Konsolide)'!$T$8:$T$171,'Analiz (Konsolide)'!$B106,'RD Fine Kinney (Konsolide)'!$U$8:$U$171,"&gt;1.1.2000",'RD Fine Kinney (Konsolide)'!$W$8:$W$171,"&lt;&gt;")</f>
        <v>0</v>
      </c>
      <c r="D106" s="155">
        <f>COUNTIFS('RD Fine Kinney (Konsolide)'!$R$8:$R$171,'Analiz (Konsolide)'!D$104,'RD Fine Kinney (Konsolide)'!$T$8:$T$171,'Analiz (Konsolide)'!$B106,'RD Fine Kinney (Konsolide)'!$U$8:$U$171,"&gt;1.1.2000",'RD Fine Kinney (Konsolide)'!$W$8:$W$171,"&lt;&gt;")</f>
        <v>0</v>
      </c>
      <c r="E106" s="155">
        <f>COUNTIFS('RD Fine Kinney (Konsolide)'!$R$8:$R$171,'Analiz (Konsolide)'!E$104,'RD Fine Kinney (Konsolide)'!$T$8:$T$171,'Analiz (Konsolide)'!$B106,'RD Fine Kinney (Konsolide)'!$U$8:$U$171,"&gt;1.1.2000",'RD Fine Kinney (Konsolide)'!$W$8:$W$171,"&lt;&gt;")</f>
        <v>0</v>
      </c>
      <c r="F106" s="155">
        <f>COUNTIFS('RD Fine Kinney (Konsolide)'!$R$8:$R$171,'Analiz (Konsolide)'!F$104,'RD Fine Kinney (Konsolide)'!$T$8:$T$171,'Analiz (Konsolide)'!$B106,'RD Fine Kinney (Konsolide)'!$U$8:$U$171,"&gt;1.1.2000",'RD Fine Kinney (Konsolide)'!$W$8:$W$171,"&lt;&gt;")</f>
        <v>0</v>
      </c>
      <c r="G106" s="155">
        <f>COUNTIFS('RD Fine Kinney (Konsolide)'!$R$8:$R$171,'Analiz (Konsolide)'!G$104,'RD Fine Kinney (Konsolide)'!$T$8:$T$171,'Analiz (Konsolide)'!$B106,'RD Fine Kinney (Konsolide)'!$U$8:$U$171,"&gt;1.1.2000",'RD Fine Kinney (Konsolide)'!$W$8:$W$171,"&lt;&gt;")</f>
        <v>0</v>
      </c>
      <c r="H106" s="157">
        <f t="shared" ref="H106:H117" si="3">SUM(C106:G106)</f>
        <v>0</v>
      </c>
      <c r="I106" s="155">
        <f>COUNTIFS('RD Fine Kinney (Konsolide)'!$R$8:$R$171,'Analiz (Konsolide)'!I$104,'RD Fine Kinney (Konsolide)'!$T$8:$T$171,'Analiz (Konsolide)'!$B106,'RD Fine Kinney (Konsolide)'!$U$8:$U$171,"&gt;1.1.2000",'RD Fine Kinney (Konsolide)'!$W$8:$W$171,"")</f>
        <v>0</v>
      </c>
      <c r="J106" s="155">
        <f>COUNTIFS('RD Fine Kinney (Konsolide)'!$R$8:$R$171,'Analiz (Konsolide)'!J$104,'RD Fine Kinney (Konsolide)'!$T$8:$T$171,'Analiz (Konsolide)'!$B106,'RD Fine Kinney (Konsolide)'!$U$8:$U$171,"&gt;1.1.2000",'RD Fine Kinney (Konsolide)'!$W$8:$W$171,"")</f>
        <v>0</v>
      </c>
      <c r="K106" s="155">
        <f>COUNTIFS('RD Fine Kinney (Konsolide)'!$R$8:$R$171,'Analiz (Konsolide)'!K$104,'RD Fine Kinney (Konsolide)'!$T$8:$T$171,'Analiz (Konsolide)'!$B106,'RD Fine Kinney (Konsolide)'!$U$8:$U$171,"&gt;1.1.2000",'RD Fine Kinney (Konsolide)'!$W$8:$W$171,"")</f>
        <v>0</v>
      </c>
      <c r="L106" s="155">
        <f>COUNTIFS('RD Fine Kinney (Konsolide)'!$R$8:$R$171,'Analiz (Konsolide)'!L$104,'RD Fine Kinney (Konsolide)'!$T$8:$T$171,'Analiz (Konsolide)'!$B106,'RD Fine Kinney (Konsolide)'!$U$8:$U$171,"&gt;1.1.2000",'RD Fine Kinney (Konsolide)'!$W$8:$W$171,"")</f>
        <v>0</v>
      </c>
      <c r="M106" s="155">
        <f>COUNTIFS('RD Fine Kinney (Konsolide)'!$R$8:$R$171,'Analiz (Konsolide)'!M$104,'RD Fine Kinney (Konsolide)'!$T$8:$T$171,'Analiz (Konsolide)'!$B106,'RD Fine Kinney (Konsolide)'!$U$8:$U$171,"&gt;1.1.2000",'RD Fine Kinney (Konsolide)'!$W$8:$W$171,"")</f>
        <v>0</v>
      </c>
      <c r="N106" s="157">
        <f t="shared" ref="N106:N117" si="4">SUM(I106:M106)</f>
        <v>0</v>
      </c>
    </row>
    <row r="107" spans="2:14" ht="18" customHeight="1" thickTop="1" thickBot="1">
      <c r="B107" s="153" t="s">
        <v>351</v>
      </c>
      <c r="C107" s="155">
        <f>COUNTIFS('RD Fine Kinney (Konsolide)'!$R$8:$R$171,'Analiz (Konsolide)'!C$104,'RD Fine Kinney (Konsolide)'!$T$8:$T$171,'Analiz (Konsolide)'!$B107,'RD Fine Kinney (Konsolide)'!$U$8:$U$171,"&gt;1.1.2000",'RD Fine Kinney (Konsolide)'!$W$8:$W$171,"&lt;&gt;")</f>
        <v>0</v>
      </c>
      <c r="D107" s="155">
        <f>COUNTIFS('RD Fine Kinney (Konsolide)'!$R$8:$R$171,'Analiz (Konsolide)'!D$104,'RD Fine Kinney (Konsolide)'!$T$8:$T$171,'Analiz (Konsolide)'!$B107,'RD Fine Kinney (Konsolide)'!$U$8:$U$171,"&gt;1.1.2000",'RD Fine Kinney (Konsolide)'!$W$8:$W$171,"&lt;&gt;")</f>
        <v>0</v>
      </c>
      <c r="E107" s="155">
        <f>COUNTIFS('RD Fine Kinney (Konsolide)'!$R$8:$R$171,'Analiz (Konsolide)'!E$104,'RD Fine Kinney (Konsolide)'!$T$8:$T$171,'Analiz (Konsolide)'!$B107,'RD Fine Kinney (Konsolide)'!$U$8:$U$171,"&gt;1.1.2000",'RD Fine Kinney (Konsolide)'!$W$8:$W$171,"&lt;&gt;")</f>
        <v>0</v>
      </c>
      <c r="F107" s="155">
        <f>COUNTIFS('RD Fine Kinney (Konsolide)'!$R$8:$R$171,'Analiz (Konsolide)'!F$104,'RD Fine Kinney (Konsolide)'!$T$8:$T$171,'Analiz (Konsolide)'!$B107,'RD Fine Kinney (Konsolide)'!$U$8:$U$171,"&gt;1.1.2000",'RD Fine Kinney (Konsolide)'!$W$8:$W$171,"&lt;&gt;")</f>
        <v>0</v>
      </c>
      <c r="G107" s="155">
        <f>COUNTIFS('RD Fine Kinney (Konsolide)'!$R$8:$R$171,'Analiz (Konsolide)'!G$104,'RD Fine Kinney (Konsolide)'!$T$8:$T$171,'Analiz (Konsolide)'!$B107,'RD Fine Kinney (Konsolide)'!$U$8:$U$171,"&gt;1.1.2000",'RD Fine Kinney (Konsolide)'!$W$8:$W$171,"&lt;&gt;")</f>
        <v>0</v>
      </c>
      <c r="H107" s="157">
        <f t="shared" si="3"/>
        <v>0</v>
      </c>
      <c r="I107" s="155">
        <f>COUNTIFS('RD Fine Kinney (Konsolide)'!$R$8:$R$171,'Analiz (Konsolide)'!I$104,'RD Fine Kinney (Konsolide)'!$T$8:$T$171,'Analiz (Konsolide)'!$B107,'RD Fine Kinney (Konsolide)'!$U$8:$U$171,"&gt;1.1.2000",'RD Fine Kinney (Konsolide)'!$W$8:$W$171,"")</f>
        <v>0</v>
      </c>
      <c r="J107" s="155">
        <f>COUNTIFS('RD Fine Kinney (Konsolide)'!$R$8:$R$171,'Analiz (Konsolide)'!J$104,'RD Fine Kinney (Konsolide)'!$T$8:$T$171,'Analiz (Konsolide)'!$B107,'RD Fine Kinney (Konsolide)'!$U$8:$U$171,"&gt;1.1.2000",'RD Fine Kinney (Konsolide)'!$W$8:$W$171,"")</f>
        <v>0</v>
      </c>
      <c r="K107" s="155">
        <f>COUNTIFS('RD Fine Kinney (Konsolide)'!$R$8:$R$171,'Analiz (Konsolide)'!K$104,'RD Fine Kinney (Konsolide)'!$T$8:$T$171,'Analiz (Konsolide)'!$B107,'RD Fine Kinney (Konsolide)'!$U$8:$U$171,"&gt;1.1.2000",'RD Fine Kinney (Konsolide)'!$W$8:$W$171,"")</f>
        <v>0</v>
      </c>
      <c r="L107" s="155">
        <f>COUNTIFS('RD Fine Kinney (Konsolide)'!$R$8:$R$171,'Analiz (Konsolide)'!L$104,'RD Fine Kinney (Konsolide)'!$T$8:$T$171,'Analiz (Konsolide)'!$B107,'RD Fine Kinney (Konsolide)'!$U$8:$U$171,"&gt;1.1.2000",'RD Fine Kinney (Konsolide)'!$W$8:$W$171,"")</f>
        <v>0</v>
      </c>
      <c r="M107" s="155">
        <f>COUNTIFS('RD Fine Kinney (Konsolide)'!$R$8:$R$171,'Analiz (Konsolide)'!M$104,'RD Fine Kinney (Konsolide)'!$T$8:$T$171,'Analiz (Konsolide)'!$B107,'RD Fine Kinney (Konsolide)'!$U$8:$U$171,"&gt;1.1.2000",'RD Fine Kinney (Konsolide)'!$W$8:$W$171,"")</f>
        <v>0</v>
      </c>
      <c r="N107" s="157">
        <f t="shared" si="4"/>
        <v>0</v>
      </c>
    </row>
    <row r="108" spans="2:14" ht="18" customHeight="1" thickTop="1" thickBot="1">
      <c r="B108" s="153" t="s">
        <v>352</v>
      </c>
      <c r="C108" s="155">
        <f>COUNTIFS('RD Fine Kinney (Konsolide)'!$R$8:$R$171,'Analiz (Konsolide)'!C$104,'RD Fine Kinney (Konsolide)'!$T$8:$T$171,'Analiz (Konsolide)'!$B108,'RD Fine Kinney (Konsolide)'!$U$8:$U$171,"&gt;1.1.2000",'RD Fine Kinney (Konsolide)'!$W$8:$W$171,"&lt;&gt;")</f>
        <v>0</v>
      </c>
      <c r="D108" s="155">
        <f>COUNTIFS('RD Fine Kinney (Konsolide)'!$R$8:$R$171,'Analiz (Konsolide)'!D$104,'RD Fine Kinney (Konsolide)'!$T$8:$T$171,'Analiz (Konsolide)'!$B108,'RD Fine Kinney (Konsolide)'!$U$8:$U$171,"&gt;1.1.2000",'RD Fine Kinney (Konsolide)'!$W$8:$W$171,"&lt;&gt;")</f>
        <v>0</v>
      </c>
      <c r="E108" s="155">
        <f>COUNTIFS('RD Fine Kinney (Konsolide)'!$R$8:$R$171,'Analiz (Konsolide)'!E$104,'RD Fine Kinney (Konsolide)'!$T$8:$T$171,'Analiz (Konsolide)'!$B108,'RD Fine Kinney (Konsolide)'!$U$8:$U$171,"&gt;1.1.2000",'RD Fine Kinney (Konsolide)'!$W$8:$W$171,"&lt;&gt;")</f>
        <v>0</v>
      </c>
      <c r="F108" s="155">
        <f>COUNTIFS('RD Fine Kinney (Konsolide)'!$R$8:$R$171,'Analiz (Konsolide)'!F$104,'RD Fine Kinney (Konsolide)'!$T$8:$T$171,'Analiz (Konsolide)'!$B108,'RD Fine Kinney (Konsolide)'!$U$8:$U$171,"&gt;1.1.2000",'RD Fine Kinney (Konsolide)'!$W$8:$W$171,"&lt;&gt;")</f>
        <v>0</v>
      </c>
      <c r="G108" s="155">
        <f>COUNTIFS('RD Fine Kinney (Konsolide)'!$R$8:$R$171,'Analiz (Konsolide)'!G$104,'RD Fine Kinney (Konsolide)'!$T$8:$T$171,'Analiz (Konsolide)'!$B108,'RD Fine Kinney (Konsolide)'!$U$8:$U$171,"&gt;1.1.2000",'RD Fine Kinney (Konsolide)'!$W$8:$W$171,"&lt;&gt;")</f>
        <v>0</v>
      </c>
      <c r="H108" s="157">
        <f t="shared" si="3"/>
        <v>0</v>
      </c>
      <c r="I108" s="155">
        <f>COUNTIFS('RD Fine Kinney (Konsolide)'!$R$8:$R$171,'Analiz (Konsolide)'!I$104,'RD Fine Kinney (Konsolide)'!$T$8:$T$171,'Analiz (Konsolide)'!$B108,'RD Fine Kinney (Konsolide)'!$U$8:$U$171,"&gt;1.1.2000",'RD Fine Kinney (Konsolide)'!$W$8:$W$171,"")</f>
        <v>0</v>
      </c>
      <c r="J108" s="155">
        <f>COUNTIFS('RD Fine Kinney (Konsolide)'!$R$8:$R$171,'Analiz (Konsolide)'!J$104,'RD Fine Kinney (Konsolide)'!$T$8:$T$171,'Analiz (Konsolide)'!$B108,'RD Fine Kinney (Konsolide)'!$U$8:$U$171,"&gt;1.1.2000",'RD Fine Kinney (Konsolide)'!$W$8:$W$171,"")</f>
        <v>0</v>
      </c>
      <c r="K108" s="155">
        <f>COUNTIFS('RD Fine Kinney (Konsolide)'!$R$8:$R$171,'Analiz (Konsolide)'!K$104,'RD Fine Kinney (Konsolide)'!$T$8:$T$171,'Analiz (Konsolide)'!$B108,'RD Fine Kinney (Konsolide)'!$U$8:$U$171,"&gt;1.1.2000",'RD Fine Kinney (Konsolide)'!$W$8:$W$171,"")</f>
        <v>0</v>
      </c>
      <c r="L108" s="155">
        <f>COUNTIFS('RD Fine Kinney (Konsolide)'!$R$8:$R$171,'Analiz (Konsolide)'!L$104,'RD Fine Kinney (Konsolide)'!$T$8:$T$171,'Analiz (Konsolide)'!$B108,'RD Fine Kinney (Konsolide)'!$U$8:$U$171,"&gt;1.1.2000",'RD Fine Kinney (Konsolide)'!$W$8:$W$171,"")</f>
        <v>0</v>
      </c>
      <c r="M108" s="155">
        <f>COUNTIFS('RD Fine Kinney (Konsolide)'!$R$8:$R$171,'Analiz (Konsolide)'!M$104,'RD Fine Kinney (Konsolide)'!$T$8:$T$171,'Analiz (Konsolide)'!$B108,'RD Fine Kinney (Konsolide)'!$U$8:$U$171,"&gt;1.1.2000",'RD Fine Kinney (Konsolide)'!$W$8:$W$171,"")</f>
        <v>0</v>
      </c>
      <c r="N108" s="157">
        <f t="shared" si="4"/>
        <v>0</v>
      </c>
    </row>
    <row r="109" spans="2:14" ht="18" customHeight="1" thickTop="1" thickBot="1">
      <c r="B109" s="153" t="s">
        <v>359</v>
      </c>
      <c r="C109" s="155">
        <f>COUNTIFS('RD Fine Kinney (Konsolide)'!$R$8:$R$171,'Analiz (Konsolide)'!C$104,'RD Fine Kinney (Konsolide)'!$T$8:$T$171,'Analiz (Konsolide)'!$B109,'RD Fine Kinney (Konsolide)'!$U$8:$U$171,"&gt;1.1.2000",'RD Fine Kinney (Konsolide)'!$W$8:$W$171,"&lt;&gt;")</f>
        <v>0</v>
      </c>
      <c r="D109" s="155">
        <f>COUNTIFS('RD Fine Kinney (Konsolide)'!$R$8:$R$171,'Analiz (Konsolide)'!D$104,'RD Fine Kinney (Konsolide)'!$T$8:$T$171,'Analiz (Konsolide)'!$B109,'RD Fine Kinney (Konsolide)'!$U$8:$U$171,"&gt;1.1.2000",'RD Fine Kinney (Konsolide)'!$W$8:$W$171,"&lt;&gt;")</f>
        <v>0</v>
      </c>
      <c r="E109" s="155">
        <f>COUNTIFS('RD Fine Kinney (Konsolide)'!$R$8:$R$171,'Analiz (Konsolide)'!E$104,'RD Fine Kinney (Konsolide)'!$T$8:$T$171,'Analiz (Konsolide)'!$B109,'RD Fine Kinney (Konsolide)'!$U$8:$U$171,"&gt;1.1.2000",'RD Fine Kinney (Konsolide)'!$W$8:$W$171,"&lt;&gt;")</f>
        <v>0</v>
      </c>
      <c r="F109" s="155">
        <f>COUNTIFS('RD Fine Kinney (Konsolide)'!$R$8:$R$171,'Analiz (Konsolide)'!F$104,'RD Fine Kinney (Konsolide)'!$T$8:$T$171,'Analiz (Konsolide)'!$B109,'RD Fine Kinney (Konsolide)'!$U$8:$U$171,"&gt;1.1.2000",'RD Fine Kinney (Konsolide)'!$W$8:$W$171,"&lt;&gt;")</f>
        <v>0</v>
      </c>
      <c r="G109" s="155">
        <f>COUNTIFS('RD Fine Kinney (Konsolide)'!$R$8:$R$171,'Analiz (Konsolide)'!G$104,'RD Fine Kinney (Konsolide)'!$T$8:$T$171,'Analiz (Konsolide)'!$B109,'RD Fine Kinney (Konsolide)'!$U$8:$U$171,"&gt;1.1.2000",'RD Fine Kinney (Konsolide)'!$W$8:$W$171,"&lt;&gt;")</f>
        <v>0</v>
      </c>
      <c r="H109" s="157">
        <f t="shared" si="3"/>
        <v>0</v>
      </c>
      <c r="I109" s="155">
        <f>COUNTIFS('RD Fine Kinney (Konsolide)'!$R$8:$R$171,'Analiz (Konsolide)'!I$104,'RD Fine Kinney (Konsolide)'!$T$8:$T$171,'Analiz (Konsolide)'!$B109,'RD Fine Kinney (Konsolide)'!$U$8:$U$171,"&gt;1.1.2000",'RD Fine Kinney (Konsolide)'!$W$8:$W$171,"")</f>
        <v>0</v>
      </c>
      <c r="J109" s="155">
        <f>COUNTIFS('RD Fine Kinney (Konsolide)'!$R$8:$R$171,'Analiz (Konsolide)'!J$104,'RD Fine Kinney (Konsolide)'!$T$8:$T$171,'Analiz (Konsolide)'!$B109,'RD Fine Kinney (Konsolide)'!$U$8:$U$171,"&gt;1.1.2000",'RD Fine Kinney (Konsolide)'!$W$8:$W$171,"")</f>
        <v>0</v>
      </c>
      <c r="K109" s="155">
        <f>COUNTIFS('RD Fine Kinney (Konsolide)'!$R$8:$R$171,'Analiz (Konsolide)'!K$104,'RD Fine Kinney (Konsolide)'!$T$8:$T$171,'Analiz (Konsolide)'!$B109,'RD Fine Kinney (Konsolide)'!$U$8:$U$171,"&gt;1.1.2000",'RD Fine Kinney (Konsolide)'!$W$8:$W$171,"")</f>
        <v>0</v>
      </c>
      <c r="L109" s="155">
        <f>COUNTIFS('RD Fine Kinney (Konsolide)'!$R$8:$R$171,'Analiz (Konsolide)'!L$104,'RD Fine Kinney (Konsolide)'!$T$8:$T$171,'Analiz (Konsolide)'!$B109,'RD Fine Kinney (Konsolide)'!$U$8:$U$171,"&gt;1.1.2000",'RD Fine Kinney (Konsolide)'!$W$8:$W$171,"")</f>
        <v>0</v>
      </c>
      <c r="M109" s="155">
        <f>COUNTIFS('RD Fine Kinney (Konsolide)'!$R$8:$R$171,'Analiz (Konsolide)'!M$104,'RD Fine Kinney (Konsolide)'!$T$8:$T$171,'Analiz (Konsolide)'!$B109,'RD Fine Kinney (Konsolide)'!$U$8:$U$171,"&gt;1.1.2000",'RD Fine Kinney (Konsolide)'!$W$8:$W$171,"")</f>
        <v>0</v>
      </c>
      <c r="N109" s="157">
        <f t="shared" si="4"/>
        <v>0</v>
      </c>
    </row>
    <row r="110" spans="2:14" ht="18" customHeight="1" thickTop="1" thickBot="1">
      <c r="B110" s="153" t="s">
        <v>126</v>
      </c>
      <c r="C110" s="155">
        <f>COUNTIFS('RD Fine Kinney (Konsolide)'!$R$8:$R$171,'Analiz (Konsolide)'!C$104,'RD Fine Kinney (Konsolide)'!$T$8:$T$171,'Analiz (Konsolide)'!$B110,'RD Fine Kinney (Konsolide)'!$U$8:$U$171,"&gt;1.1.2000",'RD Fine Kinney (Konsolide)'!$W$8:$W$171,"&lt;&gt;")</f>
        <v>0</v>
      </c>
      <c r="D110" s="155">
        <f>COUNTIFS('RD Fine Kinney (Konsolide)'!$R$8:$R$171,'Analiz (Konsolide)'!D$104,'RD Fine Kinney (Konsolide)'!$T$8:$T$171,'Analiz (Konsolide)'!$B110,'RD Fine Kinney (Konsolide)'!$U$8:$U$171,"&gt;1.1.2000",'RD Fine Kinney (Konsolide)'!$W$8:$W$171,"&lt;&gt;")</f>
        <v>0</v>
      </c>
      <c r="E110" s="155">
        <f>COUNTIFS('RD Fine Kinney (Konsolide)'!$R$8:$R$171,'Analiz (Konsolide)'!E$104,'RD Fine Kinney (Konsolide)'!$T$8:$T$171,'Analiz (Konsolide)'!$B110,'RD Fine Kinney (Konsolide)'!$U$8:$U$171,"&gt;1.1.2000",'RD Fine Kinney (Konsolide)'!$W$8:$W$171,"&lt;&gt;")</f>
        <v>0</v>
      </c>
      <c r="F110" s="155">
        <f>COUNTIFS('RD Fine Kinney (Konsolide)'!$R$8:$R$171,'Analiz (Konsolide)'!F$104,'RD Fine Kinney (Konsolide)'!$T$8:$T$171,'Analiz (Konsolide)'!$B110,'RD Fine Kinney (Konsolide)'!$U$8:$U$171,"&gt;1.1.2000",'RD Fine Kinney (Konsolide)'!$W$8:$W$171,"&lt;&gt;")</f>
        <v>0</v>
      </c>
      <c r="G110" s="155">
        <f>COUNTIFS('RD Fine Kinney (Konsolide)'!$R$8:$R$171,'Analiz (Konsolide)'!G$104,'RD Fine Kinney (Konsolide)'!$T$8:$T$171,'Analiz (Konsolide)'!$B110,'RD Fine Kinney (Konsolide)'!$U$8:$U$171,"&gt;1.1.2000",'RD Fine Kinney (Konsolide)'!$W$8:$W$171,"&lt;&gt;")</f>
        <v>0</v>
      </c>
      <c r="H110" s="157">
        <f t="shared" si="3"/>
        <v>0</v>
      </c>
      <c r="I110" s="155">
        <f>COUNTIFS('RD Fine Kinney (Konsolide)'!$R$8:$R$171,'Analiz (Konsolide)'!I$104,'RD Fine Kinney (Konsolide)'!$T$8:$T$171,'Analiz (Konsolide)'!$B110,'RD Fine Kinney (Konsolide)'!$U$8:$U$171,"&gt;1.1.2000",'RD Fine Kinney (Konsolide)'!$W$8:$W$171,"")</f>
        <v>0</v>
      </c>
      <c r="J110" s="155">
        <f>COUNTIFS('RD Fine Kinney (Konsolide)'!$R$8:$R$171,'Analiz (Konsolide)'!J$104,'RD Fine Kinney (Konsolide)'!$T$8:$T$171,'Analiz (Konsolide)'!$B110,'RD Fine Kinney (Konsolide)'!$U$8:$U$171,"&gt;1.1.2000",'RD Fine Kinney (Konsolide)'!$W$8:$W$171,"")</f>
        <v>0</v>
      </c>
      <c r="K110" s="155">
        <f>COUNTIFS('RD Fine Kinney (Konsolide)'!$R$8:$R$171,'Analiz (Konsolide)'!K$104,'RD Fine Kinney (Konsolide)'!$T$8:$T$171,'Analiz (Konsolide)'!$B110,'RD Fine Kinney (Konsolide)'!$U$8:$U$171,"&gt;1.1.2000",'RD Fine Kinney (Konsolide)'!$W$8:$W$171,"")</f>
        <v>0</v>
      </c>
      <c r="L110" s="155">
        <f>COUNTIFS('RD Fine Kinney (Konsolide)'!$R$8:$R$171,'Analiz (Konsolide)'!L$104,'RD Fine Kinney (Konsolide)'!$T$8:$T$171,'Analiz (Konsolide)'!$B110,'RD Fine Kinney (Konsolide)'!$U$8:$U$171,"&gt;1.1.2000",'RD Fine Kinney (Konsolide)'!$W$8:$W$171,"")</f>
        <v>0</v>
      </c>
      <c r="M110" s="155">
        <f>COUNTIFS('RD Fine Kinney (Konsolide)'!$R$8:$R$171,'Analiz (Konsolide)'!M$104,'RD Fine Kinney (Konsolide)'!$T$8:$T$171,'Analiz (Konsolide)'!$B110,'RD Fine Kinney (Konsolide)'!$U$8:$U$171,"&gt;1.1.2000",'RD Fine Kinney (Konsolide)'!$W$8:$W$171,"")</f>
        <v>0</v>
      </c>
      <c r="N110" s="157">
        <f t="shared" si="4"/>
        <v>0</v>
      </c>
    </row>
    <row r="111" spans="2:14" ht="18" customHeight="1" thickTop="1" thickBot="1">
      <c r="B111" s="153" t="s">
        <v>353</v>
      </c>
      <c r="C111" s="155">
        <f>COUNTIFS('RD Fine Kinney (Konsolide)'!$R$8:$R$171,'Analiz (Konsolide)'!C$104,'RD Fine Kinney (Konsolide)'!$T$8:$T$171,'Analiz (Konsolide)'!$B111,'RD Fine Kinney (Konsolide)'!$U$8:$U$171,"&gt;1.1.2000",'RD Fine Kinney (Konsolide)'!$W$8:$W$171,"&lt;&gt;")</f>
        <v>0</v>
      </c>
      <c r="D111" s="155">
        <f>COUNTIFS('RD Fine Kinney (Konsolide)'!$R$8:$R$171,'Analiz (Konsolide)'!D$104,'RD Fine Kinney (Konsolide)'!$T$8:$T$171,'Analiz (Konsolide)'!$B111,'RD Fine Kinney (Konsolide)'!$U$8:$U$171,"&gt;1.1.2000",'RD Fine Kinney (Konsolide)'!$W$8:$W$171,"&lt;&gt;")</f>
        <v>0</v>
      </c>
      <c r="E111" s="155">
        <f>COUNTIFS('RD Fine Kinney (Konsolide)'!$R$8:$R$171,'Analiz (Konsolide)'!E$104,'RD Fine Kinney (Konsolide)'!$T$8:$T$171,'Analiz (Konsolide)'!$B111,'RD Fine Kinney (Konsolide)'!$U$8:$U$171,"&gt;1.1.2000",'RD Fine Kinney (Konsolide)'!$W$8:$W$171,"&lt;&gt;")</f>
        <v>0</v>
      </c>
      <c r="F111" s="155">
        <f>COUNTIFS('RD Fine Kinney (Konsolide)'!$R$8:$R$171,'Analiz (Konsolide)'!F$104,'RD Fine Kinney (Konsolide)'!$T$8:$T$171,'Analiz (Konsolide)'!$B111,'RD Fine Kinney (Konsolide)'!$U$8:$U$171,"&gt;1.1.2000",'RD Fine Kinney (Konsolide)'!$W$8:$W$171,"&lt;&gt;")</f>
        <v>0</v>
      </c>
      <c r="G111" s="155">
        <f>COUNTIFS('RD Fine Kinney (Konsolide)'!$R$8:$R$171,'Analiz (Konsolide)'!G$104,'RD Fine Kinney (Konsolide)'!$T$8:$T$171,'Analiz (Konsolide)'!$B111,'RD Fine Kinney (Konsolide)'!$U$8:$U$171,"&gt;1.1.2000",'RD Fine Kinney (Konsolide)'!$W$8:$W$171,"&lt;&gt;")</f>
        <v>0</v>
      </c>
      <c r="H111" s="157">
        <f t="shared" si="3"/>
        <v>0</v>
      </c>
      <c r="I111" s="155">
        <f>COUNTIFS('RD Fine Kinney (Konsolide)'!$R$8:$R$171,'Analiz (Konsolide)'!I$104,'RD Fine Kinney (Konsolide)'!$T$8:$T$171,'Analiz (Konsolide)'!$B111,'RD Fine Kinney (Konsolide)'!$U$8:$U$171,"&gt;1.1.2000",'RD Fine Kinney (Konsolide)'!$W$8:$W$171,"")</f>
        <v>0</v>
      </c>
      <c r="J111" s="155">
        <f>COUNTIFS('RD Fine Kinney (Konsolide)'!$R$8:$R$171,'Analiz (Konsolide)'!J$104,'RD Fine Kinney (Konsolide)'!$T$8:$T$171,'Analiz (Konsolide)'!$B111,'RD Fine Kinney (Konsolide)'!$U$8:$U$171,"&gt;1.1.2000",'RD Fine Kinney (Konsolide)'!$W$8:$W$171,"")</f>
        <v>0</v>
      </c>
      <c r="K111" s="155">
        <f>COUNTIFS('RD Fine Kinney (Konsolide)'!$R$8:$R$171,'Analiz (Konsolide)'!K$104,'RD Fine Kinney (Konsolide)'!$T$8:$T$171,'Analiz (Konsolide)'!$B111,'RD Fine Kinney (Konsolide)'!$U$8:$U$171,"&gt;1.1.2000",'RD Fine Kinney (Konsolide)'!$W$8:$W$171,"")</f>
        <v>0</v>
      </c>
      <c r="L111" s="155">
        <f>COUNTIFS('RD Fine Kinney (Konsolide)'!$R$8:$R$171,'Analiz (Konsolide)'!L$104,'RD Fine Kinney (Konsolide)'!$T$8:$T$171,'Analiz (Konsolide)'!$B111,'RD Fine Kinney (Konsolide)'!$U$8:$U$171,"&gt;1.1.2000",'RD Fine Kinney (Konsolide)'!$W$8:$W$171,"")</f>
        <v>0</v>
      </c>
      <c r="M111" s="155">
        <f>COUNTIFS('RD Fine Kinney (Konsolide)'!$R$8:$R$171,'Analiz (Konsolide)'!M$104,'RD Fine Kinney (Konsolide)'!$T$8:$T$171,'Analiz (Konsolide)'!$B111,'RD Fine Kinney (Konsolide)'!$U$8:$U$171,"&gt;1.1.2000",'RD Fine Kinney (Konsolide)'!$W$8:$W$171,"")</f>
        <v>0</v>
      </c>
      <c r="N111" s="157">
        <f t="shared" si="4"/>
        <v>0</v>
      </c>
    </row>
    <row r="112" spans="2:14" ht="18" customHeight="1" thickTop="1" thickBot="1">
      <c r="B112" s="153" t="s">
        <v>350</v>
      </c>
      <c r="C112" s="155">
        <f>COUNTIFS('RD Fine Kinney (Konsolide)'!$R$8:$R$171,'Analiz (Konsolide)'!C$104,'RD Fine Kinney (Konsolide)'!$T$8:$T$171,'Analiz (Konsolide)'!$B112,'RD Fine Kinney (Konsolide)'!$U$8:$U$171,"&gt;1.1.2000",'RD Fine Kinney (Konsolide)'!$W$8:$W$171,"&lt;&gt;")</f>
        <v>0</v>
      </c>
      <c r="D112" s="155">
        <f>COUNTIFS('RD Fine Kinney (Konsolide)'!$R$8:$R$171,'Analiz (Konsolide)'!D$104,'RD Fine Kinney (Konsolide)'!$T$8:$T$171,'Analiz (Konsolide)'!$B112,'RD Fine Kinney (Konsolide)'!$U$8:$U$171,"&gt;1.1.2000",'RD Fine Kinney (Konsolide)'!$W$8:$W$171,"&lt;&gt;")</f>
        <v>0</v>
      </c>
      <c r="E112" s="155">
        <f>COUNTIFS('RD Fine Kinney (Konsolide)'!$R$8:$R$171,'Analiz (Konsolide)'!E$104,'RD Fine Kinney (Konsolide)'!$T$8:$T$171,'Analiz (Konsolide)'!$B112,'RD Fine Kinney (Konsolide)'!$U$8:$U$171,"&gt;1.1.2000",'RD Fine Kinney (Konsolide)'!$W$8:$W$171,"&lt;&gt;")</f>
        <v>0</v>
      </c>
      <c r="F112" s="155">
        <f>COUNTIFS('RD Fine Kinney (Konsolide)'!$R$8:$R$171,'Analiz (Konsolide)'!F$104,'RD Fine Kinney (Konsolide)'!$T$8:$T$171,'Analiz (Konsolide)'!$B112,'RD Fine Kinney (Konsolide)'!$U$8:$U$171,"&gt;1.1.2000",'RD Fine Kinney (Konsolide)'!$W$8:$W$171,"&lt;&gt;")</f>
        <v>0</v>
      </c>
      <c r="G112" s="155">
        <f>COUNTIFS('RD Fine Kinney (Konsolide)'!$R$8:$R$171,'Analiz (Konsolide)'!G$104,'RD Fine Kinney (Konsolide)'!$T$8:$T$171,'Analiz (Konsolide)'!$B112,'RD Fine Kinney (Konsolide)'!$U$8:$U$171,"&gt;1.1.2000",'RD Fine Kinney (Konsolide)'!$W$8:$W$171,"&lt;&gt;")</f>
        <v>0</v>
      </c>
      <c r="H112" s="157">
        <f t="shared" si="3"/>
        <v>0</v>
      </c>
      <c r="I112" s="155">
        <f>COUNTIFS('RD Fine Kinney (Konsolide)'!$R$8:$R$171,'Analiz (Konsolide)'!I$104,'RD Fine Kinney (Konsolide)'!$T$8:$T$171,'Analiz (Konsolide)'!$B112,'RD Fine Kinney (Konsolide)'!$U$8:$U$171,"&gt;1.1.2000",'RD Fine Kinney (Konsolide)'!$W$8:$W$171,"")</f>
        <v>0</v>
      </c>
      <c r="J112" s="155">
        <f>COUNTIFS('RD Fine Kinney (Konsolide)'!$R$8:$R$171,'Analiz (Konsolide)'!J$104,'RD Fine Kinney (Konsolide)'!$T$8:$T$171,'Analiz (Konsolide)'!$B112,'RD Fine Kinney (Konsolide)'!$U$8:$U$171,"&gt;1.1.2000",'RD Fine Kinney (Konsolide)'!$W$8:$W$171,"")</f>
        <v>0</v>
      </c>
      <c r="K112" s="155">
        <f>COUNTIFS('RD Fine Kinney (Konsolide)'!$R$8:$R$171,'Analiz (Konsolide)'!K$104,'RD Fine Kinney (Konsolide)'!$T$8:$T$171,'Analiz (Konsolide)'!$B112,'RD Fine Kinney (Konsolide)'!$U$8:$U$171,"&gt;1.1.2000",'RD Fine Kinney (Konsolide)'!$W$8:$W$171,"")</f>
        <v>0</v>
      </c>
      <c r="L112" s="155">
        <f>COUNTIFS('RD Fine Kinney (Konsolide)'!$R$8:$R$171,'Analiz (Konsolide)'!L$104,'RD Fine Kinney (Konsolide)'!$T$8:$T$171,'Analiz (Konsolide)'!$B112,'RD Fine Kinney (Konsolide)'!$U$8:$U$171,"&gt;1.1.2000",'RD Fine Kinney (Konsolide)'!$W$8:$W$171,"")</f>
        <v>0</v>
      </c>
      <c r="M112" s="155">
        <f>COUNTIFS('RD Fine Kinney (Konsolide)'!$R$8:$R$171,'Analiz (Konsolide)'!M$104,'RD Fine Kinney (Konsolide)'!$T$8:$T$171,'Analiz (Konsolide)'!$B112,'RD Fine Kinney (Konsolide)'!$U$8:$U$171,"&gt;1.1.2000",'RD Fine Kinney (Konsolide)'!$W$8:$W$171,"")</f>
        <v>0</v>
      </c>
      <c r="N112" s="157">
        <f t="shared" si="4"/>
        <v>0</v>
      </c>
    </row>
    <row r="113" spans="2:14" ht="18" customHeight="1" thickTop="1" thickBot="1">
      <c r="B113" s="153" t="s">
        <v>348</v>
      </c>
      <c r="C113" s="155">
        <f>COUNTIFS('RD Fine Kinney (Konsolide)'!$R$8:$R$171,'Analiz (Konsolide)'!C$104,'RD Fine Kinney (Konsolide)'!$T$8:$T$171,'Analiz (Konsolide)'!$B113,'RD Fine Kinney (Konsolide)'!$U$8:$U$171,"&gt;1.1.2000",'RD Fine Kinney (Konsolide)'!$W$8:$W$171,"&lt;&gt;")</f>
        <v>0</v>
      </c>
      <c r="D113" s="155">
        <f>COUNTIFS('RD Fine Kinney (Konsolide)'!$R$8:$R$171,'Analiz (Konsolide)'!D$104,'RD Fine Kinney (Konsolide)'!$T$8:$T$171,'Analiz (Konsolide)'!$B113,'RD Fine Kinney (Konsolide)'!$U$8:$U$171,"&gt;1.1.2000",'RD Fine Kinney (Konsolide)'!$W$8:$W$171,"&lt;&gt;")</f>
        <v>0</v>
      </c>
      <c r="E113" s="155">
        <f>COUNTIFS('RD Fine Kinney (Konsolide)'!$R$8:$R$171,'Analiz (Konsolide)'!E$104,'RD Fine Kinney (Konsolide)'!$T$8:$T$171,'Analiz (Konsolide)'!$B113,'RD Fine Kinney (Konsolide)'!$U$8:$U$171,"&gt;1.1.2000",'RD Fine Kinney (Konsolide)'!$W$8:$W$171,"&lt;&gt;")</f>
        <v>0</v>
      </c>
      <c r="F113" s="155">
        <f>COUNTIFS('RD Fine Kinney (Konsolide)'!$R$8:$R$171,'Analiz (Konsolide)'!F$104,'RD Fine Kinney (Konsolide)'!$T$8:$T$171,'Analiz (Konsolide)'!$B113,'RD Fine Kinney (Konsolide)'!$U$8:$U$171,"&gt;1.1.2000",'RD Fine Kinney (Konsolide)'!$W$8:$W$171,"&lt;&gt;")</f>
        <v>0</v>
      </c>
      <c r="G113" s="155">
        <f>COUNTIFS('RD Fine Kinney (Konsolide)'!$R$8:$R$171,'Analiz (Konsolide)'!G$104,'RD Fine Kinney (Konsolide)'!$T$8:$T$171,'Analiz (Konsolide)'!$B113,'RD Fine Kinney (Konsolide)'!$U$8:$U$171,"&gt;1.1.2000",'RD Fine Kinney (Konsolide)'!$W$8:$W$171,"&lt;&gt;")</f>
        <v>0</v>
      </c>
      <c r="H113" s="157">
        <f t="shared" si="3"/>
        <v>0</v>
      </c>
      <c r="I113" s="155">
        <f>COUNTIFS('RD Fine Kinney (Konsolide)'!$R$8:$R$171,'Analiz (Konsolide)'!I$104,'RD Fine Kinney (Konsolide)'!$T$8:$T$171,'Analiz (Konsolide)'!$B113,'RD Fine Kinney (Konsolide)'!$U$8:$U$171,"&gt;1.1.2000",'RD Fine Kinney (Konsolide)'!$W$8:$W$171,"")</f>
        <v>0</v>
      </c>
      <c r="J113" s="155">
        <f>COUNTIFS('RD Fine Kinney (Konsolide)'!$R$8:$R$171,'Analiz (Konsolide)'!J$104,'RD Fine Kinney (Konsolide)'!$T$8:$T$171,'Analiz (Konsolide)'!$B113,'RD Fine Kinney (Konsolide)'!$U$8:$U$171,"&gt;1.1.2000",'RD Fine Kinney (Konsolide)'!$W$8:$W$171,"")</f>
        <v>0</v>
      </c>
      <c r="K113" s="155">
        <f>COUNTIFS('RD Fine Kinney (Konsolide)'!$R$8:$R$171,'Analiz (Konsolide)'!K$104,'RD Fine Kinney (Konsolide)'!$T$8:$T$171,'Analiz (Konsolide)'!$B113,'RD Fine Kinney (Konsolide)'!$U$8:$U$171,"&gt;1.1.2000",'RD Fine Kinney (Konsolide)'!$W$8:$W$171,"")</f>
        <v>0</v>
      </c>
      <c r="L113" s="155">
        <f>COUNTIFS('RD Fine Kinney (Konsolide)'!$R$8:$R$171,'Analiz (Konsolide)'!L$104,'RD Fine Kinney (Konsolide)'!$T$8:$T$171,'Analiz (Konsolide)'!$B113,'RD Fine Kinney (Konsolide)'!$U$8:$U$171,"&gt;1.1.2000",'RD Fine Kinney (Konsolide)'!$W$8:$W$171,"")</f>
        <v>0</v>
      </c>
      <c r="M113" s="155">
        <f>COUNTIFS('RD Fine Kinney (Konsolide)'!$R$8:$R$171,'Analiz (Konsolide)'!M$104,'RD Fine Kinney (Konsolide)'!$T$8:$T$171,'Analiz (Konsolide)'!$B113,'RD Fine Kinney (Konsolide)'!$U$8:$U$171,"&gt;1.1.2000",'RD Fine Kinney (Konsolide)'!$W$8:$W$171,"")</f>
        <v>0</v>
      </c>
      <c r="N113" s="157">
        <f t="shared" si="4"/>
        <v>0</v>
      </c>
    </row>
    <row r="114" spans="2:14" ht="18" customHeight="1" thickTop="1" thickBot="1">
      <c r="B114" s="153" t="s">
        <v>347</v>
      </c>
      <c r="C114" s="155">
        <f>COUNTIFS('RD Fine Kinney (Konsolide)'!$R$8:$R$171,'Analiz (Konsolide)'!C$104,'RD Fine Kinney (Konsolide)'!$T$8:$T$171,'Analiz (Konsolide)'!$B114,'RD Fine Kinney (Konsolide)'!$U$8:$U$171,"&gt;1.1.2000",'RD Fine Kinney (Konsolide)'!$W$8:$W$171,"&lt;&gt;")</f>
        <v>0</v>
      </c>
      <c r="D114" s="155">
        <f>COUNTIFS('RD Fine Kinney (Konsolide)'!$R$8:$R$171,'Analiz (Konsolide)'!D$104,'RD Fine Kinney (Konsolide)'!$T$8:$T$171,'Analiz (Konsolide)'!$B114,'RD Fine Kinney (Konsolide)'!$U$8:$U$171,"&gt;1.1.2000",'RD Fine Kinney (Konsolide)'!$W$8:$W$171,"&lt;&gt;")</f>
        <v>0</v>
      </c>
      <c r="E114" s="155">
        <f>COUNTIFS('RD Fine Kinney (Konsolide)'!$R$8:$R$171,'Analiz (Konsolide)'!E$104,'RD Fine Kinney (Konsolide)'!$T$8:$T$171,'Analiz (Konsolide)'!$B114,'RD Fine Kinney (Konsolide)'!$U$8:$U$171,"&gt;1.1.2000",'RD Fine Kinney (Konsolide)'!$W$8:$W$171,"&lt;&gt;")</f>
        <v>0</v>
      </c>
      <c r="F114" s="155">
        <f>COUNTIFS('RD Fine Kinney (Konsolide)'!$R$8:$R$171,'Analiz (Konsolide)'!F$104,'RD Fine Kinney (Konsolide)'!$T$8:$T$171,'Analiz (Konsolide)'!$B114,'RD Fine Kinney (Konsolide)'!$U$8:$U$171,"&gt;1.1.2000",'RD Fine Kinney (Konsolide)'!$W$8:$W$171,"&lt;&gt;")</f>
        <v>0</v>
      </c>
      <c r="G114" s="155">
        <f>COUNTIFS('RD Fine Kinney (Konsolide)'!$R$8:$R$171,'Analiz (Konsolide)'!G$104,'RD Fine Kinney (Konsolide)'!$T$8:$T$171,'Analiz (Konsolide)'!$B114,'RD Fine Kinney (Konsolide)'!$U$8:$U$171,"&gt;1.1.2000",'RD Fine Kinney (Konsolide)'!$W$8:$W$171,"&lt;&gt;")</f>
        <v>0</v>
      </c>
      <c r="H114" s="157">
        <f t="shared" si="3"/>
        <v>0</v>
      </c>
      <c r="I114" s="155">
        <f>COUNTIFS('RD Fine Kinney (Konsolide)'!$R$8:$R$171,'Analiz (Konsolide)'!I$104,'RD Fine Kinney (Konsolide)'!$T$8:$T$171,'Analiz (Konsolide)'!$B114,'RD Fine Kinney (Konsolide)'!$U$8:$U$171,"&gt;1.1.2000",'RD Fine Kinney (Konsolide)'!$W$8:$W$171,"")</f>
        <v>0</v>
      </c>
      <c r="J114" s="155">
        <f>COUNTIFS('RD Fine Kinney (Konsolide)'!$R$8:$R$171,'Analiz (Konsolide)'!J$104,'RD Fine Kinney (Konsolide)'!$T$8:$T$171,'Analiz (Konsolide)'!$B114,'RD Fine Kinney (Konsolide)'!$U$8:$U$171,"&gt;1.1.2000",'RD Fine Kinney (Konsolide)'!$W$8:$W$171,"")</f>
        <v>0</v>
      </c>
      <c r="K114" s="155">
        <f>COUNTIFS('RD Fine Kinney (Konsolide)'!$R$8:$R$171,'Analiz (Konsolide)'!K$104,'RD Fine Kinney (Konsolide)'!$T$8:$T$171,'Analiz (Konsolide)'!$B114,'RD Fine Kinney (Konsolide)'!$U$8:$U$171,"&gt;1.1.2000",'RD Fine Kinney (Konsolide)'!$W$8:$W$171,"")</f>
        <v>0</v>
      </c>
      <c r="L114" s="155">
        <f>COUNTIFS('RD Fine Kinney (Konsolide)'!$R$8:$R$171,'Analiz (Konsolide)'!L$104,'RD Fine Kinney (Konsolide)'!$T$8:$T$171,'Analiz (Konsolide)'!$B114,'RD Fine Kinney (Konsolide)'!$U$8:$U$171,"&gt;1.1.2000",'RD Fine Kinney (Konsolide)'!$W$8:$W$171,"")</f>
        <v>0</v>
      </c>
      <c r="M114" s="155">
        <f>COUNTIFS('RD Fine Kinney (Konsolide)'!$R$8:$R$171,'Analiz (Konsolide)'!M$104,'RD Fine Kinney (Konsolide)'!$T$8:$T$171,'Analiz (Konsolide)'!$B114,'RD Fine Kinney (Konsolide)'!$U$8:$U$171,"&gt;1.1.2000",'RD Fine Kinney (Konsolide)'!$W$8:$W$171,"")</f>
        <v>0</v>
      </c>
      <c r="N114" s="157">
        <f t="shared" si="4"/>
        <v>0</v>
      </c>
    </row>
    <row r="115" spans="2:14" ht="18" customHeight="1" thickTop="1" thickBot="1">
      <c r="B115" s="153" t="s">
        <v>358</v>
      </c>
      <c r="C115" s="155">
        <f>COUNTIFS('RD Fine Kinney (Konsolide)'!$R$8:$R$171,'Analiz (Konsolide)'!C$104,'RD Fine Kinney (Konsolide)'!$T$8:$T$171,'Analiz (Konsolide)'!$B115,'RD Fine Kinney (Konsolide)'!$U$8:$U$171,"&gt;1.1.2000",'RD Fine Kinney (Konsolide)'!$W$8:$W$171,"&lt;&gt;")</f>
        <v>0</v>
      </c>
      <c r="D115" s="155">
        <f>COUNTIFS('RD Fine Kinney (Konsolide)'!$R$8:$R$171,'Analiz (Konsolide)'!D$104,'RD Fine Kinney (Konsolide)'!$T$8:$T$171,'Analiz (Konsolide)'!$B115,'RD Fine Kinney (Konsolide)'!$U$8:$U$171,"&gt;1.1.2000",'RD Fine Kinney (Konsolide)'!$W$8:$W$171,"&lt;&gt;")</f>
        <v>0</v>
      </c>
      <c r="E115" s="155">
        <f>COUNTIFS('RD Fine Kinney (Konsolide)'!$R$8:$R$171,'Analiz (Konsolide)'!E$104,'RD Fine Kinney (Konsolide)'!$T$8:$T$171,'Analiz (Konsolide)'!$B115,'RD Fine Kinney (Konsolide)'!$U$8:$U$171,"&gt;1.1.2000",'RD Fine Kinney (Konsolide)'!$W$8:$W$171,"&lt;&gt;")</f>
        <v>0</v>
      </c>
      <c r="F115" s="155">
        <f>COUNTIFS('RD Fine Kinney (Konsolide)'!$R$8:$R$171,'Analiz (Konsolide)'!F$104,'RD Fine Kinney (Konsolide)'!$T$8:$T$171,'Analiz (Konsolide)'!$B115,'RD Fine Kinney (Konsolide)'!$U$8:$U$171,"&gt;1.1.2000",'RD Fine Kinney (Konsolide)'!$W$8:$W$171,"&lt;&gt;")</f>
        <v>0</v>
      </c>
      <c r="G115" s="155">
        <f>COUNTIFS('RD Fine Kinney (Konsolide)'!$R$8:$R$171,'Analiz (Konsolide)'!G$104,'RD Fine Kinney (Konsolide)'!$T$8:$T$171,'Analiz (Konsolide)'!$B115,'RD Fine Kinney (Konsolide)'!$U$8:$U$171,"&gt;1.1.2000",'RD Fine Kinney (Konsolide)'!$W$8:$W$171,"&lt;&gt;")</f>
        <v>0</v>
      </c>
      <c r="H115" s="157">
        <f t="shared" si="3"/>
        <v>0</v>
      </c>
      <c r="I115" s="155">
        <f>COUNTIFS('RD Fine Kinney (Konsolide)'!$R$8:$R$171,'Analiz (Konsolide)'!I$104,'RD Fine Kinney (Konsolide)'!$T$8:$T$171,'Analiz (Konsolide)'!$B115,'RD Fine Kinney (Konsolide)'!$U$8:$U$171,"&gt;1.1.2000",'RD Fine Kinney (Konsolide)'!$W$8:$W$171,"")</f>
        <v>0</v>
      </c>
      <c r="J115" s="155">
        <f>COUNTIFS('RD Fine Kinney (Konsolide)'!$R$8:$R$171,'Analiz (Konsolide)'!J$104,'RD Fine Kinney (Konsolide)'!$T$8:$T$171,'Analiz (Konsolide)'!$B115,'RD Fine Kinney (Konsolide)'!$U$8:$U$171,"&gt;1.1.2000",'RD Fine Kinney (Konsolide)'!$W$8:$W$171,"")</f>
        <v>0</v>
      </c>
      <c r="K115" s="155">
        <f>COUNTIFS('RD Fine Kinney (Konsolide)'!$R$8:$R$171,'Analiz (Konsolide)'!K$104,'RD Fine Kinney (Konsolide)'!$T$8:$T$171,'Analiz (Konsolide)'!$B115,'RD Fine Kinney (Konsolide)'!$U$8:$U$171,"&gt;1.1.2000",'RD Fine Kinney (Konsolide)'!$W$8:$W$171,"")</f>
        <v>0</v>
      </c>
      <c r="L115" s="155">
        <f>COUNTIFS('RD Fine Kinney (Konsolide)'!$R$8:$R$171,'Analiz (Konsolide)'!L$104,'RD Fine Kinney (Konsolide)'!$T$8:$T$171,'Analiz (Konsolide)'!$B115,'RD Fine Kinney (Konsolide)'!$U$8:$U$171,"&gt;1.1.2000",'RD Fine Kinney (Konsolide)'!$W$8:$W$171,"")</f>
        <v>0</v>
      </c>
      <c r="M115" s="155">
        <f>COUNTIFS('RD Fine Kinney (Konsolide)'!$R$8:$R$171,'Analiz (Konsolide)'!M$104,'RD Fine Kinney (Konsolide)'!$T$8:$T$171,'Analiz (Konsolide)'!$B115,'RD Fine Kinney (Konsolide)'!$U$8:$U$171,"&gt;1.1.2000",'RD Fine Kinney (Konsolide)'!$W$8:$W$171,"")</f>
        <v>0</v>
      </c>
      <c r="N115" s="157">
        <f t="shared" si="4"/>
        <v>0</v>
      </c>
    </row>
    <row r="116" spans="2:14" ht="18" customHeight="1" thickTop="1" thickBot="1">
      <c r="B116" s="153" t="s">
        <v>73</v>
      </c>
      <c r="C116" s="155">
        <f>COUNTIFS('RD Fine Kinney (Konsolide)'!$R$8:$R$171,'Analiz (Konsolide)'!C$104,'RD Fine Kinney (Konsolide)'!$T$8:$T$171,'Analiz (Konsolide)'!$B116,'RD Fine Kinney (Konsolide)'!$U$8:$U$171,"&gt;1.1.2000",'RD Fine Kinney (Konsolide)'!$W$8:$W$171,"&lt;&gt;")</f>
        <v>0</v>
      </c>
      <c r="D116" s="155">
        <f>COUNTIFS('RD Fine Kinney (Konsolide)'!$R$8:$R$171,'Analiz (Konsolide)'!D$104,'RD Fine Kinney (Konsolide)'!$T$8:$T$171,'Analiz (Konsolide)'!$B116,'RD Fine Kinney (Konsolide)'!$U$8:$U$171,"&gt;1.1.2000",'RD Fine Kinney (Konsolide)'!$W$8:$W$171,"&lt;&gt;")</f>
        <v>0</v>
      </c>
      <c r="E116" s="155">
        <f>COUNTIFS('RD Fine Kinney (Konsolide)'!$R$8:$R$171,'Analiz (Konsolide)'!E$104,'RD Fine Kinney (Konsolide)'!$T$8:$T$171,'Analiz (Konsolide)'!$B116,'RD Fine Kinney (Konsolide)'!$U$8:$U$171,"&gt;1.1.2000",'RD Fine Kinney (Konsolide)'!$W$8:$W$171,"&lt;&gt;")</f>
        <v>0</v>
      </c>
      <c r="F116" s="155">
        <f>COUNTIFS('RD Fine Kinney (Konsolide)'!$R$8:$R$171,'Analiz (Konsolide)'!F$104,'RD Fine Kinney (Konsolide)'!$T$8:$T$171,'Analiz (Konsolide)'!$B116,'RD Fine Kinney (Konsolide)'!$U$8:$U$171,"&gt;1.1.2000",'RD Fine Kinney (Konsolide)'!$W$8:$W$171,"&lt;&gt;")</f>
        <v>0</v>
      </c>
      <c r="G116" s="155">
        <f>COUNTIFS('RD Fine Kinney (Konsolide)'!$R$8:$R$171,'Analiz (Konsolide)'!G$104,'RD Fine Kinney (Konsolide)'!$T$8:$T$171,'Analiz (Konsolide)'!$B116,'RD Fine Kinney (Konsolide)'!$U$8:$U$171,"&gt;1.1.2000",'RD Fine Kinney (Konsolide)'!$W$8:$W$171,"&lt;&gt;")</f>
        <v>0</v>
      </c>
      <c r="H116" s="157">
        <f t="shared" si="3"/>
        <v>0</v>
      </c>
      <c r="I116" s="155">
        <f>COUNTIFS('RD Fine Kinney (Konsolide)'!$R$8:$R$171,'Analiz (Konsolide)'!I$104,'RD Fine Kinney (Konsolide)'!$T$8:$T$171,'Analiz (Konsolide)'!$B116,'RD Fine Kinney (Konsolide)'!$U$8:$U$171,"&gt;1.1.2000",'RD Fine Kinney (Konsolide)'!$W$8:$W$171,"")</f>
        <v>0</v>
      </c>
      <c r="J116" s="155">
        <f>COUNTIFS('RD Fine Kinney (Konsolide)'!$R$8:$R$171,'Analiz (Konsolide)'!J$104,'RD Fine Kinney (Konsolide)'!$T$8:$T$171,'Analiz (Konsolide)'!$B116,'RD Fine Kinney (Konsolide)'!$U$8:$U$171,"&gt;1.1.2000",'RD Fine Kinney (Konsolide)'!$W$8:$W$171,"")</f>
        <v>0</v>
      </c>
      <c r="K116" s="155">
        <f>COUNTIFS('RD Fine Kinney (Konsolide)'!$R$8:$R$171,'Analiz (Konsolide)'!K$104,'RD Fine Kinney (Konsolide)'!$T$8:$T$171,'Analiz (Konsolide)'!$B116,'RD Fine Kinney (Konsolide)'!$U$8:$U$171,"&gt;1.1.2000",'RD Fine Kinney (Konsolide)'!$W$8:$W$171,"")</f>
        <v>0</v>
      </c>
      <c r="L116" s="155">
        <f>COUNTIFS('RD Fine Kinney (Konsolide)'!$R$8:$R$171,'Analiz (Konsolide)'!L$104,'RD Fine Kinney (Konsolide)'!$T$8:$T$171,'Analiz (Konsolide)'!$B116,'RD Fine Kinney (Konsolide)'!$U$8:$U$171,"&gt;1.1.2000",'RD Fine Kinney (Konsolide)'!$W$8:$W$171,"")</f>
        <v>0</v>
      </c>
      <c r="M116" s="155">
        <f>COUNTIFS('RD Fine Kinney (Konsolide)'!$R$8:$R$171,'Analiz (Konsolide)'!M$104,'RD Fine Kinney (Konsolide)'!$T$8:$T$171,'Analiz (Konsolide)'!$B116,'RD Fine Kinney (Konsolide)'!$U$8:$U$171,"&gt;1.1.2000",'RD Fine Kinney (Konsolide)'!$W$8:$W$171,"")</f>
        <v>0</v>
      </c>
      <c r="N116" s="157">
        <f t="shared" si="4"/>
        <v>0</v>
      </c>
    </row>
    <row r="117" spans="2:14" ht="18" customHeight="1" thickTop="1" thickBot="1">
      <c r="B117" s="153" t="s">
        <v>308</v>
      </c>
      <c r="C117" s="155">
        <f>COUNTIFS('RD Fine Kinney (Konsolide)'!$R$8:$R$171,'Analiz (Konsolide)'!C$104,'RD Fine Kinney (Konsolide)'!$T$8:$T$171,'Analiz (Konsolide)'!$B117,'RD Fine Kinney (Konsolide)'!$U$8:$U$171,"&gt;1.1.2000",'RD Fine Kinney (Konsolide)'!$W$8:$W$171,"&lt;&gt;")</f>
        <v>0</v>
      </c>
      <c r="D117" s="155">
        <f>COUNTIFS('RD Fine Kinney (Konsolide)'!$R$8:$R$171,'Analiz (Konsolide)'!D$104,'RD Fine Kinney (Konsolide)'!$T$8:$T$171,'Analiz (Konsolide)'!$B117,'RD Fine Kinney (Konsolide)'!$U$8:$U$171,"&gt;1.1.2000",'RD Fine Kinney (Konsolide)'!$W$8:$W$171,"&lt;&gt;")</f>
        <v>0</v>
      </c>
      <c r="E117" s="155">
        <f>COUNTIFS('RD Fine Kinney (Konsolide)'!$R$8:$R$171,'Analiz (Konsolide)'!E$104,'RD Fine Kinney (Konsolide)'!$T$8:$T$171,'Analiz (Konsolide)'!$B117,'RD Fine Kinney (Konsolide)'!$U$8:$U$171,"&gt;1.1.2000",'RD Fine Kinney (Konsolide)'!$W$8:$W$171,"&lt;&gt;")</f>
        <v>0</v>
      </c>
      <c r="F117" s="155">
        <f>COUNTIFS('RD Fine Kinney (Konsolide)'!$R$8:$R$171,'Analiz (Konsolide)'!F$104,'RD Fine Kinney (Konsolide)'!$T$8:$T$171,'Analiz (Konsolide)'!$B117,'RD Fine Kinney (Konsolide)'!$U$8:$U$171,"&gt;1.1.2000",'RD Fine Kinney (Konsolide)'!$W$8:$W$171,"&lt;&gt;")</f>
        <v>0</v>
      </c>
      <c r="G117" s="155">
        <f>COUNTIFS('RD Fine Kinney (Konsolide)'!$R$8:$R$171,'Analiz (Konsolide)'!G$104,'RD Fine Kinney (Konsolide)'!$T$8:$T$171,'Analiz (Konsolide)'!$B117,'RD Fine Kinney (Konsolide)'!$U$8:$U$171,"&gt;1.1.2000",'RD Fine Kinney (Konsolide)'!$W$8:$W$171,"&lt;&gt;")</f>
        <v>0</v>
      </c>
      <c r="H117" s="157">
        <f t="shared" si="3"/>
        <v>0</v>
      </c>
      <c r="I117" s="155">
        <f>COUNTIFS('RD Fine Kinney (Konsolide)'!$R$8:$R$171,'Analiz (Konsolide)'!I$104,'RD Fine Kinney (Konsolide)'!$T$8:$T$171,'Analiz (Konsolide)'!$B117,'RD Fine Kinney (Konsolide)'!$U$8:$U$171,"&gt;1.1.2000",'RD Fine Kinney (Konsolide)'!$W$8:$W$171,"")</f>
        <v>0</v>
      </c>
      <c r="J117" s="155">
        <f>COUNTIFS('RD Fine Kinney (Konsolide)'!$R$8:$R$171,'Analiz (Konsolide)'!J$104,'RD Fine Kinney (Konsolide)'!$T$8:$T$171,'Analiz (Konsolide)'!$B117,'RD Fine Kinney (Konsolide)'!$U$8:$U$171,"&gt;1.1.2000",'RD Fine Kinney (Konsolide)'!$W$8:$W$171,"")</f>
        <v>0</v>
      </c>
      <c r="K117" s="155">
        <f>COUNTIFS('RD Fine Kinney (Konsolide)'!$R$8:$R$171,'Analiz (Konsolide)'!K$104,'RD Fine Kinney (Konsolide)'!$T$8:$T$171,'Analiz (Konsolide)'!$B117,'RD Fine Kinney (Konsolide)'!$U$8:$U$171,"&gt;1.1.2000",'RD Fine Kinney (Konsolide)'!$W$8:$W$171,"")</f>
        <v>0</v>
      </c>
      <c r="L117" s="155">
        <f>COUNTIFS('RD Fine Kinney (Konsolide)'!$R$8:$R$171,'Analiz (Konsolide)'!L$104,'RD Fine Kinney (Konsolide)'!$T$8:$T$171,'Analiz (Konsolide)'!$B117,'RD Fine Kinney (Konsolide)'!$U$8:$U$171,"&gt;1.1.2000",'RD Fine Kinney (Konsolide)'!$W$8:$W$171,"")</f>
        <v>0</v>
      </c>
      <c r="M117" s="155">
        <f>COUNTIFS('RD Fine Kinney (Konsolide)'!$R$8:$R$171,'Analiz (Konsolide)'!M$104,'RD Fine Kinney (Konsolide)'!$T$8:$T$171,'Analiz (Konsolide)'!$B117,'RD Fine Kinney (Konsolide)'!$U$8:$U$171,"&gt;1.1.2000",'RD Fine Kinney (Konsolide)'!$W$8:$W$171,"")</f>
        <v>0</v>
      </c>
      <c r="N117" s="157">
        <f t="shared" si="4"/>
        <v>0</v>
      </c>
    </row>
    <row r="118" spans="2:14" ht="16" thickTop="1"/>
  </sheetData>
  <sheetProtection algorithmName="SHA-512" hashValue="vgcMGpVJgNuexaQ4oEVcHDxJHvFtXiAisZ5GZ+ZgANNnU70XmLxr38VnpSWwSgCSFzhEqV5kHQ8Qii4aHkulPg==" saltValue="wAL2ul1cDlgEFfUSntNXLg==" spinCount="100000" sheet="1" scenarios="1"/>
  <mergeCells count="6">
    <mergeCell ref="B2:N3"/>
    <mergeCell ref="C5:H5"/>
    <mergeCell ref="I5:N5"/>
    <mergeCell ref="B80:N81"/>
    <mergeCell ref="C103:H103"/>
    <mergeCell ref="I103:N103"/>
  </mergeCells>
  <pageMargins left="0.7" right="0.7" top="0.75" bottom="0.75" header="0.3" footer="0.3"/>
  <pageSetup paperSize="8" fitToHeight="0" orientation="landscape" r:id="rId1"/>
  <ignoredErrors>
    <ignoredError sqref="H40" formula="1"/>
  </ignoredError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AF29"/>
  <sheetViews>
    <sheetView showGridLines="0" zoomScale="65" zoomScaleNormal="65" workbookViewId="0">
      <selection activeCell="T29" sqref="T29"/>
    </sheetView>
  </sheetViews>
  <sheetFormatPr baseColWidth="10" defaultColWidth="8.6640625" defaultRowHeight="14"/>
  <cols>
    <col min="1" max="1" width="3.5" style="49" customWidth="1"/>
    <col min="2" max="2" width="12.5" style="49" customWidth="1"/>
    <col min="3" max="3" width="1.5" style="49" customWidth="1"/>
    <col min="4" max="4" width="14.1640625" style="49" customWidth="1"/>
    <col min="5" max="5" width="1.5" style="49" customWidth="1"/>
    <col min="6" max="6" width="14.1640625" style="49" customWidth="1"/>
    <col min="7" max="7" width="1.5" style="49" customWidth="1"/>
    <col min="8" max="8" width="14.1640625" style="49" customWidth="1"/>
    <col min="9" max="9" width="1.5" style="49" customWidth="1"/>
    <col min="10" max="10" width="14.1640625" style="49" customWidth="1"/>
    <col min="11" max="11" width="1.5" style="49" customWidth="1"/>
    <col min="12" max="12" width="14.1640625" style="49" customWidth="1"/>
    <col min="13" max="13" width="1.5" style="49" customWidth="1"/>
    <col min="14" max="14" width="12.5" style="49" customWidth="1"/>
    <col min="15" max="15" width="1.5" style="49" customWidth="1"/>
    <col min="16" max="16" width="14.1640625" style="49" customWidth="1"/>
    <col min="17" max="17" width="1.5" style="49" customWidth="1"/>
    <col min="18" max="18" width="14.1640625" style="49" customWidth="1"/>
    <col min="19" max="19" width="1.5" style="49" customWidth="1"/>
    <col min="20" max="20" width="70.5" style="49" customWidth="1"/>
    <col min="21" max="21" width="1.5" style="49" customWidth="1"/>
    <col min="22" max="22" width="14.1640625" style="49" customWidth="1"/>
    <col min="23" max="23" width="1.5" style="49" customWidth="1"/>
    <col min="24" max="24" width="14.1640625" style="49" customWidth="1"/>
    <col min="25" max="25" width="1.5" style="49" customWidth="1"/>
    <col min="26" max="26" width="14.1640625" style="49" customWidth="1"/>
    <col min="27" max="27" width="11.5" style="49" customWidth="1"/>
    <col min="28" max="28" width="1.5" style="49" customWidth="1"/>
    <col min="29" max="29" width="27.5" style="49" customWidth="1"/>
    <col min="30" max="30" width="1.5" style="49" customWidth="1"/>
    <col min="31" max="31" width="48.5" style="49" customWidth="1"/>
    <col min="32" max="32" width="3.5" style="49" customWidth="1"/>
    <col min="33" max="16384" width="8.6640625" style="49"/>
  </cols>
  <sheetData>
    <row r="1" spans="2:32" ht="40" customHeight="1">
      <c r="B1" s="287" t="s">
        <v>178</v>
      </c>
      <c r="C1" s="287"/>
      <c r="D1" s="287"/>
      <c r="E1" s="287"/>
      <c r="F1" s="287"/>
      <c r="G1" s="287"/>
      <c r="H1" s="287"/>
      <c r="I1" s="287"/>
      <c r="J1" s="287"/>
      <c r="K1" s="287"/>
      <c r="L1" s="287"/>
      <c r="M1" s="287"/>
      <c r="N1" s="287"/>
      <c r="O1" s="287"/>
      <c r="P1" s="287"/>
      <c r="Q1" s="287"/>
      <c r="R1" s="287"/>
      <c r="S1" s="287"/>
      <c r="T1" s="287"/>
      <c r="U1" s="50"/>
      <c r="V1" s="50"/>
      <c r="W1" s="50"/>
      <c r="X1" s="50"/>
      <c r="Y1" s="50"/>
      <c r="Z1" s="50"/>
      <c r="AA1" s="50"/>
      <c r="AB1" s="50"/>
      <c r="AC1" s="50"/>
      <c r="AD1" s="50"/>
      <c r="AE1" s="50"/>
    </row>
    <row r="2" spans="2:32">
      <c r="U2" s="50"/>
      <c r="V2" s="50"/>
      <c r="W2" s="50"/>
      <c r="X2" s="50"/>
      <c r="Y2" s="50"/>
      <c r="Z2" s="50"/>
      <c r="AA2" s="50"/>
      <c r="AB2" s="50"/>
      <c r="AC2" s="50"/>
      <c r="AD2" s="50"/>
      <c r="AE2" s="50"/>
    </row>
    <row r="3" spans="2:32" s="51" customFormat="1" ht="50.25" customHeight="1">
      <c r="B3" s="54" t="s">
        <v>77</v>
      </c>
      <c r="C3" s="52"/>
      <c r="D3" s="353" t="s">
        <v>179</v>
      </c>
      <c r="E3" s="353"/>
      <c r="F3" s="354"/>
      <c r="G3" s="52"/>
      <c r="H3" s="361" t="s">
        <v>180</v>
      </c>
      <c r="I3" s="362"/>
      <c r="J3" s="362"/>
      <c r="K3" s="362"/>
      <c r="L3" s="363"/>
      <c r="M3" s="52"/>
      <c r="N3" s="60" t="s">
        <v>93</v>
      </c>
      <c r="O3" s="52"/>
      <c r="P3" s="367" t="s">
        <v>94</v>
      </c>
      <c r="Q3" s="368"/>
      <c r="R3" s="369"/>
      <c r="S3" s="52"/>
      <c r="T3" s="60" t="s">
        <v>180</v>
      </c>
      <c r="U3" s="50"/>
      <c r="V3" s="50"/>
      <c r="W3" s="50"/>
      <c r="X3" s="50"/>
      <c r="Y3" s="50"/>
      <c r="Z3" s="50"/>
      <c r="AA3" s="50"/>
      <c r="AB3" s="50"/>
      <c r="AC3" s="50"/>
      <c r="AD3" s="50"/>
      <c r="AE3" s="50"/>
      <c r="AF3" s="49"/>
    </row>
    <row r="4" spans="2:32" ht="3" customHeight="1">
      <c r="B4" s="50"/>
      <c r="C4" s="50"/>
      <c r="D4" s="50"/>
      <c r="E4" s="50"/>
      <c r="F4" s="50"/>
      <c r="G4" s="50"/>
      <c r="H4" s="50"/>
      <c r="I4" s="50"/>
      <c r="J4" s="50"/>
      <c r="K4" s="50"/>
      <c r="L4" s="50"/>
      <c r="M4" s="50"/>
      <c r="N4" s="50"/>
      <c r="O4" s="50"/>
      <c r="P4" s="50"/>
      <c r="Q4" s="50"/>
      <c r="R4" s="50"/>
      <c r="S4" s="50"/>
      <c r="T4" s="50"/>
      <c r="U4" s="50"/>
      <c r="V4" s="50"/>
      <c r="W4" s="50"/>
      <c r="X4" s="50"/>
      <c r="Y4" s="50"/>
      <c r="Z4" s="50"/>
      <c r="AA4" s="50"/>
      <c r="AB4" s="50"/>
      <c r="AC4" s="50"/>
      <c r="AD4" s="50"/>
      <c r="AE4" s="50"/>
    </row>
    <row r="5" spans="2:32" ht="35.25" customHeight="1">
      <c r="B5" s="55">
        <v>1</v>
      </c>
      <c r="C5" s="50"/>
      <c r="D5" s="355" t="s">
        <v>181</v>
      </c>
      <c r="E5" s="356"/>
      <c r="F5" s="357"/>
      <c r="G5" s="50"/>
      <c r="H5" s="355" t="s">
        <v>222</v>
      </c>
      <c r="I5" s="356"/>
      <c r="J5" s="356"/>
      <c r="K5" s="356"/>
      <c r="L5" s="357"/>
      <c r="M5" s="50"/>
      <c r="N5" s="61">
        <v>1</v>
      </c>
      <c r="O5" s="50"/>
      <c r="P5" s="364" t="s">
        <v>188</v>
      </c>
      <c r="Q5" s="365"/>
      <c r="R5" s="366"/>
      <c r="S5" s="50"/>
      <c r="T5" s="59" t="s">
        <v>192</v>
      </c>
      <c r="U5" s="50"/>
      <c r="V5" s="50"/>
      <c r="W5" s="50"/>
      <c r="X5" s="50"/>
      <c r="Y5" s="50"/>
      <c r="Z5" s="50"/>
      <c r="AA5" s="50"/>
      <c r="AB5" s="50"/>
      <c r="AC5" s="50"/>
      <c r="AD5" s="50"/>
      <c r="AE5" s="50"/>
    </row>
    <row r="6" spans="2:32" ht="3" customHeight="1">
      <c r="B6" s="50"/>
      <c r="C6" s="50"/>
      <c r="D6" s="50"/>
      <c r="E6" s="50"/>
      <c r="F6" s="50"/>
      <c r="G6" s="50"/>
      <c r="H6" s="50"/>
      <c r="I6" s="50"/>
      <c r="J6" s="50"/>
      <c r="K6" s="50"/>
      <c r="L6" s="50"/>
      <c r="M6" s="50"/>
      <c r="N6" s="50"/>
      <c r="O6" s="50"/>
      <c r="P6" s="50"/>
      <c r="Q6" s="50"/>
      <c r="R6" s="50"/>
      <c r="S6" s="50"/>
      <c r="T6" s="52"/>
      <c r="U6" s="50"/>
      <c r="V6" s="50"/>
      <c r="W6" s="50"/>
      <c r="X6" s="50"/>
      <c r="Y6" s="50"/>
      <c r="Z6" s="50"/>
      <c r="AA6" s="50"/>
      <c r="AB6" s="50"/>
      <c r="AC6" s="50"/>
      <c r="AD6" s="50"/>
      <c r="AE6" s="50"/>
    </row>
    <row r="7" spans="2:32" ht="35.25" customHeight="1">
      <c r="B7" s="55">
        <v>2</v>
      </c>
      <c r="C7" s="50"/>
      <c r="D7" s="358" t="s">
        <v>182</v>
      </c>
      <c r="E7" s="359"/>
      <c r="F7" s="360"/>
      <c r="G7" s="50"/>
      <c r="H7" s="355" t="s">
        <v>186</v>
      </c>
      <c r="I7" s="356"/>
      <c r="J7" s="356"/>
      <c r="K7" s="356"/>
      <c r="L7" s="357"/>
      <c r="M7" s="50"/>
      <c r="N7" s="61">
        <v>2</v>
      </c>
      <c r="O7" s="50"/>
      <c r="P7" s="364" t="s">
        <v>189</v>
      </c>
      <c r="Q7" s="365"/>
      <c r="R7" s="366"/>
      <c r="S7" s="50"/>
      <c r="T7" s="59" t="s">
        <v>193</v>
      </c>
      <c r="U7" s="50"/>
      <c r="V7" s="50"/>
      <c r="W7" s="50"/>
      <c r="X7" s="50"/>
      <c r="Y7" s="50"/>
      <c r="Z7" s="50"/>
      <c r="AA7" s="50"/>
      <c r="AB7" s="50"/>
      <c r="AC7" s="50"/>
      <c r="AD7" s="50"/>
      <c r="AE7" s="50"/>
    </row>
    <row r="8" spans="2:32" ht="3" customHeight="1">
      <c r="B8" s="50"/>
      <c r="C8" s="50"/>
      <c r="D8" s="50"/>
      <c r="E8" s="50"/>
      <c r="F8" s="50"/>
      <c r="G8" s="50"/>
      <c r="H8" s="50"/>
      <c r="I8" s="50"/>
      <c r="J8" s="50"/>
      <c r="K8" s="50"/>
      <c r="L8" s="50"/>
      <c r="M8" s="50"/>
      <c r="N8" s="50"/>
      <c r="O8" s="50"/>
      <c r="P8" s="50"/>
      <c r="Q8" s="50"/>
      <c r="R8" s="50"/>
      <c r="S8" s="50"/>
      <c r="T8" s="52"/>
      <c r="U8" s="50"/>
      <c r="V8" s="50"/>
      <c r="W8" s="50"/>
      <c r="X8" s="50"/>
      <c r="Y8" s="50"/>
      <c r="Z8" s="50"/>
      <c r="AA8" s="50"/>
      <c r="AB8" s="50"/>
      <c r="AC8" s="50"/>
      <c r="AD8" s="50"/>
      <c r="AE8" s="50"/>
    </row>
    <row r="9" spans="2:32" ht="35.25" customHeight="1">
      <c r="B9" s="55">
        <v>3</v>
      </c>
      <c r="C9" s="50"/>
      <c r="D9" s="355" t="s">
        <v>183</v>
      </c>
      <c r="E9" s="356"/>
      <c r="F9" s="357"/>
      <c r="G9" s="50"/>
      <c r="H9" s="355" t="s">
        <v>224</v>
      </c>
      <c r="I9" s="356"/>
      <c r="J9" s="356"/>
      <c r="K9" s="356"/>
      <c r="L9" s="357"/>
      <c r="M9" s="50"/>
      <c r="N9" s="61">
        <v>3</v>
      </c>
      <c r="O9" s="50"/>
      <c r="P9" s="364" t="s">
        <v>183</v>
      </c>
      <c r="Q9" s="365"/>
      <c r="R9" s="366"/>
      <c r="S9" s="50"/>
      <c r="T9" s="59" t="s">
        <v>194</v>
      </c>
      <c r="U9" s="50"/>
      <c r="V9" s="50"/>
      <c r="W9" s="50"/>
      <c r="X9" s="50"/>
      <c r="Y9" s="50"/>
      <c r="Z9" s="50"/>
      <c r="AA9" s="50"/>
      <c r="AB9" s="50"/>
      <c r="AC9" s="50"/>
      <c r="AD9" s="50"/>
      <c r="AE9" s="50"/>
    </row>
    <row r="10" spans="2:32" ht="3" customHeight="1">
      <c r="B10" s="50"/>
      <c r="C10" s="50"/>
      <c r="D10" s="50"/>
      <c r="E10" s="50"/>
      <c r="F10" s="50"/>
      <c r="G10" s="50"/>
      <c r="H10" s="50"/>
      <c r="I10" s="50"/>
      <c r="J10" s="50"/>
      <c r="K10" s="50"/>
      <c r="L10" s="50"/>
      <c r="M10" s="50"/>
      <c r="N10" s="50"/>
      <c r="O10" s="50"/>
      <c r="P10" s="50"/>
      <c r="Q10" s="50"/>
      <c r="R10" s="50"/>
      <c r="S10" s="50"/>
      <c r="T10" s="52"/>
      <c r="U10" s="50"/>
      <c r="V10" s="50"/>
      <c r="W10" s="50"/>
      <c r="X10" s="50"/>
      <c r="Y10" s="50"/>
      <c r="Z10" s="50"/>
      <c r="AA10" s="50"/>
      <c r="AB10" s="50"/>
      <c r="AC10" s="50"/>
      <c r="AD10" s="50"/>
      <c r="AE10" s="50"/>
    </row>
    <row r="11" spans="2:32" ht="35.25" customHeight="1">
      <c r="B11" s="55">
        <v>4</v>
      </c>
      <c r="C11" s="50"/>
      <c r="D11" s="355" t="s">
        <v>184</v>
      </c>
      <c r="E11" s="356"/>
      <c r="F11" s="357"/>
      <c r="G11" s="50"/>
      <c r="H11" s="355" t="s">
        <v>223</v>
      </c>
      <c r="I11" s="356"/>
      <c r="J11" s="356"/>
      <c r="K11" s="356"/>
      <c r="L11" s="357"/>
      <c r="M11" s="50"/>
      <c r="N11" s="61">
        <v>4</v>
      </c>
      <c r="O11" s="50"/>
      <c r="P11" s="364" t="s">
        <v>190</v>
      </c>
      <c r="Q11" s="365"/>
      <c r="R11" s="366"/>
      <c r="S11" s="50"/>
      <c r="T11" s="59" t="s">
        <v>195</v>
      </c>
      <c r="U11" s="50"/>
      <c r="V11" s="50"/>
      <c r="W11" s="50"/>
      <c r="X11" s="50"/>
      <c r="Y11" s="50"/>
      <c r="Z11" s="50"/>
      <c r="AA11" s="50"/>
      <c r="AB11" s="50"/>
      <c r="AC11" s="50"/>
      <c r="AD11" s="50"/>
      <c r="AE11" s="50"/>
    </row>
    <row r="12" spans="2:32" ht="3" customHeight="1">
      <c r="B12" s="50"/>
      <c r="C12" s="50"/>
      <c r="D12" s="50"/>
      <c r="E12" s="50"/>
      <c r="F12" s="50"/>
      <c r="G12" s="50"/>
      <c r="H12" s="50"/>
      <c r="I12" s="50"/>
      <c r="J12" s="50"/>
      <c r="K12" s="50"/>
      <c r="L12" s="50"/>
      <c r="M12" s="50"/>
      <c r="N12" s="50"/>
      <c r="O12" s="50"/>
      <c r="P12" s="50"/>
      <c r="Q12" s="50"/>
      <c r="R12" s="50"/>
      <c r="S12" s="50"/>
      <c r="T12" s="52"/>
      <c r="U12" s="50"/>
      <c r="V12" s="50"/>
      <c r="W12" s="50"/>
      <c r="X12" s="50"/>
      <c r="Y12" s="50"/>
      <c r="Z12" s="50"/>
      <c r="AA12" s="50"/>
      <c r="AB12" s="50"/>
      <c r="AC12" s="50"/>
      <c r="AD12" s="50"/>
      <c r="AE12" s="50"/>
    </row>
    <row r="13" spans="2:32" ht="35.25" customHeight="1">
      <c r="B13" s="55">
        <v>5</v>
      </c>
      <c r="C13" s="50"/>
      <c r="D13" s="355" t="s">
        <v>185</v>
      </c>
      <c r="E13" s="356"/>
      <c r="F13" s="357"/>
      <c r="G13" s="50"/>
      <c r="H13" s="364" t="s">
        <v>187</v>
      </c>
      <c r="I13" s="365"/>
      <c r="J13" s="365"/>
      <c r="K13" s="365"/>
      <c r="L13" s="366"/>
      <c r="M13" s="50"/>
      <c r="N13" s="61">
        <v>5</v>
      </c>
      <c r="O13" s="50"/>
      <c r="P13" s="364" t="s">
        <v>191</v>
      </c>
      <c r="Q13" s="365"/>
      <c r="R13" s="366"/>
      <c r="S13" s="50"/>
      <c r="T13" s="59" t="s">
        <v>196</v>
      </c>
      <c r="U13" s="50"/>
      <c r="V13" s="50"/>
      <c r="W13" s="50"/>
      <c r="X13" s="50"/>
      <c r="Y13" s="50"/>
      <c r="Z13" s="50"/>
      <c r="AA13" s="50"/>
      <c r="AB13" s="50"/>
      <c r="AC13" s="50"/>
      <c r="AD13" s="50"/>
      <c r="AE13" s="50"/>
    </row>
    <row r="14" spans="2:32">
      <c r="B14" s="56"/>
      <c r="C14" s="50"/>
      <c r="D14" s="50"/>
      <c r="E14" s="50"/>
      <c r="F14" s="50"/>
      <c r="G14" s="50"/>
      <c r="H14" s="50"/>
      <c r="I14" s="50"/>
      <c r="J14" s="50"/>
      <c r="K14" s="50"/>
      <c r="L14" s="50"/>
      <c r="M14" s="50"/>
      <c r="N14" s="50"/>
      <c r="O14" s="50"/>
      <c r="P14" s="50"/>
      <c r="Q14" s="50"/>
      <c r="R14" s="50"/>
      <c r="S14" s="50"/>
      <c r="T14" s="50"/>
      <c r="U14" s="50"/>
      <c r="V14" s="50"/>
      <c r="W14" s="50"/>
      <c r="X14" s="50"/>
      <c r="Y14" s="50"/>
      <c r="Z14" s="50"/>
      <c r="AA14" s="50"/>
      <c r="AB14" s="50"/>
      <c r="AC14" s="50"/>
      <c r="AD14" s="50"/>
      <c r="AE14" s="50"/>
    </row>
    <row r="15" spans="2:32" ht="30" customHeight="1">
      <c r="B15" s="294" t="s">
        <v>197</v>
      </c>
      <c r="C15" s="294"/>
      <c r="D15" s="294"/>
      <c r="E15" s="294"/>
      <c r="F15" s="294"/>
      <c r="G15" s="294"/>
      <c r="H15" s="294"/>
      <c r="I15" s="294"/>
      <c r="J15" s="294"/>
      <c r="K15" s="294"/>
      <c r="L15" s="294"/>
      <c r="M15" s="294"/>
      <c r="N15" s="294"/>
      <c r="O15" s="294"/>
      <c r="P15" s="294"/>
      <c r="Q15" s="294"/>
      <c r="R15" s="294"/>
      <c r="S15" s="294"/>
      <c r="T15" s="294"/>
      <c r="U15" s="50"/>
      <c r="V15" s="50"/>
      <c r="W15" s="50"/>
      <c r="X15" s="50"/>
      <c r="Y15" s="50"/>
      <c r="Z15" s="50"/>
      <c r="AA15" s="50"/>
      <c r="AB15" s="50"/>
      <c r="AC15" s="50"/>
      <c r="AD15" s="50"/>
      <c r="AE15" s="50"/>
    </row>
    <row r="16" spans="2:32" ht="3" customHeight="1">
      <c r="B16" s="50"/>
      <c r="C16" s="50"/>
      <c r="D16" s="50"/>
      <c r="E16" s="50"/>
      <c r="F16" s="50"/>
      <c r="G16" s="50"/>
      <c r="H16" s="50"/>
      <c r="I16" s="50"/>
      <c r="J16" s="50"/>
      <c r="K16" s="50"/>
      <c r="L16" s="50"/>
      <c r="M16" s="50"/>
      <c r="N16" s="50"/>
      <c r="O16" s="50"/>
      <c r="P16" s="50"/>
      <c r="Q16" s="50"/>
      <c r="R16" s="50"/>
      <c r="S16" s="50"/>
      <c r="T16" s="50"/>
      <c r="U16" s="50"/>
      <c r="V16" s="50"/>
      <c r="W16" s="50"/>
      <c r="X16" s="50"/>
      <c r="Y16" s="50"/>
      <c r="Z16" s="50"/>
      <c r="AA16" s="50"/>
      <c r="AB16" s="50"/>
      <c r="AC16" s="50"/>
      <c r="AD16" s="50"/>
      <c r="AE16" s="50"/>
    </row>
    <row r="17" spans="2:31" ht="30" customHeight="1">
      <c r="B17" s="377" t="s">
        <v>235</v>
      </c>
      <c r="C17" s="378"/>
      <c r="D17" s="378"/>
      <c r="E17" s="94"/>
      <c r="F17" s="375" t="s">
        <v>6</v>
      </c>
      <c r="G17" s="375"/>
      <c r="H17" s="375"/>
      <c r="I17" s="375"/>
      <c r="J17" s="375"/>
      <c r="K17" s="375"/>
      <c r="L17" s="375"/>
      <c r="M17" s="375"/>
      <c r="N17" s="376"/>
      <c r="P17" s="294" t="s">
        <v>12</v>
      </c>
      <c r="Q17" s="294"/>
      <c r="R17" s="294"/>
      <c r="S17" s="86"/>
      <c r="T17" s="294" t="s">
        <v>231</v>
      </c>
      <c r="U17" s="50"/>
      <c r="V17" s="50"/>
      <c r="W17" s="50"/>
      <c r="X17" s="50"/>
      <c r="Y17" s="50"/>
      <c r="Z17" s="50"/>
      <c r="AA17" s="50"/>
      <c r="AB17" s="50"/>
      <c r="AC17" s="50"/>
      <c r="AD17" s="50"/>
      <c r="AE17" s="50"/>
    </row>
    <row r="18" spans="2:31" ht="3" customHeight="1">
      <c r="B18" s="379"/>
      <c r="C18" s="294"/>
      <c r="D18" s="294"/>
      <c r="E18" s="50"/>
      <c r="F18" s="50"/>
      <c r="G18" s="50"/>
      <c r="H18" s="50"/>
      <c r="I18" s="50"/>
      <c r="J18" s="50"/>
      <c r="K18" s="50"/>
      <c r="L18" s="50"/>
      <c r="M18" s="50"/>
      <c r="N18" s="95"/>
      <c r="P18" s="294"/>
      <c r="Q18" s="294"/>
      <c r="R18" s="294"/>
      <c r="S18" s="86"/>
      <c r="T18" s="294"/>
      <c r="U18" s="50"/>
      <c r="V18" s="50"/>
      <c r="W18" s="50"/>
      <c r="X18" s="50"/>
      <c r="Y18" s="50"/>
      <c r="Z18" s="50"/>
      <c r="AA18" s="50"/>
      <c r="AB18" s="50"/>
      <c r="AC18" s="50"/>
      <c r="AD18" s="50"/>
      <c r="AE18" s="50"/>
    </row>
    <row r="19" spans="2:31" ht="30" customHeight="1">
      <c r="B19" s="379"/>
      <c r="C19" s="294"/>
      <c r="D19" s="294"/>
      <c r="F19" s="96" t="s">
        <v>203</v>
      </c>
      <c r="G19" s="56"/>
      <c r="H19" s="96" t="s">
        <v>204</v>
      </c>
      <c r="I19" s="56"/>
      <c r="J19" s="96" t="s">
        <v>205</v>
      </c>
      <c r="K19" s="56"/>
      <c r="L19" s="96" t="s">
        <v>206</v>
      </c>
      <c r="M19" s="56"/>
      <c r="N19" s="97" t="s">
        <v>207</v>
      </c>
      <c r="P19" s="294"/>
      <c r="Q19" s="294"/>
      <c r="R19" s="294"/>
      <c r="S19" s="86"/>
      <c r="T19" s="294"/>
      <c r="U19" s="50"/>
      <c r="V19" s="50"/>
      <c r="W19" s="50"/>
      <c r="X19" s="50"/>
      <c r="Y19" s="50"/>
      <c r="Z19" s="50"/>
      <c r="AA19" s="50"/>
      <c r="AB19" s="50"/>
      <c r="AC19" s="50"/>
      <c r="AD19" s="50"/>
      <c r="AE19" s="50"/>
    </row>
    <row r="20" spans="2:31" ht="3" customHeight="1">
      <c r="B20" s="98"/>
      <c r="C20" s="50"/>
      <c r="D20" s="50"/>
      <c r="I20" s="56"/>
      <c r="K20" s="56"/>
      <c r="M20" s="56"/>
      <c r="N20" s="99"/>
      <c r="O20" s="50"/>
      <c r="P20" s="50"/>
      <c r="S20" s="86"/>
      <c r="T20" s="50"/>
      <c r="U20" s="50"/>
      <c r="V20" s="50"/>
      <c r="W20" s="50"/>
      <c r="X20" s="50"/>
      <c r="Y20" s="50"/>
      <c r="Z20" s="50"/>
      <c r="AA20" s="50"/>
      <c r="AB20" s="50"/>
      <c r="AC20" s="50"/>
      <c r="AD20" s="50"/>
      <c r="AE20" s="50"/>
    </row>
    <row r="21" spans="2:31" ht="45" customHeight="1">
      <c r="B21" s="370" t="s">
        <v>37</v>
      </c>
      <c r="C21" s="86"/>
      <c r="D21" s="85" t="s">
        <v>199</v>
      </c>
      <c r="F21" s="100" t="s">
        <v>232</v>
      </c>
      <c r="G21" s="50"/>
      <c r="H21" s="101" t="s">
        <v>208</v>
      </c>
      <c r="I21" s="56"/>
      <c r="J21" s="101" t="s">
        <v>209</v>
      </c>
      <c r="K21" s="56"/>
      <c r="L21" s="101" t="s">
        <v>210</v>
      </c>
      <c r="M21" s="56"/>
      <c r="N21" s="102" t="s">
        <v>211</v>
      </c>
      <c r="O21" s="86"/>
      <c r="P21" s="380" t="s">
        <v>255</v>
      </c>
      <c r="Q21" s="381"/>
      <c r="R21" s="382"/>
      <c r="S21" s="86"/>
      <c r="T21" s="92" t="s">
        <v>230</v>
      </c>
      <c r="U21" s="50"/>
      <c r="V21" s="50"/>
      <c r="W21" s="50"/>
      <c r="X21" s="50"/>
      <c r="Y21" s="50"/>
      <c r="Z21" s="50"/>
      <c r="AA21" s="50"/>
      <c r="AB21" s="50"/>
      <c r="AC21" s="50"/>
      <c r="AD21" s="50"/>
      <c r="AE21" s="50"/>
    </row>
    <row r="22" spans="2:31" ht="3" customHeight="1">
      <c r="B22" s="370"/>
      <c r="N22" s="99"/>
      <c r="P22" s="93"/>
      <c r="Q22" s="93"/>
      <c r="R22" s="93"/>
      <c r="T22" s="50"/>
      <c r="U22" s="50"/>
      <c r="V22" s="50"/>
      <c r="W22" s="50"/>
      <c r="X22" s="50"/>
      <c r="Y22" s="50"/>
      <c r="Z22" s="50"/>
      <c r="AA22" s="50"/>
      <c r="AB22" s="50"/>
      <c r="AC22" s="50"/>
      <c r="AD22" s="50"/>
      <c r="AE22" s="50"/>
    </row>
    <row r="23" spans="2:31" ht="45" customHeight="1">
      <c r="B23" s="370"/>
      <c r="C23" s="86"/>
      <c r="D23" s="85" t="s">
        <v>200</v>
      </c>
      <c r="F23" s="101" t="s">
        <v>208</v>
      </c>
      <c r="G23" s="50"/>
      <c r="H23" s="101" t="s">
        <v>210</v>
      </c>
      <c r="I23" s="56"/>
      <c r="J23" s="101" t="s">
        <v>212</v>
      </c>
      <c r="K23" s="56"/>
      <c r="L23" s="103" t="s">
        <v>213</v>
      </c>
      <c r="M23" s="56"/>
      <c r="N23" s="104" t="s">
        <v>214</v>
      </c>
      <c r="O23" s="86"/>
      <c r="P23" s="383" t="s">
        <v>234</v>
      </c>
      <c r="Q23" s="384"/>
      <c r="R23" s="385"/>
      <c r="S23" s="86"/>
      <c r="T23" s="91" t="s">
        <v>229</v>
      </c>
      <c r="U23" s="50"/>
      <c r="V23" s="50"/>
      <c r="W23" s="50"/>
      <c r="X23" s="50"/>
      <c r="Y23" s="50"/>
      <c r="Z23" s="50"/>
      <c r="AA23" s="50"/>
      <c r="AB23" s="50"/>
      <c r="AC23" s="50"/>
      <c r="AD23" s="50"/>
      <c r="AE23" s="50"/>
    </row>
    <row r="24" spans="2:31" ht="3" customHeight="1">
      <c r="B24" s="370"/>
      <c r="N24" s="99"/>
      <c r="T24" s="50"/>
      <c r="U24" s="50"/>
      <c r="V24" s="50"/>
      <c r="W24" s="50"/>
      <c r="X24" s="50"/>
      <c r="Y24" s="50"/>
      <c r="Z24" s="50"/>
      <c r="AA24" s="50"/>
      <c r="AB24" s="50"/>
      <c r="AC24" s="50"/>
      <c r="AD24" s="50"/>
      <c r="AE24" s="50"/>
    </row>
    <row r="25" spans="2:31" ht="45" customHeight="1">
      <c r="B25" s="370"/>
      <c r="C25" s="86"/>
      <c r="D25" s="85" t="s">
        <v>202</v>
      </c>
      <c r="F25" s="101" t="s">
        <v>209</v>
      </c>
      <c r="G25" s="50"/>
      <c r="H25" s="101" t="s">
        <v>212</v>
      </c>
      <c r="I25" s="56"/>
      <c r="J25" s="103" t="s">
        <v>215</v>
      </c>
      <c r="K25" s="56"/>
      <c r="L25" s="103" t="s">
        <v>216</v>
      </c>
      <c r="M25" s="56"/>
      <c r="N25" s="105" t="s">
        <v>217</v>
      </c>
      <c r="O25" s="86"/>
      <c r="P25" s="386" t="s">
        <v>225</v>
      </c>
      <c r="Q25" s="387"/>
      <c r="R25" s="388"/>
      <c r="S25" s="86"/>
      <c r="T25" s="90" t="s">
        <v>226</v>
      </c>
    </row>
    <row r="26" spans="2:31" ht="3" customHeight="1">
      <c r="B26" s="370"/>
      <c r="N26" s="99"/>
      <c r="T26" s="50"/>
      <c r="U26" s="50"/>
      <c r="V26" s="50"/>
      <c r="W26" s="50"/>
      <c r="X26" s="50"/>
      <c r="Y26" s="50"/>
    </row>
    <row r="27" spans="2:31" ht="45" customHeight="1">
      <c r="B27" s="370"/>
      <c r="C27" s="86"/>
      <c r="D27" s="85" t="s">
        <v>201</v>
      </c>
      <c r="F27" s="101" t="s">
        <v>210</v>
      </c>
      <c r="G27" s="50"/>
      <c r="H27" s="103" t="s">
        <v>213</v>
      </c>
      <c r="I27" s="56"/>
      <c r="J27" s="103" t="s">
        <v>216</v>
      </c>
      <c r="K27" s="56"/>
      <c r="L27" s="106" t="s">
        <v>218</v>
      </c>
      <c r="M27" s="56"/>
      <c r="N27" s="105" t="s">
        <v>219</v>
      </c>
      <c r="O27" s="86"/>
      <c r="P27" s="389" t="s">
        <v>233</v>
      </c>
      <c r="Q27" s="390"/>
      <c r="R27" s="391"/>
      <c r="S27" s="86"/>
      <c r="T27" s="89" t="s">
        <v>227</v>
      </c>
    </row>
    <row r="28" spans="2:31" ht="3" customHeight="1">
      <c r="B28" s="370"/>
      <c r="N28" s="99"/>
      <c r="T28" s="50"/>
      <c r="U28" s="50"/>
      <c r="V28" s="50"/>
      <c r="W28" s="50"/>
      <c r="X28" s="50"/>
      <c r="Y28" s="50"/>
    </row>
    <row r="29" spans="2:31" ht="45" customHeight="1">
      <c r="B29" s="371"/>
      <c r="C29" s="107"/>
      <c r="D29" s="108" t="s">
        <v>198</v>
      </c>
      <c r="E29" s="109"/>
      <c r="F29" s="110" t="s">
        <v>211</v>
      </c>
      <c r="G29" s="111"/>
      <c r="H29" s="112" t="s">
        <v>214</v>
      </c>
      <c r="I29" s="113"/>
      <c r="J29" s="114" t="s">
        <v>217</v>
      </c>
      <c r="K29" s="113"/>
      <c r="L29" s="114" t="s">
        <v>219</v>
      </c>
      <c r="M29" s="113"/>
      <c r="N29" s="115" t="s">
        <v>220</v>
      </c>
      <c r="O29" s="86"/>
      <c r="P29" s="372" t="s">
        <v>221</v>
      </c>
      <c r="Q29" s="373"/>
      <c r="R29" s="374"/>
      <c r="S29" s="86"/>
      <c r="T29" s="88" t="s">
        <v>228</v>
      </c>
    </row>
  </sheetData>
  <mergeCells count="30">
    <mergeCell ref="P9:R9"/>
    <mergeCell ref="P11:R11"/>
    <mergeCell ref="P13:R13"/>
    <mergeCell ref="B21:B29"/>
    <mergeCell ref="D13:F13"/>
    <mergeCell ref="D9:F9"/>
    <mergeCell ref="D11:F11"/>
    <mergeCell ref="P29:R29"/>
    <mergeCell ref="F17:N17"/>
    <mergeCell ref="B17:D19"/>
    <mergeCell ref="P21:R21"/>
    <mergeCell ref="P23:R23"/>
    <mergeCell ref="P25:R25"/>
    <mergeCell ref="P27:R27"/>
    <mergeCell ref="B1:T1"/>
    <mergeCell ref="P17:R19"/>
    <mergeCell ref="T17:T19"/>
    <mergeCell ref="B15:T15"/>
    <mergeCell ref="D3:F3"/>
    <mergeCell ref="D5:F5"/>
    <mergeCell ref="D7:F7"/>
    <mergeCell ref="H3:L3"/>
    <mergeCell ref="H5:L5"/>
    <mergeCell ref="H7:L7"/>
    <mergeCell ref="H9:L9"/>
    <mergeCell ref="H11:L11"/>
    <mergeCell ref="H13:L13"/>
    <mergeCell ref="P3:R3"/>
    <mergeCell ref="P5:R5"/>
    <mergeCell ref="P7:R7"/>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31"/>
  <sheetViews>
    <sheetView showGridLines="0" zoomScale="59" zoomScaleNormal="50" workbookViewId="0">
      <pane xSplit="9" ySplit="7" topLeftCell="J8" activePane="bottomRight" state="frozen"/>
      <selection pane="topRight" activeCell="G1" sqref="G1"/>
      <selection pane="bottomLeft" activeCell="A6" sqref="A6"/>
      <selection pane="bottomRight" activeCell="F9" sqref="A9:F9"/>
    </sheetView>
  </sheetViews>
  <sheetFormatPr baseColWidth="10" defaultColWidth="8.83203125" defaultRowHeight="15"/>
  <cols>
    <col min="2" max="3" width="18.6640625" customWidth="1"/>
    <col min="4" max="4" width="18.6640625" hidden="1" customWidth="1"/>
    <col min="5" max="5" width="18.6640625" customWidth="1"/>
    <col min="6" max="6" width="20.83203125" customWidth="1"/>
    <col min="7" max="7" width="18.6640625" customWidth="1"/>
    <col min="8" max="8" width="28.83203125" customWidth="1"/>
    <col min="9" max="9" width="18.6640625" customWidth="1"/>
    <col min="10" max="10" width="15.6640625" customWidth="1"/>
    <col min="11" max="11" width="16.5" customWidth="1"/>
    <col min="12" max="12" width="39.1640625" customWidth="1"/>
    <col min="13" max="15" width="7.5" customWidth="1"/>
    <col min="16" max="16" width="10.5" customWidth="1"/>
    <col min="17" max="17" width="30.6640625" customWidth="1"/>
    <col min="18" max="18" width="18.5" customWidth="1"/>
    <col min="19" max="19" width="15.6640625" customWidth="1"/>
    <col min="20" max="22" width="7.5" customWidth="1"/>
    <col min="23" max="23" width="10.5" customWidth="1"/>
    <col min="24" max="25" width="18.6640625" customWidth="1"/>
    <col min="26" max="26" width="33.5" customWidth="1"/>
  </cols>
  <sheetData>
    <row r="1" spans="1:26" ht="82.5" customHeight="1">
      <c r="A1" s="309" t="s">
        <v>176</v>
      </c>
      <c r="B1" s="309"/>
      <c r="C1" s="309"/>
      <c r="D1" s="309"/>
      <c r="E1" s="309"/>
      <c r="F1" s="309"/>
      <c r="G1" s="309"/>
      <c r="H1" s="309"/>
      <c r="I1" s="309"/>
      <c r="J1" s="309"/>
      <c r="K1" s="309"/>
      <c r="L1" s="309"/>
      <c r="M1" s="309"/>
      <c r="N1" s="309"/>
      <c r="O1" s="309"/>
      <c r="P1" s="309"/>
      <c r="Q1" s="309"/>
      <c r="R1" s="309"/>
      <c r="S1" s="309"/>
      <c r="T1" s="309"/>
      <c r="U1" s="309"/>
      <c r="V1" s="309"/>
      <c r="W1" s="309"/>
      <c r="X1" s="309"/>
      <c r="Y1" s="309"/>
      <c r="Z1" s="309"/>
    </row>
    <row r="2" spans="1:26" ht="10" customHeight="1">
      <c r="A2" s="313"/>
      <c r="B2" s="314"/>
      <c r="C2" s="314"/>
      <c r="D2" s="314"/>
      <c r="E2" s="314"/>
      <c r="F2" s="314"/>
      <c r="G2" s="314"/>
      <c r="H2" s="314"/>
      <c r="I2" s="314"/>
      <c r="J2" s="314"/>
      <c r="K2" s="314"/>
      <c r="L2" s="314"/>
      <c r="M2" s="314"/>
      <c r="N2" s="314"/>
      <c r="O2" s="314"/>
      <c r="P2" s="314"/>
      <c r="Q2" s="314"/>
      <c r="R2" s="314"/>
      <c r="S2" s="314"/>
      <c r="T2" s="314"/>
      <c r="U2" s="314"/>
      <c r="V2" s="314"/>
      <c r="W2" s="314"/>
      <c r="X2" s="314"/>
      <c r="Y2" s="314"/>
      <c r="Z2" s="316"/>
    </row>
    <row r="3" spans="1:26" ht="30" customHeight="1">
      <c r="A3" s="251" t="s">
        <v>34</v>
      </c>
      <c r="B3" s="252"/>
      <c r="C3" s="252"/>
      <c r="D3" s="252"/>
      <c r="E3" s="252"/>
      <c r="F3" s="253"/>
      <c r="G3" s="254" t="s">
        <v>112</v>
      </c>
      <c r="H3" s="255"/>
      <c r="I3" s="255"/>
      <c r="J3" s="255"/>
      <c r="K3" s="255"/>
      <c r="L3" s="255"/>
      <c r="M3" s="255"/>
      <c r="N3" s="255"/>
      <c r="O3" s="255"/>
      <c r="P3" s="255"/>
      <c r="Q3" s="256"/>
      <c r="R3" s="392" t="s">
        <v>147</v>
      </c>
      <c r="S3" s="393"/>
      <c r="T3" s="394">
        <v>44985</v>
      </c>
      <c r="U3" s="395"/>
      <c r="V3" s="396"/>
      <c r="W3" s="266" t="s">
        <v>32</v>
      </c>
      <c r="X3" s="397"/>
      <c r="Y3" s="398">
        <v>45716</v>
      </c>
      <c r="Z3" s="399"/>
    </row>
    <row r="4" spans="1:26" ht="30" customHeight="1">
      <c r="A4" s="401" t="s">
        <v>30</v>
      </c>
      <c r="B4" s="401"/>
      <c r="C4" s="401"/>
      <c r="D4" s="401"/>
      <c r="E4" s="401"/>
      <c r="F4" s="401"/>
      <c r="G4" s="402"/>
      <c r="H4" s="402"/>
      <c r="I4" s="402"/>
      <c r="J4" s="402"/>
      <c r="K4" s="402"/>
      <c r="L4" s="402"/>
      <c r="M4" s="402"/>
      <c r="N4" s="402"/>
      <c r="O4" s="402"/>
      <c r="P4" s="402"/>
      <c r="Q4" s="402"/>
      <c r="R4" s="402"/>
      <c r="S4" s="402"/>
      <c r="T4" s="402"/>
      <c r="U4" s="402"/>
      <c r="V4" s="402"/>
      <c r="W4" s="266" t="s">
        <v>29</v>
      </c>
      <c r="X4" s="397"/>
      <c r="Y4" s="70" t="s">
        <v>28</v>
      </c>
      <c r="Z4" s="70"/>
    </row>
    <row r="5" spans="1:26" ht="10" customHeight="1">
      <c r="A5" s="313"/>
      <c r="B5" s="314"/>
      <c r="C5" s="314"/>
      <c r="D5" s="314"/>
      <c r="E5" s="314"/>
      <c r="F5" s="314"/>
      <c r="G5" s="314"/>
      <c r="H5" s="314"/>
      <c r="I5" s="314"/>
      <c r="J5" s="314"/>
      <c r="K5" s="314"/>
      <c r="L5" s="314"/>
      <c r="M5" s="314"/>
      <c r="N5" s="314"/>
      <c r="O5" s="314"/>
      <c r="P5" s="314"/>
      <c r="Q5" s="314"/>
      <c r="R5" s="314"/>
      <c r="S5" s="314"/>
      <c r="T5" s="314"/>
      <c r="U5" s="314"/>
      <c r="V5" s="314"/>
      <c r="W5" s="314"/>
      <c r="X5" s="314"/>
      <c r="Y5" s="314"/>
      <c r="Z5" s="316"/>
    </row>
    <row r="6" spans="1:26" ht="20.25" customHeight="1">
      <c r="A6" s="263" t="s">
        <v>26</v>
      </c>
      <c r="B6" s="400" t="s">
        <v>264</v>
      </c>
      <c r="C6" s="400" t="s">
        <v>265</v>
      </c>
      <c r="D6" s="400" t="s">
        <v>175</v>
      </c>
      <c r="E6" s="225" t="s">
        <v>155</v>
      </c>
      <c r="F6" s="225" t="s">
        <v>154</v>
      </c>
      <c r="G6" s="263" t="s">
        <v>23</v>
      </c>
      <c r="H6" s="400" t="s">
        <v>22</v>
      </c>
      <c r="I6" s="263" t="s">
        <v>21</v>
      </c>
      <c r="J6" s="225" t="s">
        <v>20</v>
      </c>
      <c r="K6" s="225" t="s">
        <v>19</v>
      </c>
      <c r="L6" s="225" t="s">
        <v>18</v>
      </c>
      <c r="M6" s="400" t="s">
        <v>148</v>
      </c>
      <c r="N6" s="400"/>
      <c r="O6" s="400"/>
      <c r="P6" s="400"/>
      <c r="Q6" s="225" t="s">
        <v>152</v>
      </c>
      <c r="R6" s="225" t="s">
        <v>16</v>
      </c>
      <c r="S6" s="225" t="s">
        <v>15</v>
      </c>
      <c r="T6" s="404" t="s">
        <v>149</v>
      </c>
      <c r="U6" s="404"/>
      <c r="V6" s="404"/>
      <c r="W6" s="404"/>
      <c r="X6" s="225" t="s">
        <v>12</v>
      </c>
      <c r="Y6" s="225" t="s">
        <v>153</v>
      </c>
      <c r="Z6" s="225" t="s">
        <v>285</v>
      </c>
    </row>
    <row r="7" spans="1:26" ht="60" customHeight="1">
      <c r="A7" s="263"/>
      <c r="B7" s="400"/>
      <c r="C7" s="400"/>
      <c r="D7" s="400"/>
      <c r="E7" s="225"/>
      <c r="F7" s="225"/>
      <c r="G7" s="263"/>
      <c r="H7" s="400"/>
      <c r="I7" s="263"/>
      <c r="J7" s="225"/>
      <c r="K7" s="225"/>
      <c r="L7" s="225"/>
      <c r="M7" s="34" t="s">
        <v>8</v>
      </c>
      <c r="N7" s="34" t="s">
        <v>6</v>
      </c>
      <c r="O7" s="27" t="s">
        <v>5</v>
      </c>
      <c r="P7" s="82" t="s">
        <v>4</v>
      </c>
      <c r="Q7" s="225"/>
      <c r="R7" s="225"/>
      <c r="S7" s="225"/>
      <c r="T7" s="40" t="s">
        <v>8</v>
      </c>
      <c r="U7" s="40" t="s">
        <v>6</v>
      </c>
      <c r="V7" s="27" t="s">
        <v>5</v>
      </c>
      <c r="W7" s="82" t="s">
        <v>4</v>
      </c>
      <c r="X7" s="225"/>
      <c r="Y7" s="225"/>
      <c r="Z7" s="225"/>
    </row>
    <row r="8" spans="1:26" ht="125.25" customHeight="1">
      <c r="A8" s="22"/>
      <c r="B8" s="43"/>
      <c r="C8" s="43"/>
      <c r="D8" s="43" t="s">
        <v>53</v>
      </c>
      <c r="E8" s="43"/>
      <c r="F8" s="8"/>
      <c r="G8" s="8"/>
      <c r="H8" s="8"/>
      <c r="I8" s="8"/>
      <c r="J8" s="8"/>
      <c r="K8" s="8"/>
      <c r="L8" s="11"/>
      <c r="M8" s="23"/>
      <c r="N8" s="23"/>
      <c r="O8" s="8" t="str">
        <f>IF(OR(ISBLANK(M8)=TRUE,ISBLANK(N8)=TRUE),"",PRODUCT(M8,N8))</f>
        <v/>
      </c>
      <c r="P8" s="8" t="str">
        <f>IF(O8="","",IF(O8=1,"ÖNEMSİZ RİSK",IF(AND(O8&gt;=2,O8&lt;7),"DÜŞÜK RİSK",IF(AND(O8&gt;=8,O8&lt;14),"ORTA RİSK",IF(AND(O8&gt;=15,O8&lt;21),"YÜKSEK RİSK",IF(O8&gt;=25,"KABUL EDİLEMEZ RİSK",""))))))</f>
        <v/>
      </c>
      <c r="Q8" s="39"/>
      <c r="R8" s="8"/>
      <c r="S8" s="10"/>
      <c r="T8" s="23"/>
      <c r="U8" s="23"/>
      <c r="V8" s="8" t="str">
        <f>IF(OR(ISBLANK(T8)=TRUE,ISBLANK(U8)=TRUE),"",PRODUCT(T8,U8))</f>
        <v/>
      </c>
      <c r="W8" s="8" t="str">
        <f>IF(V8="","",IF(V8=1,"ÖNEMSİZ RİSK",IF(AND(V8&gt;=2,V8&lt;7),"DÜŞÜK RİSK",IF(AND(V8&gt;=8,V8&lt;14),"ORTA RİSK",IF(AND(V8&gt;=15,V8&lt;21),"YÜKSEK RİSK",IF(V8&gt;=25,"KABUL EDİLEMEZ RİSK",""))))))</f>
        <v/>
      </c>
      <c r="X8" s="8"/>
      <c r="Y8" s="8"/>
      <c r="Z8" s="23"/>
    </row>
    <row r="9" spans="1:26" ht="125.25" customHeight="1">
      <c r="A9" s="22"/>
      <c r="B9" s="43"/>
      <c r="C9" s="43"/>
      <c r="D9" s="43"/>
      <c r="E9" s="43"/>
      <c r="F9" s="44"/>
      <c r="G9" s="44"/>
      <c r="H9" s="8"/>
      <c r="I9" s="45"/>
      <c r="J9" s="46"/>
      <c r="K9" s="8"/>
      <c r="L9" s="24"/>
      <c r="M9" s="23"/>
      <c r="N9" s="23"/>
      <c r="O9" s="8" t="str">
        <f>IF(OR(ISBLANK(M9)=TRUE,ISBLANK(N9)=TRUE),"",PRODUCT(M9,N9))</f>
        <v/>
      </c>
      <c r="P9" s="8" t="str">
        <f>IF(O9="","",IF(O9=1,"ÖNEMSİZ RİSK",IF(AND(O9&gt;=2,O9&lt;7),"DÜŞÜK RİSK",IF(AND(O9&gt;=8,O9&lt;14),"ORTA RİSK",IF(AND(O9&gt;=15,O9&lt;21),"YÜKSEK RİSK",IF(O9&gt;=25,"KABUL EDİLEMEZ RİSK",""))))))</f>
        <v/>
      </c>
      <c r="Q9" s="39"/>
      <c r="R9" s="8"/>
      <c r="S9" s="10"/>
      <c r="T9" s="23"/>
      <c r="U9" s="23"/>
      <c r="V9" s="8" t="str">
        <f>IF(OR(ISBLANK(T9)=TRUE,ISBLANK(U9)=TRUE),"",PRODUCT(T9,U9))</f>
        <v/>
      </c>
      <c r="W9" s="8" t="str">
        <f>IF(V9="","",IF(V9=1,"ÖNEMSİZ RİSK",IF(AND(V9&gt;=2,V9&lt;7),"DÜŞÜK RİSK",IF(AND(V9&gt;=8,V9&lt;14),"ORTA RİSK",IF(AND(V9&gt;=15,V9&lt;21),"YÜKSEK RİSK",IF(V9&gt;=25,"KABUL EDİLEMEZ RİSK",""))))))</f>
        <v/>
      </c>
      <c r="X9" s="8"/>
      <c r="Y9" s="8"/>
      <c r="Z9" s="23"/>
    </row>
    <row r="10" spans="1:26" ht="125.25" customHeight="1">
      <c r="A10" s="22"/>
      <c r="B10" s="43"/>
      <c r="C10" s="43"/>
      <c r="D10" s="43"/>
      <c r="E10" s="43"/>
      <c r="F10" s="23"/>
      <c r="G10" s="23"/>
      <c r="H10" s="23"/>
      <c r="I10" s="39"/>
      <c r="J10" s="39"/>
      <c r="K10" s="8"/>
      <c r="L10" s="23"/>
      <c r="M10" s="23"/>
      <c r="N10" s="23"/>
      <c r="O10" s="8" t="str">
        <f>IF(OR(ISBLANK(M10)=TRUE,ISBLANK(N10)=TRUE),"",PRODUCT(M10,N10))</f>
        <v/>
      </c>
      <c r="P10" s="8" t="str">
        <f>IF(O10="","",IF(O10=1,"ÖNEMSİZ RİSK",IF(AND(O10&gt;=2,O10&lt;7),"DÜŞÜK RİSK",IF(AND(O10&gt;=8,O10&lt;14),"ORTA RİSK",IF(AND(O10&gt;=15,O10&lt;21),"YÜKSEK RİSK",IF(O10&gt;=25,"KABUL EDİLEMEZ RİSK",""))))))</f>
        <v/>
      </c>
      <c r="Q10" s="39"/>
      <c r="R10" s="8"/>
      <c r="S10" s="10"/>
      <c r="T10" s="23"/>
      <c r="U10" s="23"/>
      <c r="V10" s="8" t="str">
        <f>IF(OR(ISBLANK(T10)=TRUE,ISBLANK(U10)=TRUE),"",PRODUCT(T10,U10))</f>
        <v/>
      </c>
      <c r="W10" s="8" t="str">
        <f>IF(V10="","",IF(V10=1,"ÖNEMSİZ RİSK",IF(AND(V10&gt;=2,V10&lt;7),"DÜŞÜK RİSK",IF(AND(V10&gt;=8,V10&lt;14),"ORTA RİSK",IF(AND(V10&gt;=15,V10&lt;21),"YÜKSEK RİSK",IF(V10&gt;=25,"KABUL EDİLEMEZ RİSK",""))))))</f>
        <v/>
      </c>
      <c r="X10" s="8"/>
      <c r="Y10" s="8"/>
      <c r="Z10" s="38"/>
    </row>
    <row r="11" spans="1:26" ht="50.25" customHeight="1">
      <c r="A11" s="263"/>
      <c r="B11" s="263"/>
      <c r="C11" s="263"/>
      <c r="D11" s="263"/>
      <c r="E11" s="263"/>
      <c r="F11" s="263"/>
      <c r="G11" s="263"/>
      <c r="H11" s="263"/>
      <c r="I11" s="263"/>
      <c r="J11" s="263"/>
      <c r="K11" s="225"/>
      <c r="L11" s="225"/>
      <c r="M11" s="225"/>
      <c r="N11" s="225"/>
      <c r="O11" s="225"/>
      <c r="P11" s="225"/>
      <c r="Q11" s="48"/>
      <c r="R11" s="48"/>
      <c r="S11" s="48"/>
      <c r="T11" s="37"/>
      <c r="U11" s="37"/>
      <c r="V11" s="37"/>
      <c r="W11" s="225"/>
      <c r="X11" s="225"/>
      <c r="Y11" s="225"/>
      <c r="Z11" s="225"/>
    </row>
    <row r="12" spans="1:26" ht="50.25" customHeight="1">
      <c r="A12" s="405"/>
      <c r="B12" s="405"/>
      <c r="C12" s="405"/>
      <c r="D12" s="405"/>
      <c r="E12" s="405"/>
      <c r="F12" s="405"/>
      <c r="G12" s="405"/>
      <c r="H12" s="405"/>
      <c r="I12" s="405"/>
      <c r="J12" s="405"/>
      <c r="K12" s="406"/>
      <c r="L12" s="406"/>
      <c r="M12" s="406"/>
      <c r="N12" s="406"/>
      <c r="O12" s="406"/>
      <c r="P12" s="406"/>
      <c r="Q12" s="406"/>
      <c r="R12" s="406"/>
      <c r="S12" s="406"/>
      <c r="T12" s="406"/>
      <c r="U12" s="406"/>
      <c r="V12" s="406"/>
      <c r="W12" s="406"/>
      <c r="X12" s="406"/>
      <c r="Y12" s="406"/>
      <c r="Z12" s="406"/>
    </row>
    <row r="13" spans="1:26" ht="50.25" customHeight="1">
      <c r="A13" s="403"/>
      <c r="B13" s="403"/>
      <c r="C13" s="403"/>
      <c r="D13" s="403"/>
      <c r="E13" s="403"/>
      <c r="F13" s="403"/>
      <c r="G13" s="403"/>
      <c r="H13" s="403"/>
      <c r="I13" s="403"/>
      <c r="J13" s="403"/>
      <c r="K13" s="403"/>
      <c r="L13" s="403"/>
      <c r="M13" s="403"/>
      <c r="N13" s="403"/>
      <c r="O13" s="403"/>
      <c r="P13" s="403"/>
      <c r="Q13" s="403"/>
      <c r="R13" s="403"/>
      <c r="S13" s="403"/>
      <c r="T13" s="403"/>
      <c r="U13" s="403"/>
      <c r="V13" s="403"/>
      <c r="W13" s="403"/>
      <c r="X13" s="403"/>
      <c r="Y13" s="403"/>
      <c r="Z13" s="403"/>
    </row>
    <row r="14" spans="1:26" ht="50.25" customHeight="1">
      <c r="A14" s="408"/>
      <c r="B14" s="408"/>
      <c r="C14" s="83"/>
      <c r="D14" s="83"/>
      <c r="E14" s="83"/>
      <c r="F14" s="407"/>
      <c r="G14" s="407"/>
      <c r="H14" s="225"/>
      <c r="I14" s="225"/>
      <c r="J14" s="225"/>
      <c r="K14" s="225"/>
      <c r="L14" s="225"/>
      <c r="M14" s="225"/>
      <c r="N14" s="225"/>
      <c r="O14" s="225"/>
      <c r="P14" s="225"/>
      <c r="Q14" s="225"/>
      <c r="R14" s="225"/>
      <c r="S14" s="225"/>
      <c r="T14" s="225"/>
      <c r="U14" s="407"/>
      <c r="V14" s="407"/>
      <c r="W14" s="407"/>
      <c r="X14" s="407"/>
      <c r="Y14" s="407"/>
      <c r="Z14" s="407"/>
    </row>
    <row r="15" spans="1:26" ht="50.25" customHeight="1">
      <c r="A15" s="408"/>
      <c r="B15" s="408"/>
      <c r="C15" s="83"/>
      <c r="D15" s="83"/>
      <c r="E15" s="83"/>
      <c r="F15" s="406"/>
      <c r="G15" s="406"/>
      <c r="H15" s="406"/>
      <c r="I15" s="406"/>
      <c r="J15" s="406"/>
      <c r="K15" s="409"/>
      <c r="L15" s="409"/>
      <c r="M15" s="409"/>
      <c r="N15" s="409"/>
      <c r="O15" s="409"/>
      <c r="P15" s="409"/>
      <c r="Q15" s="409"/>
      <c r="R15" s="409"/>
      <c r="S15" s="409"/>
      <c r="T15" s="409"/>
      <c r="U15" s="407"/>
      <c r="V15" s="407"/>
      <c r="W15" s="407"/>
      <c r="X15" s="407"/>
      <c r="Y15" s="407"/>
      <c r="Z15" s="407"/>
    </row>
    <row r="16" spans="1:26" s="42" customFormat="1" ht="16.5" customHeight="1">
      <c r="A16" s="41"/>
      <c r="Z16" s="71"/>
    </row>
    <row r="17" spans="1:26" s="42" customFormat="1" ht="16.5" customHeight="1">
      <c r="A17" s="41"/>
      <c r="Z17" s="71"/>
    </row>
    <row r="18" spans="1:26" s="42" customFormat="1" ht="16.5" customHeight="1">
      <c r="A18" s="41"/>
      <c r="Z18" s="71"/>
    </row>
    <row r="19" spans="1:26" s="42" customFormat="1" ht="16.5" customHeight="1">
      <c r="A19" s="41"/>
      <c r="Z19" s="71"/>
    </row>
    <row r="20" spans="1:26" s="42" customFormat="1" ht="16.5" customHeight="1">
      <c r="A20" s="41"/>
      <c r="Z20" s="71"/>
    </row>
    <row r="21" spans="1:26" s="42" customFormat="1" ht="16.5" customHeight="1">
      <c r="A21" s="41"/>
      <c r="Z21" s="71"/>
    </row>
    <row r="22" spans="1:26" s="42" customFormat="1" ht="16.5" customHeight="1">
      <c r="A22" s="41"/>
      <c r="Z22" s="71"/>
    </row>
    <row r="23" spans="1:26" s="42" customFormat="1" ht="16.5" customHeight="1">
      <c r="A23" s="41"/>
      <c r="Z23" s="71"/>
    </row>
    <row r="24" spans="1:26" s="42" customFormat="1" ht="16.5" customHeight="1">
      <c r="A24" s="41"/>
      <c r="Z24" s="71"/>
    </row>
    <row r="25" spans="1:26" s="42" customFormat="1" ht="16.5" customHeight="1">
      <c r="A25" s="41"/>
      <c r="Z25" s="71"/>
    </row>
    <row r="26" spans="1:26" s="42" customFormat="1" ht="16.5" customHeight="1">
      <c r="A26" s="41"/>
      <c r="Z26" s="71"/>
    </row>
    <row r="27" spans="1:26" s="42" customFormat="1" ht="16.5" customHeight="1">
      <c r="A27" s="41"/>
      <c r="Z27" s="71"/>
    </row>
    <row r="28" spans="1:26" s="42" customFormat="1" ht="16.5" customHeight="1">
      <c r="A28" s="41"/>
      <c r="Z28" s="71"/>
    </row>
    <row r="29" spans="1:26" s="42" customFormat="1" ht="16.5" customHeight="1">
      <c r="A29" s="41"/>
      <c r="Z29" s="71"/>
    </row>
    <row r="30" spans="1:26">
      <c r="Z30" s="72"/>
    </row>
    <row r="31" spans="1:26">
      <c r="Z31" s="72"/>
    </row>
  </sheetData>
  <mergeCells count="59">
    <mergeCell ref="S14:T14"/>
    <mergeCell ref="U14:W15"/>
    <mergeCell ref="X14:Z15"/>
    <mergeCell ref="A15:B15"/>
    <mergeCell ref="F15:G15"/>
    <mergeCell ref="H15:J15"/>
    <mergeCell ref="K15:M15"/>
    <mergeCell ref="N15:O15"/>
    <mergeCell ref="P15:R15"/>
    <mergeCell ref="S15:T15"/>
    <mergeCell ref="A14:B14"/>
    <mergeCell ref="F14:G14"/>
    <mergeCell ref="H14:J14"/>
    <mergeCell ref="K14:M14"/>
    <mergeCell ref="N14:O14"/>
    <mergeCell ref="P14:R14"/>
    <mergeCell ref="A12:G12"/>
    <mergeCell ref="H12:J12"/>
    <mergeCell ref="K12:S12"/>
    <mergeCell ref="T12:V12"/>
    <mergeCell ref="W12:Z12"/>
    <mergeCell ref="A13:Z13"/>
    <mergeCell ref="Y6:Y7"/>
    <mergeCell ref="Z6:Z7"/>
    <mergeCell ref="A11:G11"/>
    <mergeCell ref="H11:J11"/>
    <mergeCell ref="K11:M11"/>
    <mergeCell ref="N11:P11"/>
    <mergeCell ref="W11:Z11"/>
    <mergeCell ref="M6:P6"/>
    <mergeCell ref="Q6:Q7"/>
    <mergeCell ref="R6:R7"/>
    <mergeCell ref="S6:S7"/>
    <mergeCell ref="T6:W6"/>
    <mergeCell ref="X6:X7"/>
    <mergeCell ref="G6:G7"/>
    <mergeCell ref="H6:H7"/>
    <mergeCell ref="W4:X4"/>
    <mergeCell ref="A5:Z5"/>
    <mergeCell ref="A6:A7"/>
    <mergeCell ref="B6:B7"/>
    <mergeCell ref="C6:C7"/>
    <mergeCell ref="D6:D7"/>
    <mergeCell ref="E6:E7"/>
    <mergeCell ref="F6:F7"/>
    <mergeCell ref="I6:I7"/>
    <mergeCell ref="J6:J7"/>
    <mergeCell ref="K6:K7"/>
    <mergeCell ref="L6:L7"/>
    <mergeCell ref="A4:F4"/>
    <mergeCell ref="G4:V4"/>
    <mergeCell ref="A1:Z1"/>
    <mergeCell ref="A2:Z2"/>
    <mergeCell ref="A3:F3"/>
    <mergeCell ref="G3:Q3"/>
    <mergeCell ref="R3:S3"/>
    <mergeCell ref="T3:V3"/>
    <mergeCell ref="W3:X3"/>
    <mergeCell ref="Y3:Z3"/>
  </mergeCells>
  <conditionalFormatting sqref="P8:P10">
    <cfRule type="cellIs" dxfId="10" priority="16" stopIfTrue="1" operator="equal">
      <formula>"KABUL EDİLEMEZ RİSK"</formula>
    </cfRule>
    <cfRule type="cellIs" dxfId="9" priority="17" stopIfTrue="1" operator="equal">
      <formula>"YÜKSEK RİSK"</formula>
    </cfRule>
    <cfRule type="cellIs" dxfId="8" priority="18" stopIfTrue="1" operator="equal">
      <formula>"ORTA RİSK"</formula>
    </cfRule>
    <cfRule type="cellIs" dxfId="7" priority="19" stopIfTrue="1" operator="equal">
      <formula>"ÖNEMSİZ RİSK"</formula>
    </cfRule>
    <cfRule type="cellIs" dxfId="6" priority="20" operator="equal">
      <formula>"DÜŞÜK RİSK"</formula>
    </cfRule>
  </conditionalFormatting>
  <conditionalFormatting sqref="W8:W10">
    <cfRule type="cellIs" dxfId="5" priority="1" stopIfTrue="1" operator="equal">
      <formula>"KABUL EDİLEMEZ RİSK"</formula>
    </cfRule>
    <cfRule type="cellIs" dxfId="4" priority="2" stopIfTrue="1" operator="equal">
      <formula>"YÜKSEK RİSK"</formula>
    </cfRule>
    <cfRule type="cellIs" dxfId="3" priority="3" stopIfTrue="1" operator="equal">
      <formula>"ORTA RİSK"</formula>
    </cfRule>
    <cfRule type="cellIs" dxfId="2" priority="4" stopIfTrue="1" operator="equal">
      <formula>"ÖNEMSİZ RİSK"</formula>
    </cfRule>
    <cfRule type="cellIs" dxfId="1" priority="5" operator="equal">
      <formula>"DÜŞÜK RİSK"</formula>
    </cfRule>
  </conditionalFormatting>
  <dataValidations count="1">
    <dataValidation type="list" allowBlank="1" showInputMessage="1" showErrorMessage="1" sqref="M8:N10 T8:U10" xr:uid="{00000000-0002-0000-0900-000000000000}">
      <formula1>"1,2,3,4,5"</formula1>
    </dataValidation>
  </dataValidations>
  <printOptions horizontalCentered="1"/>
  <pageMargins left="0.23622047244094491" right="0.23622047244094491" top="0.35433070866141736" bottom="0.35433070866141736" header="0.31496062992125984" footer="0.31496062992125984"/>
  <pageSetup paperSize="9" scale="35" fitToHeight="0" orientation="landscape"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900-000001000000}">
          <x14:formula1>
            <xm:f>Veri!$E$2:$E$9</xm:f>
          </x14:formula1>
          <xm:sqref>D8:E10</xm:sqref>
        </x14:dataValidation>
        <x14:dataValidation type="list" allowBlank="1" showInputMessage="1" showErrorMessage="1" xr:uid="{00000000-0002-0000-0900-000002000000}">
          <x14:formula1>
            <xm:f>Veri!$I$2:$I$6</xm:f>
          </x14:formula1>
          <xm:sqref>B8:C10</xm:sqref>
        </x14:dataValidation>
        <x14:dataValidation type="list" allowBlank="1" showInputMessage="1" showErrorMessage="1" xr:uid="{00000000-0002-0000-0900-000003000000}">
          <x14:formula1>
            <xm:f>Veri!$O$2:$O$38</xm:f>
          </x14:formula1>
          <xm:sqref>G3:Q3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Z314"/>
  <sheetViews>
    <sheetView showGridLines="0" zoomScale="85" zoomScaleNormal="85" workbookViewId="0">
      <selection activeCell="O43" sqref="O43"/>
    </sheetView>
  </sheetViews>
  <sheetFormatPr baseColWidth="10" defaultColWidth="8.83203125" defaultRowHeight="15"/>
  <cols>
    <col min="1" max="3" width="8.5" customWidth="1"/>
    <col min="4" max="4" width="2.5" customWidth="1"/>
    <col min="5" max="5" width="34" bestFit="1" customWidth="1"/>
    <col min="6" max="6" width="43.83203125" customWidth="1"/>
    <col min="7" max="7" width="34.6640625" customWidth="1"/>
    <col min="8" max="8" width="38.33203125" bestFit="1" customWidth="1"/>
    <col min="9" max="9" width="36.6640625" customWidth="1"/>
    <col min="10" max="10" width="2.5" customWidth="1"/>
    <col min="11" max="11" width="36.6640625" customWidth="1"/>
    <col min="12" max="12" width="2.5" customWidth="1"/>
    <col min="13" max="13" width="36.6640625" customWidth="1"/>
    <col min="14" max="14" width="2.5" customWidth="1"/>
    <col min="15" max="15" width="29.5" bestFit="1" customWidth="1"/>
    <col min="16" max="16" width="2.5" customWidth="1"/>
    <col min="17" max="21" width="15.5" customWidth="1"/>
    <col min="22" max="22" width="19.1640625" bestFit="1" customWidth="1"/>
    <col min="23" max="27" width="15.5" customWidth="1"/>
    <col min="28" max="28" width="20.83203125" bestFit="1" customWidth="1"/>
    <col min="29" max="30" width="15.5" customWidth="1"/>
    <col min="31" max="31" width="24.1640625" bestFit="1" customWidth="1"/>
    <col min="32" max="32" width="26.5" bestFit="1" customWidth="1"/>
    <col min="33" max="33" width="21.5" bestFit="1" customWidth="1"/>
    <col min="34" max="34" width="18.33203125" bestFit="1" customWidth="1"/>
    <col min="35" max="35" width="27.83203125" bestFit="1" customWidth="1"/>
    <col min="36" max="40" width="15.5" customWidth="1"/>
    <col min="41" max="41" width="20.83203125" bestFit="1" customWidth="1"/>
    <col min="42" max="42" width="9.5" bestFit="1" customWidth="1"/>
    <col min="43" max="43" width="22.6640625" bestFit="1" customWidth="1"/>
    <col min="44" max="44" width="12.6640625" bestFit="1" customWidth="1"/>
    <col min="45" max="45" width="17.5" bestFit="1" customWidth="1"/>
    <col min="46" max="46" width="20.5" bestFit="1" customWidth="1"/>
    <col min="47" max="47" width="16.33203125" bestFit="1" customWidth="1"/>
    <col min="48" max="48" width="20" bestFit="1" customWidth="1"/>
    <col min="49" max="49" width="17.5" bestFit="1" customWidth="1"/>
    <col min="50" max="50" width="23.5" bestFit="1" customWidth="1"/>
    <col min="51" max="51" width="22.1640625" bestFit="1" customWidth="1"/>
  </cols>
  <sheetData>
    <row r="1" spans="1:52" s="33" customFormat="1" ht="20.25" customHeight="1">
      <c r="A1" s="413" t="s">
        <v>253</v>
      </c>
      <c r="B1" s="413"/>
      <c r="C1" s="413"/>
      <c r="D1" s="64"/>
      <c r="E1" s="410" t="s">
        <v>266</v>
      </c>
      <c r="F1" s="410"/>
      <c r="G1" s="410"/>
      <c r="H1" s="410"/>
      <c r="I1" s="410"/>
      <c r="J1" s="64"/>
      <c r="K1" s="122" t="s">
        <v>294</v>
      </c>
      <c r="L1" s="64"/>
      <c r="M1" s="123" t="s">
        <v>16</v>
      </c>
      <c r="N1" s="64"/>
      <c r="O1" s="120" t="s">
        <v>360</v>
      </c>
      <c r="P1" s="64"/>
      <c r="Q1" s="119" t="s">
        <v>112</v>
      </c>
      <c r="R1" s="119" t="s">
        <v>71</v>
      </c>
      <c r="S1" s="119" t="s">
        <v>145</v>
      </c>
      <c r="T1" s="119" t="s">
        <v>161</v>
      </c>
      <c r="U1" s="119" t="s">
        <v>162</v>
      </c>
      <c r="V1" s="119" t="s">
        <v>163</v>
      </c>
      <c r="W1" s="119" t="s">
        <v>140</v>
      </c>
      <c r="X1" s="119" t="s">
        <v>236</v>
      </c>
      <c r="Y1" s="119" t="s">
        <v>146</v>
      </c>
      <c r="Z1" s="119" t="s">
        <v>72</v>
      </c>
      <c r="AA1" s="119" t="s">
        <v>114</v>
      </c>
      <c r="AB1" s="119" t="s">
        <v>142</v>
      </c>
      <c r="AC1" s="119" t="s">
        <v>115</v>
      </c>
      <c r="AD1" s="119" t="s">
        <v>135</v>
      </c>
      <c r="AE1" s="119" t="s">
        <v>130</v>
      </c>
      <c r="AF1" s="119" t="s">
        <v>128</v>
      </c>
      <c r="AG1" s="119" t="s">
        <v>129</v>
      </c>
      <c r="AH1" s="119" t="s">
        <v>133</v>
      </c>
      <c r="AI1" s="119" t="s">
        <v>113</v>
      </c>
      <c r="AJ1" s="119" t="s">
        <v>144</v>
      </c>
      <c r="AK1" s="119" t="s">
        <v>116</v>
      </c>
      <c r="AL1" s="119" t="s">
        <v>138</v>
      </c>
      <c r="AM1" s="119" t="s">
        <v>143</v>
      </c>
      <c r="AN1" s="119" t="s">
        <v>239</v>
      </c>
      <c r="AO1" s="119" t="s">
        <v>142</v>
      </c>
      <c r="AP1" s="119" t="s">
        <v>137</v>
      </c>
      <c r="AQ1" s="119" t="s">
        <v>136</v>
      </c>
      <c r="AR1" s="119" t="s">
        <v>141</v>
      </c>
      <c r="AS1" s="119" t="s">
        <v>70</v>
      </c>
      <c r="AT1" s="119" t="s">
        <v>134</v>
      </c>
      <c r="AU1" s="119" t="s">
        <v>127</v>
      </c>
      <c r="AV1" s="119" t="s">
        <v>249</v>
      </c>
      <c r="AW1" s="119" t="s">
        <v>250</v>
      </c>
      <c r="AX1" s="119" t="s">
        <v>251</v>
      </c>
      <c r="AY1" s="119" t="s">
        <v>252</v>
      </c>
      <c r="AZ1" s="69"/>
    </row>
    <row r="2" spans="1:52" s="33" customFormat="1" ht="20.25" customHeight="1">
      <c r="A2" s="118" t="s">
        <v>8</v>
      </c>
      <c r="B2" s="118" t="s">
        <v>7</v>
      </c>
      <c r="C2" s="118" t="s">
        <v>6</v>
      </c>
      <c r="D2" s="64"/>
      <c r="E2" s="69" t="s">
        <v>125</v>
      </c>
      <c r="F2" s="116" t="s">
        <v>126</v>
      </c>
      <c r="G2" s="116" t="s">
        <v>124</v>
      </c>
      <c r="H2" s="69" t="s">
        <v>122</v>
      </c>
      <c r="I2" s="69" t="s">
        <v>123</v>
      </c>
      <c r="J2" s="64"/>
      <c r="K2" s="67" t="s">
        <v>296</v>
      </c>
      <c r="L2" s="64"/>
      <c r="M2" s="67" t="s">
        <v>349</v>
      </c>
      <c r="N2" s="64"/>
      <c r="O2" s="67" t="s">
        <v>112</v>
      </c>
      <c r="P2" s="64"/>
      <c r="Q2" s="67" t="s">
        <v>362</v>
      </c>
      <c r="R2" s="67"/>
      <c r="S2" s="67"/>
      <c r="T2" s="67" t="s">
        <v>156</v>
      </c>
      <c r="U2" s="67"/>
      <c r="V2" s="67" t="s">
        <v>76</v>
      </c>
      <c r="W2" s="67"/>
      <c r="X2" s="67"/>
      <c r="Y2" s="67"/>
      <c r="Z2" s="67"/>
      <c r="AA2" s="67"/>
      <c r="AB2" s="67"/>
      <c r="AC2" s="67"/>
      <c r="AD2" s="67"/>
      <c r="AE2" s="67"/>
      <c r="AF2" s="67"/>
      <c r="AG2" s="67"/>
      <c r="AH2" s="67"/>
      <c r="AI2" s="67"/>
      <c r="AJ2" s="67"/>
      <c r="AK2" s="67"/>
      <c r="AL2" s="67"/>
      <c r="AM2" s="67"/>
      <c r="AN2" s="67" t="s">
        <v>237</v>
      </c>
      <c r="AO2" s="67"/>
      <c r="AP2" s="67"/>
      <c r="AQ2" s="67"/>
      <c r="AR2" s="67"/>
      <c r="AS2" s="67" t="s">
        <v>68</v>
      </c>
      <c r="AT2" s="67"/>
      <c r="AU2" s="67"/>
      <c r="AV2" s="67"/>
      <c r="AW2" s="67"/>
      <c r="AX2" s="67"/>
      <c r="AY2" s="67"/>
    </row>
    <row r="3" spans="1:52" s="33" customFormat="1" ht="20.25" customHeight="1">
      <c r="A3" s="65">
        <v>0.2</v>
      </c>
      <c r="B3" s="65">
        <v>0.5</v>
      </c>
      <c r="C3" s="65">
        <v>1</v>
      </c>
      <c r="D3" s="64"/>
      <c r="E3" s="117" t="s">
        <v>278</v>
      </c>
      <c r="F3" s="68" t="s">
        <v>297</v>
      </c>
      <c r="G3" s="68" t="s">
        <v>303</v>
      </c>
      <c r="H3" s="68" t="s">
        <v>267</v>
      </c>
      <c r="I3" s="68" t="s">
        <v>273</v>
      </c>
      <c r="J3" s="64"/>
      <c r="K3" s="67" t="s">
        <v>309</v>
      </c>
      <c r="L3" s="64"/>
      <c r="M3" s="67" t="s">
        <v>356</v>
      </c>
      <c r="N3" s="64"/>
      <c r="O3" s="67" t="s">
        <v>71</v>
      </c>
      <c r="P3" s="64"/>
      <c r="Q3" s="67" t="s">
        <v>167</v>
      </c>
      <c r="R3" s="67"/>
      <c r="S3" s="67"/>
      <c r="T3" s="67" t="s">
        <v>157</v>
      </c>
      <c r="U3" s="67"/>
      <c r="V3" s="67" t="s">
        <v>164</v>
      </c>
      <c r="W3" s="67"/>
      <c r="X3" s="67"/>
      <c r="Y3" s="67"/>
      <c r="Z3" s="67"/>
      <c r="AA3" s="67"/>
      <c r="AB3" s="67"/>
      <c r="AC3" s="67"/>
      <c r="AD3" s="67"/>
      <c r="AE3" s="67"/>
      <c r="AF3" s="67"/>
      <c r="AG3" s="67"/>
      <c r="AH3" s="67"/>
      <c r="AI3" s="67"/>
      <c r="AJ3" s="67"/>
      <c r="AK3" s="67"/>
      <c r="AL3" s="67"/>
      <c r="AM3" s="67"/>
      <c r="AN3" s="67" t="s">
        <v>238</v>
      </c>
      <c r="AO3" s="67"/>
      <c r="AP3" s="67"/>
      <c r="AQ3" s="67"/>
      <c r="AR3" s="67"/>
      <c r="AS3" s="67" t="s">
        <v>69</v>
      </c>
      <c r="AT3" s="67"/>
      <c r="AU3" s="67"/>
      <c r="AV3" s="67"/>
      <c r="AW3" s="67"/>
      <c r="AX3" s="67"/>
      <c r="AY3" s="67"/>
    </row>
    <row r="4" spans="1:52" s="33" customFormat="1" ht="20.25" customHeight="1">
      <c r="A4" s="65">
        <v>0.5</v>
      </c>
      <c r="B4" s="65">
        <v>1</v>
      </c>
      <c r="C4" s="65">
        <v>3</v>
      </c>
      <c r="D4" s="64"/>
      <c r="E4" s="68" t="s">
        <v>279</v>
      </c>
      <c r="F4" s="67" t="s">
        <v>298</v>
      </c>
      <c r="G4" s="67" t="s">
        <v>304</v>
      </c>
      <c r="H4" s="68" t="s">
        <v>268</v>
      </c>
      <c r="I4" s="68" t="s">
        <v>274</v>
      </c>
      <c r="J4" s="64"/>
      <c r="K4" s="67" t="s">
        <v>307</v>
      </c>
      <c r="L4" s="64"/>
      <c r="M4" s="67" t="s">
        <v>351</v>
      </c>
      <c r="N4" s="64"/>
      <c r="O4" s="67" t="s">
        <v>145</v>
      </c>
      <c r="P4" s="64"/>
      <c r="Q4" s="67" t="s">
        <v>168</v>
      </c>
      <c r="R4" s="67"/>
      <c r="S4" s="67"/>
      <c r="T4" s="67" t="s">
        <v>158</v>
      </c>
      <c r="U4" s="67"/>
      <c r="V4" s="67" t="s">
        <v>165</v>
      </c>
      <c r="W4" s="67"/>
      <c r="X4" s="67"/>
      <c r="Y4" s="67"/>
      <c r="Z4" s="67"/>
      <c r="AA4" s="67"/>
      <c r="AB4" s="67"/>
      <c r="AC4" s="67"/>
      <c r="AD4" s="67"/>
      <c r="AE4" s="67"/>
      <c r="AF4" s="67"/>
      <c r="AG4" s="67"/>
      <c r="AH4" s="67"/>
      <c r="AI4" s="67"/>
      <c r="AJ4" s="67"/>
      <c r="AK4" s="67"/>
      <c r="AL4" s="67"/>
      <c r="AM4" s="67"/>
      <c r="AN4" s="67"/>
      <c r="AO4" s="67"/>
      <c r="AP4" s="67"/>
      <c r="AQ4" s="67"/>
      <c r="AR4" s="67"/>
      <c r="AS4" s="67" t="s">
        <v>240</v>
      </c>
      <c r="AT4" s="67"/>
      <c r="AU4" s="67"/>
      <c r="AV4" s="67"/>
      <c r="AW4" s="67"/>
      <c r="AX4" s="67"/>
      <c r="AY4" s="67"/>
    </row>
    <row r="5" spans="1:52" s="33" customFormat="1" ht="20.25" customHeight="1">
      <c r="A5" s="65">
        <v>1</v>
      </c>
      <c r="B5" s="65">
        <v>2</v>
      </c>
      <c r="C5" s="65">
        <v>7</v>
      </c>
      <c r="D5" s="64"/>
      <c r="E5" s="67" t="s">
        <v>280</v>
      </c>
      <c r="F5" s="68" t="s">
        <v>299</v>
      </c>
      <c r="G5" s="68" t="s">
        <v>305</v>
      </c>
      <c r="H5" s="67" t="s">
        <v>269</v>
      </c>
      <c r="I5" s="67" t="s">
        <v>275</v>
      </c>
      <c r="J5" s="64"/>
      <c r="K5" s="67" t="s">
        <v>308</v>
      </c>
      <c r="L5" s="64"/>
      <c r="M5" s="67" t="s">
        <v>352</v>
      </c>
      <c r="N5" s="64"/>
      <c r="O5" s="67" t="s">
        <v>368</v>
      </c>
      <c r="P5" s="64"/>
      <c r="Q5" s="67" t="s">
        <v>169</v>
      </c>
      <c r="R5" s="67"/>
      <c r="S5" s="67"/>
      <c r="T5" s="67" t="s">
        <v>159</v>
      </c>
      <c r="U5" s="67"/>
      <c r="V5" s="67" t="s">
        <v>166</v>
      </c>
      <c r="W5" s="67"/>
      <c r="X5" s="67"/>
      <c r="Y5" s="67"/>
      <c r="Z5" s="67"/>
      <c r="AA5" s="67"/>
      <c r="AB5" s="67"/>
      <c r="AC5" s="67"/>
      <c r="AD5" s="67"/>
      <c r="AE5" s="67"/>
      <c r="AF5" s="67"/>
      <c r="AG5" s="67"/>
      <c r="AH5" s="67"/>
      <c r="AI5" s="67"/>
      <c r="AJ5" s="67"/>
      <c r="AK5" s="67"/>
      <c r="AL5" s="67"/>
      <c r="AM5" s="67"/>
      <c r="AN5" s="67"/>
      <c r="AO5" s="67"/>
      <c r="AP5" s="67"/>
      <c r="AQ5" s="67"/>
      <c r="AR5" s="67"/>
      <c r="AS5" s="67" t="s">
        <v>241</v>
      </c>
      <c r="AT5" s="67"/>
      <c r="AU5" s="67"/>
      <c r="AV5" s="67"/>
      <c r="AW5" s="67"/>
      <c r="AX5" s="67"/>
      <c r="AY5" s="67"/>
    </row>
    <row r="6" spans="1:52" s="33" customFormat="1" ht="20.25" customHeight="1">
      <c r="A6" s="65">
        <v>3</v>
      </c>
      <c r="B6" s="65">
        <v>3</v>
      </c>
      <c r="C6" s="65">
        <v>15</v>
      </c>
      <c r="D6" s="64"/>
      <c r="E6" s="67" t="s">
        <v>281</v>
      </c>
      <c r="F6" s="67" t="s">
        <v>300</v>
      </c>
      <c r="G6" s="67" t="s">
        <v>53</v>
      </c>
      <c r="H6" s="67" t="s">
        <v>270</v>
      </c>
      <c r="I6" s="68" t="s">
        <v>277</v>
      </c>
      <c r="J6" s="64"/>
      <c r="K6" s="68"/>
      <c r="L6" s="64"/>
      <c r="M6" s="68" t="s">
        <v>359</v>
      </c>
      <c r="N6" s="64"/>
      <c r="O6" s="67" t="s">
        <v>162</v>
      </c>
      <c r="P6" s="64"/>
      <c r="Q6" s="67" t="s">
        <v>170</v>
      </c>
      <c r="R6" s="67"/>
      <c r="S6" s="67"/>
      <c r="T6" s="67" t="s">
        <v>160</v>
      </c>
      <c r="U6" s="67"/>
      <c r="V6" s="67"/>
      <c r="W6" s="67"/>
      <c r="X6" s="67"/>
      <c r="Y6" s="67"/>
      <c r="Z6" s="67"/>
      <c r="AA6" s="67"/>
      <c r="AB6" s="67"/>
      <c r="AC6" s="67"/>
      <c r="AD6" s="67"/>
      <c r="AE6" s="67"/>
      <c r="AF6" s="67"/>
      <c r="AG6" s="67"/>
      <c r="AH6" s="67"/>
      <c r="AI6" s="67"/>
      <c r="AJ6" s="67"/>
      <c r="AK6" s="67"/>
      <c r="AL6" s="67"/>
      <c r="AM6" s="67"/>
      <c r="AN6" s="67"/>
      <c r="AO6" s="67"/>
      <c r="AP6" s="67"/>
      <c r="AQ6" s="67"/>
      <c r="AR6" s="67"/>
      <c r="AS6" s="67" t="s">
        <v>67</v>
      </c>
      <c r="AT6" s="67"/>
      <c r="AU6" s="67"/>
      <c r="AV6" s="67"/>
      <c r="AW6" s="67"/>
      <c r="AX6" s="67"/>
      <c r="AY6" s="67"/>
    </row>
    <row r="7" spans="1:52" s="33" customFormat="1" ht="20.25" customHeight="1">
      <c r="A7" s="65">
        <v>6</v>
      </c>
      <c r="B7" s="65">
        <v>6</v>
      </c>
      <c r="C7" s="65">
        <v>40</v>
      </c>
      <c r="D7" s="64"/>
      <c r="E7" s="67"/>
      <c r="F7" s="68" t="s">
        <v>341</v>
      </c>
      <c r="G7" s="67" t="s">
        <v>55</v>
      </c>
      <c r="H7" s="67" t="s">
        <v>271</v>
      </c>
      <c r="I7" s="67" t="s">
        <v>276</v>
      </c>
      <c r="J7" s="64"/>
      <c r="K7" s="67"/>
      <c r="L7" s="64"/>
      <c r="M7" s="67" t="s">
        <v>126</v>
      </c>
      <c r="N7" s="64"/>
      <c r="O7" s="67" t="s">
        <v>163</v>
      </c>
      <c r="P7" s="64"/>
      <c r="Q7" s="67" t="s">
        <v>171</v>
      </c>
      <c r="R7" s="67"/>
      <c r="S7" s="67"/>
      <c r="T7" s="67"/>
      <c r="U7" s="67"/>
      <c r="V7" s="67"/>
      <c r="W7" s="67"/>
      <c r="X7" s="67"/>
      <c r="Y7" s="67"/>
      <c r="Z7" s="67"/>
      <c r="AA7" s="67"/>
      <c r="AB7" s="67"/>
      <c r="AC7" s="67"/>
      <c r="AD7" s="67"/>
      <c r="AE7" s="67"/>
      <c r="AF7" s="67"/>
      <c r="AG7" s="67"/>
      <c r="AH7" s="67"/>
      <c r="AI7" s="67"/>
      <c r="AJ7" s="67"/>
      <c r="AK7" s="67"/>
      <c r="AL7" s="67"/>
      <c r="AM7" s="67"/>
      <c r="AN7" s="67"/>
      <c r="AO7" s="67"/>
      <c r="AP7" s="67"/>
      <c r="AQ7" s="67"/>
      <c r="AR7" s="67"/>
      <c r="AS7" s="67" t="s">
        <v>242</v>
      </c>
      <c r="AT7" s="67"/>
      <c r="AU7" s="67"/>
      <c r="AV7" s="67"/>
      <c r="AW7" s="67"/>
      <c r="AX7" s="67"/>
      <c r="AY7" s="67"/>
    </row>
    <row r="8" spans="1:52" s="33" customFormat="1" ht="20.25" customHeight="1">
      <c r="A8" s="65">
        <v>10</v>
      </c>
      <c r="B8" s="65">
        <v>10</v>
      </c>
      <c r="C8" s="65">
        <v>100</v>
      </c>
      <c r="D8" s="64"/>
      <c r="E8" s="67"/>
      <c r="F8" s="67"/>
      <c r="G8" s="67" t="s">
        <v>57</v>
      </c>
      <c r="H8" s="68" t="s">
        <v>272</v>
      </c>
      <c r="I8" s="68"/>
      <c r="J8" s="64"/>
      <c r="K8" s="68"/>
      <c r="L8" s="64"/>
      <c r="M8" s="68" t="s">
        <v>353</v>
      </c>
      <c r="N8" s="64"/>
      <c r="O8" s="67" t="s">
        <v>140</v>
      </c>
      <c r="P8" s="64"/>
      <c r="Q8" s="67" t="s">
        <v>172</v>
      </c>
      <c r="R8" s="67"/>
      <c r="S8" s="67"/>
      <c r="T8" s="67"/>
      <c r="U8" s="67"/>
      <c r="V8" s="67"/>
      <c r="W8" s="67"/>
      <c r="X8" s="67"/>
      <c r="Y8" s="67"/>
      <c r="Z8" s="67"/>
      <c r="AA8" s="67"/>
      <c r="AB8" s="67"/>
      <c r="AC8" s="67"/>
      <c r="AD8" s="67"/>
      <c r="AE8" s="67"/>
      <c r="AF8" s="67"/>
      <c r="AG8" s="67"/>
      <c r="AH8" s="67"/>
      <c r="AI8" s="67"/>
      <c r="AJ8" s="67"/>
      <c r="AK8" s="67"/>
      <c r="AL8" s="67"/>
      <c r="AM8" s="67"/>
      <c r="AN8" s="67"/>
      <c r="AO8" s="67"/>
      <c r="AP8" s="67"/>
      <c r="AQ8" s="67"/>
      <c r="AR8" s="67"/>
      <c r="AS8" s="67" t="s">
        <v>243</v>
      </c>
      <c r="AT8" s="67"/>
      <c r="AU8" s="67"/>
      <c r="AV8" s="67"/>
      <c r="AW8" s="67"/>
      <c r="AX8" s="67"/>
      <c r="AY8" s="67"/>
    </row>
    <row r="9" spans="1:52" s="33" customFormat="1" ht="20.25" customHeight="1">
      <c r="A9" s="64"/>
      <c r="B9" s="64"/>
      <c r="C9" s="64"/>
      <c r="D9" s="64"/>
      <c r="E9" s="67"/>
      <c r="F9" s="64"/>
      <c r="G9" s="67" t="s">
        <v>56</v>
      </c>
      <c r="H9" s="68"/>
      <c r="I9" s="67"/>
      <c r="J9" s="64"/>
      <c r="K9" s="67"/>
      <c r="L9" s="64"/>
      <c r="M9" s="67" t="s">
        <v>350</v>
      </c>
      <c r="N9" s="64"/>
      <c r="O9" s="67" t="s">
        <v>146</v>
      </c>
      <c r="P9" s="64"/>
      <c r="Q9" s="67" t="s">
        <v>173</v>
      </c>
      <c r="R9" s="67"/>
      <c r="S9" s="67"/>
      <c r="T9" s="67"/>
      <c r="U9" s="67"/>
      <c r="V9" s="67"/>
      <c r="W9" s="67"/>
      <c r="X9" s="67"/>
      <c r="Y9" s="67"/>
      <c r="Z9" s="67"/>
      <c r="AA9" s="67"/>
      <c r="AB9" s="67"/>
      <c r="AC9" s="67"/>
      <c r="AD9" s="67"/>
      <c r="AE9" s="67"/>
      <c r="AF9" s="67"/>
      <c r="AG9" s="67"/>
      <c r="AH9" s="67"/>
      <c r="AI9" s="67"/>
      <c r="AJ9" s="67"/>
      <c r="AK9" s="67"/>
      <c r="AL9" s="67"/>
      <c r="AM9" s="67"/>
      <c r="AN9" s="67"/>
      <c r="AO9" s="67"/>
      <c r="AP9" s="67"/>
      <c r="AQ9" s="67"/>
      <c r="AR9" s="67"/>
      <c r="AS9" s="67" t="s">
        <v>75</v>
      </c>
      <c r="AT9" s="67"/>
      <c r="AU9" s="67"/>
      <c r="AV9" s="67"/>
      <c r="AW9" s="67"/>
      <c r="AX9" s="67"/>
      <c r="AY9" s="67"/>
    </row>
    <row r="10" spans="1:52" s="33" customFormat="1" ht="20.25" customHeight="1">
      <c r="A10" s="413" t="s">
        <v>254</v>
      </c>
      <c r="B10" s="413"/>
      <c r="C10" s="413"/>
      <c r="D10" s="64"/>
      <c r="E10" s="67"/>
      <c r="F10" s="66"/>
      <c r="G10" s="67" t="s">
        <v>54</v>
      </c>
      <c r="H10" s="64"/>
      <c r="I10" s="64"/>
      <c r="J10" s="64"/>
      <c r="K10" s="64"/>
      <c r="L10" s="64"/>
      <c r="M10" s="64" t="s">
        <v>348</v>
      </c>
      <c r="N10" s="64"/>
      <c r="O10" s="67" t="s">
        <v>72</v>
      </c>
      <c r="P10" s="64"/>
      <c r="Q10" s="67" t="s">
        <v>174</v>
      </c>
      <c r="R10" s="67"/>
      <c r="S10" s="67"/>
      <c r="T10" s="67"/>
      <c r="U10" s="67"/>
      <c r="V10" s="67"/>
      <c r="W10" s="67"/>
      <c r="X10" s="67"/>
      <c r="Y10" s="67"/>
      <c r="Z10" s="67"/>
      <c r="AA10" s="67"/>
      <c r="AB10" s="67"/>
      <c r="AC10" s="67"/>
      <c r="AD10" s="67"/>
      <c r="AE10" s="67"/>
      <c r="AF10" s="67"/>
      <c r="AG10" s="67"/>
      <c r="AH10" s="67"/>
      <c r="AI10" s="67"/>
      <c r="AJ10" s="67"/>
      <c r="AK10" s="67"/>
      <c r="AL10" s="67"/>
      <c r="AM10" s="67"/>
      <c r="AN10" s="67"/>
      <c r="AO10" s="67"/>
      <c r="AP10" s="67"/>
      <c r="AQ10" s="67"/>
      <c r="AR10" s="67"/>
      <c r="AS10" s="67" t="s">
        <v>244</v>
      </c>
      <c r="AT10" s="67"/>
      <c r="AU10" s="67"/>
      <c r="AV10" s="67"/>
      <c r="AW10" s="67"/>
      <c r="AX10" s="67"/>
      <c r="AY10" s="67"/>
    </row>
    <row r="11" spans="1:52" s="33" customFormat="1" ht="20.25" customHeight="1">
      <c r="A11" s="118" t="s">
        <v>8</v>
      </c>
      <c r="B11" s="118" t="s">
        <v>6</v>
      </c>
      <c r="C11" s="118" t="s">
        <v>256</v>
      </c>
      <c r="D11" s="64"/>
      <c r="E11" s="67"/>
      <c r="F11" s="66"/>
      <c r="G11" s="66"/>
      <c r="H11" s="66"/>
      <c r="I11" s="66"/>
      <c r="J11" s="64"/>
      <c r="K11" s="66"/>
      <c r="L11" s="64"/>
      <c r="M11" s="66" t="s">
        <v>347</v>
      </c>
      <c r="N11" s="64"/>
      <c r="O11" s="67" t="s">
        <v>114</v>
      </c>
      <c r="P11" s="64"/>
      <c r="Q11" s="67" t="s">
        <v>76</v>
      </c>
      <c r="R11" s="67"/>
      <c r="S11" s="67"/>
      <c r="T11" s="67"/>
      <c r="U11" s="67"/>
      <c r="V11" s="67"/>
      <c r="W11" s="67"/>
      <c r="X11" s="67"/>
      <c r="Y11" s="67"/>
      <c r="Z11" s="67"/>
      <c r="AA11" s="67"/>
      <c r="AB11" s="67"/>
      <c r="AC11" s="67"/>
      <c r="AD11" s="67"/>
      <c r="AE11" s="67"/>
      <c r="AF11" s="67"/>
      <c r="AG11" s="67"/>
      <c r="AH11" s="67"/>
      <c r="AI11" s="67"/>
      <c r="AJ11" s="67"/>
      <c r="AK11" s="67"/>
      <c r="AL11" s="67"/>
      <c r="AM11" s="67"/>
      <c r="AN11" s="67"/>
      <c r="AO11" s="67"/>
      <c r="AP11" s="67"/>
      <c r="AQ11" s="67"/>
      <c r="AR11" s="67"/>
      <c r="AS11" s="67" t="s">
        <v>245</v>
      </c>
      <c r="AT11" s="67"/>
      <c r="AU11" s="67"/>
      <c r="AV11" s="67"/>
      <c r="AW11" s="67"/>
      <c r="AX11" s="67"/>
      <c r="AY11" s="67"/>
    </row>
    <row r="12" spans="1:52" s="33" customFormat="1" ht="20.25" customHeight="1">
      <c r="A12" s="65">
        <v>1</v>
      </c>
      <c r="B12" s="65">
        <v>1</v>
      </c>
      <c r="C12" s="65" t="s">
        <v>256</v>
      </c>
      <c r="D12" s="64"/>
      <c r="E12" s="67"/>
      <c r="F12" s="121"/>
      <c r="G12"/>
      <c r="H12" s="66"/>
      <c r="I12" s="66"/>
      <c r="J12" s="64"/>
      <c r="K12" s="66"/>
      <c r="L12" s="64"/>
      <c r="M12" s="66" t="s">
        <v>358</v>
      </c>
      <c r="N12" s="64"/>
      <c r="O12" s="67" t="s">
        <v>139</v>
      </c>
      <c r="P12" s="64"/>
      <c r="Q12" s="67" t="s">
        <v>363</v>
      </c>
      <c r="R12" s="67"/>
      <c r="S12" s="67"/>
      <c r="T12" s="67"/>
      <c r="U12" s="67"/>
      <c r="V12" s="67"/>
      <c r="W12" s="67"/>
      <c r="X12" s="67"/>
      <c r="Y12" s="67"/>
      <c r="Z12" s="67"/>
      <c r="AA12" s="67"/>
      <c r="AB12" s="67"/>
      <c r="AC12" s="67"/>
      <c r="AD12" s="67"/>
      <c r="AE12" s="67"/>
      <c r="AF12" s="67"/>
      <c r="AG12" s="67"/>
      <c r="AH12" s="67"/>
      <c r="AI12" s="67"/>
      <c r="AJ12" s="67"/>
      <c r="AK12" s="67"/>
      <c r="AL12" s="67"/>
      <c r="AM12" s="67"/>
      <c r="AN12" s="67"/>
      <c r="AO12" s="67"/>
      <c r="AP12" s="67"/>
      <c r="AQ12" s="67"/>
      <c r="AR12" s="67"/>
      <c r="AS12" s="67" t="s">
        <v>246</v>
      </c>
      <c r="AT12" s="67"/>
      <c r="AU12" s="67"/>
      <c r="AV12" s="67"/>
      <c r="AW12" s="67"/>
      <c r="AX12" s="67"/>
      <c r="AY12" s="67"/>
    </row>
    <row r="13" spans="1:52" s="33" customFormat="1" ht="20.25" customHeight="1">
      <c r="A13" s="65">
        <v>2</v>
      </c>
      <c r="B13" s="65">
        <v>2</v>
      </c>
      <c r="C13" s="65" t="s">
        <v>256</v>
      </c>
      <c r="E13"/>
      <c r="F13"/>
      <c r="G13"/>
      <c r="H13"/>
      <c r="I13"/>
      <c r="K13"/>
      <c r="M13" t="s">
        <v>73</v>
      </c>
      <c r="O13" s="67" t="s">
        <v>115</v>
      </c>
      <c r="Q13" s="67" t="s">
        <v>364</v>
      </c>
      <c r="R13" s="67"/>
      <c r="S13" s="67"/>
      <c r="T13" s="67"/>
      <c r="U13" s="67"/>
      <c r="V13" s="67"/>
      <c r="W13" s="67"/>
      <c r="X13" s="67"/>
      <c r="Y13" s="67"/>
      <c r="Z13" s="67"/>
      <c r="AA13" s="67"/>
      <c r="AB13" s="67"/>
      <c r="AC13" s="67"/>
      <c r="AD13" s="67"/>
      <c r="AE13" s="67"/>
      <c r="AF13" s="67"/>
      <c r="AG13" s="67"/>
      <c r="AH13" s="67"/>
      <c r="AI13" s="67"/>
      <c r="AJ13" s="67"/>
      <c r="AK13" s="67"/>
      <c r="AL13" s="67"/>
      <c r="AM13" s="67"/>
      <c r="AN13" s="67"/>
      <c r="AO13" s="67"/>
      <c r="AP13" s="67"/>
      <c r="AQ13" s="67"/>
      <c r="AR13" s="67"/>
      <c r="AS13" s="67" t="s">
        <v>247</v>
      </c>
      <c r="AT13" s="67"/>
      <c r="AU13" s="67"/>
      <c r="AV13" s="67"/>
      <c r="AW13" s="67"/>
      <c r="AX13" s="67"/>
      <c r="AY13" s="67"/>
    </row>
    <row r="14" spans="1:52" s="33" customFormat="1" ht="20.25" customHeight="1">
      <c r="A14" s="65">
        <v>3</v>
      </c>
      <c r="B14" s="65">
        <v>3</v>
      </c>
      <c r="C14" s="65" t="s">
        <v>256</v>
      </c>
      <c r="E14"/>
      <c r="F14"/>
      <c r="G14"/>
      <c r="H14"/>
      <c r="I14"/>
      <c r="M14" s="33" t="s">
        <v>308</v>
      </c>
      <c r="O14" s="67" t="s">
        <v>135</v>
      </c>
      <c r="Q14" s="67" t="s">
        <v>365</v>
      </c>
      <c r="R14" s="67"/>
      <c r="S14" s="67"/>
      <c r="T14" s="67"/>
      <c r="U14" s="67"/>
      <c r="V14" s="67"/>
      <c r="W14" s="67"/>
      <c r="X14" s="67"/>
      <c r="Y14" s="67"/>
      <c r="Z14" s="67"/>
      <c r="AA14" s="67"/>
      <c r="AB14" s="67"/>
      <c r="AC14" s="67"/>
      <c r="AD14" s="67"/>
      <c r="AE14" s="67"/>
      <c r="AF14" s="67"/>
      <c r="AG14" s="67"/>
      <c r="AH14" s="67"/>
      <c r="AI14" s="67"/>
      <c r="AJ14" s="67"/>
      <c r="AK14" s="67"/>
      <c r="AL14" s="67"/>
      <c r="AM14" s="67"/>
      <c r="AN14" s="67"/>
      <c r="AO14" s="67"/>
      <c r="AP14" s="67"/>
      <c r="AQ14" s="67"/>
      <c r="AR14" s="67"/>
      <c r="AS14" s="67" t="s">
        <v>248</v>
      </c>
      <c r="AT14" s="67"/>
      <c r="AU14" s="67"/>
      <c r="AV14" s="67"/>
      <c r="AW14" s="67"/>
      <c r="AX14" s="67"/>
      <c r="AY14" s="67"/>
    </row>
    <row r="15" spans="1:52" s="33" customFormat="1" ht="20.25" customHeight="1">
      <c r="A15" s="65">
        <v>4</v>
      </c>
      <c r="B15" s="65">
        <v>4</v>
      </c>
      <c r="C15" s="65" t="s">
        <v>256</v>
      </c>
      <c r="E15"/>
      <c r="F15"/>
      <c r="G15"/>
      <c r="H15"/>
      <c r="I15"/>
      <c r="K15"/>
      <c r="M15"/>
      <c r="O15" s="67" t="s">
        <v>130</v>
      </c>
      <c r="Q15" s="67" t="s">
        <v>366</v>
      </c>
      <c r="R15" s="67"/>
      <c r="S15" s="67"/>
      <c r="T15" s="67"/>
      <c r="U15" s="67"/>
      <c r="V15" s="67"/>
      <c r="W15" s="67"/>
      <c r="X15" s="67"/>
      <c r="Y15" s="67"/>
      <c r="Z15" s="67"/>
      <c r="AA15" s="67"/>
      <c r="AB15" s="67"/>
      <c r="AC15" s="67"/>
      <c r="AD15" s="67"/>
      <c r="AE15" s="67"/>
      <c r="AF15" s="67"/>
      <c r="AG15" s="67"/>
      <c r="AH15" s="67"/>
      <c r="AI15" s="67"/>
      <c r="AJ15" s="67"/>
      <c r="AK15" s="67"/>
      <c r="AL15" s="67"/>
      <c r="AM15" s="67"/>
      <c r="AN15" s="67"/>
      <c r="AO15" s="67"/>
      <c r="AP15" s="67"/>
      <c r="AQ15" s="67"/>
      <c r="AR15" s="67"/>
      <c r="AS15" s="67" t="s">
        <v>164</v>
      </c>
      <c r="AT15" s="67"/>
      <c r="AU15" s="67"/>
      <c r="AV15" s="67"/>
      <c r="AW15" s="67"/>
      <c r="AX15" s="67"/>
      <c r="AY15" s="67"/>
    </row>
    <row r="16" spans="1:52" s="33" customFormat="1" ht="20.25" customHeight="1">
      <c r="A16" s="65">
        <v>5</v>
      </c>
      <c r="B16" s="65">
        <v>5</v>
      </c>
      <c r="C16" s="65" t="s">
        <v>256</v>
      </c>
      <c r="E16"/>
      <c r="F16"/>
      <c r="G16"/>
      <c r="H16"/>
      <c r="I16"/>
      <c r="K16"/>
      <c r="M16"/>
      <c r="O16" s="67" t="s">
        <v>128</v>
      </c>
      <c r="Q16" s="67"/>
      <c r="R16" s="67"/>
      <c r="S16" s="67"/>
      <c r="T16" s="67"/>
      <c r="U16" s="67"/>
      <c r="V16" s="67"/>
      <c r="W16" s="67"/>
      <c r="X16" s="67"/>
      <c r="Y16" s="67"/>
      <c r="Z16" s="67"/>
      <c r="AA16" s="67"/>
      <c r="AB16" s="67"/>
      <c r="AC16" s="67"/>
      <c r="AD16" s="67"/>
      <c r="AE16" s="67"/>
      <c r="AF16" s="67"/>
      <c r="AG16" s="67"/>
      <c r="AH16" s="67"/>
      <c r="AI16" s="67"/>
      <c r="AJ16" s="67"/>
      <c r="AK16" s="67"/>
      <c r="AL16" s="67"/>
      <c r="AM16" s="67"/>
      <c r="AN16" s="67"/>
      <c r="AO16" s="67"/>
      <c r="AP16" s="67"/>
      <c r="AQ16" s="67"/>
      <c r="AR16" s="67"/>
      <c r="AS16" s="67" t="s">
        <v>76</v>
      </c>
      <c r="AT16" s="67"/>
      <c r="AU16" s="67"/>
      <c r="AV16" s="67"/>
      <c r="AW16" s="67"/>
      <c r="AX16" s="67"/>
      <c r="AY16" s="67"/>
    </row>
    <row r="17" spans="1:51" s="33" customFormat="1" ht="20.25" customHeight="1">
      <c r="E17"/>
      <c r="F17"/>
      <c r="G17"/>
      <c r="H17"/>
      <c r="I17"/>
      <c r="K17"/>
      <c r="M17"/>
      <c r="O17" s="67" t="s">
        <v>129</v>
      </c>
      <c r="Q17" s="67"/>
      <c r="R17" s="67"/>
      <c r="S17" s="67"/>
      <c r="T17" s="67"/>
      <c r="U17" s="67"/>
      <c r="V17" s="67"/>
      <c r="W17" s="67"/>
      <c r="X17" s="67"/>
      <c r="Y17" s="67"/>
      <c r="Z17" s="67"/>
      <c r="AA17" s="67"/>
      <c r="AB17" s="67"/>
      <c r="AC17" s="67"/>
      <c r="AD17" s="67"/>
      <c r="AE17" s="67"/>
      <c r="AF17" s="67"/>
      <c r="AG17" s="67"/>
      <c r="AH17" s="67"/>
      <c r="AI17" s="67"/>
      <c r="AJ17" s="67"/>
      <c r="AK17" s="67"/>
      <c r="AL17" s="67"/>
      <c r="AM17" s="67"/>
      <c r="AN17" s="67"/>
      <c r="AO17" s="67"/>
      <c r="AP17" s="67"/>
      <c r="AQ17" s="67"/>
      <c r="AR17" s="67"/>
      <c r="AS17" s="67"/>
      <c r="AT17" s="67"/>
      <c r="AU17" s="67"/>
      <c r="AV17" s="67"/>
      <c r="AW17" s="67"/>
      <c r="AX17" s="67"/>
      <c r="AY17" s="67"/>
    </row>
    <row r="18" spans="1:51" s="33" customFormat="1" ht="20.25" customHeight="1">
      <c r="A18" s="411" t="s">
        <v>310</v>
      </c>
      <c r="B18" s="411"/>
      <c r="C18" s="411"/>
      <c r="E18"/>
      <c r="F18"/>
      <c r="G18"/>
      <c r="H18"/>
      <c r="I18"/>
      <c r="K18"/>
      <c r="M18"/>
      <c r="O18" s="67" t="s">
        <v>133</v>
      </c>
      <c r="Q18" s="67"/>
      <c r="R18" s="67"/>
      <c r="S18" s="67"/>
      <c r="T18" s="67"/>
      <c r="U18" s="67"/>
      <c r="V18" s="67"/>
      <c r="W18" s="67"/>
      <c r="X18" s="67"/>
      <c r="Y18" s="67"/>
      <c r="Z18" s="67"/>
      <c r="AA18" s="67"/>
      <c r="AE18" s="67"/>
      <c r="AV18" s="67"/>
    </row>
    <row r="19" spans="1:51" s="33" customFormat="1" ht="20.25" customHeight="1">
      <c r="A19" s="412" t="s">
        <v>321</v>
      </c>
      <c r="B19" s="412"/>
      <c r="C19" s="412"/>
      <c r="E19"/>
      <c r="F19"/>
      <c r="G19"/>
      <c r="H19"/>
      <c r="I19"/>
      <c r="K19"/>
      <c r="M19"/>
      <c r="O19" s="67" t="s">
        <v>113</v>
      </c>
      <c r="Q19" s="67"/>
      <c r="R19" s="67"/>
      <c r="S19" s="67"/>
      <c r="T19" s="67"/>
      <c r="U19" s="67"/>
      <c r="V19" s="67"/>
      <c r="W19" s="67"/>
      <c r="X19" s="67"/>
      <c r="Y19" s="67"/>
      <c r="Z19" s="67"/>
      <c r="AA19" s="67"/>
      <c r="AE19" s="67"/>
      <c r="AV19" s="67"/>
    </row>
    <row r="20" spans="1:51" s="33" customFormat="1" ht="20.25" customHeight="1">
      <c r="A20" s="412" t="s">
        <v>337</v>
      </c>
      <c r="B20" s="412"/>
      <c r="C20" s="412"/>
      <c r="D20" s="124"/>
      <c r="E20"/>
      <c r="F20"/>
      <c r="G20"/>
      <c r="H20"/>
      <c r="I20"/>
      <c r="K20"/>
      <c r="M20"/>
      <c r="O20" s="67" t="s">
        <v>144</v>
      </c>
      <c r="Q20" s="67"/>
      <c r="R20" s="67"/>
      <c r="S20" s="67"/>
      <c r="T20" s="67"/>
      <c r="U20" s="67"/>
      <c r="V20" s="67"/>
      <c r="W20" s="67"/>
      <c r="X20" s="67"/>
      <c r="Y20" s="67"/>
      <c r="Z20" s="67"/>
      <c r="AA20" s="67"/>
      <c r="AE20" s="67"/>
      <c r="AV20" s="67"/>
    </row>
    <row r="21" spans="1:51" s="33" customFormat="1" ht="20.25" customHeight="1">
      <c r="A21" s="412" t="s">
        <v>314</v>
      </c>
      <c r="B21" s="412"/>
      <c r="C21" s="412"/>
      <c r="D21" s="124"/>
      <c r="E21"/>
      <c r="F21"/>
      <c r="G21"/>
      <c r="H21"/>
      <c r="I21"/>
      <c r="K21"/>
      <c r="M21"/>
      <c r="O21" s="67" t="s">
        <v>116</v>
      </c>
      <c r="Q21" s="67"/>
      <c r="R21" s="67"/>
      <c r="S21" s="67"/>
      <c r="T21" s="67"/>
      <c r="U21" s="67"/>
      <c r="V21" s="67"/>
      <c r="W21" s="67"/>
      <c r="X21" s="67"/>
      <c r="Y21" s="67"/>
      <c r="Z21" s="67"/>
      <c r="AA21" s="67"/>
      <c r="AE21" s="67"/>
      <c r="AV21" s="67"/>
    </row>
    <row r="22" spans="1:51" s="33" customFormat="1" ht="20.25" customHeight="1">
      <c r="A22" s="412" t="s">
        <v>326</v>
      </c>
      <c r="B22" s="412"/>
      <c r="C22" s="412"/>
      <c r="D22" s="124"/>
      <c r="E22"/>
      <c r="F22"/>
      <c r="G22"/>
      <c r="H22"/>
      <c r="I22"/>
      <c r="K22"/>
      <c r="M22"/>
      <c r="O22" s="67" t="s">
        <v>138</v>
      </c>
      <c r="Q22" s="67"/>
      <c r="R22" s="67"/>
      <c r="S22" s="67"/>
      <c r="T22" s="67"/>
      <c r="U22" s="67"/>
      <c r="V22" s="67"/>
      <c r="W22" s="67"/>
      <c r="X22" s="67"/>
      <c r="Y22" s="67"/>
      <c r="Z22" s="67"/>
      <c r="AA22" s="67"/>
      <c r="AE22" s="67"/>
      <c r="AV22" s="67"/>
    </row>
    <row r="23" spans="1:51" s="33" customFormat="1" ht="20.25" customHeight="1">
      <c r="A23" s="412" t="s">
        <v>315</v>
      </c>
      <c r="B23" s="412"/>
      <c r="C23" s="412"/>
      <c r="D23" s="124"/>
      <c r="E23"/>
      <c r="F23"/>
      <c r="G23"/>
      <c r="H23"/>
      <c r="I23"/>
      <c r="K23"/>
      <c r="M23"/>
      <c r="O23" s="67" t="s">
        <v>143</v>
      </c>
      <c r="Q23" s="67"/>
      <c r="R23" s="67"/>
      <c r="S23" s="67"/>
      <c r="T23" s="67"/>
      <c r="U23" s="67"/>
      <c r="V23" s="67"/>
      <c r="W23" s="67"/>
      <c r="X23" s="67"/>
      <c r="Y23" s="67"/>
      <c r="AE23" s="67"/>
      <c r="AV23" s="67"/>
    </row>
    <row r="24" spans="1:51" s="33" customFormat="1" ht="20.25" customHeight="1">
      <c r="A24" s="412" t="s">
        <v>316</v>
      </c>
      <c r="B24" s="412"/>
      <c r="C24" s="412"/>
      <c r="D24" s="124"/>
      <c r="E24"/>
      <c r="F24"/>
      <c r="G24"/>
      <c r="H24"/>
      <c r="I24"/>
      <c r="K24"/>
      <c r="M24"/>
      <c r="O24" s="67" t="s">
        <v>131</v>
      </c>
      <c r="Q24" s="67"/>
      <c r="R24" s="67"/>
      <c r="S24" s="67"/>
      <c r="T24" s="67"/>
      <c r="U24" s="67"/>
      <c r="V24" s="67"/>
      <c r="W24" s="67"/>
      <c r="X24" s="67"/>
      <c r="Y24" s="67"/>
      <c r="AE24" s="67"/>
      <c r="AV24" s="67"/>
    </row>
    <row r="25" spans="1:51" s="33" customFormat="1" ht="20.25" customHeight="1">
      <c r="A25" s="412" t="s">
        <v>327</v>
      </c>
      <c r="B25" s="412"/>
      <c r="C25" s="412"/>
      <c r="D25" s="124"/>
      <c r="E25"/>
      <c r="F25"/>
      <c r="G25"/>
      <c r="H25"/>
      <c r="I25"/>
      <c r="K25"/>
      <c r="M25"/>
      <c r="O25" s="67" t="s">
        <v>132</v>
      </c>
      <c r="Q25" s="67"/>
      <c r="R25" s="67"/>
      <c r="S25" s="67"/>
      <c r="T25" s="67"/>
      <c r="U25" s="67"/>
      <c r="V25" s="67"/>
      <c r="W25" s="67"/>
      <c r="X25" s="67"/>
      <c r="Y25" s="67"/>
      <c r="AE25" s="67"/>
      <c r="AV25" s="67"/>
    </row>
    <row r="26" spans="1:51" s="33" customFormat="1" ht="20.25" customHeight="1">
      <c r="A26" s="412" t="s">
        <v>317</v>
      </c>
      <c r="B26" s="412"/>
      <c r="C26" s="412"/>
      <c r="D26" s="124"/>
      <c r="E26"/>
      <c r="F26"/>
      <c r="G26"/>
      <c r="H26"/>
      <c r="I26"/>
      <c r="K26"/>
      <c r="M26"/>
      <c r="O26" s="67" t="s">
        <v>367</v>
      </c>
      <c r="Q26" s="67"/>
      <c r="R26" s="67"/>
      <c r="S26" s="67"/>
      <c r="T26" s="67"/>
      <c r="U26" s="67"/>
      <c r="V26" s="67"/>
      <c r="W26" s="67"/>
      <c r="X26" s="67"/>
      <c r="Y26" s="67"/>
      <c r="AE26" s="67"/>
      <c r="AV26" s="67"/>
    </row>
    <row r="27" spans="1:51" s="33" customFormat="1" ht="20.25" customHeight="1">
      <c r="A27" s="412" t="s">
        <v>311</v>
      </c>
      <c r="B27" s="412"/>
      <c r="C27" s="412"/>
      <c r="D27" s="124"/>
      <c r="E27"/>
      <c r="F27"/>
      <c r="G27"/>
      <c r="H27"/>
      <c r="I27"/>
      <c r="K27"/>
      <c r="M27"/>
      <c r="O27" s="67" t="s">
        <v>142</v>
      </c>
      <c r="Q27" s="67"/>
      <c r="R27" s="67"/>
      <c r="S27" s="67"/>
      <c r="T27" s="67"/>
      <c r="U27" s="67"/>
      <c r="V27" s="67"/>
      <c r="W27" s="67"/>
      <c r="X27" s="67"/>
      <c r="Y27" s="67"/>
      <c r="AE27" s="67"/>
      <c r="AV27" s="67"/>
    </row>
    <row r="28" spans="1:51" s="33" customFormat="1" ht="20.25" customHeight="1">
      <c r="A28" s="412" t="s">
        <v>336</v>
      </c>
      <c r="B28" s="412"/>
      <c r="C28" s="412"/>
      <c r="D28" s="124"/>
      <c r="E28"/>
      <c r="F28"/>
      <c r="G28"/>
      <c r="H28"/>
      <c r="I28"/>
      <c r="K28"/>
      <c r="M28"/>
      <c r="O28" s="67" t="s">
        <v>137</v>
      </c>
      <c r="Q28" s="67"/>
      <c r="R28" s="67"/>
      <c r="S28" s="67"/>
      <c r="T28" s="67"/>
      <c r="U28" s="67"/>
      <c r="V28" s="67"/>
      <c r="W28" s="67"/>
      <c r="X28" s="67"/>
      <c r="Y28" s="67"/>
      <c r="AE28" s="67"/>
      <c r="AV28" s="67"/>
    </row>
    <row r="29" spans="1:51" s="33" customFormat="1" ht="20.25" customHeight="1">
      <c r="A29" s="412" t="s">
        <v>318</v>
      </c>
      <c r="B29" s="412"/>
      <c r="C29" s="412"/>
      <c r="E29"/>
      <c r="F29"/>
      <c r="G29"/>
      <c r="H29"/>
      <c r="I29"/>
      <c r="K29"/>
      <c r="M29"/>
      <c r="O29" s="67" t="s">
        <v>136</v>
      </c>
      <c r="Q29" s="67"/>
      <c r="R29" s="67"/>
      <c r="S29" s="67"/>
      <c r="T29" s="67"/>
      <c r="U29" s="67"/>
      <c r="V29" s="67"/>
      <c r="W29" s="67"/>
      <c r="X29" s="67"/>
      <c r="Y29" s="67"/>
      <c r="AE29" s="67"/>
    </row>
    <row r="30" spans="1:51" s="33" customFormat="1" ht="20.25" customHeight="1">
      <c r="A30" s="412" t="s">
        <v>319</v>
      </c>
      <c r="B30" s="412"/>
      <c r="C30" s="412"/>
      <c r="E30"/>
      <c r="F30"/>
      <c r="G30"/>
      <c r="H30"/>
      <c r="I30"/>
      <c r="K30"/>
      <c r="M30"/>
      <c r="O30" s="67" t="s">
        <v>141</v>
      </c>
      <c r="Q30" s="67"/>
      <c r="R30" s="67"/>
      <c r="S30" s="67"/>
      <c r="T30" s="67"/>
      <c r="U30" s="67"/>
      <c r="V30" s="67"/>
      <c r="W30" s="67"/>
      <c r="X30" s="67"/>
      <c r="Y30" s="67"/>
      <c r="AE30" s="67"/>
    </row>
    <row r="31" spans="1:51" s="33" customFormat="1" ht="20.25" customHeight="1">
      <c r="A31" s="412" t="s">
        <v>312</v>
      </c>
      <c r="B31" s="412"/>
      <c r="C31" s="412"/>
      <c r="E31"/>
      <c r="F31"/>
      <c r="G31"/>
      <c r="H31"/>
      <c r="I31"/>
      <c r="K31"/>
      <c r="M31"/>
      <c r="O31" s="67" t="s">
        <v>70</v>
      </c>
      <c r="Q31" s="67"/>
      <c r="R31" s="67"/>
      <c r="S31" s="67"/>
      <c r="T31" s="67"/>
      <c r="U31" s="67"/>
      <c r="V31" s="67"/>
      <c r="W31" s="67"/>
      <c r="X31" s="67"/>
      <c r="Y31" s="67"/>
      <c r="AE31" s="67"/>
    </row>
    <row r="32" spans="1:51" s="33" customFormat="1" ht="20.25" customHeight="1">
      <c r="A32" s="412" t="s">
        <v>313</v>
      </c>
      <c r="B32" s="412"/>
      <c r="C32" s="412"/>
      <c r="E32"/>
      <c r="F32"/>
      <c r="G32"/>
      <c r="H32"/>
      <c r="I32"/>
      <c r="K32"/>
      <c r="M32"/>
      <c r="O32" s="67" t="s">
        <v>74</v>
      </c>
      <c r="Q32" s="67"/>
      <c r="R32" s="67"/>
      <c r="S32" s="67"/>
      <c r="T32" s="67"/>
      <c r="U32" s="67"/>
      <c r="V32" s="67"/>
      <c r="W32" s="67"/>
      <c r="X32" s="67"/>
      <c r="Y32" s="67"/>
      <c r="AE32" s="67"/>
    </row>
    <row r="33" spans="1:31" s="33" customFormat="1" ht="20.25" customHeight="1">
      <c r="A33" s="412" t="s">
        <v>328</v>
      </c>
      <c r="B33" s="412"/>
      <c r="C33" s="412"/>
      <c r="E33"/>
      <c r="F33"/>
      <c r="G33"/>
      <c r="H33"/>
      <c r="I33"/>
      <c r="K33"/>
      <c r="M33"/>
      <c r="O33" s="67" t="s">
        <v>134</v>
      </c>
      <c r="Q33" s="67"/>
      <c r="R33" s="67"/>
      <c r="S33" s="67"/>
      <c r="T33" s="67"/>
      <c r="U33" s="67"/>
      <c r="V33" s="67"/>
      <c r="W33" s="67"/>
      <c r="X33" s="67"/>
      <c r="Y33" s="67"/>
      <c r="AE33" s="67"/>
    </row>
    <row r="34" spans="1:31" s="33" customFormat="1" ht="20.25" customHeight="1">
      <c r="A34" s="412" t="s">
        <v>329</v>
      </c>
      <c r="B34" s="412"/>
      <c r="C34" s="412"/>
      <c r="E34"/>
      <c r="F34"/>
      <c r="G34"/>
      <c r="H34"/>
      <c r="I34"/>
      <c r="K34"/>
      <c r="M34"/>
      <c r="O34" s="67" t="s">
        <v>127</v>
      </c>
      <c r="Q34" s="67"/>
      <c r="R34" s="67"/>
      <c r="S34" s="67"/>
      <c r="T34" s="67"/>
      <c r="U34" s="67"/>
      <c r="V34" s="67"/>
      <c r="W34" s="67"/>
      <c r="X34" s="67"/>
      <c r="Y34" s="67"/>
      <c r="AE34" s="67"/>
    </row>
    <row r="35" spans="1:31" s="33" customFormat="1" ht="20.25" customHeight="1">
      <c r="A35" s="412" t="s">
        <v>330</v>
      </c>
      <c r="B35" s="412"/>
      <c r="C35" s="412"/>
      <c r="E35"/>
      <c r="F35"/>
      <c r="G35"/>
      <c r="H35"/>
      <c r="I35"/>
      <c r="K35"/>
      <c r="M35"/>
      <c r="O35" s="67" t="s">
        <v>369</v>
      </c>
      <c r="Q35" s="67"/>
      <c r="R35" s="67"/>
      <c r="S35" s="67"/>
      <c r="T35" s="67"/>
      <c r="U35" s="67"/>
      <c r="V35" s="67"/>
      <c r="W35" s="67"/>
      <c r="X35" s="67"/>
      <c r="Y35" s="67"/>
      <c r="AE35" s="67"/>
    </row>
    <row r="36" spans="1:31" s="33" customFormat="1" ht="20.25" customHeight="1">
      <c r="A36" s="412" t="s">
        <v>339</v>
      </c>
      <c r="B36" s="412"/>
      <c r="C36" s="412"/>
      <c r="E36"/>
      <c r="F36"/>
      <c r="G36"/>
      <c r="H36"/>
      <c r="I36"/>
      <c r="K36"/>
      <c r="M36"/>
      <c r="O36" s="67" t="s">
        <v>66</v>
      </c>
      <c r="Q36" s="67"/>
      <c r="R36" s="67"/>
      <c r="S36" s="67"/>
      <c r="T36" s="67"/>
      <c r="U36" s="67"/>
      <c r="V36" s="67"/>
      <c r="W36" s="67"/>
      <c r="X36" s="67"/>
      <c r="Y36" s="67"/>
      <c r="AE36" s="67"/>
    </row>
    <row r="37" spans="1:31" s="33" customFormat="1" ht="20.25" customHeight="1">
      <c r="A37" s="412" t="s">
        <v>338</v>
      </c>
      <c r="B37" s="412"/>
      <c r="C37" s="412"/>
      <c r="E37"/>
      <c r="F37"/>
      <c r="G37"/>
      <c r="H37"/>
      <c r="I37"/>
      <c r="K37"/>
      <c r="M37"/>
      <c r="O37" s="67" t="s">
        <v>117</v>
      </c>
      <c r="Q37" s="67"/>
      <c r="R37" s="67"/>
      <c r="S37" s="67"/>
      <c r="T37" s="67"/>
      <c r="U37" s="67"/>
      <c r="V37" s="67"/>
      <c r="W37" s="67"/>
      <c r="X37" s="67"/>
      <c r="Y37" s="67"/>
      <c r="AE37" s="67"/>
    </row>
    <row r="38" spans="1:31" s="33" customFormat="1" ht="20.25" customHeight="1">
      <c r="A38" s="412" t="s">
        <v>322</v>
      </c>
      <c r="B38" s="412"/>
      <c r="C38" s="412"/>
      <c r="E38"/>
      <c r="F38"/>
      <c r="G38"/>
      <c r="H38"/>
      <c r="I38"/>
      <c r="K38"/>
      <c r="M38"/>
      <c r="O38" s="67" t="s">
        <v>120</v>
      </c>
      <c r="Q38" s="67"/>
      <c r="R38" s="67"/>
      <c r="S38" s="67"/>
      <c r="T38" s="67"/>
      <c r="U38" s="67"/>
      <c r="V38" s="67"/>
      <c r="W38" s="67"/>
      <c r="X38" s="67"/>
      <c r="Y38" s="67"/>
      <c r="AE38" s="67"/>
    </row>
    <row r="39" spans="1:31" s="33" customFormat="1" ht="20.25" customHeight="1">
      <c r="A39" s="412" t="s">
        <v>331</v>
      </c>
      <c r="B39" s="412"/>
      <c r="C39" s="412"/>
      <c r="E39"/>
      <c r="F39"/>
      <c r="G39"/>
      <c r="H39"/>
      <c r="I39"/>
      <c r="K39"/>
      <c r="M39"/>
      <c r="O39" s="67" t="s">
        <v>121</v>
      </c>
      <c r="Q39" s="67"/>
      <c r="R39" s="67"/>
      <c r="S39" s="67"/>
      <c r="T39" s="67"/>
      <c r="U39" s="67"/>
      <c r="V39" s="67"/>
      <c r="W39" s="67"/>
      <c r="X39" s="67"/>
      <c r="Y39" s="67"/>
      <c r="AE39" s="67"/>
    </row>
    <row r="40" spans="1:31" s="33" customFormat="1" ht="20.25" customHeight="1">
      <c r="A40" s="412" t="s">
        <v>335</v>
      </c>
      <c r="B40" s="412"/>
      <c r="C40" s="412"/>
      <c r="E40"/>
      <c r="F40"/>
      <c r="G40"/>
      <c r="H40"/>
      <c r="I40"/>
      <c r="K40"/>
      <c r="M40"/>
      <c r="O40" s="67" t="s">
        <v>119</v>
      </c>
      <c r="Q40" s="67"/>
      <c r="R40" s="67"/>
      <c r="S40" s="67"/>
      <c r="T40" s="67"/>
      <c r="U40" s="67"/>
      <c r="V40" s="67"/>
      <c r="W40" s="67"/>
      <c r="X40" s="67"/>
      <c r="Y40" s="67"/>
    </row>
    <row r="41" spans="1:31" s="33" customFormat="1" ht="20.25" customHeight="1">
      <c r="A41" s="412" t="s">
        <v>332</v>
      </c>
      <c r="B41" s="412"/>
      <c r="C41" s="412"/>
      <c r="E41"/>
      <c r="F41"/>
      <c r="G41"/>
      <c r="H41"/>
      <c r="I41"/>
      <c r="K41"/>
      <c r="M41"/>
      <c r="O41" s="67" t="s">
        <v>118</v>
      </c>
      <c r="Q41" s="67"/>
      <c r="R41" s="67"/>
      <c r="S41" s="67"/>
      <c r="T41" s="67"/>
      <c r="U41" s="67"/>
      <c r="V41" s="67"/>
      <c r="W41" s="67"/>
      <c r="X41" s="67"/>
      <c r="Y41" s="67"/>
    </row>
    <row r="42" spans="1:31" s="33" customFormat="1" ht="20.25" customHeight="1">
      <c r="A42" s="412" t="s">
        <v>323</v>
      </c>
      <c r="B42" s="412"/>
      <c r="C42" s="412"/>
      <c r="E42"/>
      <c r="F42"/>
      <c r="G42"/>
      <c r="H42"/>
      <c r="I42"/>
      <c r="K42"/>
      <c r="M42"/>
      <c r="O42" s="67" t="s">
        <v>308</v>
      </c>
      <c r="Q42" s="67"/>
      <c r="R42" s="67"/>
      <c r="S42" s="67"/>
      <c r="T42" s="67"/>
      <c r="U42" s="67"/>
      <c r="V42" s="67"/>
      <c r="W42" s="67"/>
      <c r="X42" s="67"/>
      <c r="Y42" s="67"/>
    </row>
    <row r="43" spans="1:31" s="33" customFormat="1" ht="20.25" customHeight="1">
      <c r="A43" s="412" t="s">
        <v>324</v>
      </c>
      <c r="B43" s="412"/>
      <c r="C43" s="412"/>
      <c r="E43"/>
      <c r="F43"/>
      <c r="G43"/>
      <c r="H43"/>
      <c r="I43"/>
      <c r="K43"/>
      <c r="M43"/>
      <c r="O43" s="67"/>
      <c r="Q43" s="67"/>
      <c r="R43" s="67"/>
      <c r="S43" s="67"/>
      <c r="T43" s="67"/>
      <c r="U43" s="67"/>
      <c r="V43" s="67"/>
      <c r="W43" s="67"/>
      <c r="X43" s="67"/>
      <c r="Y43" s="67"/>
    </row>
    <row r="44" spans="1:31" s="33" customFormat="1" ht="20.25" customHeight="1">
      <c r="A44" s="412" t="s">
        <v>320</v>
      </c>
      <c r="B44" s="412"/>
      <c r="C44" s="412"/>
      <c r="E44"/>
      <c r="F44"/>
      <c r="G44"/>
      <c r="H44"/>
      <c r="I44"/>
      <c r="K44"/>
      <c r="M44"/>
      <c r="O44" s="67"/>
      <c r="Q44" s="67"/>
      <c r="R44" s="67"/>
      <c r="S44" s="67"/>
      <c r="T44" s="67"/>
      <c r="U44" s="67"/>
      <c r="V44" s="67"/>
      <c r="W44" s="67"/>
      <c r="X44" s="67"/>
      <c r="Y44" s="67"/>
    </row>
    <row r="45" spans="1:31" s="33" customFormat="1" ht="20.25" customHeight="1">
      <c r="A45" s="412" t="s">
        <v>325</v>
      </c>
      <c r="B45" s="412"/>
      <c r="C45" s="412"/>
      <c r="E45"/>
      <c r="F45"/>
      <c r="G45"/>
      <c r="H45"/>
      <c r="I45"/>
      <c r="K45"/>
      <c r="M45"/>
      <c r="O45" s="67"/>
      <c r="Q45" s="67"/>
      <c r="R45" s="67"/>
      <c r="S45" s="67"/>
      <c r="T45" s="67"/>
      <c r="U45" s="67"/>
      <c r="V45" s="67"/>
      <c r="W45" s="67"/>
      <c r="X45" s="67"/>
      <c r="Y45" s="67"/>
    </row>
    <row r="46" spans="1:31" s="33" customFormat="1" ht="20.25" customHeight="1">
      <c r="A46" s="412" t="s">
        <v>333</v>
      </c>
      <c r="B46" s="412"/>
      <c r="C46" s="412"/>
      <c r="E46"/>
      <c r="F46"/>
      <c r="G46"/>
      <c r="H46"/>
      <c r="I46"/>
      <c r="K46"/>
      <c r="M46"/>
      <c r="O46" s="67"/>
      <c r="Q46" s="67"/>
      <c r="R46" s="67"/>
      <c r="S46" s="67"/>
      <c r="T46" s="67"/>
      <c r="U46" s="67"/>
      <c r="V46" s="67"/>
      <c r="W46" s="67"/>
      <c r="X46" s="67"/>
      <c r="Y46" s="67"/>
    </row>
    <row r="47" spans="1:31" s="33" customFormat="1" ht="20.25" customHeight="1">
      <c r="A47" s="412" t="s">
        <v>334</v>
      </c>
      <c r="B47" s="412"/>
      <c r="C47" s="412"/>
      <c r="E47"/>
      <c r="F47"/>
      <c r="G47"/>
      <c r="H47"/>
      <c r="I47"/>
      <c r="K47"/>
      <c r="M47"/>
      <c r="O47" s="67"/>
      <c r="Q47" s="67"/>
      <c r="R47" s="67"/>
      <c r="S47" s="67"/>
      <c r="T47" s="67"/>
      <c r="U47" s="67"/>
      <c r="V47" s="67"/>
      <c r="W47" s="67"/>
      <c r="X47" s="67"/>
      <c r="Y47" s="67"/>
    </row>
    <row r="48" spans="1:31" s="33" customFormat="1" ht="20.25" customHeight="1">
      <c r="E48"/>
      <c r="F48"/>
      <c r="G48"/>
      <c r="H48"/>
      <c r="I48"/>
      <c r="K48"/>
      <c r="M48"/>
      <c r="O48" s="67"/>
      <c r="Q48" s="67"/>
      <c r="R48" s="67"/>
      <c r="S48" s="67"/>
      <c r="T48" s="67"/>
      <c r="U48" s="67"/>
      <c r="V48" s="67"/>
      <c r="W48" s="67"/>
      <c r="X48" s="67"/>
      <c r="Y48" s="67"/>
    </row>
    <row r="49" spans="5:25" s="33" customFormat="1" ht="20.25" customHeight="1">
      <c r="E49"/>
      <c r="F49"/>
      <c r="G49"/>
      <c r="H49"/>
      <c r="I49"/>
      <c r="K49"/>
      <c r="M49"/>
      <c r="O49" s="67"/>
      <c r="Q49" s="67"/>
      <c r="R49" s="67"/>
      <c r="S49" s="67"/>
      <c r="T49" s="67"/>
      <c r="U49" s="67"/>
      <c r="V49" s="67"/>
      <c r="W49" s="67"/>
      <c r="X49" s="67"/>
      <c r="Y49" s="67"/>
    </row>
    <row r="50" spans="5:25" s="33" customFormat="1" ht="20.25" customHeight="1">
      <c r="E50"/>
      <c r="F50"/>
      <c r="G50"/>
      <c r="H50"/>
      <c r="I50"/>
      <c r="K50"/>
      <c r="M50"/>
      <c r="O50" s="67"/>
      <c r="Q50" s="67"/>
      <c r="R50" s="67"/>
      <c r="S50" s="67"/>
      <c r="T50" s="67"/>
      <c r="U50" s="67"/>
      <c r="V50" s="67"/>
      <c r="W50" s="67"/>
      <c r="X50" s="67"/>
      <c r="Y50" s="67"/>
    </row>
    <row r="51" spans="5:25" s="33" customFormat="1" ht="20.25" customHeight="1">
      <c r="E51"/>
      <c r="F51"/>
      <c r="G51"/>
      <c r="H51"/>
      <c r="I51"/>
      <c r="K51"/>
      <c r="M51"/>
      <c r="O51" s="67"/>
      <c r="Q51" s="67"/>
      <c r="R51" s="67"/>
      <c r="S51" s="67"/>
      <c r="T51" s="67"/>
      <c r="U51" s="67"/>
      <c r="V51" s="67"/>
      <c r="W51" s="67"/>
      <c r="X51" s="67"/>
      <c r="Y51" s="67"/>
    </row>
    <row r="52" spans="5:25" s="33" customFormat="1" ht="20.25" customHeight="1">
      <c r="E52"/>
      <c r="F52"/>
      <c r="G52"/>
      <c r="H52"/>
      <c r="I52"/>
      <c r="K52"/>
      <c r="M52"/>
      <c r="O52" s="67"/>
      <c r="Q52" s="67"/>
      <c r="R52" s="67"/>
      <c r="S52" s="67"/>
      <c r="T52" s="67"/>
      <c r="U52" s="67"/>
      <c r="V52" s="67"/>
      <c r="W52" s="67"/>
      <c r="X52" s="67"/>
      <c r="Y52" s="67"/>
    </row>
    <row r="53" spans="5:25" s="33" customFormat="1" ht="20.25" customHeight="1">
      <c r="E53"/>
      <c r="F53"/>
      <c r="G53"/>
      <c r="H53"/>
      <c r="I53"/>
      <c r="K53"/>
      <c r="M53"/>
      <c r="O53" s="67"/>
      <c r="Q53" s="67"/>
      <c r="R53" s="67"/>
      <c r="S53" s="67"/>
      <c r="T53" s="67"/>
      <c r="U53" s="67"/>
      <c r="V53" s="67"/>
      <c r="W53" s="67"/>
      <c r="X53" s="67"/>
      <c r="Y53" s="67"/>
    </row>
    <row r="54" spans="5:25" s="33" customFormat="1" ht="20.25" customHeight="1">
      <c r="E54"/>
      <c r="F54"/>
      <c r="G54"/>
      <c r="H54"/>
      <c r="I54"/>
      <c r="K54"/>
      <c r="M54"/>
      <c r="O54" s="67"/>
      <c r="Q54" s="67"/>
      <c r="R54" s="67"/>
      <c r="S54" s="67"/>
      <c r="T54" s="67"/>
      <c r="U54" s="67"/>
      <c r="V54" s="67"/>
      <c r="W54" s="67"/>
      <c r="X54" s="67"/>
      <c r="Y54" s="67"/>
    </row>
    <row r="55" spans="5:25" s="33" customFormat="1" ht="20.25" customHeight="1">
      <c r="E55"/>
      <c r="F55"/>
      <c r="G55"/>
      <c r="H55"/>
      <c r="I55"/>
      <c r="K55"/>
      <c r="M55"/>
      <c r="O55" s="67"/>
      <c r="Q55" s="67"/>
      <c r="R55" s="67"/>
      <c r="S55" s="67"/>
      <c r="T55" s="67"/>
      <c r="U55" s="67"/>
      <c r="V55" s="67"/>
      <c r="W55" s="67"/>
      <c r="X55" s="67"/>
      <c r="Y55" s="67"/>
    </row>
    <row r="56" spans="5:25" s="33" customFormat="1" ht="20.25" customHeight="1">
      <c r="E56"/>
      <c r="F56"/>
      <c r="G56"/>
      <c r="H56"/>
      <c r="I56"/>
      <c r="K56"/>
      <c r="M56"/>
      <c r="O56" s="67"/>
      <c r="Q56" s="67"/>
      <c r="R56" s="67"/>
      <c r="S56" s="67"/>
      <c r="T56" s="67"/>
      <c r="U56" s="67"/>
      <c r="V56" s="67"/>
      <c r="W56" s="67"/>
      <c r="X56" s="67"/>
      <c r="Y56" s="67"/>
    </row>
    <row r="57" spans="5:25" s="33" customFormat="1" ht="20.25" customHeight="1">
      <c r="E57"/>
      <c r="F57"/>
      <c r="G57"/>
      <c r="H57"/>
      <c r="I57"/>
      <c r="K57"/>
      <c r="M57"/>
      <c r="O57" s="67"/>
      <c r="Q57" s="67"/>
      <c r="R57" s="67"/>
      <c r="S57" s="67"/>
      <c r="T57" s="67"/>
      <c r="U57" s="67"/>
      <c r="V57" s="67"/>
      <c r="W57" s="67"/>
      <c r="X57" s="67"/>
      <c r="Y57" s="67"/>
    </row>
    <row r="58" spans="5:25" s="33" customFormat="1" ht="20.25" customHeight="1">
      <c r="E58"/>
      <c r="F58"/>
      <c r="G58"/>
      <c r="H58"/>
      <c r="I58"/>
      <c r="K58"/>
      <c r="M58"/>
      <c r="O58" s="67"/>
      <c r="Q58" s="67"/>
      <c r="R58" s="67"/>
      <c r="S58" s="67"/>
      <c r="T58" s="67"/>
      <c r="U58" s="67"/>
      <c r="V58" s="67"/>
      <c r="W58" s="67"/>
      <c r="X58" s="67"/>
      <c r="Y58" s="67"/>
    </row>
    <row r="59" spans="5:25" s="33" customFormat="1" ht="20.25" customHeight="1">
      <c r="E59"/>
      <c r="F59"/>
      <c r="G59"/>
      <c r="H59"/>
      <c r="I59"/>
      <c r="K59"/>
      <c r="M59"/>
      <c r="O59" s="67"/>
      <c r="Q59" s="67"/>
      <c r="R59" s="67"/>
      <c r="S59" s="67"/>
      <c r="T59" s="67"/>
      <c r="U59" s="67"/>
      <c r="V59" s="67"/>
      <c r="W59" s="67"/>
      <c r="X59" s="67"/>
      <c r="Y59" s="67"/>
    </row>
    <row r="60" spans="5:25" s="33" customFormat="1" ht="20.25" customHeight="1">
      <c r="E60"/>
      <c r="F60"/>
      <c r="G60"/>
      <c r="H60"/>
      <c r="I60"/>
      <c r="K60"/>
      <c r="M60"/>
      <c r="O60" s="67"/>
      <c r="Q60" s="67"/>
      <c r="R60" s="67"/>
      <c r="S60" s="67"/>
      <c r="T60" s="67"/>
      <c r="U60" s="67"/>
      <c r="V60" s="67"/>
      <c r="W60" s="67"/>
      <c r="X60" s="67"/>
      <c r="Y60" s="67"/>
    </row>
    <row r="61" spans="5:25" s="33" customFormat="1" ht="20.25" customHeight="1">
      <c r="E61"/>
      <c r="F61"/>
      <c r="G61"/>
      <c r="H61"/>
      <c r="I61"/>
      <c r="K61"/>
      <c r="M61"/>
      <c r="O61" s="67"/>
      <c r="Q61" s="67"/>
      <c r="R61" s="67"/>
      <c r="S61" s="67"/>
      <c r="T61" s="67"/>
      <c r="U61" s="67"/>
      <c r="V61" s="67"/>
      <c r="W61" s="67"/>
      <c r="X61" s="67"/>
      <c r="Y61" s="67"/>
    </row>
    <row r="62" spans="5:25" s="33" customFormat="1" ht="20.25" customHeight="1">
      <c r="E62"/>
      <c r="F62"/>
      <c r="G62"/>
      <c r="H62"/>
      <c r="I62"/>
      <c r="K62"/>
      <c r="M62"/>
      <c r="O62" s="67"/>
      <c r="Q62" s="67"/>
      <c r="R62" s="67"/>
      <c r="S62" s="67"/>
      <c r="T62" s="67"/>
      <c r="U62" s="67"/>
      <c r="V62" s="67"/>
      <c r="W62" s="67"/>
      <c r="X62" s="67"/>
      <c r="Y62" s="67"/>
    </row>
    <row r="63" spans="5:25" s="33" customFormat="1" ht="20.25" customHeight="1">
      <c r="E63"/>
      <c r="F63"/>
      <c r="G63"/>
      <c r="H63"/>
      <c r="I63"/>
      <c r="K63"/>
      <c r="M63"/>
      <c r="O63" s="67"/>
      <c r="Q63" s="67"/>
      <c r="R63" s="67"/>
      <c r="S63" s="67"/>
      <c r="T63" s="67"/>
      <c r="U63" s="67"/>
      <c r="V63" s="67"/>
      <c r="W63" s="67"/>
      <c r="X63" s="67"/>
      <c r="Y63" s="67"/>
    </row>
    <row r="64" spans="5:25" s="33" customFormat="1" ht="20.25" customHeight="1">
      <c r="E64"/>
      <c r="F64"/>
      <c r="G64"/>
      <c r="H64"/>
      <c r="I64"/>
      <c r="K64"/>
      <c r="M64"/>
      <c r="O64" s="67"/>
      <c r="Q64" s="67"/>
      <c r="R64" s="67"/>
      <c r="S64" s="67"/>
      <c r="T64" s="67"/>
      <c r="U64" s="67"/>
      <c r="V64" s="67"/>
      <c r="W64" s="67"/>
      <c r="X64" s="67"/>
      <c r="Y64" s="67"/>
    </row>
    <row r="65" spans="5:25" s="33" customFormat="1" ht="20.25" customHeight="1">
      <c r="E65"/>
      <c r="F65"/>
      <c r="G65"/>
      <c r="H65"/>
      <c r="I65"/>
      <c r="K65"/>
      <c r="M65"/>
      <c r="O65" s="67"/>
      <c r="Q65" s="67"/>
      <c r="R65" s="67"/>
      <c r="S65" s="67"/>
      <c r="T65" s="67"/>
      <c r="U65" s="67"/>
      <c r="V65" s="67"/>
      <c r="W65" s="67"/>
      <c r="X65" s="67"/>
      <c r="Y65" s="67"/>
    </row>
    <row r="66" spans="5:25" s="33" customFormat="1" ht="20.25" customHeight="1">
      <c r="E66"/>
      <c r="F66"/>
      <c r="G66"/>
      <c r="H66"/>
      <c r="I66"/>
      <c r="K66"/>
      <c r="M66"/>
      <c r="O66" s="67"/>
      <c r="Q66" s="67"/>
      <c r="R66" s="67"/>
      <c r="S66" s="67"/>
      <c r="T66" s="67"/>
      <c r="U66" s="67"/>
      <c r="V66" s="67"/>
      <c r="W66" s="67"/>
      <c r="X66" s="67"/>
      <c r="Y66" s="67"/>
    </row>
    <row r="67" spans="5:25" s="33" customFormat="1" ht="20.25" customHeight="1">
      <c r="E67"/>
      <c r="F67"/>
      <c r="G67"/>
      <c r="H67"/>
      <c r="I67"/>
      <c r="K67"/>
      <c r="M67"/>
      <c r="O67" s="67"/>
      <c r="Q67" s="67"/>
      <c r="R67" s="67"/>
      <c r="S67" s="67"/>
      <c r="T67" s="67"/>
      <c r="U67" s="67"/>
      <c r="V67" s="67"/>
      <c r="W67" s="67"/>
      <c r="X67" s="67"/>
      <c r="Y67" s="67"/>
    </row>
    <row r="68" spans="5:25" s="33" customFormat="1" ht="20.25" customHeight="1">
      <c r="E68"/>
      <c r="F68"/>
      <c r="G68"/>
      <c r="H68"/>
      <c r="I68"/>
      <c r="K68"/>
      <c r="M68"/>
      <c r="O68" s="67"/>
      <c r="Q68" s="67"/>
      <c r="R68" s="67"/>
      <c r="S68" s="67"/>
      <c r="T68" s="67"/>
      <c r="U68" s="67"/>
      <c r="V68" s="67"/>
      <c r="W68" s="67"/>
      <c r="X68" s="67"/>
      <c r="Y68" s="67"/>
    </row>
    <row r="69" spans="5:25" s="33" customFormat="1" ht="20.25" customHeight="1">
      <c r="E69"/>
      <c r="F69"/>
      <c r="G69"/>
      <c r="H69"/>
      <c r="I69"/>
      <c r="K69"/>
      <c r="M69"/>
      <c r="O69" s="67"/>
      <c r="Q69" s="67"/>
      <c r="R69" s="67"/>
      <c r="S69" s="67"/>
      <c r="T69" s="67"/>
      <c r="U69" s="67"/>
      <c r="V69" s="67"/>
      <c r="W69" s="67"/>
      <c r="X69" s="67"/>
      <c r="Y69" s="67"/>
    </row>
    <row r="70" spans="5:25" s="33" customFormat="1" ht="20.25" customHeight="1">
      <c r="E70"/>
      <c r="F70"/>
      <c r="G70"/>
      <c r="H70"/>
      <c r="I70"/>
      <c r="K70"/>
      <c r="M70"/>
      <c r="O70" s="67"/>
      <c r="Q70" s="67"/>
      <c r="R70" s="67"/>
      <c r="S70" s="67"/>
      <c r="T70" s="67"/>
      <c r="U70" s="67"/>
      <c r="V70" s="67"/>
      <c r="W70" s="67"/>
      <c r="X70" s="67"/>
      <c r="Y70" s="67"/>
    </row>
    <row r="71" spans="5:25" s="33" customFormat="1" ht="20.25" customHeight="1">
      <c r="E71"/>
      <c r="F71"/>
      <c r="G71"/>
      <c r="H71"/>
      <c r="I71"/>
      <c r="K71"/>
      <c r="M71"/>
      <c r="O71" s="67"/>
      <c r="Q71" s="67"/>
      <c r="R71" s="67"/>
      <c r="S71" s="67"/>
      <c r="T71" s="67"/>
      <c r="U71" s="67"/>
      <c r="V71" s="67"/>
      <c r="W71" s="67"/>
      <c r="X71" s="67"/>
      <c r="Y71" s="67"/>
    </row>
    <row r="72" spans="5:25" s="33" customFormat="1" ht="20.25" customHeight="1">
      <c r="E72"/>
      <c r="F72"/>
      <c r="G72"/>
      <c r="H72"/>
      <c r="I72"/>
      <c r="K72"/>
      <c r="M72"/>
      <c r="O72" s="67"/>
      <c r="Q72" s="67"/>
      <c r="R72" s="67"/>
      <c r="S72" s="67"/>
      <c r="T72" s="67"/>
      <c r="U72" s="67"/>
      <c r="V72" s="67"/>
      <c r="W72" s="67"/>
      <c r="X72" s="67"/>
      <c r="Y72" s="67"/>
    </row>
    <row r="73" spans="5:25" s="33" customFormat="1" ht="20.25" customHeight="1">
      <c r="E73"/>
      <c r="F73"/>
      <c r="G73"/>
      <c r="H73"/>
      <c r="I73"/>
      <c r="K73"/>
      <c r="M73"/>
      <c r="O73" s="67"/>
      <c r="Q73" s="67"/>
      <c r="R73" s="67"/>
      <c r="S73" s="67"/>
      <c r="T73" s="67"/>
      <c r="U73" s="67"/>
      <c r="V73" s="67"/>
      <c r="W73" s="67"/>
      <c r="X73" s="67"/>
      <c r="Y73" s="67"/>
    </row>
    <row r="74" spans="5:25" s="33" customFormat="1" ht="20.25" customHeight="1">
      <c r="E74"/>
      <c r="F74"/>
      <c r="G74"/>
      <c r="H74"/>
      <c r="I74"/>
      <c r="K74"/>
      <c r="M74"/>
      <c r="O74" s="67"/>
      <c r="Q74" s="67"/>
      <c r="R74" s="67"/>
      <c r="S74" s="67"/>
      <c r="T74" s="67"/>
      <c r="U74" s="67"/>
      <c r="V74" s="67"/>
      <c r="W74" s="67"/>
      <c r="X74" s="67"/>
      <c r="Y74" s="67"/>
    </row>
    <row r="75" spans="5:25" s="33" customFormat="1" ht="20.25" customHeight="1">
      <c r="E75"/>
      <c r="F75"/>
      <c r="G75"/>
      <c r="H75"/>
      <c r="I75"/>
      <c r="K75"/>
      <c r="M75"/>
      <c r="O75" s="67"/>
      <c r="Q75" s="67"/>
      <c r="R75" s="67"/>
      <c r="S75" s="67"/>
      <c r="T75" s="67"/>
      <c r="U75" s="67"/>
      <c r="V75" s="67"/>
      <c r="W75" s="67"/>
      <c r="X75" s="67"/>
      <c r="Y75" s="67"/>
    </row>
    <row r="76" spans="5:25" s="33" customFormat="1" ht="20.25" customHeight="1">
      <c r="E76"/>
      <c r="F76"/>
      <c r="G76"/>
      <c r="H76"/>
      <c r="I76"/>
      <c r="K76"/>
      <c r="M76"/>
      <c r="O76" s="67"/>
      <c r="Q76" s="67"/>
      <c r="R76" s="67"/>
      <c r="S76" s="67"/>
      <c r="T76" s="67"/>
      <c r="U76" s="67"/>
      <c r="V76" s="67"/>
      <c r="W76" s="67"/>
      <c r="X76" s="67"/>
      <c r="Y76" s="67"/>
    </row>
    <row r="77" spans="5:25" s="33" customFormat="1" ht="20.25" customHeight="1">
      <c r="E77"/>
      <c r="F77"/>
      <c r="G77"/>
      <c r="H77"/>
      <c r="I77"/>
      <c r="K77"/>
      <c r="M77"/>
      <c r="O77" s="67"/>
      <c r="Q77" s="67"/>
      <c r="R77" s="67"/>
      <c r="S77" s="67"/>
      <c r="T77" s="67"/>
      <c r="U77" s="67"/>
      <c r="V77" s="67"/>
      <c r="W77" s="67"/>
      <c r="X77" s="67"/>
      <c r="Y77" s="67"/>
    </row>
    <row r="78" spans="5:25" s="33" customFormat="1" ht="20.25" customHeight="1">
      <c r="E78"/>
      <c r="F78"/>
      <c r="G78"/>
      <c r="H78"/>
      <c r="I78"/>
      <c r="K78"/>
      <c r="M78"/>
      <c r="O78" s="67"/>
      <c r="Q78" s="67"/>
      <c r="R78" s="67"/>
      <c r="S78" s="67"/>
      <c r="T78" s="67"/>
      <c r="U78" s="67"/>
      <c r="V78" s="67"/>
      <c r="W78" s="67"/>
      <c r="X78" s="67"/>
      <c r="Y78" s="67"/>
    </row>
    <row r="79" spans="5:25" s="33" customFormat="1" ht="20.25" customHeight="1">
      <c r="E79"/>
      <c r="F79"/>
      <c r="G79"/>
      <c r="H79"/>
      <c r="I79"/>
      <c r="K79"/>
      <c r="M79"/>
      <c r="O79" s="67"/>
      <c r="Q79" s="67"/>
      <c r="R79" s="67"/>
      <c r="S79" s="67"/>
      <c r="T79" s="67"/>
      <c r="U79" s="67"/>
      <c r="V79" s="67"/>
      <c r="W79" s="67"/>
      <c r="X79" s="67"/>
      <c r="Y79" s="67"/>
    </row>
    <row r="80" spans="5:25" s="33" customFormat="1" ht="20.25" customHeight="1">
      <c r="E80"/>
      <c r="F80"/>
      <c r="G80"/>
      <c r="H80"/>
      <c r="I80"/>
      <c r="K80"/>
      <c r="M80"/>
      <c r="O80" s="67"/>
      <c r="Q80" s="67"/>
      <c r="R80" s="67"/>
      <c r="S80" s="67"/>
      <c r="T80" s="67"/>
      <c r="U80" s="67"/>
      <c r="V80" s="67"/>
      <c r="W80" s="67"/>
      <c r="X80" s="67"/>
      <c r="Y80" s="67"/>
    </row>
    <row r="81" spans="5:25" s="33" customFormat="1" ht="20.25" customHeight="1">
      <c r="E81"/>
      <c r="F81"/>
      <c r="G81"/>
      <c r="H81"/>
      <c r="I81"/>
      <c r="K81"/>
      <c r="M81"/>
      <c r="O81" s="67"/>
      <c r="Q81" s="67"/>
      <c r="R81" s="67"/>
      <c r="S81" s="67"/>
      <c r="T81" s="67"/>
      <c r="U81" s="67"/>
      <c r="V81" s="67"/>
      <c r="W81" s="67"/>
      <c r="X81" s="67"/>
      <c r="Y81" s="67"/>
    </row>
    <row r="82" spans="5:25" s="33" customFormat="1" ht="20.25" customHeight="1">
      <c r="E82"/>
      <c r="F82"/>
      <c r="G82"/>
      <c r="H82"/>
      <c r="I82"/>
      <c r="K82"/>
      <c r="M82"/>
      <c r="O82" s="67"/>
      <c r="Q82" s="67"/>
      <c r="R82" s="67"/>
      <c r="S82" s="67"/>
      <c r="T82" s="67"/>
      <c r="U82" s="67"/>
      <c r="V82" s="67"/>
      <c r="W82" s="67"/>
      <c r="X82" s="67"/>
      <c r="Y82" s="67"/>
    </row>
    <row r="83" spans="5:25" s="33" customFormat="1" ht="20.25" customHeight="1">
      <c r="E83"/>
      <c r="F83"/>
      <c r="G83"/>
      <c r="H83"/>
      <c r="I83"/>
      <c r="K83"/>
      <c r="M83"/>
      <c r="O83" s="67"/>
      <c r="Q83" s="67"/>
      <c r="R83" s="67"/>
      <c r="S83" s="67"/>
      <c r="T83" s="67"/>
      <c r="U83" s="67"/>
      <c r="V83" s="67"/>
      <c r="W83" s="67"/>
      <c r="X83" s="67"/>
      <c r="Y83" s="67"/>
    </row>
    <row r="84" spans="5:25" s="33" customFormat="1" ht="20.25" customHeight="1">
      <c r="E84"/>
      <c r="F84"/>
      <c r="G84"/>
      <c r="H84"/>
      <c r="I84"/>
      <c r="K84"/>
      <c r="M84"/>
      <c r="O84" s="67"/>
      <c r="Q84" s="67"/>
      <c r="R84" s="67"/>
      <c r="S84" s="67"/>
      <c r="T84" s="67"/>
      <c r="U84" s="67"/>
      <c r="V84" s="67"/>
      <c r="W84" s="67"/>
      <c r="X84" s="67"/>
      <c r="Y84" s="67"/>
    </row>
    <row r="85" spans="5:25" s="33" customFormat="1" ht="20.25" customHeight="1">
      <c r="E85"/>
      <c r="F85"/>
      <c r="G85"/>
      <c r="H85"/>
      <c r="I85"/>
      <c r="K85"/>
      <c r="M85"/>
      <c r="O85" s="67"/>
      <c r="Q85" s="67"/>
      <c r="R85" s="67"/>
      <c r="S85" s="67"/>
      <c r="T85" s="67"/>
      <c r="U85" s="67"/>
      <c r="V85" s="67"/>
      <c r="W85" s="67"/>
      <c r="X85" s="67"/>
      <c r="Y85" s="67"/>
    </row>
    <row r="86" spans="5:25" s="33" customFormat="1" ht="20.25" customHeight="1">
      <c r="E86"/>
      <c r="F86"/>
      <c r="G86"/>
      <c r="H86"/>
      <c r="I86"/>
      <c r="K86"/>
      <c r="M86"/>
      <c r="O86" s="67"/>
      <c r="Q86" s="67"/>
      <c r="R86" s="67"/>
      <c r="S86" s="67"/>
      <c r="T86" s="67"/>
      <c r="U86" s="67"/>
      <c r="V86" s="67"/>
      <c r="W86" s="67"/>
      <c r="X86" s="67"/>
      <c r="Y86" s="67"/>
    </row>
    <row r="87" spans="5:25" s="33" customFormat="1" ht="20.25" customHeight="1">
      <c r="E87"/>
      <c r="F87"/>
      <c r="G87"/>
      <c r="H87"/>
      <c r="I87"/>
      <c r="K87"/>
      <c r="M87"/>
      <c r="O87" s="67"/>
      <c r="Q87" s="67"/>
      <c r="R87" s="67"/>
      <c r="S87" s="67"/>
      <c r="T87" s="67"/>
      <c r="U87" s="67"/>
      <c r="V87" s="67"/>
      <c r="W87" s="67"/>
      <c r="X87" s="67"/>
      <c r="Y87" s="67"/>
    </row>
    <row r="88" spans="5:25" s="33" customFormat="1" ht="20.25" customHeight="1">
      <c r="E88"/>
      <c r="F88"/>
      <c r="G88"/>
      <c r="H88"/>
      <c r="I88"/>
      <c r="K88"/>
      <c r="M88"/>
      <c r="O88" s="67"/>
      <c r="Q88" s="67"/>
      <c r="R88" s="67"/>
      <c r="S88" s="67"/>
      <c r="T88" s="67"/>
      <c r="U88" s="67"/>
      <c r="V88" s="67"/>
      <c r="W88" s="67"/>
      <c r="X88" s="67"/>
      <c r="Y88" s="67"/>
    </row>
    <row r="89" spans="5:25" s="33" customFormat="1" ht="20.25" customHeight="1">
      <c r="E89"/>
      <c r="F89"/>
      <c r="G89"/>
      <c r="H89"/>
      <c r="I89"/>
      <c r="K89"/>
      <c r="M89"/>
      <c r="O89" s="67"/>
      <c r="Q89" s="67"/>
      <c r="R89" s="67"/>
      <c r="S89" s="67"/>
      <c r="T89" s="67"/>
      <c r="U89" s="67"/>
      <c r="V89" s="67"/>
      <c r="W89" s="67"/>
      <c r="X89" s="67"/>
      <c r="Y89" s="67"/>
    </row>
    <row r="90" spans="5:25" s="33" customFormat="1" ht="20.25" customHeight="1">
      <c r="E90"/>
      <c r="F90"/>
      <c r="G90"/>
      <c r="H90"/>
      <c r="I90"/>
      <c r="K90"/>
      <c r="M90"/>
      <c r="O90" s="67"/>
      <c r="Q90" s="67"/>
      <c r="R90" s="67"/>
      <c r="S90" s="67"/>
      <c r="T90" s="67"/>
      <c r="U90" s="67"/>
      <c r="V90" s="67"/>
      <c r="W90" s="67"/>
      <c r="X90" s="67"/>
      <c r="Y90" s="67"/>
    </row>
    <row r="91" spans="5:25" s="33" customFormat="1" ht="20.25" customHeight="1">
      <c r="E91"/>
      <c r="F91"/>
      <c r="G91"/>
      <c r="H91"/>
      <c r="I91"/>
      <c r="K91"/>
      <c r="M91"/>
      <c r="O91" s="67"/>
      <c r="Q91" s="67"/>
      <c r="R91" s="67"/>
      <c r="S91" s="67"/>
      <c r="T91" s="67"/>
      <c r="U91" s="67"/>
      <c r="V91" s="67"/>
      <c r="W91" s="67"/>
      <c r="X91" s="67"/>
      <c r="Y91" s="67"/>
    </row>
    <row r="92" spans="5:25" s="33" customFormat="1" ht="20.25" customHeight="1">
      <c r="E92"/>
      <c r="F92"/>
      <c r="G92"/>
      <c r="H92"/>
      <c r="I92"/>
      <c r="K92"/>
      <c r="M92"/>
      <c r="O92" s="67"/>
      <c r="Q92" s="67"/>
      <c r="R92" s="67"/>
      <c r="S92" s="67"/>
      <c r="T92" s="67"/>
      <c r="U92" s="67"/>
      <c r="V92" s="67"/>
      <c r="W92" s="67"/>
      <c r="X92" s="67"/>
      <c r="Y92" s="67"/>
    </row>
    <row r="93" spans="5:25" s="33" customFormat="1" ht="20.25" customHeight="1">
      <c r="E93"/>
      <c r="F93"/>
      <c r="G93"/>
      <c r="H93"/>
      <c r="I93"/>
      <c r="K93"/>
      <c r="M93"/>
      <c r="O93" s="67"/>
      <c r="Q93" s="67"/>
      <c r="R93" s="67"/>
      <c r="S93" s="67"/>
      <c r="T93" s="67"/>
      <c r="U93" s="67"/>
      <c r="V93" s="67"/>
      <c r="W93" s="67"/>
      <c r="X93" s="67"/>
      <c r="Y93" s="67"/>
    </row>
    <row r="94" spans="5:25" s="33" customFormat="1" ht="20.25" customHeight="1">
      <c r="E94"/>
      <c r="F94"/>
      <c r="G94"/>
      <c r="H94"/>
      <c r="I94"/>
      <c r="K94"/>
      <c r="M94"/>
      <c r="O94" s="67"/>
      <c r="Q94" s="67"/>
      <c r="R94" s="67"/>
      <c r="S94" s="67"/>
      <c r="T94" s="67"/>
      <c r="U94" s="67"/>
      <c r="V94" s="67"/>
      <c r="W94" s="67"/>
      <c r="X94" s="67"/>
      <c r="Y94" s="67"/>
    </row>
    <row r="95" spans="5:25" s="33" customFormat="1" ht="20.25" customHeight="1">
      <c r="E95"/>
      <c r="F95"/>
      <c r="G95"/>
      <c r="H95"/>
      <c r="I95"/>
      <c r="K95"/>
      <c r="M95"/>
      <c r="O95" s="67"/>
      <c r="Q95" s="67"/>
      <c r="R95" s="67"/>
      <c r="S95" s="67"/>
      <c r="T95" s="67"/>
      <c r="U95" s="67"/>
      <c r="V95" s="67"/>
      <c r="W95" s="67"/>
      <c r="X95" s="67"/>
      <c r="Y95" s="67"/>
    </row>
    <row r="96" spans="5:25" s="33" customFormat="1" ht="20.25" customHeight="1">
      <c r="E96"/>
      <c r="F96"/>
      <c r="G96"/>
      <c r="H96"/>
      <c r="I96"/>
      <c r="K96"/>
      <c r="M96"/>
      <c r="O96" s="67"/>
      <c r="Q96" s="67"/>
      <c r="R96" s="67"/>
      <c r="S96" s="67"/>
      <c r="T96" s="67"/>
      <c r="U96" s="67"/>
      <c r="V96" s="67"/>
      <c r="W96" s="67"/>
      <c r="X96" s="67"/>
      <c r="Y96" s="67"/>
    </row>
    <row r="97" spans="5:25" s="33" customFormat="1" ht="20.25" customHeight="1">
      <c r="E97"/>
      <c r="F97"/>
      <c r="G97"/>
      <c r="H97"/>
      <c r="I97"/>
      <c r="K97"/>
      <c r="M97"/>
      <c r="O97" s="67"/>
      <c r="Q97" s="67"/>
      <c r="R97" s="67"/>
      <c r="S97" s="67"/>
      <c r="T97" s="67"/>
      <c r="U97" s="67"/>
      <c r="V97" s="67"/>
      <c r="W97" s="67"/>
      <c r="X97" s="67"/>
      <c r="Y97" s="67"/>
    </row>
    <row r="98" spans="5:25" s="33" customFormat="1" ht="20.25" customHeight="1">
      <c r="E98"/>
      <c r="F98"/>
      <c r="G98"/>
      <c r="H98"/>
      <c r="I98"/>
      <c r="K98"/>
      <c r="M98"/>
      <c r="O98" s="67"/>
      <c r="Q98" s="67"/>
      <c r="R98" s="67"/>
      <c r="S98" s="67"/>
      <c r="T98" s="67"/>
      <c r="U98" s="67"/>
      <c r="V98" s="67"/>
      <c r="W98" s="67"/>
      <c r="X98" s="67"/>
      <c r="Y98" s="67"/>
    </row>
    <row r="99" spans="5:25" s="33" customFormat="1" ht="20.25" customHeight="1">
      <c r="E99"/>
      <c r="F99"/>
      <c r="G99"/>
      <c r="H99"/>
      <c r="I99"/>
      <c r="K99"/>
      <c r="M99"/>
      <c r="O99" s="67"/>
      <c r="Q99" s="67"/>
      <c r="R99" s="67"/>
      <c r="S99" s="67"/>
      <c r="T99" s="67"/>
      <c r="U99" s="67"/>
      <c r="V99" s="67"/>
      <c r="W99" s="67"/>
      <c r="X99" s="67"/>
      <c r="Y99" s="67"/>
    </row>
    <row r="100" spans="5:25" s="33" customFormat="1" ht="20.25" customHeight="1">
      <c r="E100"/>
      <c r="F100"/>
      <c r="G100"/>
      <c r="H100"/>
      <c r="I100"/>
      <c r="K100"/>
      <c r="M100"/>
      <c r="O100" s="67"/>
      <c r="Q100" s="67"/>
      <c r="R100" s="67"/>
      <c r="S100" s="67"/>
      <c r="T100" s="67"/>
      <c r="U100" s="67"/>
      <c r="V100" s="67"/>
      <c r="W100" s="67"/>
      <c r="X100" s="67"/>
      <c r="Y100" s="67"/>
    </row>
    <row r="101" spans="5:25" s="33" customFormat="1" ht="20.25" customHeight="1">
      <c r="E101"/>
      <c r="F101"/>
      <c r="G101"/>
      <c r="H101"/>
      <c r="I101"/>
      <c r="K101"/>
      <c r="M101"/>
      <c r="O101" s="67"/>
      <c r="Q101" s="67"/>
      <c r="R101" s="67"/>
      <c r="S101" s="67"/>
      <c r="T101" s="67"/>
      <c r="U101" s="67"/>
      <c r="V101" s="67"/>
      <c r="W101" s="67"/>
      <c r="X101" s="67"/>
      <c r="Y101" s="67"/>
    </row>
    <row r="102" spans="5:25" s="33" customFormat="1" ht="20.25" customHeight="1">
      <c r="E102"/>
      <c r="F102"/>
      <c r="G102"/>
      <c r="H102"/>
      <c r="I102"/>
      <c r="K102"/>
      <c r="M102"/>
      <c r="O102" s="67"/>
      <c r="Q102" s="67"/>
      <c r="R102" s="67"/>
      <c r="S102" s="67"/>
      <c r="T102" s="67"/>
      <c r="U102" s="67"/>
      <c r="V102" s="67"/>
      <c r="W102" s="67"/>
      <c r="X102" s="67"/>
      <c r="Y102" s="67"/>
    </row>
    <row r="103" spans="5:25" s="33" customFormat="1" ht="20.25" customHeight="1">
      <c r="E103"/>
      <c r="F103"/>
      <c r="G103"/>
      <c r="H103"/>
      <c r="I103"/>
      <c r="K103"/>
      <c r="M103"/>
      <c r="O103" s="67"/>
      <c r="Q103" s="67"/>
      <c r="R103" s="67"/>
      <c r="S103" s="67"/>
      <c r="T103" s="67"/>
      <c r="U103" s="67"/>
      <c r="V103" s="67"/>
      <c r="W103" s="67"/>
      <c r="X103" s="67"/>
      <c r="Y103" s="67"/>
    </row>
    <row r="104" spans="5:25" s="33" customFormat="1" ht="20.25" customHeight="1">
      <c r="E104"/>
      <c r="F104"/>
      <c r="G104"/>
      <c r="H104"/>
      <c r="I104"/>
      <c r="K104"/>
      <c r="M104"/>
      <c r="O104" s="67"/>
      <c r="Q104" s="67"/>
      <c r="R104" s="67"/>
      <c r="S104" s="67"/>
      <c r="T104" s="67"/>
      <c r="U104" s="67"/>
      <c r="V104" s="67"/>
      <c r="W104" s="67"/>
      <c r="X104" s="67"/>
      <c r="Y104" s="67"/>
    </row>
    <row r="105" spans="5:25" s="33" customFormat="1" ht="20.25" customHeight="1">
      <c r="E105"/>
      <c r="F105"/>
      <c r="G105"/>
      <c r="H105"/>
      <c r="I105"/>
      <c r="K105"/>
      <c r="M105"/>
      <c r="O105" s="67"/>
      <c r="Q105" s="67"/>
      <c r="R105" s="67"/>
      <c r="S105" s="67"/>
      <c r="T105" s="67"/>
      <c r="U105" s="67"/>
      <c r="V105" s="67"/>
      <c r="W105" s="67"/>
      <c r="X105" s="67"/>
      <c r="Y105" s="67"/>
    </row>
    <row r="106" spans="5:25" s="33" customFormat="1" ht="20.25" customHeight="1">
      <c r="E106"/>
      <c r="F106"/>
      <c r="G106"/>
      <c r="H106"/>
      <c r="I106"/>
      <c r="K106"/>
      <c r="M106"/>
      <c r="O106" s="67"/>
      <c r="Q106" s="67"/>
      <c r="R106" s="67"/>
      <c r="S106" s="67"/>
      <c r="T106" s="67"/>
      <c r="U106" s="67"/>
      <c r="V106" s="67"/>
      <c r="W106" s="67"/>
      <c r="X106" s="67"/>
      <c r="Y106" s="67"/>
    </row>
    <row r="107" spans="5:25" s="33" customFormat="1" ht="20.25" customHeight="1">
      <c r="E107"/>
      <c r="F107"/>
      <c r="G107"/>
      <c r="H107"/>
      <c r="I107"/>
      <c r="K107"/>
      <c r="M107"/>
      <c r="O107" s="67"/>
      <c r="Q107" s="67"/>
      <c r="R107" s="67"/>
      <c r="S107" s="67"/>
      <c r="T107" s="67"/>
      <c r="U107" s="67"/>
      <c r="V107" s="67"/>
      <c r="W107" s="67"/>
      <c r="X107" s="67"/>
      <c r="Y107" s="67"/>
    </row>
    <row r="108" spans="5:25" s="33" customFormat="1" ht="20.25" customHeight="1">
      <c r="E108"/>
      <c r="F108"/>
      <c r="G108"/>
      <c r="H108"/>
      <c r="I108"/>
      <c r="K108"/>
      <c r="M108"/>
      <c r="O108" s="67"/>
      <c r="Q108" s="67"/>
      <c r="R108" s="67"/>
      <c r="S108" s="67"/>
      <c r="T108" s="67"/>
      <c r="U108" s="67"/>
      <c r="V108" s="67"/>
      <c r="W108" s="67"/>
      <c r="X108" s="67"/>
      <c r="Y108" s="67"/>
    </row>
    <row r="109" spans="5:25" s="33" customFormat="1" ht="20.25" customHeight="1">
      <c r="E109"/>
      <c r="F109"/>
      <c r="G109"/>
      <c r="H109"/>
      <c r="I109"/>
      <c r="K109"/>
      <c r="M109"/>
      <c r="O109" s="67"/>
      <c r="Q109" s="67"/>
      <c r="R109" s="67"/>
      <c r="S109" s="67"/>
      <c r="T109" s="67"/>
      <c r="U109" s="67"/>
      <c r="V109" s="67"/>
      <c r="W109" s="67"/>
      <c r="X109" s="67"/>
      <c r="Y109" s="67"/>
    </row>
    <row r="110" spans="5:25" s="33" customFormat="1" ht="20.25" customHeight="1">
      <c r="E110"/>
      <c r="F110"/>
      <c r="G110"/>
      <c r="H110"/>
      <c r="I110"/>
      <c r="K110"/>
      <c r="M110"/>
      <c r="O110" s="67"/>
      <c r="Q110" s="67"/>
      <c r="R110" s="67"/>
      <c r="S110" s="67"/>
      <c r="T110" s="67"/>
      <c r="U110" s="67"/>
      <c r="V110" s="67"/>
      <c r="W110" s="67"/>
      <c r="X110" s="67"/>
      <c r="Y110" s="67"/>
    </row>
    <row r="111" spans="5:25" s="33" customFormat="1" ht="20.25" customHeight="1">
      <c r="E111"/>
      <c r="F111"/>
      <c r="G111"/>
      <c r="H111"/>
      <c r="I111"/>
      <c r="K111"/>
      <c r="M111"/>
      <c r="O111" s="67"/>
      <c r="Q111" s="67"/>
      <c r="R111" s="67"/>
      <c r="S111" s="67"/>
      <c r="T111" s="67"/>
      <c r="U111" s="67"/>
      <c r="V111" s="67"/>
      <c r="W111" s="67"/>
      <c r="X111" s="67"/>
      <c r="Y111" s="67"/>
    </row>
    <row r="112" spans="5:25" s="33" customFormat="1" ht="20.25" customHeight="1">
      <c r="E112"/>
      <c r="F112"/>
      <c r="G112"/>
      <c r="H112"/>
      <c r="I112"/>
      <c r="K112"/>
      <c r="M112"/>
      <c r="O112" s="67"/>
      <c r="Q112" s="67"/>
      <c r="R112" s="67"/>
      <c r="S112" s="67"/>
      <c r="T112" s="67"/>
      <c r="U112" s="67"/>
      <c r="V112" s="67"/>
      <c r="W112" s="67"/>
      <c r="X112" s="67"/>
      <c r="Y112" s="67"/>
    </row>
    <row r="113" spans="5:25" s="33" customFormat="1" ht="20.25" customHeight="1">
      <c r="E113"/>
      <c r="F113"/>
      <c r="G113"/>
      <c r="H113"/>
      <c r="I113"/>
      <c r="K113"/>
      <c r="M113"/>
      <c r="O113" s="67"/>
      <c r="Q113" s="67"/>
      <c r="R113" s="67"/>
      <c r="S113" s="67"/>
      <c r="T113" s="67"/>
      <c r="U113" s="67"/>
      <c r="V113" s="67"/>
      <c r="W113" s="67"/>
      <c r="X113" s="67"/>
      <c r="Y113" s="67"/>
    </row>
    <row r="114" spans="5:25" s="33" customFormat="1" ht="20.25" customHeight="1">
      <c r="E114"/>
      <c r="F114"/>
      <c r="G114"/>
      <c r="H114"/>
      <c r="I114"/>
      <c r="K114"/>
      <c r="M114"/>
      <c r="O114" s="67"/>
      <c r="Q114" s="67"/>
      <c r="R114" s="67"/>
      <c r="S114" s="67"/>
      <c r="T114" s="67"/>
      <c r="U114" s="67"/>
      <c r="V114" s="67"/>
      <c r="W114" s="67"/>
      <c r="X114" s="67"/>
      <c r="Y114" s="67"/>
    </row>
    <row r="115" spans="5:25" s="33" customFormat="1" ht="20.25" customHeight="1">
      <c r="E115"/>
      <c r="F115"/>
      <c r="G115"/>
      <c r="H115"/>
      <c r="I115"/>
      <c r="K115"/>
      <c r="M115"/>
      <c r="O115" s="67"/>
      <c r="Q115" s="67"/>
      <c r="R115" s="67"/>
      <c r="S115" s="67"/>
      <c r="T115" s="67"/>
      <c r="U115" s="67"/>
      <c r="V115" s="67"/>
      <c r="W115" s="67"/>
      <c r="X115" s="67"/>
      <c r="Y115" s="67"/>
    </row>
    <row r="116" spans="5:25" s="33" customFormat="1" ht="20.25" customHeight="1">
      <c r="E116"/>
      <c r="F116"/>
      <c r="G116"/>
      <c r="H116"/>
      <c r="I116"/>
      <c r="K116"/>
      <c r="M116"/>
      <c r="O116" s="67"/>
      <c r="Q116" s="67"/>
      <c r="R116" s="67"/>
      <c r="S116" s="67"/>
      <c r="T116" s="67"/>
      <c r="U116" s="67"/>
      <c r="V116" s="67"/>
      <c r="W116" s="67"/>
      <c r="X116" s="67"/>
      <c r="Y116" s="67"/>
    </row>
    <row r="117" spans="5:25" s="33" customFormat="1" ht="20.25" customHeight="1">
      <c r="E117"/>
      <c r="F117"/>
      <c r="G117"/>
      <c r="H117"/>
      <c r="I117"/>
      <c r="K117"/>
      <c r="M117"/>
      <c r="O117" s="67"/>
      <c r="Q117" s="67"/>
      <c r="R117" s="67"/>
      <c r="S117" s="67"/>
      <c r="T117" s="67"/>
      <c r="U117" s="67"/>
      <c r="V117" s="67"/>
      <c r="W117" s="67"/>
      <c r="X117" s="67"/>
      <c r="Y117" s="67"/>
    </row>
    <row r="118" spans="5:25" s="33" customFormat="1" ht="20.25" customHeight="1">
      <c r="E118"/>
      <c r="F118"/>
      <c r="G118"/>
      <c r="H118"/>
      <c r="I118"/>
      <c r="K118"/>
      <c r="M118"/>
      <c r="O118" s="67"/>
      <c r="Q118" s="67"/>
      <c r="R118" s="67"/>
      <c r="S118" s="67"/>
      <c r="T118" s="67"/>
      <c r="U118" s="67"/>
      <c r="V118" s="67"/>
      <c r="W118" s="67"/>
      <c r="X118" s="67"/>
      <c r="Y118" s="67"/>
    </row>
    <row r="119" spans="5:25" s="33" customFormat="1" ht="20.25" customHeight="1">
      <c r="E119"/>
      <c r="F119"/>
      <c r="G119"/>
      <c r="H119"/>
      <c r="I119"/>
      <c r="K119"/>
      <c r="M119"/>
      <c r="O119" s="67"/>
      <c r="Q119" s="67"/>
      <c r="R119" s="67"/>
      <c r="S119" s="67"/>
      <c r="T119" s="67"/>
      <c r="U119" s="67"/>
      <c r="V119" s="67"/>
      <c r="W119" s="67"/>
      <c r="X119" s="67"/>
      <c r="Y119" s="67"/>
    </row>
    <row r="120" spans="5:25" s="33" customFormat="1" ht="20.25" customHeight="1">
      <c r="E120"/>
      <c r="F120"/>
      <c r="G120"/>
      <c r="H120"/>
      <c r="I120"/>
      <c r="K120"/>
      <c r="M120"/>
      <c r="O120" s="67"/>
      <c r="Q120" s="67"/>
      <c r="R120" s="67"/>
      <c r="S120" s="67"/>
      <c r="T120" s="67"/>
      <c r="U120" s="67"/>
      <c r="V120" s="67"/>
      <c r="W120" s="67"/>
      <c r="X120" s="67"/>
      <c r="Y120" s="67"/>
    </row>
    <row r="121" spans="5:25" s="33" customFormat="1" ht="20.25" customHeight="1">
      <c r="E121"/>
      <c r="F121"/>
      <c r="G121"/>
      <c r="H121"/>
      <c r="I121"/>
      <c r="K121"/>
      <c r="M121"/>
      <c r="O121" s="67"/>
      <c r="Q121" s="67"/>
      <c r="R121" s="67"/>
      <c r="S121" s="67"/>
      <c r="T121" s="67"/>
      <c r="U121" s="67"/>
      <c r="V121" s="67"/>
      <c r="W121" s="67"/>
      <c r="X121" s="67"/>
      <c r="Y121" s="67"/>
    </row>
    <row r="122" spans="5:25" s="33" customFormat="1" ht="20.25" customHeight="1">
      <c r="E122"/>
      <c r="F122"/>
      <c r="G122"/>
      <c r="H122"/>
      <c r="I122"/>
      <c r="K122"/>
      <c r="M122"/>
      <c r="O122" s="67"/>
      <c r="Q122" s="67"/>
      <c r="R122" s="67"/>
      <c r="S122" s="67"/>
      <c r="T122" s="67"/>
      <c r="U122" s="67"/>
      <c r="V122" s="67"/>
      <c r="W122" s="67"/>
      <c r="X122" s="67"/>
      <c r="Y122" s="67"/>
    </row>
    <row r="123" spans="5:25" s="33" customFormat="1" ht="20.25" customHeight="1">
      <c r="E123"/>
      <c r="F123"/>
      <c r="G123"/>
      <c r="H123"/>
      <c r="I123"/>
      <c r="K123"/>
      <c r="M123"/>
      <c r="O123" s="67"/>
      <c r="Q123" s="67"/>
      <c r="R123" s="67"/>
      <c r="S123" s="67"/>
      <c r="T123" s="67"/>
      <c r="U123" s="67"/>
      <c r="V123" s="67"/>
      <c r="W123" s="67"/>
      <c r="X123" s="67"/>
      <c r="Y123" s="67"/>
    </row>
    <row r="124" spans="5:25" s="33" customFormat="1" ht="20.25" customHeight="1">
      <c r="E124"/>
      <c r="F124"/>
      <c r="G124"/>
      <c r="H124"/>
      <c r="I124"/>
      <c r="K124"/>
      <c r="M124"/>
      <c r="O124" s="67"/>
      <c r="Q124" s="67"/>
      <c r="R124" s="67"/>
      <c r="S124" s="67"/>
      <c r="T124" s="67"/>
      <c r="U124" s="67"/>
      <c r="V124" s="67"/>
      <c r="W124" s="67"/>
      <c r="X124" s="67"/>
      <c r="Y124" s="67"/>
    </row>
    <row r="125" spans="5:25" s="33" customFormat="1" ht="20.25" customHeight="1">
      <c r="E125"/>
      <c r="F125"/>
      <c r="G125"/>
      <c r="H125"/>
      <c r="I125"/>
      <c r="K125"/>
      <c r="M125"/>
      <c r="O125" s="67"/>
      <c r="Q125" s="67"/>
      <c r="R125" s="67"/>
      <c r="S125" s="67"/>
      <c r="T125" s="67"/>
      <c r="U125" s="67"/>
      <c r="V125" s="67"/>
      <c r="W125" s="67"/>
      <c r="X125" s="67"/>
      <c r="Y125" s="67"/>
    </row>
    <row r="126" spans="5:25" s="33" customFormat="1" ht="20.25" customHeight="1">
      <c r="E126"/>
      <c r="F126"/>
      <c r="G126"/>
      <c r="H126"/>
      <c r="I126"/>
      <c r="K126"/>
      <c r="M126"/>
      <c r="O126" s="67"/>
      <c r="Q126" s="67"/>
      <c r="R126" s="67"/>
      <c r="S126" s="67"/>
      <c r="T126" s="67"/>
      <c r="U126" s="67"/>
      <c r="V126" s="67"/>
      <c r="W126" s="67"/>
      <c r="X126" s="67"/>
      <c r="Y126" s="67"/>
    </row>
    <row r="127" spans="5:25" s="33" customFormat="1" ht="20.25" customHeight="1">
      <c r="E127"/>
      <c r="F127"/>
      <c r="G127"/>
      <c r="H127"/>
      <c r="I127"/>
      <c r="K127"/>
      <c r="M127"/>
      <c r="O127" s="67"/>
      <c r="Q127" s="67"/>
      <c r="R127" s="67"/>
      <c r="S127" s="67"/>
      <c r="T127" s="67"/>
      <c r="U127" s="67"/>
      <c r="V127" s="67"/>
      <c r="W127" s="67"/>
      <c r="X127" s="67"/>
      <c r="Y127" s="67"/>
    </row>
    <row r="128" spans="5:25" s="33" customFormat="1" ht="20.25" customHeight="1">
      <c r="E128"/>
      <c r="F128"/>
      <c r="G128"/>
      <c r="H128"/>
      <c r="I128"/>
      <c r="K128"/>
      <c r="M128"/>
      <c r="O128" s="67"/>
      <c r="Q128" s="67"/>
      <c r="R128" s="67"/>
      <c r="S128" s="67"/>
      <c r="T128" s="67"/>
      <c r="U128" s="67"/>
      <c r="V128" s="67"/>
      <c r="W128" s="67"/>
      <c r="X128" s="67"/>
      <c r="Y128" s="67"/>
    </row>
    <row r="129" spans="5:25" s="33" customFormat="1" ht="20.25" customHeight="1">
      <c r="E129"/>
      <c r="F129"/>
      <c r="G129"/>
      <c r="H129"/>
      <c r="I129"/>
      <c r="K129"/>
      <c r="M129"/>
      <c r="O129" s="67"/>
      <c r="Q129" s="67"/>
      <c r="R129" s="67"/>
      <c r="S129" s="67"/>
      <c r="T129" s="67"/>
      <c r="U129" s="67"/>
      <c r="V129" s="67"/>
      <c r="W129" s="67"/>
      <c r="X129" s="67"/>
      <c r="Y129" s="67"/>
    </row>
    <row r="130" spans="5:25" s="33" customFormat="1" ht="20.25" customHeight="1">
      <c r="E130"/>
      <c r="F130"/>
      <c r="G130"/>
      <c r="H130"/>
      <c r="I130"/>
      <c r="K130"/>
      <c r="M130"/>
      <c r="O130" s="67"/>
      <c r="Q130" s="67"/>
      <c r="R130" s="67"/>
      <c r="S130" s="67"/>
      <c r="T130" s="67"/>
      <c r="U130" s="67"/>
      <c r="V130" s="67"/>
      <c r="W130" s="67"/>
      <c r="X130" s="67"/>
      <c r="Y130" s="67"/>
    </row>
    <row r="131" spans="5:25" s="33" customFormat="1" ht="20.25" customHeight="1">
      <c r="E131"/>
      <c r="F131"/>
      <c r="G131"/>
      <c r="H131"/>
      <c r="I131"/>
      <c r="K131"/>
      <c r="M131"/>
      <c r="O131" s="67"/>
      <c r="Q131" s="67"/>
      <c r="R131" s="67"/>
      <c r="S131" s="67"/>
      <c r="T131" s="67"/>
      <c r="U131" s="67"/>
      <c r="V131" s="67"/>
      <c r="W131" s="67"/>
      <c r="X131" s="67"/>
      <c r="Y131" s="67"/>
    </row>
    <row r="132" spans="5:25" s="33" customFormat="1" ht="20.25" customHeight="1">
      <c r="E132"/>
      <c r="F132"/>
      <c r="G132"/>
      <c r="H132"/>
      <c r="I132"/>
      <c r="K132"/>
      <c r="M132"/>
      <c r="O132" s="67"/>
      <c r="Q132" s="67"/>
      <c r="R132" s="67"/>
      <c r="S132" s="67"/>
      <c r="T132" s="67"/>
      <c r="U132" s="67"/>
      <c r="V132" s="67"/>
      <c r="W132" s="67"/>
      <c r="X132" s="67"/>
      <c r="Y132" s="67"/>
    </row>
    <row r="133" spans="5:25" s="33" customFormat="1" ht="20.25" customHeight="1">
      <c r="E133"/>
      <c r="F133"/>
      <c r="G133"/>
      <c r="H133"/>
      <c r="I133"/>
      <c r="K133"/>
      <c r="M133"/>
      <c r="O133" s="67"/>
      <c r="Q133" s="67"/>
      <c r="R133" s="67"/>
      <c r="S133" s="67"/>
      <c r="T133" s="67"/>
      <c r="U133" s="67"/>
      <c r="V133" s="67"/>
      <c r="W133" s="67"/>
      <c r="X133" s="67"/>
      <c r="Y133" s="67"/>
    </row>
    <row r="134" spans="5:25" s="33" customFormat="1" ht="20.25" customHeight="1">
      <c r="E134"/>
      <c r="F134"/>
      <c r="G134"/>
      <c r="H134"/>
      <c r="I134"/>
      <c r="K134"/>
      <c r="M134"/>
      <c r="O134" s="67"/>
      <c r="Q134" s="67"/>
      <c r="R134" s="67"/>
      <c r="S134" s="67"/>
      <c r="T134" s="67"/>
      <c r="U134" s="67"/>
      <c r="V134" s="67"/>
      <c r="W134" s="67"/>
      <c r="X134" s="67"/>
      <c r="Y134" s="67"/>
    </row>
    <row r="135" spans="5:25" s="33" customFormat="1" ht="20.25" customHeight="1">
      <c r="E135"/>
      <c r="F135"/>
      <c r="G135"/>
      <c r="H135"/>
      <c r="I135"/>
      <c r="K135"/>
      <c r="M135"/>
      <c r="O135" s="67"/>
      <c r="Q135" s="67"/>
      <c r="R135" s="67"/>
      <c r="S135" s="67"/>
      <c r="T135" s="67"/>
      <c r="U135" s="67"/>
      <c r="V135" s="67"/>
      <c r="W135" s="67"/>
      <c r="X135" s="67"/>
      <c r="Y135" s="67"/>
    </row>
    <row r="136" spans="5:25" s="33" customFormat="1" ht="20.25" customHeight="1">
      <c r="E136"/>
      <c r="F136"/>
      <c r="G136"/>
      <c r="H136"/>
      <c r="I136"/>
      <c r="K136"/>
      <c r="M136"/>
      <c r="O136" s="67"/>
      <c r="Q136" s="67"/>
      <c r="R136" s="67"/>
      <c r="S136" s="67"/>
      <c r="T136" s="67"/>
      <c r="U136" s="67"/>
      <c r="V136" s="67"/>
      <c r="W136" s="67"/>
      <c r="X136" s="67"/>
      <c r="Y136" s="67"/>
    </row>
    <row r="137" spans="5:25" s="33" customFormat="1" ht="20.25" customHeight="1">
      <c r="E137"/>
      <c r="F137"/>
      <c r="G137"/>
      <c r="H137"/>
      <c r="I137"/>
      <c r="K137"/>
      <c r="M137"/>
      <c r="O137" s="67"/>
      <c r="Q137" s="67"/>
      <c r="R137" s="67"/>
      <c r="S137" s="67"/>
      <c r="T137" s="67"/>
      <c r="U137" s="67"/>
      <c r="V137" s="67"/>
      <c r="W137" s="67"/>
      <c r="X137" s="67"/>
      <c r="Y137" s="67"/>
    </row>
    <row r="138" spans="5:25" s="33" customFormat="1" ht="20.25" customHeight="1">
      <c r="E138"/>
      <c r="F138"/>
      <c r="G138"/>
      <c r="H138"/>
      <c r="I138"/>
      <c r="K138"/>
      <c r="M138"/>
      <c r="O138" s="67"/>
      <c r="Q138" s="67"/>
      <c r="R138" s="67"/>
      <c r="S138" s="67"/>
      <c r="T138" s="67"/>
      <c r="U138" s="67"/>
      <c r="V138" s="67"/>
      <c r="W138" s="67"/>
      <c r="X138" s="67"/>
      <c r="Y138" s="67"/>
    </row>
    <row r="139" spans="5:25" s="33" customFormat="1" ht="20.25" customHeight="1">
      <c r="E139"/>
      <c r="F139"/>
      <c r="G139"/>
      <c r="H139"/>
      <c r="I139"/>
      <c r="K139"/>
      <c r="M139"/>
      <c r="O139" s="67"/>
      <c r="Q139" s="67"/>
      <c r="R139" s="67"/>
      <c r="S139" s="67"/>
      <c r="T139" s="67"/>
      <c r="U139" s="67"/>
      <c r="V139" s="67"/>
      <c r="W139" s="67"/>
      <c r="X139" s="67"/>
      <c r="Y139" s="67"/>
    </row>
    <row r="140" spans="5:25" s="33" customFormat="1" ht="20.25" customHeight="1">
      <c r="E140"/>
      <c r="F140"/>
      <c r="G140"/>
      <c r="H140"/>
      <c r="I140"/>
      <c r="K140"/>
      <c r="M140"/>
      <c r="O140" s="67"/>
      <c r="Q140" s="67"/>
      <c r="R140" s="67"/>
      <c r="S140" s="67"/>
      <c r="T140" s="67"/>
      <c r="U140" s="67"/>
      <c r="V140" s="67"/>
      <c r="W140" s="67"/>
      <c r="X140" s="67"/>
      <c r="Y140" s="67"/>
    </row>
    <row r="141" spans="5:25" s="33" customFormat="1" ht="20.25" customHeight="1">
      <c r="E141"/>
      <c r="F141"/>
      <c r="G141"/>
      <c r="H141"/>
      <c r="I141"/>
      <c r="K141"/>
      <c r="M141"/>
      <c r="O141" s="67"/>
      <c r="Q141" s="67"/>
      <c r="R141" s="67"/>
      <c r="S141" s="67"/>
      <c r="T141" s="67"/>
      <c r="U141" s="67"/>
      <c r="V141" s="67"/>
      <c r="W141" s="67"/>
      <c r="X141" s="67"/>
      <c r="Y141" s="67"/>
    </row>
    <row r="142" spans="5:25" s="33" customFormat="1" ht="20.25" customHeight="1">
      <c r="E142"/>
      <c r="F142"/>
      <c r="G142"/>
      <c r="H142"/>
      <c r="I142"/>
      <c r="K142"/>
      <c r="M142"/>
      <c r="O142" s="67"/>
      <c r="Q142" s="67"/>
      <c r="R142" s="67"/>
      <c r="S142" s="67"/>
      <c r="T142" s="67"/>
      <c r="U142" s="67"/>
      <c r="V142" s="67"/>
      <c r="W142" s="67"/>
      <c r="X142" s="67"/>
      <c r="Y142" s="67"/>
    </row>
    <row r="143" spans="5:25" s="33" customFormat="1" ht="20.25" customHeight="1">
      <c r="E143"/>
      <c r="F143"/>
      <c r="G143"/>
      <c r="H143"/>
      <c r="I143"/>
      <c r="K143"/>
      <c r="M143"/>
      <c r="O143" s="67"/>
      <c r="Q143" s="67"/>
      <c r="R143" s="67"/>
      <c r="S143" s="67"/>
      <c r="T143" s="67"/>
      <c r="U143" s="67"/>
      <c r="V143" s="67"/>
      <c r="W143" s="67"/>
      <c r="X143" s="67"/>
      <c r="Y143" s="67"/>
    </row>
    <row r="144" spans="5:25" s="33" customFormat="1" ht="20.25" customHeight="1">
      <c r="E144"/>
      <c r="F144"/>
      <c r="G144"/>
      <c r="H144"/>
      <c r="I144"/>
      <c r="K144"/>
      <c r="M144"/>
      <c r="O144" s="67"/>
      <c r="Q144" s="67"/>
      <c r="R144" s="67"/>
      <c r="S144" s="67"/>
      <c r="T144" s="67"/>
      <c r="U144" s="67"/>
      <c r="V144" s="67"/>
      <c r="W144" s="67"/>
      <c r="X144" s="67"/>
      <c r="Y144" s="67"/>
    </row>
    <row r="145" spans="1:25" s="33" customFormat="1" ht="20.25" customHeight="1">
      <c r="E145"/>
      <c r="F145"/>
      <c r="G145"/>
      <c r="H145"/>
      <c r="I145"/>
      <c r="K145"/>
      <c r="M145"/>
      <c r="O145" s="67"/>
      <c r="Q145" s="67"/>
      <c r="R145" s="67"/>
      <c r="S145" s="67"/>
      <c r="T145" s="67"/>
      <c r="U145" s="67"/>
      <c r="V145" s="67"/>
      <c r="W145" s="67"/>
      <c r="X145" s="67"/>
      <c r="Y145" s="67"/>
    </row>
    <row r="146" spans="1:25" s="33" customFormat="1" ht="20.25" customHeight="1">
      <c r="E146"/>
      <c r="F146"/>
      <c r="G146"/>
      <c r="H146"/>
      <c r="I146"/>
      <c r="K146"/>
      <c r="M146"/>
      <c r="O146" s="67"/>
      <c r="Q146" s="67"/>
      <c r="R146" s="67"/>
      <c r="S146" s="67"/>
      <c r="T146" s="67"/>
      <c r="U146" s="67"/>
      <c r="V146" s="67"/>
      <c r="W146" s="67"/>
      <c r="X146" s="67"/>
      <c r="Y146" s="67"/>
    </row>
    <row r="147" spans="1:25" s="33" customFormat="1" ht="20.25" customHeight="1">
      <c r="E147"/>
      <c r="F147"/>
      <c r="G147"/>
      <c r="H147"/>
      <c r="I147"/>
      <c r="K147"/>
      <c r="M147"/>
      <c r="O147" s="67"/>
      <c r="Q147" s="67"/>
      <c r="R147" s="67"/>
      <c r="S147" s="67"/>
      <c r="T147" s="67"/>
      <c r="U147" s="67"/>
      <c r="V147" s="67"/>
      <c r="W147" s="67"/>
      <c r="X147" s="67"/>
      <c r="Y147" s="67"/>
    </row>
    <row r="148" spans="1:25" s="33" customFormat="1" ht="20.25" customHeight="1">
      <c r="E148"/>
      <c r="F148"/>
      <c r="G148"/>
      <c r="H148"/>
      <c r="I148"/>
      <c r="K148"/>
      <c r="M148"/>
      <c r="O148" s="67"/>
      <c r="Q148" s="67"/>
      <c r="R148" s="67"/>
      <c r="S148" s="67"/>
      <c r="T148" s="67"/>
      <c r="U148" s="67"/>
      <c r="V148" s="67"/>
      <c r="W148" s="67"/>
      <c r="X148" s="67"/>
      <c r="Y148" s="67"/>
    </row>
    <row r="149" spans="1:25" s="33" customFormat="1" ht="20.25" customHeight="1">
      <c r="E149"/>
      <c r="F149"/>
      <c r="G149"/>
      <c r="H149"/>
      <c r="I149"/>
      <c r="K149"/>
      <c r="M149"/>
      <c r="O149" s="67"/>
      <c r="Q149" s="67"/>
      <c r="R149" s="67"/>
      <c r="S149" s="67"/>
      <c r="T149" s="67"/>
      <c r="U149" s="67"/>
      <c r="V149" s="67"/>
      <c r="W149" s="67"/>
      <c r="X149" s="67"/>
      <c r="Y149" s="67"/>
    </row>
    <row r="150" spans="1:25" s="33" customFormat="1" ht="20.25" customHeight="1">
      <c r="E150"/>
      <c r="F150"/>
      <c r="G150"/>
      <c r="H150"/>
      <c r="I150"/>
      <c r="K150"/>
      <c r="M150"/>
      <c r="O150" s="67"/>
      <c r="Q150" s="67"/>
      <c r="R150" s="67"/>
      <c r="S150" s="67"/>
      <c r="T150" s="67"/>
      <c r="U150" s="67"/>
      <c r="V150" s="67"/>
      <c r="W150" s="67"/>
      <c r="X150" s="67"/>
      <c r="Y150" s="67"/>
    </row>
    <row r="151" spans="1:25" s="33" customFormat="1" ht="20.25" customHeight="1">
      <c r="E151"/>
      <c r="F151"/>
      <c r="G151"/>
      <c r="H151"/>
      <c r="I151"/>
      <c r="K151"/>
      <c r="M151"/>
      <c r="O151" s="67"/>
      <c r="Q151" s="67"/>
      <c r="R151" s="67"/>
      <c r="S151" s="67"/>
      <c r="T151" s="67"/>
      <c r="U151" s="67"/>
      <c r="V151" s="67"/>
      <c r="W151" s="67"/>
      <c r="X151" s="67"/>
      <c r="Y151" s="67"/>
    </row>
    <row r="152" spans="1:25" s="33" customFormat="1" ht="20.25" customHeight="1">
      <c r="E152"/>
      <c r="F152"/>
      <c r="G152"/>
      <c r="H152"/>
      <c r="I152"/>
      <c r="K152"/>
      <c r="M152"/>
      <c r="O152" s="67"/>
      <c r="Q152" s="67"/>
      <c r="R152" s="67"/>
      <c r="S152" s="67"/>
      <c r="T152" s="67"/>
      <c r="U152" s="67"/>
      <c r="V152" s="67"/>
      <c r="W152" s="67"/>
      <c r="X152" s="67"/>
      <c r="Y152" s="67"/>
    </row>
    <row r="153" spans="1:25" s="33" customFormat="1" ht="20.25" customHeight="1">
      <c r="E153"/>
      <c r="F153"/>
      <c r="G153"/>
      <c r="H153"/>
      <c r="I153"/>
      <c r="K153"/>
      <c r="M153"/>
      <c r="O153" s="67"/>
      <c r="Q153" s="67"/>
      <c r="R153" s="67"/>
      <c r="S153" s="67"/>
      <c r="T153" s="67"/>
      <c r="U153" s="67"/>
      <c r="V153" s="67"/>
      <c r="W153" s="67"/>
      <c r="X153" s="67"/>
      <c r="Y153" s="67"/>
    </row>
    <row r="154" spans="1:25" s="33" customFormat="1" ht="20.25" customHeight="1">
      <c r="E154"/>
      <c r="F154"/>
      <c r="G154"/>
      <c r="H154"/>
      <c r="I154"/>
      <c r="K154"/>
      <c r="M154"/>
      <c r="O154" s="67"/>
      <c r="Q154" s="67"/>
      <c r="R154" s="67"/>
      <c r="S154" s="67"/>
      <c r="T154" s="67"/>
      <c r="U154" s="67"/>
      <c r="V154" s="67"/>
      <c r="W154" s="67"/>
      <c r="X154" s="67"/>
      <c r="Y154" s="67"/>
    </row>
    <row r="155" spans="1:25" s="33" customFormat="1" ht="20.25" customHeight="1">
      <c r="E155"/>
      <c r="F155"/>
      <c r="G155"/>
      <c r="H155"/>
      <c r="I155"/>
      <c r="K155"/>
      <c r="M155"/>
      <c r="O155" s="67"/>
      <c r="Q155" s="67"/>
      <c r="R155" s="67"/>
      <c r="S155" s="67"/>
      <c r="T155" s="67"/>
      <c r="U155" s="67"/>
      <c r="V155" s="67"/>
      <c r="W155" s="67"/>
      <c r="X155" s="67"/>
      <c r="Y155" s="67"/>
    </row>
    <row r="156" spans="1:25" s="33" customFormat="1" ht="20.25" customHeight="1">
      <c r="A156"/>
      <c r="B156"/>
      <c r="C156"/>
      <c r="E156"/>
      <c r="F156"/>
      <c r="G156"/>
      <c r="H156"/>
      <c r="I156"/>
      <c r="K156"/>
      <c r="M156"/>
      <c r="O156" s="67"/>
      <c r="Q156" s="67"/>
      <c r="R156" s="67"/>
      <c r="S156" s="67"/>
      <c r="T156" s="67"/>
      <c r="U156" s="67"/>
      <c r="V156" s="67"/>
      <c r="W156" s="67"/>
      <c r="X156" s="67"/>
      <c r="Y156" s="67"/>
    </row>
    <row r="157" spans="1:25">
      <c r="O157" s="67"/>
      <c r="Q157" s="67"/>
      <c r="R157" s="67"/>
      <c r="S157" s="67"/>
      <c r="T157" s="67"/>
      <c r="U157" s="67"/>
      <c r="V157" s="67"/>
      <c r="W157" s="67"/>
      <c r="X157" s="67"/>
      <c r="Y157" s="67"/>
    </row>
    <row r="158" spans="1:25">
      <c r="O158" s="67"/>
      <c r="Q158" s="67"/>
      <c r="R158" s="67"/>
      <c r="S158" s="67"/>
      <c r="T158" s="67"/>
      <c r="U158" s="67"/>
      <c r="V158" s="67"/>
      <c r="W158" s="67"/>
      <c r="X158" s="67"/>
      <c r="Y158" s="67"/>
    </row>
    <row r="159" spans="1:25">
      <c r="O159" s="67"/>
      <c r="Q159" s="67"/>
      <c r="R159" s="67"/>
      <c r="S159" s="67"/>
      <c r="T159" s="67"/>
      <c r="U159" s="67"/>
      <c r="V159" s="67"/>
      <c r="W159" s="67"/>
      <c r="X159" s="67"/>
      <c r="Y159" s="67"/>
    </row>
    <row r="160" spans="1:25">
      <c r="O160" s="67"/>
      <c r="Q160" s="67"/>
      <c r="R160" s="67"/>
      <c r="S160" s="67"/>
      <c r="T160" s="67"/>
      <c r="U160" s="67"/>
      <c r="V160" s="67"/>
      <c r="W160" s="67"/>
      <c r="X160" s="67"/>
      <c r="Y160" s="67"/>
    </row>
    <row r="161" spans="15:25">
      <c r="O161" s="67"/>
      <c r="Q161" s="67"/>
      <c r="R161" s="67"/>
      <c r="S161" s="67"/>
      <c r="T161" s="67"/>
      <c r="U161" s="67"/>
      <c r="V161" s="67"/>
      <c r="W161" s="67"/>
      <c r="X161" s="67"/>
      <c r="Y161" s="67"/>
    </row>
    <row r="162" spans="15:25">
      <c r="O162" s="67"/>
      <c r="Q162" s="67"/>
      <c r="R162" s="67"/>
      <c r="S162" s="67"/>
      <c r="T162" s="67"/>
      <c r="U162" s="67"/>
      <c r="V162" s="67"/>
      <c r="W162" s="67"/>
      <c r="X162" s="67"/>
      <c r="Y162" s="67"/>
    </row>
    <row r="163" spans="15:25">
      <c r="O163" s="67"/>
      <c r="Q163" s="67"/>
      <c r="R163" s="67"/>
      <c r="S163" s="67"/>
      <c r="T163" s="67"/>
      <c r="U163" s="67"/>
      <c r="V163" s="67"/>
      <c r="W163" s="67"/>
      <c r="X163" s="67"/>
      <c r="Y163" s="67"/>
    </row>
    <row r="164" spans="15:25">
      <c r="O164" s="67"/>
      <c r="Q164" s="67"/>
      <c r="R164" s="67"/>
      <c r="S164" s="67"/>
      <c r="T164" s="67"/>
      <c r="U164" s="67"/>
      <c r="V164" s="67"/>
      <c r="W164" s="67"/>
      <c r="X164" s="67"/>
      <c r="Y164" s="67"/>
    </row>
    <row r="165" spans="15:25">
      <c r="O165" s="67"/>
      <c r="Q165" s="67"/>
      <c r="R165" s="67"/>
      <c r="S165" s="67"/>
      <c r="T165" s="67"/>
      <c r="U165" s="67"/>
      <c r="V165" s="67"/>
      <c r="W165" s="67"/>
      <c r="X165" s="67"/>
      <c r="Y165" s="67"/>
    </row>
    <row r="166" spans="15:25">
      <c r="O166" s="67"/>
      <c r="Q166" s="67"/>
      <c r="R166" s="67"/>
      <c r="S166" s="67"/>
      <c r="T166" s="67"/>
      <c r="U166" s="67"/>
      <c r="V166" s="67"/>
      <c r="W166" s="67"/>
      <c r="X166" s="67"/>
      <c r="Y166" s="67"/>
    </row>
    <row r="167" spans="15:25">
      <c r="O167" s="67"/>
      <c r="Q167" s="67"/>
      <c r="R167" s="67"/>
      <c r="S167" s="67"/>
      <c r="T167" s="67"/>
      <c r="U167" s="67"/>
      <c r="V167" s="67"/>
      <c r="W167" s="67"/>
      <c r="X167" s="67"/>
      <c r="Y167" s="67"/>
    </row>
    <row r="168" spans="15:25">
      <c r="O168" s="67"/>
      <c r="Q168" s="67"/>
      <c r="R168" s="67"/>
      <c r="S168" s="67"/>
      <c r="T168" s="67"/>
      <c r="U168" s="67"/>
      <c r="V168" s="67"/>
      <c r="W168" s="67"/>
      <c r="X168" s="67"/>
      <c r="Y168" s="67"/>
    </row>
    <row r="169" spans="15:25">
      <c r="O169" s="67"/>
      <c r="Q169" s="67"/>
      <c r="R169" s="67"/>
      <c r="S169" s="67"/>
      <c r="T169" s="67"/>
      <c r="U169" s="67"/>
      <c r="V169" s="67"/>
      <c r="W169" s="67"/>
      <c r="X169" s="67"/>
      <c r="Y169" s="67"/>
    </row>
    <row r="170" spans="15:25">
      <c r="O170" s="67"/>
      <c r="Q170" s="67"/>
      <c r="R170" s="67"/>
      <c r="S170" s="67"/>
      <c r="T170" s="67"/>
      <c r="U170" s="67"/>
      <c r="V170" s="67"/>
      <c r="W170" s="67"/>
      <c r="X170" s="67"/>
      <c r="Y170" s="67"/>
    </row>
    <row r="171" spans="15:25">
      <c r="O171" s="67"/>
      <c r="Q171" s="67"/>
      <c r="R171" s="67"/>
      <c r="S171" s="67"/>
      <c r="T171" s="67"/>
      <c r="U171" s="67"/>
      <c r="V171" s="67"/>
      <c r="W171" s="67"/>
      <c r="X171" s="67"/>
      <c r="Y171" s="67"/>
    </row>
    <row r="172" spans="15:25">
      <c r="O172" s="67"/>
      <c r="Q172" s="67"/>
      <c r="R172" s="67"/>
      <c r="S172" s="67"/>
      <c r="T172" s="67"/>
      <c r="U172" s="67"/>
      <c r="V172" s="67"/>
      <c r="W172" s="67"/>
      <c r="X172" s="67"/>
      <c r="Y172" s="67"/>
    </row>
    <row r="173" spans="15:25">
      <c r="O173" s="67"/>
      <c r="Q173" s="67"/>
      <c r="R173" s="67"/>
      <c r="S173" s="67"/>
      <c r="T173" s="67"/>
      <c r="U173" s="67"/>
      <c r="V173" s="67"/>
      <c r="W173" s="67"/>
      <c r="X173" s="67"/>
      <c r="Y173" s="67"/>
    </row>
    <row r="174" spans="15:25">
      <c r="O174" s="67"/>
      <c r="Q174" s="67"/>
      <c r="R174" s="67"/>
      <c r="S174" s="67"/>
      <c r="T174" s="67"/>
      <c r="U174" s="67"/>
      <c r="V174" s="67"/>
      <c r="W174" s="67"/>
      <c r="X174" s="67"/>
      <c r="Y174" s="67"/>
    </row>
    <row r="175" spans="15:25">
      <c r="O175" s="67"/>
      <c r="Q175" s="67"/>
      <c r="R175" s="67"/>
      <c r="S175" s="67"/>
      <c r="T175" s="67"/>
      <c r="U175" s="67"/>
      <c r="V175" s="67"/>
      <c r="W175" s="67"/>
      <c r="X175" s="67"/>
      <c r="Y175" s="67"/>
    </row>
    <row r="176" spans="15:25">
      <c r="O176" s="67"/>
      <c r="Q176" s="67"/>
      <c r="R176" s="67"/>
      <c r="S176" s="67"/>
      <c r="T176" s="67"/>
      <c r="U176" s="67"/>
      <c r="V176" s="67"/>
      <c r="W176" s="67"/>
      <c r="X176" s="67"/>
      <c r="Y176" s="67"/>
    </row>
    <row r="177" spans="15:25">
      <c r="O177" s="67"/>
      <c r="Q177" s="67"/>
      <c r="R177" s="67"/>
      <c r="S177" s="67"/>
      <c r="T177" s="67"/>
      <c r="U177" s="67"/>
      <c r="V177" s="67"/>
      <c r="W177" s="67"/>
      <c r="X177" s="67"/>
      <c r="Y177" s="67"/>
    </row>
    <row r="178" spans="15:25">
      <c r="O178" s="67"/>
      <c r="Q178" s="67"/>
      <c r="R178" s="67"/>
      <c r="S178" s="67"/>
      <c r="T178" s="67"/>
      <c r="U178" s="67"/>
      <c r="V178" s="67"/>
      <c r="W178" s="67"/>
      <c r="X178" s="67"/>
      <c r="Y178" s="67"/>
    </row>
    <row r="179" spans="15:25">
      <c r="O179" s="67"/>
      <c r="Q179" s="67"/>
      <c r="R179" s="67"/>
      <c r="S179" s="67"/>
      <c r="T179" s="67"/>
      <c r="U179" s="67"/>
      <c r="V179" s="67"/>
      <c r="W179" s="67"/>
      <c r="X179" s="67"/>
      <c r="Y179" s="67"/>
    </row>
    <row r="180" spans="15:25">
      <c r="O180" s="67"/>
      <c r="Q180" s="67"/>
      <c r="R180" s="67"/>
      <c r="S180" s="67"/>
      <c r="T180" s="67"/>
      <c r="U180" s="67"/>
      <c r="V180" s="67"/>
      <c r="W180" s="67"/>
      <c r="X180" s="67"/>
      <c r="Y180" s="67"/>
    </row>
    <row r="181" spans="15:25">
      <c r="O181" s="67"/>
      <c r="Q181" s="67"/>
      <c r="R181" s="67"/>
      <c r="S181" s="67"/>
      <c r="T181" s="67"/>
      <c r="U181" s="67"/>
      <c r="V181" s="67"/>
      <c r="W181" s="67"/>
      <c r="X181" s="67"/>
      <c r="Y181" s="67"/>
    </row>
    <row r="182" spans="15:25">
      <c r="O182" s="67"/>
      <c r="Q182" s="67"/>
      <c r="R182" s="67"/>
      <c r="S182" s="67"/>
      <c r="T182" s="67"/>
      <c r="U182" s="67"/>
      <c r="V182" s="67"/>
      <c r="W182" s="67"/>
      <c r="X182" s="67"/>
      <c r="Y182" s="67"/>
    </row>
    <row r="183" spans="15:25">
      <c r="O183" s="67"/>
      <c r="Q183" s="67"/>
      <c r="R183" s="67"/>
      <c r="S183" s="67"/>
      <c r="T183" s="67"/>
      <c r="U183" s="67"/>
      <c r="V183" s="67"/>
      <c r="W183" s="67"/>
      <c r="X183" s="67"/>
      <c r="Y183" s="67"/>
    </row>
    <row r="184" spans="15:25">
      <c r="O184" s="67"/>
      <c r="Q184" s="67"/>
      <c r="R184" s="67"/>
      <c r="S184" s="67"/>
      <c r="T184" s="67"/>
      <c r="U184" s="67"/>
      <c r="V184" s="67"/>
      <c r="W184" s="67"/>
      <c r="X184" s="67"/>
      <c r="Y184" s="67"/>
    </row>
    <row r="185" spans="15:25">
      <c r="O185" s="67"/>
      <c r="Q185" s="67"/>
      <c r="R185" s="67"/>
      <c r="S185" s="67"/>
      <c r="T185" s="67"/>
      <c r="U185" s="67"/>
      <c r="V185" s="67"/>
      <c r="W185" s="67"/>
      <c r="X185" s="67"/>
      <c r="Y185" s="67"/>
    </row>
    <row r="186" spans="15:25">
      <c r="O186" s="67"/>
      <c r="Q186" s="67"/>
      <c r="R186" s="67"/>
      <c r="S186" s="67"/>
      <c r="T186" s="67"/>
      <c r="U186" s="67"/>
      <c r="V186" s="67"/>
      <c r="W186" s="67"/>
      <c r="X186" s="67"/>
      <c r="Y186" s="67"/>
    </row>
    <row r="187" spans="15:25">
      <c r="O187" s="67"/>
      <c r="Q187" s="67"/>
      <c r="R187" s="67"/>
      <c r="S187" s="67"/>
      <c r="T187" s="67"/>
      <c r="U187" s="67"/>
      <c r="V187" s="67"/>
      <c r="W187" s="67"/>
      <c r="X187" s="67"/>
      <c r="Y187" s="67"/>
    </row>
    <row r="188" spans="15:25">
      <c r="O188" s="67"/>
      <c r="Q188" s="67"/>
      <c r="R188" s="67"/>
      <c r="S188" s="67"/>
      <c r="T188" s="67"/>
      <c r="U188" s="67"/>
      <c r="V188" s="67"/>
      <c r="W188" s="67"/>
      <c r="X188" s="67"/>
      <c r="Y188" s="67"/>
    </row>
    <row r="189" spans="15:25">
      <c r="O189" s="67"/>
      <c r="Q189" s="67"/>
      <c r="R189" s="67"/>
      <c r="S189" s="67"/>
      <c r="T189" s="67"/>
      <c r="U189" s="67"/>
      <c r="V189" s="67"/>
      <c r="W189" s="67"/>
      <c r="X189" s="67"/>
      <c r="Y189" s="67"/>
    </row>
    <row r="190" spans="15:25">
      <c r="O190" s="67"/>
      <c r="Q190" s="67"/>
      <c r="R190" s="67"/>
      <c r="S190" s="67"/>
      <c r="T190" s="67"/>
      <c r="U190" s="67"/>
      <c r="V190" s="67"/>
      <c r="W190" s="67"/>
      <c r="X190" s="67"/>
      <c r="Y190" s="67"/>
    </row>
    <row r="191" spans="15:25">
      <c r="O191" s="67"/>
      <c r="Q191" s="67"/>
      <c r="R191" s="67"/>
      <c r="S191" s="67"/>
      <c r="T191" s="67"/>
      <c r="U191" s="67"/>
      <c r="V191" s="67"/>
      <c r="W191" s="67"/>
      <c r="X191" s="67"/>
      <c r="Y191" s="67"/>
    </row>
    <row r="192" spans="15:25">
      <c r="O192" s="67"/>
      <c r="Q192" s="67"/>
      <c r="R192" s="67"/>
      <c r="S192" s="67"/>
      <c r="T192" s="67"/>
      <c r="U192" s="67"/>
      <c r="V192" s="67"/>
      <c r="W192" s="67"/>
      <c r="X192" s="67"/>
      <c r="Y192" s="67"/>
    </row>
    <row r="193" spans="15:25">
      <c r="O193" s="67"/>
      <c r="Q193" s="67"/>
      <c r="R193" s="67"/>
      <c r="S193" s="67"/>
      <c r="T193" s="67"/>
      <c r="U193" s="67"/>
      <c r="V193" s="67"/>
      <c r="W193" s="67"/>
      <c r="X193" s="67"/>
      <c r="Y193" s="67"/>
    </row>
    <row r="194" spans="15:25">
      <c r="O194" s="67"/>
      <c r="Q194" s="67"/>
      <c r="R194" s="67"/>
      <c r="S194" s="67"/>
      <c r="T194" s="67"/>
      <c r="U194" s="67"/>
      <c r="V194" s="67"/>
      <c r="W194" s="67"/>
      <c r="X194" s="67"/>
      <c r="Y194" s="67"/>
    </row>
    <row r="195" spans="15:25">
      <c r="O195" s="67"/>
      <c r="Q195" s="67"/>
      <c r="R195" s="67"/>
      <c r="S195" s="67"/>
      <c r="T195" s="67"/>
      <c r="U195" s="67"/>
      <c r="V195" s="67"/>
      <c r="W195" s="67"/>
      <c r="X195" s="67"/>
      <c r="Y195" s="67"/>
    </row>
    <row r="196" spans="15:25">
      <c r="O196" s="67"/>
      <c r="Q196" s="67"/>
      <c r="R196" s="67"/>
      <c r="S196" s="67"/>
      <c r="T196" s="67"/>
      <c r="U196" s="67"/>
      <c r="V196" s="67"/>
      <c r="W196" s="67"/>
      <c r="X196" s="67"/>
      <c r="Y196" s="67"/>
    </row>
    <row r="197" spans="15:25">
      <c r="O197" s="67"/>
      <c r="Q197" s="67"/>
      <c r="R197" s="67"/>
      <c r="S197" s="67"/>
      <c r="T197" s="67"/>
      <c r="U197" s="67"/>
      <c r="V197" s="67"/>
      <c r="W197" s="67"/>
      <c r="X197" s="67"/>
      <c r="Y197" s="67"/>
    </row>
    <row r="198" spans="15:25">
      <c r="O198" s="67"/>
      <c r="Q198" s="67"/>
      <c r="R198" s="67"/>
      <c r="S198" s="67"/>
      <c r="T198" s="67"/>
      <c r="U198" s="67"/>
      <c r="V198" s="67"/>
      <c r="W198" s="67"/>
      <c r="X198" s="67"/>
      <c r="Y198" s="67"/>
    </row>
    <row r="199" spans="15:25">
      <c r="O199" s="67"/>
      <c r="Q199" s="67"/>
      <c r="R199" s="67"/>
      <c r="S199" s="67"/>
      <c r="T199" s="67"/>
      <c r="U199" s="67"/>
      <c r="V199" s="67"/>
      <c r="W199" s="67"/>
      <c r="X199" s="67"/>
      <c r="Y199" s="67"/>
    </row>
    <row r="200" spans="15:25">
      <c r="O200" s="67"/>
      <c r="Q200" s="67"/>
      <c r="R200" s="67"/>
      <c r="S200" s="67"/>
      <c r="T200" s="67"/>
      <c r="U200" s="67"/>
      <c r="V200" s="67"/>
      <c r="W200" s="67"/>
      <c r="X200" s="67"/>
      <c r="Y200" s="67"/>
    </row>
    <row r="201" spans="15:25">
      <c r="O201" s="67"/>
      <c r="Q201" s="67"/>
      <c r="R201" s="67"/>
      <c r="S201" s="67"/>
      <c r="T201" s="67"/>
      <c r="U201" s="67"/>
      <c r="V201" s="67"/>
      <c r="W201" s="67"/>
      <c r="X201" s="67"/>
      <c r="Y201" s="67"/>
    </row>
    <row r="202" spans="15:25">
      <c r="O202" s="67"/>
      <c r="Q202" s="67"/>
      <c r="R202" s="67"/>
      <c r="S202" s="67"/>
      <c r="T202" s="67"/>
      <c r="U202" s="67"/>
      <c r="V202" s="67"/>
      <c r="W202" s="67"/>
      <c r="X202" s="67"/>
      <c r="Y202" s="67"/>
    </row>
    <row r="203" spans="15:25">
      <c r="O203" s="67"/>
      <c r="Q203" s="67"/>
      <c r="R203" s="67"/>
      <c r="S203" s="67"/>
      <c r="T203" s="67"/>
      <c r="U203" s="67"/>
      <c r="V203" s="67"/>
      <c r="W203" s="67"/>
      <c r="X203" s="67"/>
      <c r="Y203" s="67"/>
    </row>
    <row r="204" spans="15:25">
      <c r="O204" s="67"/>
      <c r="Q204" s="67"/>
      <c r="R204" s="67"/>
      <c r="S204" s="67"/>
      <c r="T204" s="67"/>
      <c r="U204" s="67"/>
      <c r="V204" s="67"/>
      <c r="W204" s="67"/>
      <c r="X204" s="67"/>
      <c r="Y204" s="67"/>
    </row>
    <row r="205" spans="15:25">
      <c r="O205" s="67"/>
      <c r="Q205" s="67"/>
      <c r="R205" s="67"/>
      <c r="S205" s="67"/>
      <c r="T205" s="67"/>
      <c r="U205" s="67"/>
      <c r="V205" s="67"/>
      <c r="W205" s="67"/>
      <c r="X205" s="67"/>
      <c r="Y205" s="67"/>
    </row>
    <row r="206" spans="15:25">
      <c r="O206" s="67"/>
      <c r="Q206" s="67"/>
      <c r="R206" s="67"/>
      <c r="S206" s="67"/>
      <c r="T206" s="67"/>
      <c r="U206" s="67"/>
      <c r="V206" s="67"/>
      <c r="W206" s="67"/>
      <c r="X206" s="67"/>
      <c r="Y206" s="67"/>
    </row>
    <row r="207" spans="15:25">
      <c r="O207" s="67"/>
      <c r="Q207" s="67"/>
      <c r="R207" s="67"/>
      <c r="S207" s="67"/>
      <c r="T207" s="67"/>
      <c r="U207" s="67"/>
      <c r="V207" s="67"/>
      <c r="W207" s="67"/>
      <c r="X207" s="67"/>
      <c r="Y207" s="67"/>
    </row>
    <row r="208" spans="15:25">
      <c r="O208" s="67"/>
    </row>
    <row r="209" spans="15:15">
      <c r="O209" s="67"/>
    </row>
    <row r="210" spans="15:15">
      <c r="O210" s="67"/>
    </row>
    <row r="211" spans="15:15">
      <c r="O211" s="67"/>
    </row>
    <row r="212" spans="15:15">
      <c r="O212" s="67"/>
    </row>
    <row r="213" spans="15:15">
      <c r="O213" s="67"/>
    </row>
    <row r="214" spans="15:15">
      <c r="O214" s="67"/>
    </row>
    <row r="215" spans="15:15">
      <c r="O215" s="67"/>
    </row>
    <row r="216" spans="15:15">
      <c r="O216" s="67"/>
    </row>
    <row r="217" spans="15:15">
      <c r="O217" s="67"/>
    </row>
    <row r="218" spans="15:15">
      <c r="O218" s="67"/>
    </row>
    <row r="219" spans="15:15">
      <c r="O219" s="67"/>
    </row>
    <row r="220" spans="15:15">
      <c r="O220" s="67"/>
    </row>
    <row r="221" spans="15:15">
      <c r="O221" s="67"/>
    </row>
    <row r="222" spans="15:15">
      <c r="O222" s="67"/>
    </row>
    <row r="223" spans="15:15">
      <c r="O223" s="67"/>
    </row>
    <row r="224" spans="15:15">
      <c r="O224" s="67"/>
    </row>
    <row r="225" spans="15:15">
      <c r="O225" s="67"/>
    </row>
    <row r="226" spans="15:15">
      <c r="O226" s="67"/>
    </row>
    <row r="227" spans="15:15">
      <c r="O227" s="67"/>
    </row>
    <row r="228" spans="15:15">
      <c r="O228" s="67"/>
    </row>
    <row r="229" spans="15:15">
      <c r="O229" s="67"/>
    </row>
    <row r="230" spans="15:15">
      <c r="O230" s="67"/>
    </row>
    <row r="231" spans="15:15">
      <c r="O231" s="67"/>
    </row>
    <row r="232" spans="15:15">
      <c r="O232" s="67"/>
    </row>
    <row r="233" spans="15:15">
      <c r="O233" s="67"/>
    </row>
    <row r="234" spans="15:15">
      <c r="O234" s="67"/>
    </row>
    <row r="235" spans="15:15">
      <c r="O235" s="67"/>
    </row>
    <row r="236" spans="15:15">
      <c r="O236" s="67"/>
    </row>
    <row r="237" spans="15:15">
      <c r="O237" s="67"/>
    </row>
    <row r="238" spans="15:15">
      <c r="O238" s="67"/>
    </row>
    <row r="239" spans="15:15">
      <c r="O239" s="67"/>
    </row>
    <row r="240" spans="15:15">
      <c r="O240" s="67"/>
    </row>
    <row r="241" spans="15:15">
      <c r="O241" s="67"/>
    </row>
    <row r="242" spans="15:15">
      <c r="O242" s="67"/>
    </row>
    <row r="243" spans="15:15">
      <c r="O243" s="67"/>
    </row>
    <row r="244" spans="15:15">
      <c r="O244" s="67"/>
    </row>
    <row r="245" spans="15:15">
      <c r="O245" s="67"/>
    </row>
    <row r="246" spans="15:15">
      <c r="O246" s="67"/>
    </row>
    <row r="247" spans="15:15">
      <c r="O247" s="67"/>
    </row>
    <row r="248" spans="15:15">
      <c r="O248" s="67"/>
    </row>
    <row r="249" spans="15:15">
      <c r="O249" s="67"/>
    </row>
    <row r="250" spans="15:15">
      <c r="O250" s="67"/>
    </row>
    <row r="251" spans="15:15">
      <c r="O251" s="67"/>
    </row>
    <row r="252" spans="15:15">
      <c r="O252" s="67"/>
    </row>
    <row r="253" spans="15:15">
      <c r="O253" s="67"/>
    </row>
    <row r="254" spans="15:15">
      <c r="O254" s="67"/>
    </row>
    <row r="255" spans="15:15">
      <c r="O255" s="67"/>
    </row>
    <row r="256" spans="15:15">
      <c r="O256" s="67"/>
    </row>
    <row r="257" spans="15:15">
      <c r="O257" s="67"/>
    </row>
    <row r="258" spans="15:15">
      <c r="O258" s="67"/>
    </row>
    <row r="259" spans="15:15">
      <c r="O259" s="67"/>
    </row>
    <row r="260" spans="15:15">
      <c r="O260" s="67"/>
    </row>
    <row r="261" spans="15:15">
      <c r="O261" s="67"/>
    </row>
    <row r="262" spans="15:15">
      <c r="O262" s="67"/>
    </row>
    <row r="263" spans="15:15">
      <c r="O263" s="67"/>
    </row>
    <row r="264" spans="15:15">
      <c r="O264" s="67"/>
    </row>
    <row r="265" spans="15:15">
      <c r="O265" s="67"/>
    </row>
    <row r="266" spans="15:15">
      <c r="O266" s="67"/>
    </row>
    <row r="267" spans="15:15">
      <c r="O267" s="67"/>
    </row>
    <row r="268" spans="15:15">
      <c r="O268" s="67"/>
    </row>
    <row r="269" spans="15:15">
      <c r="O269" s="67"/>
    </row>
    <row r="270" spans="15:15">
      <c r="O270" s="67"/>
    </row>
    <row r="271" spans="15:15">
      <c r="O271" s="67"/>
    </row>
    <row r="272" spans="15:15">
      <c r="O272" s="67"/>
    </row>
    <row r="273" spans="15:15">
      <c r="O273" s="67"/>
    </row>
    <row r="274" spans="15:15">
      <c r="O274" s="67"/>
    </row>
    <row r="275" spans="15:15">
      <c r="O275" s="67"/>
    </row>
    <row r="276" spans="15:15">
      <c r="O276" s="67"/>
    </row>
    <row r="277" spans="15:15">
      <c r="O277" s="67"/>
    </row>
    <row r="278" spans="15:15">
      <c r="O278" s="67"/>
    </row>
    <row r="279" spans="15:15">
      <c r="O279" s="67"/>
    </row>
    <row r="280" spans="15:15">
      <c r="O280" s="67"/>
    </row>
    <row r="281" spans="15:15">
      <c r="O281" s="67"/>
    </row>
    <row r="282" spans="15:15">
      <c r="O282" s="67"/>
    </row>
    <row r="283" spans="15:15">
      <c r="O283" s="67"/>
    </row>
    <row r="284" spans="15:15">
      <c r="O284" s="67"/>
    </row>
    <row r="285" spans="15:15">
      <c r="O285" s="67"/>
    </row>
    <row r="286" spans="15:15">
      <c r="O286" s="67"/>
    </row>
    <row r="287" spans="15:15">
      <c r="O287" s="67"/>
    </row>
    <row r="288" spans="15:15">
      <c r="O288" s="67"/>
    </row>
    <row r="289" spans="15:15">
      <c r="O289" s="67"/>
    </row>
    <row r="290" spans="15:15">
      <c r="O290" s="67"/>
    </row>
    <row r="291" spans="15:15">
      <c r="O291" s="67"/>
    </row>
    <row r="292" spans="15:15">
      <c r="O292" s="67"/>
    </row>
    <row r="293" spans="15:15">
      <c r="O293" s="67"/>
    </row>
    <row r="294" spans="15:15">
      <c r="O294" s="67"/>
    </row>
    <row r="295" spans="15:15">
      <c r="O295" s="67"/>
    </row>
    <row r="296" spans="15:15">
      <c r="O296" s="67"/>
    </row>
    <row r="297" spans="15:15">
      <c r="O297" s="67"/>
    </row>
    <row r="298" spans="15:15">
      <c r="O298" s="67"/>
    </row>
    <row r="299" spans="15:15">
      <c r="O299" s="67"/>
    </row>
    <row r="300" spans="15:15">
      <c r="O300" s="67"/>
    </row>
    <row r="301" spans="15:15">
      <c r="O301" s="67"/>
    </row>
    <row r="302" spans="15:15">
      <c r="O302" s="67"/>
    </row>
    <row r="303" spans="15:15">
      <c r="O303" s="67"/>
    </row>
    <row r="304" spans="15:15">
      <c r="O304" s="67"/>
    </row>
    <row r="305" spans="15:15">
      <c r="O305" s="67"/>
    </row>
    <row r="306" spans="15:15">
      <c r="O306" s="67"/>
    </row>
    <row r="307" spans="15:15">
      <c r="O307" s="67"/>
    </row>
    <row r="308" spans="15:15">
      <c r="O308" s="67"/>
    </row>
    <row r="309" spans="15:15">
      <c r="O309" s="67"/>
    </row>
    <row r="310" spans="15:15">
      <c r="O310" s="67"/>
    </row>
    <row r="311" spans="15:15">
      <c r="O311" s="67"/>
    </row>
    <row r="312" spans="15:15">
      <c r="O312" s="67"/>
    </row>
    <row r="313" spans="15:15">
      <c r="O313" s="67"/>
    </row>
    <row r="314" spans="15:15">
      <c r="O314" s="67"/>
    </row>
  </sheetData>
  <sheetProtection algorithmName="SHA-512" hashValue="bgtYl62lVKHWqIJCmTlOwP4eiXjV+hqBJyKfEiMLiRMarKugl26idJ3AY7qUj4IaEV1LwQfF2iUZI42D1WRmyw==" saltValue="vO6B5CDRPMXnS01fM7B28A==" spinCount="100000" sheet="1" objects="1" scenarios="1" selectLockedCells="1" selectUnlockedCells="1"/>
  <sortState xmlns:xlrd2="http://schemas.microsoft.com/office/spreadsheetml/2017/richdata2" ref="O2:O42">
    <sortCondition ref="O2"/>
  </sortState>
  <mergeCells count="33">
    <mergeCell ref="A47:C47"/>
    <mergeCell ref="A42:C42"/>
    <mergeCell ref="A43:C43"/>
    <mergeCell ref="A44:C44"/>
    <mergeCell ref="A45:C45"/>
    <mergeCell ref="A46:C46"/>
    <mergeCell ref="A39:C39"/>
    <mergeCell ref="A40:C40"/>
    <mergeCell ref="A41:C41"/>
    <mergeCell ref="A34:C34"/>
    <mergeCell ref="A35:C35"/>
    <mergeCell ref="A36:C36"/>
    <mergeCell ref="A37:C37"/>
    <mergeCell ref="A30:C30"/>
    <mergeCell ref="A31:C31"/>
    <mergeCell ref="A32:C32"/>
    <mergeCell ref="A33:C33"/>
    <mergeCell ref="A38:C38"/>
    <mergeCell ref="A25:C25"/>
    <mergeCell ref="A26:C26"/>
    <mergeCell ref="A27:C27"/>
    <mergeCell ref="A28:C28"/>
    <mergeCell ref="A29:C29"/>
    <mergeCell ref="A22:C22"/>
    <mergeCell ref="A23:C23"/>
    <mergeCell ref="A1:C1"/>
    <mergeCell ref="A10:C10"/>
    <mergeCell ref="A24:C24"/>
    <mergeCell ref="E1:I1"/>
    <mergeCell ref="A18:C18"/>
    <mergeCell ref="A19:C19"/>
    <mergeCell ref="A20:C20"/>
    <mergeCell ref="A21:C21"/>
  </mergeCells>
  <conditionalFormatting sqref="O2:O39">
    <cfRule type="duplicateValues" dxfId="0" priority="1427"/>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Çalışma Sayfaları</vt:lpstr>
      </vt:variant>
      <vt:variant>
        <vt:i4>11</vt:i4>
      </vt:variant>
      <vt:variant>
        <vt:lpstr>Adlandırılmış Aralıklar</vt:lpstr>
      </vt:variant>
      <vt:variant>
        <vt:i4>7</vt:i4>
      </vt:variant>
    </vt:vector>
  </HeadingPairs>
  <TitlesOfParts>
    <vt:vector size="18" baseType="lpstr">
      <vt:lpstr>KAPAK</vt:lpstr>
      <vt:lpstr>İSG-F13-02</vt:lpstr>
      <vt:lpstr>Açıklamalar</vt:lpstr>
      <vt:lpstr>Fine Kinney Metodu</vt:lpstr>
      <vt:lpstr>RD Fine Kinney (Birim Bazlı)</vt:lpstr>
      <vt:lpstr>Analiz (Birim Bazlı)</vt:lpstr>
      <vt:lpstr>RD Fine Kinney (Konsolide)</vt:lpstr>
      <vt:lpstr>Analiz (Konsolide)</vt:lpstr>
      <vt:lpstr>5x5 Matris Metodu</vt:lpstr>
      <vt:lpstr>RD Matris</vt:lpstr>
      <vt:lpstr>Veri</vt:lpstr>
      <vt:lpstr>'İSG-F13-02'!Yazdırma_Alanı</vt:lpstr>
      <vt:lpstr>'RD Fine Kinney (Birim Bazlı)'!Yazdırma_Alanı</vt:lpstr>
      <vt:lpstr>'RD Fine Kinney (Konsolide)'!Yazdırma_Alanı</vt:lpstr>
      <vt:lpstr>'RD Matris'!Yazdırma_Alanı</vt:lpstr>
      <vt:lpstr>'İSG-F13-02'!Yazdırma_Başlıkları</vt:lpstr>
      <vt:lpstr>'RD Fine Kinney (Birim Bazlı)'!Yazdırma_Başlıkları</vt:lpstr>
      <vt:lpstr>'RD Fine Kinney (Konsolide)'!Yazdırma_Başlıkları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gulten.topal</dc:creator>
  <cp:lastModifiedBy>Metin Salık</cp:lastModifiedBy>
  <cp:lastPrinted>2024-12-25T13:42:06Z</cp:lastPrinted>
  <dcterms:created xsi:type="dcterms:W3CDTF">2017-10-19T12:41:25Z</dcterms:created>
  <dcterms:modified xsi:type="dcterms:W3CDTF">2026-06-05T09:42:45Z</dcterms:modified>
</cp:coreProperties>
</file>