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updateLinks="never" codeName="BuÇalışmaKitabı"/>
  <bookViews>
    <workbookView xWindow="0" yWindow="0" windowWidth="19200" windowHeight="8895" tabRatio="784" activeTab="5"/>
  </bookViews>
  <sheets>
    <sheet name="İşyeri ve Çalışan Bilgileri" sheetId="46" r:id="rId1"/>
    <sheet name="İG-1" sheetId="5" r:id="rId2"/>
    <sheet name="İG-2" sheetId="51" r:id="rId3"/>
    <sheet name="İG-3" sheetId="52" r:id="rId4"/>
    <sheet name="İG-4" sheetId="43" r:id="rId5"/>
    <sheet name="İG-5" sheetId="48" r:id="rId6"/>
    <sheet name="İG-6" sheetId="50" r:id="rId7"/>
    <sheet name="İG-7" sheetId="45" r:id="rId8"/>
    <sheet name="İG-8" sheetId="53" r:id="rId9"/>
    <sheet name="İS-1" sheetId="42" r:id="rId10"/>
    <sheet name="Sayfa1" sheetId="49" state="hidden" r:id="rId11"/>
  </sheets>
  <definedNames>
    <definedName name="BayramlarıGöster" localSheetId="2">#REF!</definedName>
    <definedName name="BayramlarıGöster" localSheetId="3">#REF!</definedName>
    <definedName name="BayramlarıGöster" localSheetId="4">#REF!</definedName>
    <definedName name="BayramlarıGöster" localSheetId="5">#REF!</definedName>
    <definedName name="BayramlarıGöster" localSheetId="6">#REF!</definedName>
    <definedName name="BayramlarıGöster" localSheetId="7">#REF!</definedName>
    <definedName name="BayramlarıGöster" localSheetId="8">#REF!</definedName>
    <definedName name="BayramlarıGöster" localSheetId="9">#REF!</definedName>
    <definedName name="BayramlarıGöster" localSheetId="0">#REF!</definedName>
    <definedName name="BayramlarıGöster">#REF!</definedName>
    <definedName name="Günler" localSheetId="8">{0,1,2,3,4,5,6} + {0;1;2;3;4;5}*7</definedName>
    <definedName name="Günler">{0,1,2,3,4,5,6} + {0;1;2;3;4;5}*7</definedName>
    <definedName name="HaftaBaşlangıcı" localSheetId="2">#REF!</definedName>
    <definedName name="HaftaBaşlangıcı" localSheetId="3">#REF!</definedName>
    <definedName name="HaftaBaşlangıcı" localSheetId="4">#REF!</definedName>
    <definedName name="HaftaBaşlangıcı" localSheetId="5">#REF!</definedName>
    <definedName name="HaftaBaşlangıcı" localSheetId="6">#REF!</definedName>
    <definedName name="HaftaBaşlangıcı" localSheetId="7">#REF!</definedName>
    <definedName name="HaftaBaşlangıcı" localSheetId="8">#REF!</definedName>
    <definedName name="HaftaBaşlangıcı" localSheetId="9">#REF!</definedName>
    <definedName name="HaftaBaşlangıcı" localSheetId="0">#REF!</definedName>
    <definedName name="HaftaBaşlangıcı">#REF!</definedName>
    <definedName name="KutlananlarıGöster" localSheetId="2">#REF!</definedName>
    <definedName name="KutlananlarıGöster" localSheetId="3">#REF!</definedName>
    <definedName name="KutlananlarıGöster" localSheetId="4">#REF!</definedName>
    <definedName name="KutlananlarıGöster" localSheetId="5">#REF!</definedName>
    <definedName name="KutlananlarıGöster" localSheetId="6">#REF!</definedName>
    <definedName name="KutlananlarıGöster" localSheetId="7">#REF!</definedName>
    <definedName name="KutlananlarıGöster" localSheetId="8">#REF!</definedName>
    <definedName name="KutlananlarıGöster" localSheetId="9">#REF!</definedName>
    <definedName name="KutlananlarıGöster" localSheetId="0">#REF!</definedName>
    <definedName name="KutlananlarıGöster">#REF!</definedName>
    <definedName name="Kutlanıyor" localSheetId="2">#REF!</definedName>
    <definedName name="Kutlanıyor" localSheetId="3">#REF!</definedName>
    <definedName name="Kutlanıyor" localSheetId="4">#REF!</definedName>
    <definedName name="Kutlanıyor" localSheetId="5">#REF!</definedName>
    <definedName name="Kutlanıyor" localSheetId="6">#REF!</definedName>
    <definedName name="Kutlanıyor" localSheetId="7">#REF!</definedName>
    <definedName name="Kutlanıyor" localSheetId="8">#REF!</definedName>
    <definedName name="Kutlanıyor" localSheetId="9">#REF!</definedName>
    <definedName name="Kutlanıyor" localSheetId="0">#REF!</definedName>
    <definedName name="Kutlanıyor">#REF!</definedName>
    <definedName name="MayısPazartesi" localSheetId="2">SUM((WEEKDAY(DATE('İG-2'!TakvimYılı,5,(ROW(INDIRECT("1:"&amp;DAY(DATE('İG-2'!TakvimYılı,5+1,0)))))))=2)*1)</definedName>
    <definedName name="MayısPazartesi" localSheetId="3">SUM((WEEKDAY(DATE('İG-3'!TakvimYılı,5,(ROW(INDIRECT("1:"&amp;DAY(DATE('İG-3'!TakvimYılı,5+1,0)))))))=2)*1)</definedName>
    <definedName name="MayısPazartesi" localSheetId="4">SUM((WEEKDAY(DATE('İG-4'!TakvimYılı,5,(ROW(INDIRECT("1:"&amp;DAY(DATE('İG-4'!TakvimYılı,5+1,0)))))))=2)*1)</definedName>
    <definedName name="MayısPazartesi" localSheetId="5">SUM((WEEKDAY(DATE('İG-5'!TakvimYılı,5,(ROW(INDIRECT("1:"&amp;DAY(DATE('İG-5'!TakvimYılı,5+1,0)))))))=2)*1)</definedName>
    <definedName name="MayısPazartesi" localSheetId="6">SUM((WEEKDAY(DATE('İG-6'!TakvimYılı,5,(ROW(INDIRECT("1:"&amp;DAY(DATE('İG-6'!TakvimYılı,5+1,0)))))))=2)*1)</definedName>
    <definedName name="MayısPazartesi" localSheetId="7">SUM((WEEKDAY(DATE('İG-7'!TakvimYılı,5,(ROW(INDIRECT("1:"&amp;DAY(DATE('İG-7'!TakvimYılı,5+1,0)))))))=2)*1)</definedName>
    <definedName name="MayısPazartesi" localSheetId="8">SUM((WEEKDAY(DATE('İG-8'!TakvimYılı,5,(ROW(INDIRECT("1:"&amp;DAY(DATE('İG-8'!TakvimYılı,5+1,0)))))))=2)*1)</definedName>
    <definedName name="MayısPazartesi" localSheetId="9">SUM((WEEKDAY(DATE('İS-1'!TakvimYılı,5,(ROW(INDIRECT("1:"&amp;DAY(DATE('İS-1'!TakvimYılı,5+1,0)))))))=2)*1)</definedName>
    <definedName name="MayısPazartesi" localSheetId="0">SUM((WEEKDAY(DATE('İşyeri ve Çalışan Bilgileri'!TakvimYılı,5,(ROW(INDIRECT("1:"&amp;DAY(DATE('İşyeri ve Çalışan Bilgileri'!TakvimYılı,5+1,0)))))))=2)*1)</definedName>
    <definedName name="MayısPazartesi">SUM((WEEKDAY(DATE(TakvimYılı,5,(ROW(INDIRECT("1:"&amp;DAY(DATE(TakvimYılı,5+1,0)))))))=2)*1)</definedName>
    <definedName name="TakvimYılı" localSheetId="2">#REF!</definedName>
    <definedName name="TakvimYılı" localSheetId="3">#REF!</definedName>
    <definedName name="TakvimYılı" localSheetId="4">#REF!</definedName>
    <definedName name="TakvimYılı" localSheetId="5">#REF!</definedName>
    <definedName name="TakvimYılı" localSheetId="6">#REF!</definedName>
    <definedName name="TakvimYılı" localSheetId="7">#REF!</definedName>
    <definedName name="TakvimYılı" localSheetId="8">#REF!</definedName>
    <definedName name="TakvimYılı" localSheetId="9">#REF!</definedName>
    <definedName name="TakvimYılı" localSheetId="0">#REF!</definedName>
    <definedName name="TakvimYılı">#REF!</definedName>
    <definedName name="_xlnm.Print_Area" localSheetId="1">'İG-1'!$B$2:$L$35</definedName>
    <definedName name="_xlnm.Print_Area" localSheetId="2">'İG-2'!#REF!</definedName>
    <definedName name="_xlnm.Print_Area" localSheetId="3">'İG-3'!$B$2:$L$3</definedName>
    <definedName name="_xlnm.Print_Area" localSheetId="4">'İG-4'!$B$2:$L$33</definedName>
    <definedName name="_xlnm.Print_Area" localSheetId="5">'İG-5'!$B$2:$L$36</definedName>
    <definedName name="_xlnm.Print_Area" localSheetId="6">'İG-6'!$B$2:$L$13</definedName>
    <definedName name="_xlnm.Print_Area" localSheetId="7">'İG-7'!$B$2:$L$98</definedName>
    <definedName name="_xlnm.Print_Area" localSheetId="8">'İG-8'!$B$2:$L$3</definedName>
    <definedName name="_xlnm.Print_Area" localSheetId="9">'İS-1'!$B$2:$L$21</definedName>
    <definedName name="_xlnm.Print_Area" localSheetId="0">'İşyeri ve Çalışan Bilgileri'!$B$16:$L$51</definedName>
  </definedNames>
  <calcPr calcId="162913"/>
</workbook>
</file>

<file path=xl/calcChain.xml><?xml version="1.0" encoding="utf-8"?>
<calcChain xmlns="http://schemas.openxmlformats.org/spreadsheetml/2006/main">
  <c r="H23" i="48" l="1"/>
  <c r="J34" i="5" l="1"/>
  <c r="I34" i="5"/>
  <c r="H34" i="5"/>
  <c r="G34" i="5"/>
  <c r="F34" i="5"/>
  <c r="E34" i="5"/>
  <c r="D34" i="5"/>
  <c r="C34" i="5"/>
  <c r="L26" i="5" l="1"/>
  <c r="F18" i="48"/>
  <c r="E18" i="48"/>
  <c r="D98" i="51"/>
  <c r="F98" i="51" s="1"/>
  <c r="D99" i="51"/>
  <c r="D100" i="51"/>
  <c r="F100" i="51" s="1"/>
  <c r="D101" i="51"/>
  <c r="D102" i="51"/>
  <c r="D103" i="51"/>
  <c r="D104" i="51"/>
  <c r="D105" i="51"/>
  <c r="D106" i="51"/>
  <c r="D107" i="51"/>
  <c r="D108" i="51"/>
  <c r="F108" i="51" s="1"/>
  <c r="F99" i="51"/>
  <c r="F104" i="51"/>
  <c r="F102" i="51"/>
  <c r="F103" i="51"/>
  <c r="D97" i="51"/>
  <c r="F97" i="51" s="1"/>
  <c r="D85" i="51"/>
  <c r="F85" i="51" s="1"/>
  <c r="D86" i="51"/>
  <c r="F86" i="51" s="1"/>
  <c r="D87" i="51"/>
  <c r="F87" i="51" s="1"/>
  <c r="D88" i="51"/>
  <c r="D89" i="51"/>
  <c r="D90" i="51"/>
  <c r="D91" i="51"/>
  <c r="D92" i="51"/>
  <c r="D93" i="51"/>
  <c r="D94" i="51"/>
  <c r="D95" i="51"/>
  <c r="F95" i="51" s="1"/>
  <c r="F89" i="51"/>
  <c r="F90" i="51"/>
  <c r="F91" i="51"/>
  <c r="F94" i="51"/>
  <c r="D84" i="51"/>
  <c r="F84" i="51" s="1"/>
  <c r="H161" i="51"/>
  <c r="G161" i="51"/>
  <c r="F161" i="51"/>
  <c r="E161" i="51"/>
  <c r="D161" i="51"/>
  <c r="I160" i="51"/>
  <c r="F160" i="51"/>
  <c r="I159" i="51"/>
  <c r="F159" i="51"/>
  <c r="I158" i="51"/>
  <c r="F158" i="51"/>
  <c r="I157" i="51"/>
  <c r="F157" i="51"/>
  <c r="I156" i="51"/>
  <c r="F156" i="51"/>
  <c r="I155" i="51"/>
  <c r="F155" i="51"/>
  <c r="I154" i="51"/>
  <c r="F154" i="51"/>
  <c r="I153" i="51"/>
  <c r="F153" i="51"/>
  <c r="I152" i="51"/>
  <c r="F152" i="51"/>
  <c r="I151" i="51"/>
  <c r="F151" i="51"/>
  <c r="I150" i="51"/>
  <c r="F150" i="51"/>
  <c r="I149" i="51"/>
  <c r="F149" i="51"/>
  <c r="H148" i="51"/>
  <c r="G148" i="51"/>
  <c r="E148" i="51"/>
  <c r="F148" i="51" s="1"/>
  <c r="D148" i="51"/>
  <c r="I147" i="51"/>
  <c r="F147" i="51"/>
  <c r="I146" i="51"/>
  <c r="F146" i="51"/>
  <c r="I145" i="51"/>
  <c r="F145" i="51"/>
  <c r="I144" i="51"/>
  <c r="F144" i="51"/>
  <c r="I143" i="51"/>
  <c r="F143" i="51"/>
  <c r="I142" i="51"/>
  <c r="F142" i="51"/>
  <c r="I141" i="51"/>
  <c r="F141" i="51"/>
  <c r="I140" i="51"/>
  <c r="F140" i="51"/>
  <c r="I139" i="51"/>
  <c r="F139" i="51"/>
  <c r="I138" i="51"/>
  <c r="F138" i="51"/>
  <c r="I137" i="51"/>
  <c r="F137" i="51"/>
  <c r="I136" i="51"/>
  <c r="F136" i="51"/>
  <c r="H135" i="51"/>
  <c r="I135" i="51" s="1"/>
  <c r="G135" i="51"/>
  <c r="F135" i="51"/>
  <c r="E135" i="51"/>
  <c r="D135" i="51"/>
  <c r="I134" i="51"/>
  <c r="F134" i="51"/>
  <c r="I133" i="51"/>
  <c r="F133" i="51"/>
  <c r="I132" i="51"/>
  <c r="F132" i="51"/>
  <c r="I131" i="51"/>
  <c r="F131" i="51"/>
  <c r="I130" i="51"/>
  <c r="F130" i="51"/>
  <c r="I129" i="51"/>
  <c r="F129" i="51"/>
  <c r="I128" i="51"/>
  <c r="F128" i="51"/>
  <c r="I127" i="51"/>
  <c r="F127" i="51"/>
  <c r="I126" i="51"/>
  <c r="F126" i="51"/>
  <c r="I125" i="51"/>
  <c r="F125" i="51"/>
  <c r="I124" i="51"/>
  <c r="F124" i="51"/>
  <c r="I123" i="51"/>
  <c r="F123" i="51"/>
  <c r="H122" i="51"/>
  <c r="G122" i="51"/>
  <c r="E122" i="51"/>
  <c r="F122" i="51" s="1"/>
  <c r="D122" i="51"/>
  <c r="I121" i="51"/>
  <c r="F121" i="51"/>
  <c r="I120" i="51"/>
  <c r="F120" i="51"/>
  <c r="I119" i="51"/>
  <c r="F119" i="51"/>
  <c r="I118" i="51"/>
  <c r="F118" i="51"/>
  <c r="I117" i="51"/>
  <c r="F117" i="51"/>
  <c r="I116" i="51"/>
  <c r="F116" i="51"/>
  <c r="I115" i="51"/>
  <c r="F115" i="51"/>
  <c r="I114" i="51"/>
  <c r="F114" i="51"/>
  <c r="I113" i="51"/>
  <c r="F113" i="51"/>
  <c r="I112" i="51"/>
  <c r="F112" i="51"/>
  <c r="I111" i="51"/>
  <c r="F111" i="51"/>
  <c r="I110" i="51"/>
  <c r="F110" i="51"/>
  <c r="H109" i="51"/>
  <c r="G109" i="51"/>
  <c r="E109" i="51"/>
  <c r="I108" i="51"/>
  <c r="I107" i="51"/>
  <c r="F107" i="51"/>
  <c r="I106" i="51"/>
  <c r="F106" i="51"/>
  <c r="I105" i="51"/>
  <c r="F105" i="51"/>
  <c r="I104" i="51"/>
  <c r="I103" i="51"/>
  <c r="I102" i="51"/>
  <c r="I101" i="51"/>
  <c r="F101" i="51"/>
  <c r="I100" i="51"/>
  <c r="I99" i="51"/>
  <c r="I98" i="51"/>
  <c r="I97" i="51"/>
  <c r="H96" i="51"/>
  <c r="G96" i="51"/>
  <c r="E96" i="51"/>
  <c r="I95" i="51"/>
  <c r="I94" i="51"/>
  <c r="I93" i="51"/>
  <c r="F93" i="51"/>
  <c r="I92" i="51"/>
  <c r="F92" i="51"/>
  <c r="I91" i="51"/>
  <c r="I90" i="51"/>
  <c r="I89" i="51"/>
  <c r="I88" i="51"/>
  <c r="F88" i="51"/>
  <c r="I87" i="51"/>
  <c r="I86" i="51"/>
  <c r="I85" i="51"/>
  <c r="I84" i="51"/>
  <c r="D83" i="51"/>
  <c r="D70" i="51"/>
  <c r="D57" i="51"/>
  <c r="D44" i="51"/>
  <c r="I148" i="51" l="1"/>
  <c r="I122" i="51"/>
  <c r="I109" i="51"/>
  <c r="I96" i="51"/>
  <c r="I161" i="51"/>
  <c r="D96" i="51"/>
  <c r="F96" i="51" s="1"/>
  <c r="D109" i="51"/>
  <c r="F109" i="51" s="1"/>
  <c r="J39" i="52"/>
  <c r="G39" i="52"/>
  <c r="J38" i="52"/>
  <c r="G38" i="52"/>
  <c r="J37" i="52"/>
  <c r="G37" i="52"/>
  <c r="J36" i="52"/>
  <c r="G36" i="52"/>
  <c r="J35" i="52"/>
  <c r="G35" i="52"/>
  <c r="L29" i="52"/>
  <c r="I29" i="52"/>
  <c r="F29" i="52"/>
  <c r="L28" i="52"/>
  <c r="I28" i="52"/>
  <c r="F28" i="52"/>
  <c r="L27" i="52"/>
  <c r="I27" i="52"/>
  <c r="F27" i="52"/>
  <c r="L26" i="52"/>
  <c r="I26" i="52"/>
  <c r="F26" i="52"/>
  <c r="L25" i="52"/>
  <c r="I25" i="52"/>
  <c r="F25" i="52"/>
  <c r="L24" i="52"/>
  <c r="I24" i="52"/>
  <c r="F24" i="52"/>
  <c r="L23" i="52"/>
  <c r="I23" i="52"/>
  <c r="F23" i="52"/>
  <c r="L22" i="52"/>
  <c r="I22" i="52"/>
  <c r="F22" i="52"/>
  <c r="L21" i="52"/>
  <c r="I21" i="52"/>
  <c r="F21" i="52"/>
  <c r="L20" i="52"/>
  <c r="I20" i="52"/>
  <c r="F20" i="52"/>
  <c r="L19" i="52"/>
  <c r="I19" i="52"/>
  <c r="F19" i="52"/>
  <c r="L18" i="52"/>
  <c r="I18" i="52"/>
  <c r="F18" i="52"/>
  <c r="L17" i="52"/>
  <c r="I17" i="52"/>
  <c r="F17" i="52"/>
  <c r="L16" i="52"/>
  <c r="I16" i="52"/>
  <c r="F16" i="52"/>
  <c r="L15" i="52"/>
  <c r="I15" i="52"/>
  <c r="F15" i="52"/>
  <c r="L14" i="52"/>
  <c r="I14" i="52"/>
  <c r="F14" i="52"/>
  <c r="L13" i="52"/>
  <c r="I13" i="52"/>
  <c r="F13" i="52"/>
  <c r="L12" i="52"/>
  <c r="I12" i="52"/>
  <c r="F12" i="52"/>
  <c r="L11" i="52"/>
  <c r="I11" i="52"/>
  <c r="F11" i="52"/>
  <c r="L10" i="52"/>
  <c r="I10" i="52"/>
  <c r="F10" i="52"/>
  <c r="L9" i="52"/>
  <c r="I9" i="52"/>
  <c r="F9" i="52"/>
  <c r="L8" i="52"/>
  <c r="I8" i="52"/>
  <c r="F8" i="52"/>
  <c r="L7" i="52"/>
  <c r="I7" i="52"/>
  <c r="F7" i="52"/>
  <c r="L6" i="52"/>
  <c r="I6" i="52"/>
  <c r="F6" i="52"/>
  <c r="L50" i="46"/>
  <c r="K33" i="46"/>
  <c r="L33" i="46"/>
  <c r="C29" i="42" l="1"/>
  <c r="C30" i="42"/>
  <c r="C31" i="42"/>
  <c r="C32" i="42"/>
  <c r="C33" i="42"/>
  <c r="C34" i="42"/>
  <c r="C35" i="42"/>
  <c r="C36" i="42"/>
  <c r="C37" i="42"/>
  <c r="C38" i="42"/>
  <c r="C39" i="42"/>
  <c r="C28" i="42"/>
  <c r="E28" i="42" s="1"/>
  <c r="K40" i="42"/>
  <c r="F40" i="42"/>
  <c r="L39" i="42"/>
  <c r="J39" i="42"/>
  <c r="J38" i="42"/>
  <c r="I39" i="42" s="1"/>
  <c r="J37" i="42"/>
  <c r="I38" i="42" s="1"/>
  <c r="J36" i="42"/>
  <c r="L36" i="42" s="1"/>
  <c r="I36" i="42"/>
  <c r="J35" i="42"/>
  <c r="L35" i="42" s="1"/>
  <c r="J34" i="42"/>
  <c r="L34" i="42" s="1"/>
  <c r="J33" i="42"/>
  <c r="I34" i="42" s="1"/>
  <c r="J32" i="42"/>
  <c r="L32" i="42" s="1"/>
  <c r="L31" i="42"/>
  <c r="J31" i="42"/>
  <c r="I32" i="42" s="1"/>
  <c r="J30" i="42"/>
  <c r="L30" i="42" s="1"/>
  <c r="J29" i="42"/>
  <c r="L29" i="42" s="1"/>
  <c r="J28" i="42"/>
  <c r="L28" i="42" s="1"/>
  <c r="I33" i="42" l="1"/>
  <c r="I29" i="42"/>
  <c r="I31" i="42"/>
  <c r="G28" i="42"/>
  <c r="L38" i="42"/>
  <c r="L33" i="42"/>
  <c r="I35" i="42"/>
  <c r="I30" i="42"/>
  <c r="J40" i="42" s="1"/>
  <c r="L40" i="42" s="1"/>
  <c r="I37" i="42"/>
  <c r="D29" i="42"/>
  <c r="E29" i="42" s="1"/>
  <c r="L37" i="42"/>
  <c r="H83" i="51"/>
  <c r="G83" i="51"/>
  <c r="H70" i="51"/>
  <c r="G70" i="51"/>
  <c r="H57" i="51"/>
  <c r="G57" i="51"/>
  <c r="H44" i="51"/>
  <c r="G44" i="51"/>
  <c r="H31" i="51"/>
  <c r="G31" i="51"/>
  <c r="H18" i="51"/>
  <c r="G18" i="51"/>
  <c r="I18" i="51" l="1"/>
  <c r="I44" i="51"/>
  <c r="I31" i="51"/>
  <c r="I70" i="51"/>
  <c r="I57" i="51"/>
  <c r="I83" i="51"/>
  <c r="G29" i="42"/>
  <c r="D30" i="42"/>
  <c r="E30" i="42" s="1"/>
  <c r="E23" i="48"/>
  <c r="F23" i="48"/>
  <c r="I23" i="48"/>
  <c r="J23" i="48"/>
  <c r="D24" i="48"/>
  <c r="E24" i="48"/>
  <c r="F24" i="48"/>
  <c r="G24" i="48"/>
  <c r="H24" i="48"/>
  <c r="I24" i="48"/>
  <c r="J24" i="48"/>
  <c r="K24" i="48"/>
  <c r="L24" i="48"/>
  <c r="D25" i="48"/>
  <c r="E25" i="48"/>
  <c r="F25" i="48"/>
  <c r="G25" i="48"/>
  <c r="H25" i="48"/>
  <c r="I25" i="48"/>
  <c r="J25" i="48"/>
  <c r="K25" i="48"/>
  <c r="L25" i="48"/>
  <c r="D26" i="48"/>
  <c r="E26" i="48"/>
  <c r="F26" i="48"/>
  <c r="G26" i="48"/>
  <c r="H26" i="48"/>
  <c r="I26" i="48"/>
  <c r="J26" i="48"/>
  <c r="K26" i="48"/>
  <c r="L26" i="48"/>
  <c r="D27" i="48"/>
  <c r="E27" i="48"/>
  <c r="F27" i="48"/>
  <c r="G27" i="48"/>
  <c r="H27" i="48"/>
  <c r="I27" i="48"/>
  <c r="J27" i="48"/>
  <c r="K27" i="48"/>
  <c r="L27" i="48"/>
  <c r="D28" i="48"/>
  <c r="E28" i="48"/>
  <c r="F28" i="48"/>
  <c r="G28" i="48"/>
  <c r="H28" i="48"/>
  <c r="I28" i="48"/>
  <c r="J28" i="48"/>
  <c r="K28" i="48"/>
  <c r="L28" i="48"/>
  <c r="D29" i="48"/>
  <c r="E29" i="48"/>
  <c r="F29" i="48"/>
  <c r="G29" i="48"/>
  <c r="H29" i="48"/>
  <c r="I29" i="48"/>
  <c r="J29" i="48"/>
  <c r="K29" i="48"/>
  <c r="L29" i="48"/>
  <c r="D30" i="48"/>
  <c r="E30" i="48"/>
  <c r="F30" i="48"/>
  <c r="G30" i="48"/>
  <c r="H30" i="48"/>
  <c r="I30" i="48"/>
  <c r="J30" i="48"/>
  <c r="K30" i="48"/>
  <c r="L30" i="48"/>
  <c r="D31" i="48"/>
  <c r="E31" i="48"/>
  <c r="F31" i="48"/>
  <c r="G31" i="48"/>
  <c r="H31" i="48"/>
  <c r="I31" i="48"/>
  <c r="J31" i="48"/>
  <c r="K31" i="48"/>
  <c r="L31" i="48"/>
  <c r="D32" i="48"/>
  <c r="E32" i="48"/>
  <c r="F32" i="48"/>
  <c r="G32" i="48"/>
  <c r="H32" i="48"/>
  <c r="I32" i="48"/>
  <c r="J32" i="48"/>
  <c r="K32" i="48"/>
  <c r="L32" i="48"/>
  <c r="D33" i="48"/>
  <c r="E33" i="48"/>
  <c r="F33" i="48"/>
  <c r="G33" i="48"/>
  <c r="H33" i="48"/>
  <c r="I33" i="48"/>
  <c r="J33" i="48"/>
  <c r="K33" i="48"/>
  <c r="L33" i="48"/>
  <c r="D34" i="48"/>
  <c r="E34" i="48"/>
  <c r="F34" i="48"/>
  <c r="G34" i="48"/>
  <c r="H34" i="48"/>
  <c r="I34" i="48"/>
  <c r="J34" i="48"/>
  <c r="K34" i="48"/>
  <c r="L34" i="48"/>
  <c r="C34" i="48"/>
  <c r="C33" i="48"/>
  <c r="C32" i="48"/>
  <c r="C31" i="48"/>
  <c r="C30" i="48"/>
  <c r="C29" i="48"/>
  <c r="C28" i="48"/>
  <c r="C27" i="48"/>
  <c r="C26" i="48"/>
  <c r="C25" i="48"/>
  <c r="C24" i="48"/>
  <c r="C23" i="48"/>
  <c r="G30" i="42" l="1"/>
  <c r="D31" i="42"/>
  <c r="E31" i="42" s="1"/>
  <c r="E83" i="51"/>
  <c r="F83" i="51" s="1"/>
  <c r="E70" i="51"/>
  <c r="F70" i="51" s="1"/>
  <c r="E57" i="51"/>
  <c r="F57" i="51" s="1"/>
  <c r="E44" i="51"/>
  <c r="F44" i="51" s="1"/>
  <c r="C9" i="42"/>
  <c r="C10" i="42"/>
  <c r="C11" i="42"/>
  <c r="C12" i="42"/>
  <c r="C13" i="42"/>
  <c r="C14" i="42"/>
  <c r="C15" i="42"/>
  <c r="C16" i="42"/>
  <c r="C17" i="42"/>
  <c r="C18" i="42"/>
  <c r="C19" i="42"/>
  <c r="C20" i="42"/>
  <c r="I7" i="51"/>
  <c r="I8" i="51"/>
  <c r="I9" i="51"/>
  <c r="I10" i="51"/>
  <c r="I11" i="51"/>
  <c r="I12" i="51"/>
  <c r="I13" i="51"/>
  <c r="I14" i="51"/>
  <c r="I15" i="51"/>
  <c r="I16" i="51"/>
  <c r="I17" i="51"/>
  <c r="I19" i="51"/>
  <c r="I20" i="51"/>
  <c r="I21" i="51"/>
  <c r="I22" i="51"/>
  <c r="I23" i="51"/>
  <c r="I24" i="51"/>
  <c r="I25" i="51"/>
  <c r="I26" i="51"/>
  <c r="I27" i="51"/>
  <c r="I28" i="51"/>
  <c r="I29" i="51"/>
  <c r="I30" i="51"/>
  <c r="I32" i="51"/>
  <c r="I33" i="51"/>
  <c r="I34" i="51"/>
  <c r="I35" i="51"/>
  <c r="I36" i="51"/>
  <c r="I37" i="51"/>
  <c r="I38" i="51"/>
  <c r="I39" i="51"/>
  <c r="I40" i="51"/>
  <c r="I41" i="51"/>
  <c r="I42" i="51"/>
  <c r="I43" i="51"/>
  <c r="I45" i="51"/>
  <c r="I46" i="51"/>
  <c r="I47" i="51"/>
  <c r="I48" i="51"/>
  <c r="I49" i="51"/>
  <c r="I50" i="51"/>
  <c r="I51" i="51"/>
  <c r="I52" i="51"/>
  <c r="I53" i="51"/>
  <c r="I54" i="51"/>
  <c r="I55" i="51"/>
  <c r="I56" i="51"/>
  <c r="I58" i="51"/>
  <c r="I59" i="51"/>
  <c r="I60" i="51"/>
  <c r="I61" i="51"/>
  <c r="I62" i="51"/>
  <c r="I63" i="51"/>
  <c r="I64" i="51"/>
  <c r="I65" i="51"/>
  <c r="I66" i="51"/>
  <c r="I67" i="51"/>
  <c r="I68" i="51"/>
  <c r="I69" i="51"/>
  <c r="I71" i="51"/>
  <c r="I72" i="51"/>
  <c r="I73" i="51"/>
  <c r="I74" i="51"/>
  <c r="I75" i="51"/>
  <c r="I76" i="51"/>
  <c r="I77" i="51"/>
  <c r="I78" i="51"/>
  <c r="I79" i="51"/>
  <c r="I80" i="51"/>
  <c r="I81" i="51"/>
  <c r="I82" i="51"/>
  <c r="F82" i="51"/>
  <c r="F81" i="51"/>
  <c r="F80" i="51"/>
  <c r="F79" i="51"/>
  <c r="F78" i="51"/>
  <c r="F77" i="51"/>
  <c r="F76" i="51"/>
  <c r="F75" i="51"/>
  <c r="F74" i="51"/>
  <c r="F73" i="51"/>
  <c r="F72" i="51"/>
  <c r="F71" i="51"/>
  <c r="F69" i="51"/>
  <c r="F68" i="51"/>
  <c r="F67" i="51"/>
  <c r="F66" i="51"/>
  <c r="F65" i="51"/>
  <c r="F64" i="51"/>
  <c r="F63" i="51"/>
  <c r="F62" i="51"/>
  <c r="F61" i="51"/>
  <c r="F60" i="51"/>
  <c r="F59" i="51"/>
  <c r="F58" i="51"/>
  <c r="F56" i="51"/>
  <c r="F55" i="51"/>
  <c r="F54" i="51"/>
  <c r="F53" i="51"/>
  <c r="F52" i="51"/>
  <c r="F51" i="51"/>
  <c r="F50" i="51"/>
  <c r="F49" i="51"/>
  <c r="F48" i="51"/>
  <c r="F47" i="51"/>
  <c r="F46" i="51"/>
  <c r="F45" i="51"/>
  <c r="F43" i="51"/>
  <c r="F42" i="51"/>
  <c r="F41" i="51"/>
  <c r="F40" i="51"/>
  <c r="F39" i="51"/>
  <c r="F38" i="51"/>
  <c r="F37" i="51"/>
  <c r="F36" i="51"/>
  <c r="F35" i="51"/>
  <c r="F34" i="51"/>
  <c r="F33" i="51"/>
  <c r="F32" i="51"/>
  <c r="E31" i="51"/>
  <c r="D20" i="51"/>
  <c r="F20" i="51" s="1"/>
  <c r="D21" i="51"/>
  <c r="F21" i="51" s="1"/>
  <c r="D22" i="51"/>
  <c r="F22" i="51" s="1"/>
  <c r="D23" i="51"/>
  <c r="F23" i="51" s="1"/>
  <c r="D24" i="51"/>
  <c r="F24" i="51" s="1"/>
  <c r="D25" i="51"/>
  <c r="F25" i="51" s="1"/>
  <c r="D26" i="51"/>
  <c r="F26" i="51" s="1"/>
  <c r="D27" i="51"/>
  <c r="F27" i="51" s="1"/>
  <c r="D28" i="51"/>
  <c r="F28" i="51" s="1"/>
  <c r="D29" i="51"/>
  <c r="F29" i="51" s="1"/>
  <c r="D30" i="51"/>
  <c r="F30" i="51" s="1"/>
  <c r="D19" i="51"/>
  <c r="F19" i="51" s="1"/>
  <c r="E18" i="51"/>
  <c r="D17" i="51"/>
  <c r="F17" i="51" s="1"/>
  <c r="D7" i="51"/>
  <c r="F7" i="51" s="1"/>
  <c r="D8" i="51"/>
  <c r="F8" i="51" s="1"/>
  <c r="D9" i="51"/>
  <c r="F9" i="51" s="1"/>
  <c r="D10" i="51"/>
  <c r="F10" i="51" s="1"/>
  <c r="D11" i="51"/>
  <c r="F11" i="51" s="1"/>
  <c r="D12" i="51"/>
  <c r="F12" i="51" s="1"/>
  <c r="D13" i="51"/>
  <c r="F13" i="51" s="1"/>
  <c r="D14" i="51"/>
  <c r="F14" i="51" s="1"/>
  <c r="D15" i="51"/>
  <c r="F15" i="51" s="1"/>
  <c r="D16" i="51"/>
  <c r="F16" i="51" s="1"/>
  <c r="D6" i="51"/>
  <c r="F6" i="51" s="1"/>
  <c r="I6" i="51"/>
  <c r="G31" i="42" l="1"/>
  <c r="D32" i="42"/>
  <c r="E32" i="42" s="1"/>
  <c r="D31" i="51"/>
  <c r="F31" i="51" s="1"/>
  <c r="D18" i="51"/>
  <c r="F18" i="51" s="1"/>
  <c r="D33" i="42" l="1"/>
  <c r="E33" i="42" s="1"/>
  <c r="G32" i="42"/>
  <c r="L15" i="48"/>
  <c r="L16" i="48"/>
  <c r="G33" i="42" l="1"/>
  <c r="D34" i="42"/>
  <c r="E34" i="42" s="1"/>
  <c r="J18" i="5"/>
  <c r="J50" i="5"/>
  <c r="I50" i="5"/>
  <c r="I18" i="5"/>
  <c r="H50" i="5"/>
  <c r="H18" i="5"/>
  <c r="G50" i="5"/>
  <c r="G18" i="5"/>
  <c r="I18" i="48"/>
  <c r="H18" i="48"/>
  <c r="L6" i="48"/>
  <c r="L7" i="48"/>
  <c r="L8" i="48"/>
  <c r="L9" i="48"/>
  <c r="L10" i="48"/>
  <c r="L11" i="48"/>
  <c r="L12" i="48"/>
  <c r="L13" i="48"/>
  <c r="L14" i="48"/>
  <c r="L17" i="48"/>
  <c r="J18" i="48"/>
  <c r="K18" i="48"/>
  <c r="G34" i="42" l="1"/>
  <c r="D35" i="42"/>
  <c r="E35" i="42" s="1"/>
  <c r="L42" i="5"/>
  <c r="L10" i="5"/>
  <c r="L18" i="48"/>
  <c r="F50" i="5"/>
  <c r="E50" i="5"/>
  <c r="D50" i="5"/>
  <c r="C50" i="5"/>
  <c r="G35" i="42" l="1"/>
  <c r="D36" i="42"/>
  <c r="E36" i="42" s="1"/>
  <c r="D37" i="42" l="1"/>
  <c r="E37" i="42" s="1"/>
  <c r="G36" i="42"/>
  <c r="E33" i="46"/>
  <c r="G37" i="42" l="1"/>
  <c r="D38" i="42"/>
  <c r="E38" i="42" s="1"/>
  <c r="K50" i="46"/>
  <c r="J50" i="46"/>
  <c r="I50" i="46"/>
  <c r="H50" i="46"/>
  <c r="G50" i="46"/>
  <c r="E50" i="46"/>
  <c r="C50" i="46"/>
  <c r="J33" i="46"/>
  <c r="I33" i="46"/>
  <c r="H33" i="46"/>
  <c r="G33" i="46"/>
  <c r="C33" i="46"/>
  <c r="K32" i="5" l="1"/>
  <c r="K23" i="5"/>
  <c r="G38" i="42"/>
  <c r="D39" i="42"/>
  <c r="E39" i="42" s="1"/>
  <c r="K39" i="5"/>
  <c r="K48" i="5"/>
  <c r="F50" i="46"/>
  <c r="F33" i="46"/>
  <c r="D49" i="46"/>
  <c r="D48" i="46"/>
  <c r="D47" i="46"/>
  <c r="D46" i="46"/>
  <c r="D45" i="46"/>
  <c r="D44" i="46"/>
  <c r="D43" i="46"/>
  <c r="D42" i="46"/>
  <c r="D41" i="46"/>
  <c r="D40" i="46"/>
  <c r="D39" i="46"/>
  <c r="D38" i="46"/>
  <c r="D32" i="46"/>
  <c r="D31" i="46"/>
  <c r="D29" i="46"/>
  <c r="D28" i="46"/>
  <c r="D25" i="46"/>
  <c r="D24" i="46"/>
  <c r="D23" i="46"/>
  <c r="D22" i="46"/>
  <c r="G39" i="42" l="1"/>
  <c r="E40" i="42"/>
  <c r="G40" i="42" s="1"/>
  <c r="D50" i="46"/>
  <c r="L45" i="5" s="1"/>
  <c r="L39" i="5"/>
  <c r="K45" i="5"/>
  <c r="K42" i="5" l="1"/>
  <c r="J20" i="42"/>
  <c r="L20" i="42" s="1"/>
  <c r="J19" i="42"/>
  <c r="L19" i="42" s="1"/>
  <c r="J18" i="42"/>
  <c r="L18" i="42" s="1"/>
  <c r="J16" i="42"/>
  <c r="L16" i="42" s="1"/>
  <c r="J15" i="42"/>
  <c r="L15" i="42" s="1"/>
  <c r="J13" i="42"/>
  <c r="L13" i="42" s="1"/>
  <c r="J12" i="42"/>
  <c r="L12" i="42" s="1"/>
  <c r="J10" i="42"/>
  <c r="L10" i="42" s="1"/>
  <c r="J9" i="42"/>
  <c r="L9" i="42" s="1"/>
  <c r="K21" i="42"/>
  <c r="F21" i="42"/>
  <c r="I10" i="42" l="1"/>
  <c r="I11" i="42"/>
  <c r="I14" i="42"/>
  <c r="I20" i="42"/>
  <c r="I17" i="42"/>
  <c r="I19" i="42"/>
  <c r="I13" i="42"/>
  <c r="I16" i="42"/>
  <c r="J11" i="42"/>
  <c r="L11" i="42" s="1"/>
  <c r="J14" i="42"/>
  <c r="L14" i="42" s="1"/>
  <c r="J17" i="42"/>
  <c r="L17" i="42" s="1"/>
  <c r="E9" i="42"/>
  <c r="G9" i="42" l="1"/>
  <c r="D10" i="42"/>
  <c r="E10" i="42" s="1"/>
  <c r="G10" i="42" s="1"/>
  <c r="I15" i="42"/>
  <c r="I12" i="42"/>
  <c r="I18" i="42"/>
  <c r="J21" i="42" l="1"/>
  <c r="L21" i="42" s="1"/>
  <c r="D11" i="42"/>
  <c r="E11" i="42" s="1"/>
  <c r="G11" i="42" s="1"/>
  <c r="D12" i="42" l="1"/>
  <c r="E12" i="42" s="1"/>
  <c r="G12" i="42" s="1"/>
  <c r="D13" i="42" l="1"/>
  <c r="E13" i="42" s="1"/>
  <c r="G13" i="42" s="1"/>
  <c r="D14" i="42" l="1"/>
  <c r="E14" i="42" s="1"/>
  <c r="G14" i="42" s="1"/>
  <c r="D15" i="42" l="1"/>
  <c r="E15" i="42" s="1"/>
  <c r="G15" i="42" s="1"/>
  <c r="D16" i="42" l="1"/>
  <c r="E16" i="42" s="1"/>
  <c r="G16" i="42" s="1"/>
  <c r="D17" i="42" l="1"/>
  <c r="E17" i="42" s="1"/>
  <c r="G17" i="42" s="1"/>
  <c r="D18" i="42" l="1"/>
  <c r="E18" i="42" s="1"/>
  <c r="G18" i="42" s="1"/>
  <c r="D19" i="42" l="1"/>
  <c r="E19" i="42" s="1"/>
  <c r="G19" i="42" s="1"/>
  <c r="D20" i="42" l="1"/>
  <c r="E20" i="42" s="1"/>
  <c r="G20" i="42" s="1"/>
  <c r="E21" i="42" l="1"/>
  <c r="G21" i="42" s="1"/>
  <c r="L35" i="48" l="1"/>
  <c r="K35" i="48"/>
  <c r="J35" i="48"/>
  <c r="I35" i="48"/>
  <c r="H35" i="48"/>
  <c r="G35" i="48"/>
  <c r="F35" i="48"/>
  <c r="E35" i="48"/>
  <c r="D35" i="48"/>
  <c r="C35" i="48"/>
  <c r="D18" i="48"/>
  <c r="C18" i="48"/>
  <c r="G17" i="48"/>
  <c r="G16" i="48"/>
  <c r="G15" i="48"/>
  <c r="G14" i="48"/>
  <c r="G13" i="48"/>
  <c r="G12" i="48"/>
  <c r="G11" i="48"/>
  <c r="G10" i="48"/>
  <c r="G9" i="48"/>
  <c r="G8" i="48"/>
  <c r="G7" i="48"/>
  <c r="G6" i="48"/>
  <c r="D30" i="46"/>
  <c r="D27" i="46"/>
  <c r="D26" i="46"/>
  <c r="D21" i="46"/>
  <c r="D33" i="46" s="1"/>
  <c r="L18" i="43"/>
  <c r="K18" i="43"/>
  <c r="J18" i="43"/>
  <c r="I18" i="43"/>
  <c r="H18" i="43"/>
  <c r="G18" i="43"/>
  <c r="F18" i="43"/>
  <c r="E18" i="43"/>
  <c r="D18" i="43"/>
  <c r="C18" i="43"/>
  <c r="K26" i="5" l="1"/>
  <c r="L23" i="5"/>
  <c r="K29" i="5"/>
  <c r="L29" i="5"/>
  <c r="L13" i="5"/>
  <c r="L7" i="5"/>
  <c r="K10" i="5"/>
  <c r="G18" i="48"/>
  <c r="E18" i="5" l="1"/>
  <c r="F18" i="5"/>
  <c r="C18" i="5" l="1"/>
  <c r="D18" i="5"/>
  <c r="K7" i="5" s="1"/>
  <c r="K13" i="5" l="1"/>
  <c r="K16" i="5"/>
</calcChain>
</file>

<file path=xl/comments1.xml><?xml version="1.0" encoding="utf-8"?>
<comments xmlns="http://schemas.openxmlformats.org/spreadsheetml/2006/main">
  <authors>
    <author>Yazar</author>
  </authors>
  <commentList>
    <comment ref="D5" authorId="0" shapeId="0">
      <text>
        <r>
          <rPr>
            <sz val="14"/>
            <color indexed="81"/>
            <rFont val="Tahoma"/>
            <family val="2"/>
            <charset val="162"/>
          </rPr>
          <t>4 gün üzeri işgöremezlikle sonuçlanan kaza sayısını ifade eder.</t>
        </r>
      </text>
    </comment>
    <comment ref="E5" authorId="0" shapeId="0">
      <text>
        <r>
          <rPr>
            <sz val="14"/>
            <color indexed="81"/>
            <rFont val="Tahoma"/>
            <family val="2"/>
            <charset val="162"/>
          </rPr>
          <t>Kazadan doğrudan yada dolaylı olarak etkilenen toplam çalışan sayısını ifade eder.</t>
        </r>
      </text>
    </comment>
    <comment ref="K6" authorId="0" shapeId="0">
      <text>
        <r>
          <rPr>
            <sz val="14"/>
            <color indexed="81"/>
            <rFont val="Tahoma"/>
            <family val="2"/>
            <charset val="162"/>
          </rPr>
          <t>(Ciddi Kaza Sayısı * 100.000) / Toplam Çalışan Sayısı</t>
        </r>
      </text>
    </comment>
    <comment ref="L6" authorId="0" shapeId="0">
      <text>
        <r>
          <rPr>
            <sz val="14"/>
            <color indexed="81"/>
            <rFont val="Tahoma"/>
            <family val="2"/>
            <charset val="162"/>
          </rPr>
          <t>(Kayıp Gün Sayısı*200.000) / (Toplam çalışılan saat)</t>
        </r>
      </text>
    </comment>
    <comment ref="K9" authorId="0" shapeId="0">
      <text>
        <r>
          <rPr>
            <sz val="14"/>
            <color indexed="81"/>
            <rFont val="Tahoma"/>
            <family val="2"/>
            <charset val="162"/>
          </rPr>
          <t>(Toplam İş Günü Kaybı / Toplam Çalışma Süresi)*100.000</t>
        </r>
      </text>
    </comment>
    <comment ref="L9" authorId="0" shapeId="0">
      <text>
        <r>
          <rPr>
            <sz val="14"/>
            <color indexed="81"/>
            <rFont val="Tahoma"/>
            <family val="2"/>
            <charset val="162"/>
          </rPr>
          <t>(Devamsız Günler / Toplam Günler)*100</t>
        </r>
      </text>
    </comment>
    <comment ref="K12" authorId="0" shapeId="0">
      <text>
        <r>
          <rPr>
            <sz val="14"/>
            <color indexed="81"/>
            <rFont val="Tahoma"/>
            <family val="2"/>
            <charset val="162"/>
          </rPr>
          <t xml:space="preserve">(Toplam Kaza Adedi / Toplam Çalışma Süresi) *1.000.000 </t>
        </r>
      </text>
    </comment>
    <comment ref="L12" authorId="0" shapeId="0">
      <text>
        <r>
          <rPr>
            <sz val="14"/>
            <color indexed="81"/>
            <rFont val="Tahoma"/>
            <family val="2"/>
            <charset val="162"/>
          </rPr>
          <t>Toplam meslek hastalığı sayısı / (Toplam çalışılan saat x 200.000)</t>
        </r>
      </text>
    </comment>
    <comment ref="K15" authorId="0" shapeId="0">
      <text>
        <r>
          <rPr>
            <sz val="14"/>
            <color indexed="81"/>
            <rFont val="Tahoma"/>
            <family val="2"/>
            <charset val="162"/>
          </rPr>
          <t>Toplam İş Kazası Sayısı/Toplam Çalışan Sayısı</t>
        </r>
      </text>
    </comment>
    <comment ref="D21" authorId="0" shapeId="0">
      <text>
        <r>
          <rPr>
            <sz val="14"/>
            <color indexed="81"/>
            <rFont val="Tahoma"/>
            <family val="2"/>
            <charset val="162"/>
          </rPr>
          <t>4 gün üzeri işgöremezlikle sonuçlanan kaza sayısını ifade eder.</t>
        </r>
      </text>
    </comment>
    <comment ref="E21" authorId="0" shapeId="0">
      <text>
        <r>
          <rPr>
            <sz val="14"/>
            <color indexed="81"/>
            <rFont val="Tahoma"/>
            <family val="2"/>
            <charset val="162"/>
          </rPr>
          <t>Kazadan doğrudan yada dolaylı olarak etkilenen toplam çalışan sayısını ifade eder.</t>
        </r>
      </text>
    </comment>
    <comment ref="K22" authorId="0" shapeId="0">
      <text>
        <r>
          <rPr>
            <sz val="14"/>
            <color indexed="81"/>
            <rFont val="Tahoma"/>
            <family val="2"/>
            <charset val="162"/>
          </rPr>
          <t>(Ciddi Kaza Sayısı * 100.000) / Toplam Çalışan Sayısı</t>
        </r>
      </text>
    </comment>
    <comment ref="L22" authorId="0" shapeId="0">
      <text>
        <r>
          <rPr>
            <sz val="14"/>
            <color indexed="81"/>
            <rFont val="Tahoma"/>
            <family val="2"/>
            <charset val="162"/>
          </rPr>
          <t>(Kayıp Gün Sayısı*200.000) / (Toplam çalışılan saat)</t>
        </r>
      </text>
    </comment>
    <comment ref="K25" authorId="0" shapeId="0">
      <text>
        <r>
          <rPr>
            <sz val="14"/>
            <color indexed="81"/>
            <rFont val="Tahoma"/>
            <family val="2"/>
            <charset val="162"/>
          </rPr>
          <t>(Toplam İş Günü Kaybı / Toplam Çalışma Süresi)*100.000</t>
        </r>
      </text>
    </comment>
    <comment ref="L25" authorId="0" shapeId="0">
      <text>
        <r>
          <rPr>
            <sz val="14"/>
            <color indexed="81"/>
            <rFont val="Tahoma"/>
            <family val="2"/>
            <charset val="162"/>
          </rPr>
          <t>(Devamsız Günler / Toplam Günler)*100</t>
        </r>
      </text>
    </comment>
    <comment ref="K28" authorId="0" shapeId="0">
      <text>
        <r>
          <rPr>
            <sz val="14"/>
            <color indexed="81"/>
            <rFont val="Tahoma"/>
            <family val="2"/>
            <charset val="162"/>
          </rPr>
          <t xml:space="preserve">(Toplam Kaza Adedi / Toplam Çalışma Süresi) *1.000.000 </t>
        </r>
      </text>
    </comment>
    <comment ref="L28" authorId="0" shapeId="0">
      <text>
        <r>
          <rPr>
            <sz val="14"/>
            <color indexed="81"/>
            <rFont val="Tahoma"/>
            <family val="2"/>
            <charset val="162"/>
          </rPr>
          <t>Toplam meslek hastalığı sayısı / (Toplam çalışılan saat x 200.000)</t>
        </r>
      </text>
    </comment>
    <comment ref="K31" authorId="0" shapeId="0">
      <text>
        <r>
          <rPr>
            <sz val="14"/>
            <color indexed="81"/>
            <rFont val="Tahoma"/>
            <family val="2"/>
            <charset val="162"/>
          </rPr>
          <t>Toplam İş Kazası Sayısı/Toplam Çalışan Sayısı</t>
        </r>
      </text>
    </comment>
    <comment ref="D37" authorId="0" shapeId="0">
      <text>
        <r>
          <rPr>
            <sz val="14"/>
            <color indexed="81"/>
            <rFont val="Tahoma"/>
            <family val="2"/>
            <charset val="162"/>
          </rPr>
          <t>4 gün üzeri işgöremezlikle sonuçlanan kaza sayısını ifade eder.</t>
        </r>
      </text>
    </comment>
    <comment ref="E37" authorId="0" shapeId="0">
      <text>
        <r>
          <rPr>
            <sz val="14"/>
            <color indexed="81"/>
            <rFont val="Tahoma"/>
            <family val="2"/>
            <charset val="162"/>
          </rPr>
          <t>Kazadan doğrudan yada dolaylı olarak etkilenen toplam çalışan sayısını ifade eder.</t>
        </r>
      </text>
    </comment>
    <comment ref="K38" authorId="0" shapeId="0">
      <text>
        <r>
          <rPr>
            <sz val="14"/>
            <color indexed="81"/>
            <rFont val="Tahoma"/>
            <family val="2"/>
            <charset val="162"/>
          </rPr>
          <t>(Ciddi Kaza Sayısı * 100.000) / Toplam Çalışan Sayısı</t>
        </r>
      </text>
    </comment>
    <comment ref="L38" authorId="0" shapeId="0">
      <text>
        <r>
          <rPr>
            <sz val="14"/>
            <color indexed="81"/>
            <rFont val="Tahoma"/>
            <family val="2"/>
            <charset val="162"/>
          </rPr>
          <t>(Kayıp Gün Sayısı*200.000) / (Toplam çalışılan saat)</t>
        </r>
      </text>
    </comment>
    <comment ref="K41" authorId="0" shapeId="0">
      <text>
        <r>
          <rPr>
            <sz val="14"/>
            <color indexed="81"/>
            <rFont val="Tahoma"/>
            <family val="2"/>
            <charset val="162"/>
          </rPr>
          <t>(Toplam İş Günü Kaybı / Toplam Çalışma Süresi)*100.000</t>
        </r>
      </text>
    </comment>
    <comment ref="L41" authorId="0" shapeId="0">
      <text>
        <r>
          <rPr>
            <sz val="14"/>
            <color indexed="81"/>
            <rFont val="Tahoma"/>
            <family val="2"/>
            <charset val="162"/>
          </rPr>
          <t>(Devamsız Günler / Toplam Günler)*100</t>
        </r>
      </text>
    </comment>
    <comment ref="K44" authorId="0" shapeId="0">
      <text>
        <r>
          <rPr>
            <sz val="14"/>
            <color indexed="81"/>
            <rFont val="Tahoma"/>
            <family val="2"/>
            <charset val="162"/>
          </rPr>
          <t xml:space="preserve">(Toplam Kaza Adedi / Toplam Çalışma Süresi) *1.000.000 </t>
        </r>
      </text>
    </comment>
    <comment ref="L44" authorId="0" shapeId="0">
      <text>
        <r>
          <rPr>
            <sz val="14"/>
            <color indexed="81"/>
            <rFont val="Tahoma"/>
            <family val="2"/>
            <charset val="162"/>
          </rPr>
          <t>Toplam meslek hastalığı sayısı / (Toplam çalışılan saat x 200.000)</t>
        </r>
      </text>
    </comment>
    <comment ref="K47" authorId="0" shapeId="0">
      <text>
        <r>
          <rPr>
            <sz val="14"/>
            <color indexed="81"/>
            <rFont val="Tahoma"/>
            <family val="2"/>
            <charset val="162"/>
          </rPr>
          <t>Toplam İş Kazası Sayısı/Toplam Çalışan Sayısı</t>
        </r>
      </text>
    </comment>
  </commentList>
</comments>
</file>

<file path=xl/comments2.xml><?xml version="1.0" encoding="utf-8"?>
<comments xmlns="http://schemas.openxmlformats.org/spreadsheetml/2006/main">
  <authors>
    <author>Yazar</author>
  </authors>
  <commentList>
    <comment ref="K4" authorId="0" shapeId="0">
      <text>
        <r>
          <rPr>
            <sz val="14"/>
            <color indexed="81"/>
            <rFont val="Tahoma"/>
            <family val="2"/>
            <charset val="162"/>
          </rPr>
          <t>Tespit/Öneriye dair herhangi bir aksiyon uygulanmışsa belirtin.</t>
        </r>
      </text>
    </comment>
  </commentList>
</comments>
</file>

<file path=xl/sharedStrings.xml><?xml version="1.0" encoding="utf-8"?>
<sst xmlns="http://schemas.openxmlformats.org/spreadsheetml/2006/main" count="1360" uniqueCount="390">
  <si>
    <t>Kadın</t>
  </si>
  <si>
    <t>Toplam</t>
  </si>
  <si>
    <t>Toplam Çalışan Sayısı</t>
  </si>
  <si>
    <t>Kaza Sıklık Oranı</t>
  </si>
  <si>
    <t>Kaza Ağırlık Oranı</t>
  </si>
  <si>
    <t>Şubat</t>
  </si>
  <si>
    <t>Mart</t>
  </si>
  <si>
    <t>Nisan</t>
  </si>
  <si>
    <t>Mayıs</t>
  </si>
  <si>
    <t>Haziran</t>
  </si>
  <si>
    <t>Temmuz</t>
  </si>
  <si>
    <t>Ağustos</t>
  </si>
  <si>
    <t>Eylül</t>
  </si>
  <si>
    <t>Ekim</t>
  </si>
  <si>
    <t>Kasım</t>
  </si>
  <si>
    <t>Aralık</t>
  </si>
  <si>
    <t>Ocak</t>
  </si>
  <si>
    <t>Leq (dBA)</t>
  </si>
  <si>
    <t>Erkek</t>
  </si>
  <si>
    <t>Diğer</t>
  </si>
  <si>
    <t>İŞ HİJYENİ ÖLÇÜMLERİ</t>
  </si>
  <si>
    <t>Ölçüm Sonuçları</t>
  </si>
  <si>
    <t>Ölçüm Yapılan Noktalar</t>
  </si>
  <si>
    <t>Hava Akım Hızı (m/sn)</t>
  </si>
  <si>
    <t>Eğitim Alması Gereken Toplam Personel Sayısı</t>
  </si>
  <si>
    <t>Eğitim Alan Toplam Personel Sayısı</t>
  </si>
  <si>
    <t>Eğitim Adı</t>
  </si>
  <si>
    <t>Aylar</t>
  </si>
  <si>
    <t>Çalışanların Cinsiyete Göre Dağılımı</t>
  </si>
  <si>
    <t>Tatbikat Adı</t>
  </si>
  <si>
    <t>Yangın Tatbikatı</t>
  </si>
  <si>
    <t>Tahliye Tatbikatı</t>
  </si>
  <si>
    <t>HAP Tatbikatı (Masabaşı)</t>
  </si>
  <si>
    <t>HAP Tatbikatı (Saha)</t>
  </si>
  <si>
    <t>TERMAL KONFOR ÖLÇÜMLERİ</t>
  </si>
  <si>
    <r>
      <t xml:space="preserve">Sıcaklık ( </t>
    </r>
    <r>
      <rPr>
        <b/>
        <vertAlign val="superscript"/>
        <sz val="16"/>
        <color theme="1"/>
        <rFont val="Tahoma"/>
        <family val="2"/>
        <charset val="162"/>
      </rPr>
      <t>o</t>
    </r>
    <r>
      <rPr>
        <b/>
        <sz val="16"/>
        <color theme="1"/>
        <rFont val="Tahoma"/>
        <family val="2"/>
        <charset val="162"/>
      </rPr>
      <t>C )</t>
    </r>
  </si>
  <si>
    <r>
      <t>mg\m</t>
    </r>
    <r>
      <rPr>
        <b/>
        <vertAlign val="superscript"/>
        <sz val="16"/>
        <color theme="1"/>
        <rFont val="Tahoma"/>
        <family val="2"/>
        <charset val="162"/>
      </rPr>
      <t>3</t>
    </r>
  </si>
  <si>
    <t>GÜRÜLTÜ ÖLÇÜMÜ (ORTAM)</t>
  </si>
  <si>
    <t>1000 Lux'e Göre</t>
  </si>
  <si>
    <t>500 Lux'e Göre</t>
  </si>
  <si>
    <t>Ölçüm Sonuçları (lux)</t>
  </si>
  <si>
    <t>300 Lux'e Göre</t>
  </si>
  <si>
    <t>200 Lux'e Göre</t>
  </si>
  <si>
    <t>100 Lux'e Göre</t>
  </si>
  <si>
    <t>50 Lux'e Göre</t>
  </si>
  <si>
    <t>Nem (%)</t>
  </si>
  <si>
    <t>AYDINLATMA ÖLÇÜMLERİ (ORTAM)</t>
  </si>
  <si>
    <t>TOZ ÖLÇÜMÜ (ORTAM)</t>
  </si>
  <si>
    <t>Katılım Oranı</t>
  </si>
  <si>
    <t>Güvenlik</t>
  </si>
  <si>
    <t>Emniyet</t>
  </si>
  <si>
    <t>Acil Durum Yönetimi</t>
  </si>
  <si>
    <t>Yangın Güvenliği</t>
  </si>
  <si>
    <t>Tıbbi Cihazlar</t>
  </si>
  <si>
    <t>Altyapı Sistemleri</t>
  </si>
  <si>
    <t>İnşaat-Renovasyon</t>
  </si>
  <si>
    <t>Tehlikeli Madde ve Atık Yönetimi</t>
  </si>
  <si>
    <t>Cihaz-Ekipman-Malzeme Yönetimi</t>
  </si>
  <si>
    <t>Değişim</t>
  </si>
  <si>
    <t>Ön Değerlendirme 
Başarı Puanı Ortalaması</t>
  </si>
  <si>
    <t>Son Değerlendirme 
Başarı Puanı Ortalaması</t>
  </si>
  <si>
    <t>Tespit Edilen Uygunsuzluk Sayısı</t>
  </si>
  <si>
    <t>Planlanan 
Aksiyon Sayısı</t>
  </si>
  <si>
    <t>Tamamlanan 
Aksiyon Sayısı</t>
  </si>
  <si>
    <t>İyileştirilen 
Uygunsuzluk Sayısı</t>
  </si>
  <si>
    <t>Açıklamalar</t>
  </si>
  <si>
    <t>Kayıp Gün Sayısı</t>
  </si>
  <si>
    <t>Engelli Çalışan Sayısı</t>
  </si>
  <si>
    <t>Hamile Çalışan Sayısı</t>
  </si>
  <si>
    <t>Toplam Çalışma Süresi (Saat)</t>
  </si>
  <si>
    <t>Algılama, İhbar ve Uyarı Sistemleri</t>
  </si>
  <si>
    <t>Yangın ve Duman Yayılmasını Önleyici Sistemler</t>
  </si>
  <si>
    <t>Yangın Söndürme Sistem ve Ekipmanları</t>
  </si>
  <si>
    <t>Otomatik Yangın Söndürme Sistemleri</t>
  </si>
  <si>
    <t>Yangın Senaryosu İle İlişkili Diğer Sistemler</t>
  </si>
  <si>
    <t>Test Edilen Ekipman-Sistem Sayısı</t>
  </si>
  <si>
    <t>"Başarılı" Olan Ekipman-Sistem Sayısı</t>
  </si>
  <si>
    <t>Uygunluk Oranı</t>
  </si>
  <si>
    <t>İyileştirme Oranı</t>
  </si>
  <si>
    <t>OLAĞAN DIŞI OLAY VERİLERİ</t>
  </si>
  <si>
    <t>Yangın</t>
  </si>
  <si>
    <t>Sel/Su Baskını</t>
  </si>
  <si>
    <t>Sabotaj</t>
  </si>
  <si>
    <t>İntihar</t>
  </si>
  <si>
    <t>Patlama</t>
  </si>
  <si>
    <t>Deprem</t>
  </si>
  <si>
    <t>Olağan Dışı Olayların Kategori Bazlı Dağılımı</t>
  </si>
  <si>
    <t>Elektrik Kesintisi</t>
  </si>
  <si>
    <t>Özel Politika Gerektiren Çalışan Dağılımı</t>
  </si>
  <si>
    <t>İŞ SAĞLIĞI İSTATİSTİKLERİ</t>
  </si>
  <si>
    <t>Periyodik Muayenesi Yapılan Çalışan Sayısı</t>
  </si>
  <si>
    <t>Periyodik Muayene Tamamlama Oranı</t>
  </si>
  <si>
    <t>Stajyer Sayısı</t>
  </si>
  <si>
    <t>Ciddi Kaza Oranı</t>
  </si>
  <si>
    <t>Aksiyon Tamamlama Oranı</t>
  </si>
  <si>
    <r>
      <t>Titreşim (m/s</t>
    </r>
    <r>
      <rPr>
        <b/>
        <vertAlign val="superscript"/>
        <sz val="16"/>
        <color theme="1"/>
        <rFont val="Tahoma"/>
        <family val="2"/>
        <charset val="162"/>
      </rPr>
      <t>2</t>
    </r>
    <r>
      <rPr>
        <b/>
        <sz val="16"/>
        <color theme="1"/>
        <rFont val="Tahoma"/>
        <family val="2"/>
        <charset val="162"/>
      </rPr>
      <t>)</t>
    </r>
  </si>
  <si>
    <r>
      <rPr>
        <b/>
        <sz val="16"/>
        <color theme="1"/>
        <rFont val="Tahoma"/>
        <family val="2"/>
        <charset val="162"/>
      </rPr>
      <t>Bütün vücut:</t>
    </r>
    <r>
      <rPr>
        <sz val="16"/>
        <color theme="1"/>
        <rFont val="Tahoma"/>
        <family val="2"/>
        <charset val="162"/>
      </rPr>
      <t xml:space="preserve"> Maruziyet sınır değeri: 1,15 m/s</t>
    </r>
    <r>
      <rPr>
        <vertAlign val="superscript"/>
        <sz val="16"/>
        <color theme="1"/>
        <rFont val="Tahoma"/>
        <family val="2"/>
        <charset val="162"/>
      </rPr>
      <t>2</t>
    </r>
    <r>
      <rPr>
        <sz val="16"/>
        <color theme="1"/>
        <rFont val="Tahoma"/>
        <family val="2"/>
        <charset val="162"/>
      </rPr>
      <t>, Maruziyet eylem değeri: 0,5 m/s</t>
    </r>
    <r>
      <rPr>
        <vertAlign val="superscript"/>
        <sz val="16"/>
        <color theme="1"/>
        <rFont val="Tahoma"/>
        <family val="2"/>
        <charset val="162"/>
      </rPr>
      <t>2</t>
    </r>
    <r>
      <rPr>
        <sz val="16"/>
        <color theme="1"/>
        <rFont val="Tahoma"/>
        <family val="2"/>
        <charset val="162"/>
      </rPr>
      <t xml:space="preserve">
</t>
    </r>
    <r>
      <rPr>
        <b/>
        <sz val="16"/>
        <color theme="1"/>
        <rFont val="Tahoma"/>
        <family val="2"/>
        <charset val="162"/>
      </rPr>
      <t xml:space="preserve">El-kol titreşimi: </t>
    </r>
    <r>
      <rPr>
        <sz val="16"/>
        <color theme="1"/>
        <rFont val="Tahoma"/>
        <family val="2"/>
        <charset val="162"/>
      </rPr>
      <t>Maruziyet sınır değeri: 5 m/s2, Maruziyet eylem değeri: 2,5 m/s</t>
    </r>
    <r>
      <rPr>
        <vertAlign val="superscript"/>
        <sz val="16"/>
        <color theme="1"/>
        <rFont val="Tahoma"/>
        <family val="2"/>
        <charset val="162"/>
      </rPr>
      <t>2</t>
    </r>
  </si>
  <si>
    <t>Toplam Kaza Sayısı</t>
  </si>
  <si>
    <t>Ciddi Kaza Sayısı</t>
  </si>
  <si>
    <t>Olağan Toplantı Sayısı</t>
  </si>
  <si>
    <t>Olağanüstü Toplantı Sayısı</t>
  </si>
  <si>
    <t>İlgili Dönemde Periyodik Muayene Gereken Çalışan Sayısı</t>
  </si>
  <si>
    <t>Önceki Dönemden Devreden Periyodik Muayene Gereken Çalışan Sayısı</t>
  </si>
  <si>
    <t>İlgili Dönemde Periyodik Muayene Gereken Toplam Çalışan Sayısı</t>
  </si>
  <si>
    <t>Ortalama / Toplam</t>
  </si>
  <si>
    <t>Kaza Sıklık Hızı</t>
  </si>
  <si>
    <t>Bölüm Değiştiren Çalışan Sayısı</t>
  </si>
  <si>
    <t>İlgili Dönemde İşe Yeni Başlayan Çalışan Sayısı</t>
  </si>
  <si>
    <t>Kimyasal Dökülme - Saçılma Tatbikatı</t>
  </si>
  <si>
    <t>Uygunsuzluk Sayısı</t>
  </si>
  <si>
    <t>Kaza Oranları</t>
  </si>
  <si>
    <t>Alt İşveren Çalışan Sayısı ve Dağılımı</t>
  </si>
  <si>
    <t>OLAĞAN DIŞI OLAY DETAY BİLGİLER</t>
  </si>
  <si>
    <t>EĞİTİM İSTATİSTİKLERİ</t>
  </si>
  <si>
    <t>TATBİKAT İSTATİSTİKLERİ</t>
  </si>
  <si>
    <t>Önceki Dönemden Devreden İşe Giriş Muayenesi Gereken Çalışan Sayısı</t>
  </si>
  <si>
    <t>İlgili Dönemde İşe Giriş Muayenesi Gereken Toplam Çalışan Sayısı</t>
  </si>
  <si>
    <t xml:space="preserve"> İşe Giriş Muayenesi Yapılan Çalışan Sayısı</t>
  </si>
  <si>
    <t xml:space="preserve"> İşe Giriş Muayenesi Tamamlama Oranı</t>
  </si>
  <si>
    <t>İŞYERİ ve TESİS BİLGİLERİ</t>
  </si>
  <si>
    <t>Bina Yapım Yılı</t>
  </si>
  <si>
    <r>
      <t>Toplam Kapalı Alan (m</t>
    </r>
    <r>
      <rPr>
        <b/>
        <vertAlign val="superscript"/>
        <sz val="16"/>
        <color theme="1" tint="4.9989318521683403E-2"/>
        <rFont val="Tahoma"/>
        <family val="2"/>
        <charset val="162"/>
      </rPr>
      <t>2</t>
    </r>
    <r>
      <rPr>
        <b/>
        <sz val="16"/>
        <color theme="1" tint="4.9989318521683403E-2"/>
        <rFont val="Tahoma"/>
        <family val="2"/>
        <charset val="162"/>
      </rPr>
      <t>)</t>
    </r>
  </si>
  <si>
    <r>
      <t>Toplam Bahçe Alanı (m</t>
    </r>
    <r>
      <rPr>
        <b/>
        <vertAlign val="superscript"/>
        <sz val="16"/>
        <color theme="1" tint="4.9989318521683403E-2"/>
        <rFont val="Tahoma"/>
        <family val="2"/>
        <charset val="162"/>
      </rPr>
      <t>2</t>
    </r>
    <r>
      <rPr>
        <b/>
        <sz val="16"/>
        <color theme="1" tint="4.9989318521683403E-2"/>
        <rFont val="Tahoma"/>
        <family val="2"/>
        <charset val="162"/>
      </rPr>
      <t>)</t>
    </r>
  </si>
  <si>
    <t>Toplam Yatak Sayısı</t>
  </si>
  <si>
    <t>Bina Yüksekliği (m)*</t>
  </si>
  <si>
    <t>Yapı Yüksekliği (m)*</t>
  </si>
  <si>
    <t>NACE Kodu</t>
  </si>
  <si>
    <t>İşyeri Adı</t>
  </si>
  <si>
    <t>Olay Türü</t>
  </si>
  <si>
    <t>Olayın Nedeni Detay</t>
  </si>
  <si>
    <t>Olayın Tespit Edilebilen Etkisi</t>
  </si>
  <si>
    <t>Tahliye Edilen Personel Sayısı</t>
  </si>
  <si>
    <t>Asansör Arızası</t>
  </si>
  <si>
    <t>Elektrik Kesintisi (Uzun Süreli)</t>
  </si>
  <si>
    <t>Hırsızlık</t>
  </si>
  <si>
    <t>Medikal Gaz Kesintisi</t>
  </si>
  <si>
    <t>Pandemi</t>
  </si>
  <si>
    <t>Sel/Su baskını</t>
  </si>
  <si>
    <t>Hastane Çevresinde Olan Olaylar</t>
  </si>
  <si>
    <t>İnşaat/Renovasyon Kaynaklı Olaylar</t>
  </si>
  <si>
    <t>Kavga/Şiddet</t>
  </si>
  <si>
    <t>Yapısal Unsurlara Dair Olaylar</t>
  </si>
  <si>
    <t>Olayın Gerçekleştiği Tarih / Saat</t>
  </si>
  <si>
    <t>Destek alındı mı? Evetse kim tarafından?</t>
  </si>
  <si>
    <t>Acil durum anonsu verildi mi? Evetse hangi kod?</t>
  </si>
  <si>
    <t>Tahliye Edilen Ayaktan / Yatan Hasta Sayısı</t>
  </si>
  <si>
    <t>Yaralı Sayısı / Ölü Sayısı</t>
  </si>
  <si>
    <t>Olayın Gerçekleştiği Yer - Bölüm - Alan</t>
  </si>
  <si>
    <t>Hayır</t>
  </si>
  <si>
    <t>Olayın Gerçekleşme Şekli (Özet)</t>
  </si>
  <si>
    <t>Olaya İlişkin Tespitler</t>
  </si>
  <si>
    <t>Alınan Aksiyonlar</t>
  </si>
  <si>
    <t>Sonuç / Değerlendirme</t>
  </si>
  <si>
    <t xml:space="preserve">Hizmet kesintiye uğradı mı? Evetse kesinti süresi? </t>
  </si>
  <si>
    <t>İŞ SAĞLIĞI VE GÜVENLİĞİ KURUL ÇALIŞMALARI VERİLERİ</t>
  </si>
  <si>
    <t>İŞ SAĞLIĞI VE GÜVENLİĞİ KURUL TOPLANTI KARARLARI</t>
  </si>
  <si>
    <t>Toplantı No</t>
  </si>
  <si>
    <t>Toplantı Tarihi</t>
  </si>
  <si>
    <t>Alınan Kararlar</t>
  </si>
  <si>
    <t>Sorumlu</t>
  </si>
  <si>
    <t>Mevcut Durum</t>
  </si>
  <si>
    <t>Termin</t>
  </si>
  <si>
    <t>Tamamlanma Tarihi</t>
  </si>
  <si>
    <t>Sonuç / Açıklama / Değerlendirme</t>
  </si>
  <si>
    <t>Ölçüm Yapılan Yer</t>
  </si>
  <si>
    <r>
      <t xml:space="preserve">Ölçüm Yapılan Kişiler
</t>
    </r>
    <r>
      <rPr>
        <sz val="16"/>
        <color theme="1"/>
        <rFont val="Tahoma"/>
        <family val="2"/>
        <charset val="162"/>
      </rPr>
      <t>(Sicil No/Ad Soyad)</t>
    </r>
  </si>
  <si>
    <t>Ölçüm Yapılan Kişiler
(Sicil No/Ad Soyad)</t>
  </si>
  <si>
    <t>GÜRÜLTÜ ÖLÇÜMÜ (KİŞİSEL MARUZİYET)</t>
  </si>
  <si>
    <t>TİTREŞİM ÖLÇÜMÜ (KİŞİSEL MARUZİYET)</t>
  </si>
  <si>
    <t>Yenidoğan Yoğun Bakım*</t>
  </si>
  <si>
    <t>Elektrik İç Tesisat Kontrolü</t>
  </si>
  <si>
    <t>Kontrol Tarihi</t>
  </si>
  <si>
    <t>1. Kontrol</t>
  </si>
  <si>
    <t>2. Kontrol</t>
  </si>
  <si>
    <t xml:space="preserve">Elektrik Sistemleri </t>
  </si>
  <si>
    <t>Mekanik Sistemler</t>
  </si>
  <si>
    <t>Ölçüm Türü</t>
  </si>
  <si>
    <t>Nokta / Kişi Sayısı</t>
  </si>
  <si>
    <t>1.Ölçüm Tarihi</t>
  </si>
  <si>
    <t>2.Ölçüm Tarihi</t>
  </si>
  <si>
    <t>3.Ölçüm Tarihi</t>
  </si>
  <si>
    <t>Gürültü Ölçümü (Ortam)</t>
  </si>
  <si>
    <t>Titreşim Ölçümü (Kişisel Maruziyet)</t>
  </si>
  <si>
    <t>Aydınlatma Ölçümü</t>
  </si>
  <si>
    <t>Termal Konfor Ölçümü</t>
  </si>
  <si>
    <t>Gürültü Ölçümü (Kişisel Maruziyet)</t>
  </si>
  <si>
    <t>Toz Ölçümü</t>
  </si>
  <si>
    <t>Uçucu Organik Madde Ölçümü (Ortam)</t>
  </si>
  <si>
    <t>Uçucu Organik Madde Ölçümü (Kişisel Maruziyet)</t>
  </si>
  <si>
    <t>Kimyasal Madde Ölçümü (Ortam)</t>
  </si>
  <si>
    <t>KİMYASAL MADDE VE UÇUCU ORGANİK MADDE ÖLÇÜMÜ (KİŞİSEL MARUZİYET)</t>
  </si>
  <si>
    <t>KİMYASAL MADDE VE UÇUCU ORGANİK MADDE ÖLÇÜMÜ (ORTAM)</t>
  </si>
  <si>
    <t>Asansörler</t>
  </si>
  <si>
    <t>Endüstriyel Raflar</t>
  </si>
  <si>
    <t>Yangın Pompaları</t>
  </si>
  <si>
    <t>Yangın Perdeleri</t>
  </si>
  <si>
    <t>Yangın Damperleri</t>
  </si>
  <si>
    <t>Yangın Merdiveni Basınçlandırma Fanları</t>
  </si>
  <si>
    <t>Yangın Paneli</t>
  </si>
  <si>
    <t>Duman Dedektörleri</t>
  </si>
  <si>
    <t>Isı Dedektörleri</t>
  </si>
  <si>
    <t>Multi Dedektörler</t>
  </si>
  <si>
    <t>Jeneratör Kontrolü</t>
  </si>
  <si>
    <t>Havalandırma Tesisatı</t>
  </si>
  <si>
    <t>Boyler</t>
  </si>
  <si>
    <t>Genleşme Tankları</t>
  </si>
  <si>
    <t>Likit Oksijen Tankı</t>
  </si>
  <si>
    <t>Otoklavlar</t>
  </si>
  <si>
    <t>Hava Tankları ve Kompresörler</t>
  </si>
  <si>
    <t>Hidrofor</t>
  </si>
  <si>
    <t>Endüstriyel Kapılar</t>
  </si>
  <si>
    <t>Forkliftler</t>
  </si>
  <si>
    <r>
      <rPr>
        <b/>
        <sz val="16"/>
        <color theme="1"/>
        <rFont val="Tahoma"/>
        <family val="2"/>
        <charset val="162"/>
      </rPr>
      <t xml:space="preserve">Sınır Değerler
Sıcaklık: </t>
    </r>
    <r>
      <rPr>
        <sz val="16"/>
        <color theme="1"/>
        <rFont val="Tahoma"/>
        <family val="2"/>
        <charset val="162"/>
      </rPr>
      <t xml:space="preserve">15-30 </t>
    </r>
    <r>
      <rPr>
        <vertAlign val="superscript"/>
        <sz val="16"/>
        <color theme="1"/>
        <rFont val="Tahoma"/>
        <family val="2"/>
        <charset val="162"/>
      </rPr>
      <t>o</t>
    </r>
    <r>
      <rPr>
        <sz val="16"/>
        <color theme="1"/>
        <rFont val="Tahoma"/>
        <family val="2"/>
        <charset val="162"/>
      </rPr>
      <t xml:space="preserve">C     </t>
    </r>
    <r>
      <rPr>
        <b/>
        <sz val="16"/>
        <color theme="1"/>
        <rFont val="Tahoma"/>
        <family val="2"/>
        <charset val="162"/>
      </rPr>
      <t xml:space="preserve">  
Nem:</t>
    </r>
    <r>
      <rPr>
        <sz val="16"/>
        <color theme="1"/>
        <rFont val="Tahoma"/>
        <family val="2"/>
        <charset val="162"/>
      </rPr>
      <t xml:space="preserve">30-60 %   </t>
    </r>
    <r>
      <rPr>
        <b/>
        <sz val="16"/>
        <color theme="1"/>
        <rFont val="Tahoma"/>
        <family val="2"/>
        <charset val="162"/>
      </rPr>
      <t xml:space="preserve">   
Hava Akım Hızı: </t>
    </r>
    <r>
      <rPr>
        <sz val="16"/>
        <color theme="1"/>
        <rFont val="Tahoma"/>
        <family val="2"/>
        <charset val="162"/>
      </rPr>
      <t>0,1-0,5 m/sn</t>
    </r>
  </si>
  <si>
    <t>İşe Giriş Muayenesi</t>
  </si>
  <si>
    <t>Periyodik Kontrol</t>
  </si>
  <si>
    <t>Açıklamalar:</t>
  </si>
  <si>
    <t>Ramak Kala Olay Sayısı</t>
  </si>
  <si>
    <t>Toplantılara Katılan Çalışan Temsilcisi Sayısı</t>
  </si>
  <si>
    <t>Toplantılara Katılan Alt İşveren Temsilci Sayısı</t>
  </si>
  <si>
    <t>Kayıp Gün Meydana Gelen Kaza Sayısı</t>
  </si>
  <si>
    <t>Kayıp Gün Meydana Gelmeyen Kaza Sayısı</t>
  </si>
  <si>
    <t>Meslek Hastalığı Sayısı</t>
  </si>
  <si>
    <t>Mesleki Hastalık Oranı</t>
  </si>
  <si>
    <t xml:space="preserve"> Kayıp Gün Oranı</t>
  </si>
  <si>
    <t>Kurul Kararlarının Kategori Bazlı Dağılımı</t>
  </si>
  <si>
    <r>
      <rPr>
        <b/>
        <sz val="16"/>
        <color theme="1"/>
        <rFont val="Tahoma"/>
        <family val="2"/>
        <charset val="162"/>
      </rPr>
      <t xml:space="preserve">En düşük maruziyet eylem değerleri: </t>
    </r>
    <r>
      <rPr>
        <sz val="16"/>
        <color theme="1"/>
        <rFont val="Tahoma"/>
        <family val="2"/>
        <charset val="162"/>
      </rPr>
      <t xml:space="preserve">80 dB(A)
</t>
    </r>
    <r>
      <rPr>
        <b/>
        <sz val="16"/>
        <color theme="1"/>
        <rFont val="Tahoma"/>
        <family val="2"/>
        <charset val="162"/>
      </rPr>
      <t xml:space="preserve">En yüksek maruziyet eylem değerleri: </t>
    </r>
    <r>
      <rPr>
        <sz val="16"/>
        <color theme="1"/>
        <rFont val="Tahoma"/>
        <family val="2"/>
        <charset val="162"/>
      </rPr>
      <t xml:space="preserve">85 dB(A)
</t>
    </r>
    <r>
      <rPr>
        <b/>
        <sz val="16"/>
        <color theme="1"/>
        <rFont val="Tahoma"/>
        <family val="2"/>
        <charset val="162"/>
      </rPr>
      <t>Maruziyet sınır değerleri:</t>
    </r>
    <r>
      <rPr>
        <sz val="16"/>
        <color theme="1"/>
        <rFont val="Tahoma"/>
        <family val="2"/>
        <charset val="162"/>
      </rPr>
      <t xml:space="preserve"> 87 dB(A)</t>
    </r>
  </si>
  <si>
    <r>
      <rPr>
        <b/>
        <sz val="16"/>
        <color theme="1"/>
        <rFont val="Tahoma"/>
        <family val="2"/>
        <charset val="162"/>
      </rPr>
      <t>*</t>
    </r>
    <r>
      <rPr>
        <sz val="16"/>
        <color theme="1"/>
        <rFont val="Tahoma"/>
        <family val="2"/>
        <charset val="162"/>
      </rPr>
      <t>Yenidoğan Yoğun Bakım Gürültü Düzeyi için aşağıdaki değerler referans alınmalıdır.</t>
    </r>
    <r>
      <rPr>
        <b/>
        <sz val="16"/>
        <color theme="1"/>
        <rFont val="Tahoma"/>
        <family val="2"/>
        <charset val="162"/>
      </rPr>
      <t xml:space="preserve">
Tavsiye edilen gürültü düzeyi: </t>
    </r>
    <r>
      <rPr>
        <sz val="16"/>
        <color theme="1"/>
        <rFont val="Tahoma"/>
        <family val="2"/>
        <charset val="162"/>
      </rPr>
      <t>45 dB(A) veya daha düşük.</t>
    </r>
    <r>
      <rPr>
        <b/>
        <sz val="16"/>
        <color theme="1"/>
        <rFont val="Tahoma"/>
        <family val="2"/>
        <charset val="162"/>
      </rPr>
      <t xml:space="preserve">
Kabul edilebilir gürültü düzeyi: </t>
    </r>
    <r>
      <rPr>
        <sz val="16"/>
        <color theme="1"/>
        <rFont val="Tahoma"/>
        <family val="2"/>
        <charset val="162"/>
      </rPr>
      <t>45</t>
    </r>
    <r>
      <rPr>
        <b/>
        <sz val="16"/>
        <color theme="1"/>
        <rFont val="Tahoma"/>
        <family val="2"/>
        <charset val="162"/>
      </rPr>
      <t xml:space="preserve"> </t>
    </r>
    <r>
      <rPr>
        <sz val="16"/>
        <color theme="1"/>
        <rFont val="Tahoma"/>
        <family val="2"/>
        <charset val="162"/>
      </rPr>
      <t xml:space="preserve">- 55 dB(A) 
</t>
    </r>
    <r>
      <rPr>
        <b/>
        <sz val="16"/>
        <color theme="1"/>
        <rFont val="Tahoma"/>
        <family val="2"/>
        <charset val="162"/>
      </rPr>
      <t>Gürültü düzeyi üst sınırı:</t>
    </r>
    <r>
      <rPr>
        <sz val="16"/>
        <color theme="1"/>
        <rFont val="Tahoma"/>
        <family val="2"/>
        <charset val="162"/>
      </rPr>
      <t xml:space="preserve"> 55 db(A)</t>
    </r>
  </si>
  <si>
    <t>Gerçekleşen Toplam Katılımcı Sayısı</t>
  </si>
  <si>
    <t>Planlanan Toplam Katılımcı Sayısı</t>
  </si>
  <si>
    <t>Devamsızlık Oranı (%)</t>
  </si>
  <si>
    <t>İŞ KAZALARI, MESLEK HASTALIKLARI ve RAMAK KALA OLAY İSTATİSTİKLERİ</t>
  </si>
  <si>
    <t>Olayın Kök Nedeni</t>
  </si>
  <si>
    <t>Evet</t>
  </si>
  <si>
    <t>Silahlı Saldırı</t>
  </si>
  <si>
    <t>Sigara</t>
  </si>
  <si>
    <t>Elektrikli el aletleri (Kettle, Kahve Makinesi vb.)</t>
  </si>
  <si>
    <t>Tehlikeli Madde Yayılımı</t>
  </si>
  <si>
    <t>Yapısal / İnşai nedenler</t>
  </si>
  <si>
    <t>Farkındalık Eksikliği</t>
  </si>
  <si>
    <t>Mekanik Ekipman Kaynaklı Nedenler</t>
  </si>
  <si>
    <t>Elektronik/ Elektromekanik Ekipman Kaynaklı Nedenler</t>
  </si>
  <si>
    <t>Medikal Cihaz Arızası</t>
  </si>
  <si>
    <t>Personel Eksikliği</t>
  </si>
  <si>
    <t>Personel Hatası</t>
  </si>
  <si>
    <t>Doğal Afet</t>
  </si>
  <si>
    <t>Gaz Kaçağı</t>
  </si>
  <si>
    <t>Olağan Dışı Olaylar</t>
  </si>
  <si>
    <t>Ekipman /Tesisat Sayısı</t>
  </si>
  <si>
    <t>Not</t>
  </si>
  <si>
    <t>Tatbikat Tarihi</t>
  </si>
  <si>
    <t>Planlanan Hedef Sayısı</t>
  </si>
  <si>
    <t>Ulaşılan Hedef Sayısı</t>
  </si>
  <si>
    <t>Başarı Oranı Oranı</t>
  </si>
  <si>
    <t>Deprem Tatbikatı</t>
  </si>
  <si>
    <t>Katılım Sağlayan 
Toplam Kişi Sayısı</t>
  </si>
  <si>
    <t>Ortalama/Toplam</t>
  </si>
  <si>
    <t>A Blok</t>
  </si>
  <si>
    <t>B Blok</t>
  </si>
  <si>
    <t>C Blok</t>
  </si>
  <si>
    <t>D Blok</t>
  </si>
  <si>
    <t>E Blok</t>
  </si>
  <si>
    <t>Yapı Kat Sayısı</t>
  </si>
  <si>
    <t>Tel ve Faks No / E-Posta</t>
  </si>
  <si>
    <r>
      <t>Toplam Kapalı Otopark Alanı (m</t>
    </r>
    <r>
      <rPr>
        <b/>
        <vertAlign val="superscript"/>
        <sz val="16"/>
        <color theme="1" tint="4.9989318521683403E-2"/>
        <rFont val="Tahoma"/>
        <family val="2"/>
        <charset val="162"/>
      </rPr>
      <t>2</t>
    </r>
    <r>
      <rPr>
        <b/>
        <sz val="16"/>
        <color theme="1" tint="4.9989318521683403E-2"/>
        <rFont val="Tahoma"/>
        <family val="2"/>
        <charset val="162"/>
      </rPr>
      <t>)</t>
    </r>
  </si>
  <si>
    <t>PERİYODİK KONTROLLER</t>
  </si>
  <si>
    <t>Genel Hastane</t>
  </si>
  <si>
    <t>Adres</t>
  </si>
  <si>
    <t xml:space="preserve"> SGK Sicil No</t>
  </si>
  <si>
    <t>Ticari Unvan</t>
  </si>
  <si>
    <t>Bina Toplam Kat Sayısı</t>
  </si>
  <si>
    <t xml:space="preserve">Notlar/Açıklamalar: </t>
  </si>
  <si>
    <t>Alarm Butonları</t>
  </si>
  <si>
    <t>Flaşörler</t>
  </si>
  <si>
    <t>Sirenler</t>
  </si>
  <si>
    <t>ÇALIŞAN SAYILARI ve DAĞILIMI</t>
  </si>
  <si>
    <t>Seyyar İskele</t>
  </si>
  <si>
    <t>Atık Su Tesisatı</t>
  </si>
  <si>
    <t>Topraklama Kontrolü</t>
  </si>
  <si>
    <t>Artık-Kaçak Akım Kontrolü</t>
  </si>
  <si>
    <t xml:space="preserve">Elektrik Panosu Görsel ve Fonks. Testleri </t>
  </si>
  <si>
    <t>Termografik Muayene</t>
  </si>
  <si>
    <t>UPS Kontrolü</t>
  </si>
  <si>
    <t>Vakum Tankları</t>
  </si>
  <si>
    <t>Sulu Söndürme Sistemleri Kontrolü</t>
  </si>
  <si>
    <t>Yangın Algılama ve Uyarı Sistemi Kontrolü</t>
  </si>
  <si>
    <t>Yangın Hattı Boru Tesisatı</t>
  </si>
  <si>
    <t>Yangın Hortum Dolapları</t>
  </si>
  <si>
    <t>Yağmurlama Sistemi</t>
  </si>
  <si>
    <t>Yangın Su Depoları</t>
  </si>
  <si>
    <t>Hidrant Sistemleri</t>
  </si>
  <si>
    <t>Sıcak Su Kazanları</t>
  </si>
  <si>
    <t>Yürüyen Merdivenler</t>
  </si>
  <si>
    <t>Transpaletler</t>
  </si>
  <si>
    <t>Diğer Yangın Sistemleri</t>
  </si>
  <si>
    <t>Duman Tahliye Sistemleri (Jet Fanlar)</t>
  </si>
  <si>
    <t>Otomatik Söndürme Sistemleri</t>
  </si>
  <si>
    <t>Kazalardan Etkilenen Toplam Çalışan Sayısı</t>
  </si>
  <si>
    <t>Kırmızı Kod</t>
  </si>
  <si>
    <t>Alt İşveren Çalışanları İşe Giriş ve Periyodik Muayene</t>
  </si>
  <si>
    <t>İlgili Dönemde İşe Giriş Yapan Çalışan Sayısı</t>
  </si>
  <si>
    <t>Kronik Hastalığı Olan Çalışan Sayısı</t>
  </si>
  <si>
    <t>Toplam Olağan Dışı Olay Sayısı</t>
  </si>
  <si>
    <r>
      <t xml:space="preserve">1) Ciddi Kaza Sayısı: </t>
    </r>
    <r>
      <rPr>
        <sz val="16"/>
        <color theme="1"/>
        <rFont val="Tahoma"/>
        <family val="2"/>
        <charset val="162"/>
      </rPr>
      <t xml:space="preserve">4 gün üzeri işgöremezlikle sonuçlanan kaza sayısını ifade eder.
</t>
    </r>
    <r>
      <rPr>
        <b/>
        <sz val="16"/>
        <color theme="1"/>
        <rFont val="Tahoma"/>
        <family val="2"/>
        <charset val="162"/>
      </rPr>
      <t xml:space="preserve">2) Kazalardan Etkilenen Toplam Çalışan Sayısı: </t>
    </r>
    <r>
      <rPr>
        <sz val="16"/>
        <color theme="1"/>
        <rFont val="Tahoma"/>
        <family val="2"/>
        <charset val="162"/>
      </rPr>
      <t>Kazadan doğrudan yada dolaylı olarak etkilenen toplam çalışan sayısını ifade eder.</t>
    </r>
    <r>
      <rPr>
        <b/>
        <sz val="16"/>
        <color theme="1"/>
        <rFont val="Tahoma"/>
        <family val="2"/>
        <charset val="162"/>
      </rPr>
      <t/>
    </r>
  </si>
  <si>
    <t>Eğitim Tamamlama Oranı</t>
  </si>
  <si>
    <t>MLPCARE Çalışan Sayısı ve Dağılımı</t>
  </si>
  <si>
    <t>MLPCARE İş Kazaları, Meslek Hastalıkları ve Ramak Kala Olaylar</t>
  </si>
  <si>
    <r>
      <rPr>
        <b/>
        <sz val="16"/>
        <color theme="9" tint="-0.249977111117893"/>
        <rFont val="Tahoma"/>
        <family val="2"/>
        <charset val="162"/>
      </rPr>
      <t>MLPCARE</t>
    </r>
    <r>
      <rPr>
        <b/>
        <sz val="16"/>
        <color theme="1"/>
        <rFont val="Tahoma"/>
        <family val="2"/>
        <charset val="162"/>
      </rPr>
      <t xml:space="preserve">
İş Sağlığı ve Güvenliği - İşe Başlama Eğitimi</t>
    </r>
  </si>
  <si>
    <r>
      <rPr>
        <b/>
        <sz val="16"/>
        <color theme="9" tint="-0.249977111117893"/>
        <rFont val="Tahoma"/>
        <family val="2"/>
        <charset val="162"/>
      </rPr>
      <t>MLPCARE</t>
    </r>
    <r>
      <rPr>
        <b/>
        <sz val="16"/>
        <color theme="1"/>
        <rFont val="Tahoma"/>
        <family val="2"/>
        <charset val="162"/>
      </rPr>
      <t xml:space="preserve">
Bölüm / Alan Değiştiren Personel Eğitimi</t>
    </r>
  </si>
  <si>
    <r>
      <rPr>
        <b/>
        <sz val="16"/>
        <color theme="9" tint="-0.249977111117893"/>
        <rFont val="Tahoma"/>
        <family val="2"/>
        <charset val="162"/>
      </rPr>
      <t>MLPCARE</t>
    </r>
    <r>
      <rPr>
        <b/>
        <sz val="16"/>
        <color theme="1"/>
        <rFont val="Tahoma"/>
        <family val="2"/>
        <charset val="162"/>
      </rPr>
      <t xml:space="preserve">
Yangın Güvenliği Eğitimi</t>
    </r>
  </si>
  <si>
    <r>
      <rPr>
        <b/>
        <sz val="16"/>
        <color theme="9" tint="-0.249977111117893"/>
        <rFont val="Tahoma"/>
        <family val="2"/>
        <charset val="162"/>
      </rPr>
      <t>MLPCARE</t>
    </r>
    <r>
      <rPr>
        <b/>
        <sz val="16"/>
        <color theme="1"/>
        <rFont val="Tahoma"/>
        <family val="2"/>
        <charset val="162"/>
      </rPr>
      <t xml:space="preserve">
Hastane Afet ve Acil Durum Yönetimi Eğitimi</t>
    </r>
  </si>
  <si>
    <r>
      <rPr>
        <b/>
        <sz val="16"/>
        <color theme="9" tint="-0.249977111117893"/>
        <rFont val="Tahoma"/>
        <family val="2"/>
        <charset val="162"/>
      </rPr>
      <t>MLPCARE</t>
    </r>
    <r>
      <rPr>
        <b/>
        <sz val="16"/>
        <color theme="1"/>
        <rFont val="Tahoma"/>
        <family val="2"/>
        <charset val="162"/>
      </rPr>
      <t xml:space="preserve">
Özel Politika Gerektiren Grupların Eğitimi</t>
    </r>
  </si>
  <si>
    <r>
      <rPr>
        <b/>
        <sz val="16"/>
        <color theme="9" tint="-0.249977111117893"/>
        <rFont val="Tahoma"/>
        <family val="2"/>
        <charset val="162"/>
      </rPr>
      <t>MLPCARE</t>
    </r>
    <r>
      <rPr>
        <b/>
        <sz val="16"/>
        <color theme="1"/>
        <rFont val="Tahoma"/>
        <family val="2"/>
        <charset val="162"/>
      </rPr>
      <t xml:space="preserve">
İş Kazası Sonrası Tekrar Eğitimi</t>
    </r>
  </si>
  <si>
    <r>
      <rPr>
        <b/>
        <sz val="16"/>
        <color theme="4"/>
        <rFont val="Tahoma"/>
        <family val="2"/>
        <charset val="162"/>
      </rPr>
      <t>Alt İşveren</t>
    </r>
    <r>
      <rPr>
        <b/>
        <sz val="16"/>
        <color theme="1"/>
        <rFont val="Tahoma"/>
        <family val="2"/>
        <charset val="162"/>
      </rPr>
      <t xml:space="preserve">
İş Sağlığı ve Güvenliği - İşe Başlama Eğitimi</t>
    </r>
  </si>
  <si>
    <r>
      <rPr>
        <b/>
        <sz val="16"/>
        <color theme="4"/>
        <rFont val="Tahoma"/>
        <family val="2"/>
        <charset val="162"/>
      </rPr>
      <t>Alt İşveren</t>
    </r>
    <r>
      <rPr>
        <b/>
        <sz val="16"/>
        <color theme="1"/>
        <rFont val="Tahoma"/>
        <family val="2"/>
        <charset val="162"/>
      </rPr>
      <t xml:space="preserve">
Bölüm / Alan Değiştiren Personel Eğitimi</t>
    </r>
  </si>
  <si>
    <r>
      <rPr>
        <b/>
        <sz val="16"/>
        <color theme="4"/>
        <rFont val="Tahoma"/>
        <family val="2"/>
        <charset val="162"/>
      </rPr>
      <t>Alt İşveren</t>
    </r>
    <r>
      <rPr>
        <b/>
        <sz val="16"/>
        <color theme="1"/>
        <rFont val="Tahoma"/>
        <family val="2"/>
        <charset val="162"/>
      </rPr>
      <t xml:space="preserve">
Yangın Güvenliği Eğitimi</t>
    </r>
  </si>
  <si>
    <r>
      <rPr>
        <b/>
        <sz val="16"/>
        <color theme="4"/>
        <rFont val="Tahoma"/>
        <family val="2"/>
        <charset val="162"/>
      </rPr>
      <t>Alt İşveren</t>
    </r>
    <r>
      <rPr>
        <b/>
        <sz val="16"/>
        <color theme="1"/>
        <rFont val="Tahoma"/>
        <family val="2"/>
        <charset val="162"/>
      </rPr>
      <t xml:space="preserve">
Hastane Afet ve Acil Durum Yönetimi Eğitimi</t>
    </r>
  </si>
  <si>
    <r>
      <rPr>
        <b/>
        <sz val="16"/>
        <color theme="4"/>
        <rFont val="Tahoma"/>
        <family val="2"/>
        <charset val="162"/>
      </rPr>
      <t>Alt İşveren</t>
    </r>
    <r>
      <rPr>
        <b/>
        <sz val="16"/>
        <color theme="1"/>
        <rFont val="Tahoma"/>
        <family val="2"/>
        <charset val="162"/>
      </rPr>
      <t xml:space="preserve">
Özel Politika Gerektiren Grupların Eğitimi</t>
    </r>
  </si>
  <si>
    <r>
      <rPr>
        <b/>
        <sz val="16"/>
        <color theme="4"/>
        <rFont val="Tahoma"/>
        <family val="2"/>
        <charset val="162"/>
      </rPr>
      <t>Alt İşveren</t>
    </r>
    <r>
      <rPr>
        <b/>
        <sz val="16"/>
        <color theme="1"/>
        <rFont val="Tahoma"/>
        <family val="2"/>
        <charset val="162"/>
      </rPr>
      <t xml:space="preserve">
İş Kazası Sonrası Tekrar Eğitimi</t>
    </r>
  </si>
  <si>
    <t>Yangın Ekipman -Sistem Tatbikatı</t>
  </si>
  <si>
    <t>Ekipman - Sistem Adı</t>
  </si>
  <si>
    <t>Katılması Planlanan Toplam Kişi Sayısı</t>
  </si>
  <si>
    <t>MLPCARE Çalışanları İşe Giriş ve Periyodik Muayene</t>
  </si>
  <si>
    <r>
      <t xml:space="preserve">İşe Giriş Muayenesi bölümü için doldurulacak alanlar şu şekildedir:
</t>
    </r>
    <r>
      <rPr>
        <b/>
        <sz val="16"/>
        <color theme="1"/>
        <rFont val="Tahoma"/>
        <family val="2"/>
        <charset val="162"/>
      </rPr>
      <t xml:space="preserve">1) </t>
    </r>
    <r>
      <rPr>
        <sz val="16"/>
        <color theme="1"/>
        <rFont val="Tahoma"/>
        <family val="2"/>
        <charset val="162"/>
      </rPr>
      <t xml:space="preserve">Bir önceki yıldan eksik kalan olan çalışanlar için "Önceki Dönemden Devreden İşe Giriş Muayenesi Gereken Çalışan Sayısı" bilgisi Ocak ayına girilmelidir.
</t>
    </r>
    <r>
      <rPr>
        <b/>
        <sz val="16"/>
        <color theme="1"/>
        <rFont val="Tahoma"/>
        <family val="2"/>
        <charset val="162"/>
      </rPr>
      <t>2)</t>
    </r>
    <r>
      <rPr>
        <sz val="16"/>
        <color theme="1"/>
        <rFont val="Tahoma"/>
        <family val="2"/>
        <charset val="162"/>
      </rPr>
      <t xml:space="preserve"> "İşe Giriş Muayenesi Yapılan Çalışan Sayısı" bilgisi tüm aylar için girilmelidir.</t>
    </r>
  </si>
  <si>
    <r>
      <t xml:space="preserve">Periyodik Kontrol bölümü için doldurulacak alanlar şu şekildedir:
</t>
    </r>
    <r>
      <rPr>
        <b/>
        <sz val="16"/>
        <color theme="1"/>
        <rFont val="Tahoma"/>
        <family val="2"/>
        <charset val="162"/>
      </rPr>
      <t>1)</t>
    </r>
    <r>
      <rPr>
        <sz val="16"/>
        <color theme="1"/>
        <rFont val="Tahoma"/>
        <family val="2"/>
        <charset val="162"/>
      </rPr>
      <t xml:space="preserve"> "İlgili Dönemde Periyodik Muayene Gereken Çalışan Sayısı" bilgisi tüm aylar için girilmelidir.
</t>
    </r>
    <r>
      <rPr>
        <b/>
        <sz val="16"/>
        <color theme="1"/>
        <rFont val="Tahoma"/>
        <family val="2"/>
        <charset val="162"/>
      </rPr>
      <t>2)</t>
    </r>
    <r>
      <rPr>
        <sz val="16"/>
        <color theme="1"/>
        <rFont val="Tahoma"/>
        <family val="2"/>
        <charset val="162"/>
      </rPr>
      <t xml:space="preserve"> Bir önceki yıldan eksik kalan olan çalışanlar için "Önceki Dönemden Devreden Periyodik Muayene Gereken Çalışan Sayısı" bilgisi Ocak ayına girilmelidir.
</t>
    </r>
    <r>
      <rPr>
        <b/>
        <sz val="16"/>
        <color theme="1"/>
        <rFont val="Tahoma"/>
        <family val="2"/>
        <charset val="162"/>
      </rPr>
      <t>3)</t>
    </r>
    <r>
      <rPr>
        <sz val="16"/>
        <color theme="1"/>
        <rFont val="Tahoma"/>
        <family val="2"/>
        <charset val="162"/>
      </rPr>
      <t xml:space="preserve"> "Periyodik Muayenesi Yapılan Çalışan Sayısı" bilgisi tüm aylar için girilmelidir.</t>
    </r>
  </si>
  <si>
    <t>Müdahale gerekti mi? Evetse müdahale saati?</t>
  </si>
  <si>
    <t>Olayın Kontrol Altına Alındığı Saat</t>
  </si>
  <si>
    <t>1 Saat</t>
  </si>
  <si>
    <r>
      <t xml:space="preserve">Tek bir bloktan oluşan hastaneler için yalnızca "Genel Hastane" satırı doldurulmalıdır. Birden çok bloktan oluşan hastaneler için toplam veriler "Genel Hastane" satırına, blok bazlı detaylar her blok için ilgili satırlara doldurulmalıdır.
Tanımlar:
1) Bina Kat Sayısı ve Bina Yüksekliği: </t>
    </r>
    <r>
      <rPr>
        <sz val="16"/>
        <color theme="1"/>
        <rFont val="Tahoma"/>
        <family val="2"/>
        <charset val="162"/>
      </rPr>
      <t>Binanın kot aldığı noktadan saçak seviyesine kadar olan katların toplamı ve bu katların toplam yüksekliğini ifade eder.</t>
    </r>
    <r>
      <rPr>
        <b/>
        <sz val="16"/>
        <color theme="1"/>
        <rFont val="Tahoma"/>
        <family val="2"/>
        <charset val="162"/>
      </rPr>
      <t xml:space="preserve">
2) Yapı Kat Sayısı ve Yapı Yüksekliği: </t>
    </r>
    <r>
      <rPr>
        <sz val="16"/>
        <color theme="1"/>
        <rFont val="Tahoma"/>
        <family val="2"/>
        <charset val="162"/>
      </rPr>
      <t>Bodrum katlar, asma katlar ve çatı arası piyesler dâhil olmak üzere, yapının inşa edilen bütün katları ve bu katların toplam yüksekliği ifade eder.</t>
    </r>
  </si>
  <si>
    <t>ONAYLI DEFTER</t>
  </si>
  <si>
    <t>Tarih</t>
  </si>
  <si>
    <t>Tespit / Öneri</t>
  </si>
  <si>
    <t>Tespit / Önerinin Kim Tarafından Yapıldığı</t>
  </si>
  <si>
    <t>İç Destek</t>
  </si>
  <si>
    <t>2026-01</t>
  </si>
  <si>
    <r>
      <t xml:space="preserve">MLPCARE </t>
    </r>
    <r>
      <rPr>
        <b/>
        <sz val="16"/>
        <color rgb="FFFF0000"/>
        <rFont val="Tahoma"/>
        <family val="2"/>
        <charset val="162"/>
      </rPr>
      <t>(Yalnızca Stajyerler</t>
    </r>
    <r>
      <rPr>
        <b/>
        <sz val="16"/>
        <color theme="1"/>
        <rFont val="Tahoma"/>
        <family val="2"/>
        <charset val="162"/>
      </rPr>
      <t>) İş Kazaları, Meslek Hastalıkları ve Ramak Kala Olaylar</t>
    </r>
  </si>
  <si>
    <t>Alt İşveren (Yemek, Temizlik, Güvenlik, Vale vb. tümü) İş Kazaları, Meslek Hastalıkları ve Ramak Kala Olaylar</t>
  </si>
  <si>
    <t>2026-02</t>
  </si>
  <si>
    <t>2026-03</t>
  </si>
  <si>
    <t>2026-04</t>
  </si>
  <si>
    <t>2026-05</t>
  </si>
  <si>
    <t>2026-06</t>
  </si>
  <si>
    <t>2026-07</t>
  </si>
  <si>
    <t>2026-08</t>
  </si>
  <si>
    <t>2026-09</t>
  </si>
  <si>
    <t>2026-10</t>
  </si>
  <si>
    <t>2026-11</t>
  </si>
  <si>
    <t>2026-12</t>
  </si>
  <si>
    <t>2026-13</t>
  </si>
  <si>
    <t>2026-14</t>
  </si>
  <si>
    <t>2026-15</t>
  </si>
  <si>
    <t>2026-16</t>
  </si>
  <si>
    <t>2026-17</t>
  </si>
  <si>
    <t>2026-18</t>
  </si>
  <si>
    <t>2026-19</t>
  </si>
  <si>
    <t>2026-20</t>
  </si>
  <si>
    <t>2026-21</t>
  </si>
  <si>
    <t>2026-22</t>
  </si>
  <si>
    <t>2026-23</t>
  </si>
  <si>
    <t>2026-24</t>
  </si>
  <si>
    <t>2026-25</t>
  </si>
  <si>
    <t>2026-26</t>
  </si>
  <si>
    <t>2026-27</t>
  </si>
  <si>
    <t>2026-28</t>
  </si>
  <si>
    <t>2026-29</t>
  </si>
  <si>
    <t>2026-30</t>
  </si>
  <si>
    <t>Topkapı Liv Hospital</t>
  </si>
  <si>
    <t>İstinye Üniversitesi Sağlık Uygulama ver Araştırma Merkezi Topkapı Ek Bina</t>
  </si>
  <si>
    <t>Maltepe Mahaallesi Edirne Çırpıcı yolu sokak No:9 Zeytinburnu İstanbul</t>
  </si>
  <si>
    <t>86.10.13</t>
  </si>
  <si>
    <t>0212 880 00 00 metin.salik@isu.edu.tr</t>
  </si>
  <si>
    <t>İlgili Kategori</t>
  </si>
  <si>
    <t>Oluşturulan Acil Durum Ekiplerinin ilgili yerlerden (İtfaiye ve İlkyardım eğitim merkezi) eğitim alması için planlanma yapılmasına karar verilmiştir.</t>
  </si>
  <si>
    <t>İnsan Kaynakları Müdürlüğü</t>
  </si>
  <si>
    <t>Devam Ediyor</t>
  </si>
  <si>
    <t>Ekip sayıları belirlenmiştir. Yedekleri ile birlikte belirlenip ona göre itfaiye ve ilgili kurumlardan eğitim için randevu ve planlama yapılacaktır.</t>
  </si>
  <si>
    <t xml:space="preserve">Tıbbi Atık, Tehlikeli Atık alanlarında soğuk hava depoları ve konteyner içinde acil durum butonu ve ikaz sireni takılı değildir. Bu alanların uygun şekilde acil durum butonu ve ikaz sireni takılmasına karar verilmiştir. </t>
  </si>
  <si>
    <t>Teknik Hizmetleri Müdürlüğü
İdari ve Destek Hizmetler Müdürlüğü</t>
  </si>
  <si>
    <t>Başlamadı</t>
  </si>
  <si>
    <t>Tıbbi atık ve tehlikeli atık alanlarında acil durum butonu ve ikaz sireni takılı değildir.</t>
  </si>
  <si>
    <t>Laboratuvar alanında yer alan Göz duşu ve duş alanı takılı ama altyapı olarak gerekli düzenleme yapılmamıştır.</t>
  </si>
  <si>
    <t>Teknik Hizmetler Müdürlüğü</t>
  </si>
  <si>
    <t>Göz duşu ve duş alanı takılmıştır ama gider hattı çalışması için altyapı çalışması yapılması gerekmektedir.</t>
  </si>
  <si>
    <t>KBRN ünitesi Acil girişi için düzenlenmiştir, fakat ilgili alanda duş başlıkları ve gider hattı gibi altyapı çalışması tamamlanmıştır. İlgili alan aktif hale getirilmesi için karar verilmiştir.</t>
  </si>
  <si>
    <t>KBRN ünitesinde eksiklikler İnşaat firması ile görüşülerek tamamlanması sağlanmalıdır.</t>
  </si>
  <si>
    <t>Personeller için Sigara içme alanın belirlenmesine karar verilmiştir. Belirtilen yerler ( Personel giriş alanı yanı ve çardak bölümü) için yerinde tespit yapılarak karar verilmesi uygun bulunmuştur.</t>
  </si>
  <si>
    <t>Genel Müd. Yrd.
Teknik Hizmetler Müdürlüğü</t>
  </si>
  <si>
    <t>İlgili alanlar gezilmiş ve karar için üst yönetimin onayı beklenmektedir.</t>
  </si>
  <si>
    <t>11.12.2025 tarihinde yapılmış olan Yangın denetimi raporu değerlendirilmiş olup. Bununla ilgili olarak ayrı bir rapor hazırlanmasına karar verilmiştir. Bu raporda ilgili tüm eksiklikler o rapor için tek tek takip edilecektir.</t>
  </si>
  <si>
    <t>Teknik Hizmetler Müdürlüğü
Üst Yönetim</t>
  </si>
  <si>
    <t>Denetim sonucunda tespit edilen tüm eksikliklerle ilgili olarak aksiyon planları hazırlanıp süreçlerle ilgili bilgilendirme alınacaktır.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</si>
</sst>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3" formatCode="_-* #,##0.00_-;\-* #,##0.00_-;_-* &quot;-&quot;??_-;_-@_-"/>
    <numFmt numFmtId="164" formatCode="_-* #,##0.00\ _₺_-;\-* #,##0.00\ _₺_-;_-* &quot;-&quot;??\ _₺_-;_-@_-"/>
    <numFmt numFmtId="165" formatCode="00000"/>
    <numFmt numFmtId="166" formatCode="0.0"/>
    <numFmt numFmtId="167" formatCode="[$-F400]h:mm:ss\ AM/PM"/>
  </numFmts>
  <fonts count="31" x14ac:knownFonts="1">
    <font>
      <sz val="11"/>
      <color theme="1"/>
      <name val="Century Gothic"/>
      <family val="2"/>
      <charset val="162"/>
      <scheme val="minor"/>
    </font>
    <font>
      <sz val="10"/>
      <name val="Arial Tur"/>
      <charset val="162"/>
    </font>
    <font>
      <u/>
      <sz val="10"/>
      <color indexed="12"/>
      <name val="Arial Tur"/>
      <charset val="162"/>
    </font>
    <font>
      <sz val="11"/>
      <color theme="1"/>
      <name val="Century Gothic"/>
      <family val="2"/>
      <charset val="162"/>
      <scheme val="minor"/>
    </font>
    <font>
      <sz val="16"/>
      <color theme="1"/>
      <name val="Century Gothic"/>
      <family val="2"/>
      <charset val="162"/>
      <scheme val="minor"/>
    </font>
    <font>
      <sz val="16"/>
      <color theme="1"/>
      <name val="Tahoma"/>
      <family val="2"/>
      <charset val="162"/>
    </font>
    <font>
      <b/>
      <sz val="16"/>
      <color theme="1"/>
      <name val="Tahoma"/>
      <family val="2"/>
      <charset val="162"/>
    </font>
    <font>
      <b/>
      <sz val="16"/>
      <color theme="1" tint="4.9989318521683403E-2"/>
      <name val="Tahoma"/>
      <family val="2"/>
      <charset val="162"/>
    </font>
    <font>
      <sz val="16"/>
      <color theme="1"/>
      <name val="Times New Roman"/>
      <family val="1"/>
      <charset val="162"/>
    </font>
    <font>
      <sz val="16"/>
      <name val="Tahoma"/>
      <family val="2"/>
      <charset val="162"/>
    </font>
    <font>
      <b/>
      <sz val="16"/>
      <color theme="0"/>
      <name val="Tahoma"/>
      <family val="2"/>
      <charset val="162"/>
    </font>
    <font>
      <b/>
      <sz val="16"/>
      <color rgb="FFFF0000"/>
      <name val="Tahoma"/>
      <family val="2"/>
      <charset val="162"/>
    </font>
    <font>
      <b/>
      <vertAlign val="superscript"/>
      <sz val="16"/>
      <color theme="1"/>
      <name val="Tahoma"/>
      <family val="2"/>
      <charset val="162"/>
    </font>
    <font>
      <vertAlign val="superscript"/>
      <sz val="16"/>
      <color theme="1"/>
      <name val="Tahoma"/>
      <family val="2"/>
      <charset val="162"/>
    </font>
    <font>
      <sz val="14"/>
      <color indexed="81"/>
      <name val="Tahoma"/>
      <family val="2"/>
      <charset val="162"/>
    </font>
    <font>
      <b/>
      <sz val="16"/>
      <name val="Tahoma"/>
      <family val="2"/>
      <charset val="162"/>
    </font>
    <font>
      <sz val="10"/>
      <name val="Arial"/>
      <family val="2"/>
      <charset val="162"/>
    </font>
    <font>
      <sz val="10"/>
      <color theme="1" tint="0.34998626667073579"/>
      <name val="Century Gothic"/>
      <family val="2"/>
      <scheme val="minor"/>
    </font>
    <font>
      <b/>
      <sz val="100"/>
      <color theme="3"/>
      <name val="Century Gothic"/>
      <family val="2"/>
      <scheme val="major"/>
    </font>
    <font>
      <b/>
      <sz val="20"/>
      <color theme="4"/>
      <name val="Century Gothic"/>
      <family val="2"/>
      <scheme val="major"/>
    </font>
    <font>
      <sz val="10"/>
      <color theme="3"/>
      <name val="Century Gothic"/>
      <family val="2"/>
      <scheme val="major"/>
    </font>
    <font>
      <b/>
      <sz val="11"/>
      <color theme="3"/>
      <name val="Century Gothic"/>
      <family val="2"/>
      <scheme val="major"/>
    </font>
    <font>
      <b/>
      <vertAlign val="superscript"/>
      <sz val="16"/>
      <color theme="1" tint="4.9989318521683403E-2"/>
      <name val="Tahoma"/>
      <family val="2"/>
      <charset val="162"/>
    </font>
    <font>
      <sz val="9"/>
      <color theme="1"/>
      <name val="Tahoma"/>
      <family val="2"/>
      <charset val="162"/>
    </font>
    <font>
      <sz val="16"/>
      <color rgb="FF000000"/>
      <name val="Tahoma"/>
      <family val="2"/>
      <charset val="162"/>
    </font>
    <font>
      <b/>
      <sz val="9"/>
      <color theme="1"/>
      <name val="Tahoma"/>
      <family val="2"/>
      <charset val="162"/>
    </font>
    <font>
      <b/>
      <sz val="10"/>
      <color theme="1"/>
      <name val="Tahoma"/>
      <family val="2"/>
      <charset val="162"/>
    </font>
    <font>
      <b/>
      <sz val="20"/>
      <color theme="0"/>
      <name val="Tahoma"/>
      <family val="2"/>
      <charset val="162"/>
    </font>
    <font>
      <b/>
      <sz val="18"/>
      <color theme="1"/>
      <name val="Tahoma"/>
      <family val="2"/>
      <charset val="162"/>
    </font>
    <font>
      <b/>
      <sz val="16"/>
      <color theme="4"/>
      <name val="Tahoma"/>
      <family val="2"/>
      <charset val="162"/>
    </font>
    <font>
      <b/>
      <sz val="16"/>
      <color theme="9" tint="-0.249977111117893"/>
      <name val="Tahoma"/>
      <family val="2"/>
      <charset val="162"/>
    </font>
  </fonts>
  <fills count="26">
    <fill>
      <patternFill patternType="none"/>
    </fill>
    <fill>
      <patternFill patternType="gray125"/>
    </fill>
    <fill>
      <patternFill patternType="solid">
        <fgColor theme="0"/>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theme="5"/>
        <bgColor indexed="64"/>
      </patternFill>
    </fill>
    <fill>
      <patternFill patternType="solid">
        <fgColor theme="9"/>
        <bgColor indexed="64"/>
      </patternFill>
    </fill>
    <fill>
      <patternFill patternType="solid">
        <fgColor theme="8"/>
        <bgColor indexed="64"/>
      </patternFill>
    </fill>
    <fill>
      <patternFill patternType="solid">
        <fgColor theme="6"/>
        <bgColor indexed="64"/>
      </patternFill>
    </fill>
    <fill>
      <patternFill patternType="solid">
        <fgColor theme="4"/>
        <bgColor indexed="64"/>
      </patternFill>
    </fill>
    <fill>
      <patternFill patternType="solid">
        <fgColor theme="4" tint="0.59999389629810485"/>
        <bgColor indexed="64"/>
      </patternFill>
    </fill>
    <fill>
      <patternFill patternType="solid">
        <fgColor theme="8" tint="0.59999389629810485"/>
        <bgColor indexed="64"/>
      </patternFill>
    </fill>
    <fill>
      <patternFill patternType="solid">
        <fgColor theme="3"/>
        <bgColor indexed="64"/>
      </patternFill>
    </fill>
    <fill>
      <patternFill patternType="solid">
        <fgColor theme="3" tint="0.79998168889431442"/>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8" tint="0.39997558519241921"/>
        <bgColor indexed="64"/>
      </patternFill>
    </fill>
    <fill>
      <patternFill patternType="solid">
        <fgColor theme="6" tint="0.39997558519241921"/>
        <bgColor indexed="64"/>
      </patternFill>
    </fill>
    <fill>
      <patternFill patternType="solid">
        <fgColor theme="5" tint="0.59999389629810485"/>
        <bgColor indexed="64"/>
      </patternFill>
    </fill>
    <fill>
      <patternFill patternType="solid">
        <fgColor theme="2"/>
        <bgColor indexed="64"/>
      </patternFill>
    </fill>
    <fill>
      <patternFill patternType="solid">
        <fgColor rgb="FF525963"/>
        <bgColor indexed="64"/>
      </patternFill>
    </fill>
  </fills>
  <borders count="85">
    <border>
      <left/>
      <right/>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style="medium">
        <color indexed="64"/>
      </right>
      <top/>
      <bottom/>
      <diagonal/>
    </border>
    <border>
      <left/>
      <right/>
      <top/>
      <bottom style="thin">
        <color indexed="64"/>
      </bottom>
      <diagonal/>
    </border>
    <border>
      <left/>
      <right style="medium">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dashed">
        <color indexed="64"/>
      </left>
      <right style="dashed">
        <color indexed="64"/>
      </right>
      <top style="dashed">
        <color indexed="64"/>
      </top>
      <bottom style="dashed">
        <color indexed="64"/>
      </bottom>
      <diagonal/>
    </border>
    <border>
      <left/>
      <right/>
      <top style="thin">
        <color indexed="64"/>
      </top>
      <bottom style="thin">
        <color indexed="64"/>
      </bottom>
      <diagonal/>
    </border>
    <border>
      <left style="thin">
        <color indexed="64"/>
      </left>
      <right style="thin">
        <color indexed="64"/>
      </right>
      <top style="thin">
        <color indexed="64"/>
      </top>
      <bottom style="dashed">
        <color indexed="64"/>
      </bottom>
      <diagonal/>
    </border>
    <border>
      <left style="thin">
        <color indexed="64"/>
      </left>
      <right style="thin">
        <color indexed="64"/>
      </right>
      <top style="dashed">
        <color indexed="64"/>
      </top>
      <bottom style="dashed">
        <color indexed="64"/>
      </bottom>
      <diagonal/>
    </border>
    <border>
      <left style="thin">
        <color indexed="64"/>
      </left>
      <right style="thin">
        <color indexed="64"/>
      </right>
      <top style="dashed">
        <color indexed="64"/>
      </top>
      <bottom style="thin">
        <color indexed="64"/>
      </bottom>
      <diagonal/>
    </border>
    <border>
      <left style="thin">
        <color indexed="64"/>
      </left>
      <right/>
      <top style="thin">
        <color indexed="64"/>
      </top>
      <bottom style="dashed">
        <color indexed="64"/>
      </bottom>
      <diagonal/>
    </border>
    <border>
      <left style="dashed">
        <color indexed="64"/>
      </left>
      <right style="thin">
        <color indexed="64"/>
      </right>
      <top style="dashed">
        <color indexed="64"/>
      </top>
      <bottom style="dashed">
        <color indexed="64"/>
      </bottom>
      <diagonal/>
    </border>
    <border>
      <left style="dashed">
        <color indexed="64"/>
      </left>
      <right style="dashed">
        <color indexed="64"/>
      </right>
      <top style="dashed">
        <color indexed="64"/>
      </top>
      <bottom style="thin">
        <color indexed="64"/>
      </bottom>
      <diagonal/>
    </border>
    <border>
      <left style="dashed">
        <color indexed="64"/>
      </left>
      <right style="thin">
        <color indexed="64"/>
      </right>
      <top style="dashed">
        <color indexed="64"/>
      </top>
      <bottom style="thin">
        <color indexed="64"/>
      </bottom>
      <diagonal/>
    </border>
    <border>
      <left style="thin">
        <color indexed="64"/>
      </left>
      <right style="dashed">
        <color indexed="64"/>
      </right>
      <top style="dashed">
        <color indexed="64"/>
      </top>
      <bottom style="dashed">
        <color indexed="64"/>
      </bottom>
      <diagonal/>
    </border>
    <border>
      <left style="thin">
        <color indexed="64"/>
      </left>
      <right style="dashed">
        <color indexed="64"/>
      </right>
      <top style="dashed">
        <color indexed="64"/>
      </top>
      <bottom style="thin">
        <color indexed="64"/>
      </bottom>
      <diagonal/>
    </border>
    <border>
      <left/>
      <right style="thin">
        <color indexed="64"/>
      </right>
      <top style="dashed">
        <color indexed="64"/>
      </top>
      <bottom style="dashed">
        <color indexed="64"/>
      </bottom>
      <diagonal/>
    </border>
    <border>
      <left style="dashed">
        <color indexed="64"/>
      </left>
      <right style="dashed">
        <color indexed="64"/>
      </right>
      <top style="thin">
        <color indexed="64"/>
      </top>
      <bottom style="dashed">
        <color indexed="64"/>
      </bottom>
      <diagonal/>
    </border>
    <border>
      <left style="dashed">
        <color indexed="64"/>
      </left>
      <right style="thin">
        <color indexed="64"/>
      </right>
      <top style="thin">
        <color indexed="64"/>
      </top>
      <bottom style="dashed">
        <color indexed="64"/>
      </bottom>
      <diagonal/>
    </border>
    <border>
      <left/>
      <right style="thin">
        <color indexed="64"/>
      </right>
      <top style="thin">
        <color indexed="64"/>
      </top>
      <bottom style="dashed">
        <color indexed="64"/>
      </bottom>
      <diagonal/>
    </border>
    <border>
      <left/>
      <right style="thin">
        <color indexed="64"/>
      </right>
      <top style="dashed">
        <color indexed="64"/>
      </top>
      <bottom style="thin">
        <color indexed="64"/>
      </bottom>
      <diagonal/>
    </border>
    <border>
      <left style="thin">
        <color indexed="64"/>
      </left>
      <right style="dashed">
        <color indexed="64"/>
      </right>
      <top style="thin">
        <color indexed="64"/>
      </top>
      <bottom style="dashed">
        <color indexed="64"/>
      </bottom>
      <diagonal/>
    </border>
    <border>
      <left style="thin">
        <color indexed="64"/>
      </left>
      <right/>
      <top style="dashed">
        <color indexed="64"/>
      </top>
      <bottom style="dashed">
        <color indexed="64"/>
      </bottom>
      <diagonal/>
    </border>
    <border>
      <left style="thin">
        <color indexed="64"/>
      </left>
      <right/>
      <top style="dashed">
        <color indexed="64"/>
      </top>
      <bottom style="thin">
        <color indexed="64"/>
      </bottom>
      <diagonal/>
    </border>
    <border>
      <left style="dashed">
        <color indexed="64"/>
      </left>
      <right/>
      <top style="thin">
        <color indexed="64"/>
      </top>
      <bottom style="dashed">
        <color indexed="64"/>
      </bottom>
      <diagonal/>
    </border>
    <border>
      <left style="dashed">
        <color indexed="64"/>
      </left>
      <right/>
      <top style="dashed">
        <color indexed="64"/>
      </top>
      <bottom style="dashed">
        <color indexed="64"/>
      </bottom>
      <diagonal/>
    </border>
    <border>
      <left/>
      <right style="dashed">
        <color indexed="64"/>
      </right>
      <top style="dashed">
        <color indexed="64"/>
      </top>
      <bottom style="dashed">
        <color indexed="64"/>
      </bottom>
      <diagonal/>
    </border>
    <border>
      <left/>
      <right style="dashed">
        <color indexed="64"/>
      </right>
      <top style="thin">
        <color indexed="64"/>
      </top>
      <bottom style="dashed">
        <color indexed="64"/>
      </bottom>
      <diagonal/>
    </border>
    <border>
      <left style="dashed">
        <color indexed="64"/>
      </left>
      <right/>
      <top style="dashed">
        <color indexed="64"/>
      </top>
      <bottom style="thin">
        <color indexed="64"/>
      </bottom>
      <diagonal/>
    </border>
    <border>
      <left/>
      <right/>
      <top style="thin">
        <color indexed="64"/>
      </top>
      <bottom style="dashed">
        <color indexed="64"/>
      </bottom>
      <diagonal/>
    </border>
    <border>
      <left/>
      <right/>
      <top style="dashed">
        <color indexed="64"/>
      </top>
      <bottom style="dashed">
        <color indexed="64"/>
      </bottom>
      <diagonal/>
    </border>
    <border>
      <left/>
      <right/>
      <top style="dashed">
        <color indexed="64"/>
      </top>
      <bottom style="thin">
        <color indexed="64"/>
      </bottom>
      <diagonal/>
    </border>
    <border>
      <left style="thin">
        <color indexed="64"/>
      </left>
      <right style="thin">
        <color indexed="64"/>
      </right>
      <top/>
      <bottom style="dashed">
        <color indexed="64"/>
      </bottom>
      <diagonal/>
    </border>
    <border>
      <left/>
      <right/>
      <top/>
      <bottom style="thick">
        <color theme="3"/>
      </bottom>
      <diagonal/>
    </border>
    <border>
      <left/>
      <right/>
      <top style="dotted">
        <color theme="4"/>
      </top>
      <bottom style="thick">
        <color theme="3"/>
      </bottom>
      <diagonal/>
    </border>
    <border>
      <left style="medium">
        <color indexed="64"/>
      </left>
      <right style="thin">
        <color indexed="64"/>
      </right>
      <top style="medium">
        <color indexed="64"/>
      </top>
      <bottom/>
      <diagonal/>
    </border>
    <border>
      <left style="thin">
        <color indexed="64"/>
      </left>
      <right/>
      <top style="medium">
        <color indexed="64"/>
      </top>
      <bottom style="dashed">
        <color indexed="64"/>
      </bottom>
      <diagonal/>
    </border>
    <border>
      <left/>
      <right style="thin">
        <color indexed="64"/>
      </right>
      <top style="medium">
        <color indexed="64"/>
      </top>
      <bottom style="dashed">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top style="dashed">
        <color indexed="64"/>
      </top>
      <bottom style="medium">
        <color indexed="64"/>
      </bottom>
      <diagonal/>
    </border>
    <border>
      <left/>
      <right style="thin">
        <color indexed="64"/>
      </right>
      <top style="dashed">
        <color indexed="64"/>
      </top>
      <bottom style="medium">
        <color indexed="64"/>
      </bottom>
      <diagonal/>
    </border>
    <border>
      <left style="thin">
        <color indexed="64"/>
      </left>
      <right/>
      <top style="dashed">
        <color indexed="64"/>
      </top>
      <bottom/>
      <diagonal/>
    </border>
    <border>
      <left/>
      <right style="thin">
        <color indexed="64"/>
      </right>
      <top style="dashed">
        <color indexed="64"/>
      </top>
      <bottom/>
      <diagonal/>
    </border>
    <border>
      <left style="thin">
        <color indexed="64"/>
      </left>
      <right/>
      <top/>
      <bottom style="medium">
        <color indexed="64"/>
      </bottom>
      <diagonal/>
    </border>
    <border>
      <left/>
      <right style="thin">
        <color indexed="64"/>
      </right>
      <top/>
      <bottom style="medium">
        <color indexed="64"/>
      </bottom>
      <diagonal/>
    </border>
    <border>
      <left/>
      <right/>
      <top style="dashed">
        <color indexed="64"/>
      </top>
      <bottom/>
      <diagonal/>
    </border>
    <border>
      <left/>
      <right style="medium">
        <color indexed="64"/>
      </right>
      <top style="medium">
        <color indexed="64"/>
      </top>
      <bottom style="dashed">
        <color indexed="64"/>
      </bottom>
      <diagonal/>
    </border>
    <border>
      <left/>
      <right style="medium">
        <color indexed="64"/>
      </right>
      <top style="dashed">
        <color indexed="64"/>
      </top>
      <bottom/>
      <diagonal/>
    </border>
    <border>
      <left style="thin">
        <color indexed="64"/>
      </left>
      <right style="dashed">
        <color indexed="64"/>
      </right>
      <top style="dashed">
        <color indexed="64"/>
      </top>
      <bottom style="medium">
        <color indexed="64"/>
      </bottom>
      <diagonal/>
    </border>
    <border>
      <left/>
      <right/>
      <top style="medium">
        <color indexed="64"/>
      </top>
      <bottom style="dashed">
        <color indexed="64"/>
      </bottom>
      <diagonal/>
    </border>
    <border>
      <left/>
      <right style="medium">
        <color indexed="64"/>
      </right>
      <top style="thin">
        <color indexed="64"/>
      </top>
      <bottom style="dashed">
        <color indexed="64"/>
      </bottom>
      <diagonal/>
    </border>
    <border>
      <left style="thin">
        <color indexed="64"/>
      </left>
      <right style="dashed">
        <color indexed="64"/>
      </right>
      <top/>
      <bottom style="dashed">
        <color indexed="64"/>
      </bottom>
      <diagonal/>
    </border>
    <border>
      <left style="dashed">
        <color indexed="64"/>
      </left>
      <right style="dashed">
        <color indexed="64"/>
      </right>
      <top/>
      <bottom style="dashed">
        <color indexed="64"/>
      </bottom>
      <diagonal/>
    </border>
    <border>
      <left style="thin">
        <color indexed="64"/>
      </left>
      <right/>
      <top/>
      <bottom style="dashed">
        <color indexed="64"/>
      </bottom>
      <diagonal/>
    </border>
    <border>
      <left/>
      <right style="thin">
        <color indexed="64"/>
      </right>
      <top/>
      <bottom style="dashed">
        <color indexed="64"/>
      </bottom>
      <diagonal/>
    </border>
    <border>
      <left/>
      <right style="dashed">
        <color indexed="64"/>
      </right>
      <top style="thin">
        <color indexed="64"/>
      </top>
      <bottom style="thin">
        <color indexed="64"/>
      </bottom>
      <diagonal/>
    </border>
    <border>
      <left style="thin">
        <color indexed="64"/>
      </left>
      <right style="dashed">
        <color indexed="64"/>
      </right>
      <top style="thin">
        <color indexed="64"/>
      </top>
      <bottom style="thin">
        <color indexed="64"/>
      </bottom>
      <diagonal/>
    </border>
    <border>
      <left style="thin">
        <color indexed="64"/>
      </left>
      <right style="dashed">
        <color indexed="64"/>
      </right>
      <top style="thin">
        <color indexed="64"/>
      </top>
      <bottom/>
      <diagonal/>
    </border>
    <border>
      <left style="thin">
        <color indexed="64"/>
      </left>
      <right style="dashed">
        <color indexed="64"/>
      </right>
      <top/>
      <bottom style="thin">
        <color indexed="64"/>
      </bottom>
      <diagonal/>
    </border>
    <border>
      <left style="dashed">
        <color indexed="64"/>
      </left>
      <right style="thin">
        <color indexed="64"/>
      </right>
      <top style="thin">
        <color indexed="64"/>
      </top>
      <bottom style="thin">
        <color indexed="64"/>
      </bottom>
      <diagonal/>
    </border>
    <border>
      <left style="dashed">
        <color indexed="64"/>
      </left>
      <right style="thin">
        <color indexed="64"/>
      </right>
      <top style="thin">
        <color indexed="64"/>
      </top>
      <bottom/>
      <diagonal/>
    </border>
    <border>
      <left style="dashed">
        <color indexed="64"/>
      </left>
      <right style="thin">
        <color indexed="64"/>
      </right>
      <top/>
      <bottom style="thin">
        <color indexed="64"/>
      </bottom>
      <diagonal/>
    </border>
    <border>
      <left style="dashed">
        <color indexed="64"/>
      </left>
      <right/>
      <top style="thin">
        <color indexed="64"/>
      </top>
      <bottom/>
      <diagonal/>
    </border>
    <border>
      <left style="dashed">
        <color indexed="64"/>
      </left>
      <right/>
      <top/>
      <bottom style="thin">
        <color indexed="64"/>
      </bottom>
      <diagonal/>
    </border>
    <border>
      <left style="dashed">
        <color indexed="64"/>
      </left>
      <right/>
      <top style="thin">
        <color indexed="64"/>
      </top>
      <bottom style="thin">
        <color indexed="64"/>
      </bottom>
      <diagonal/>
    </border>
    <border>
      <left style="dashed">
        <color indexed="64"/>
      </left>
      <right style="dashed">
        <color indexed="64"/>
      </right>
      <top/>
      <bottom style="thin">
        <color indexed="64"/>
      </bottom>
      <diagonal/>
    </border>
    <border>
      <left style="dashed">
        <color indexed="64"/>
      </left>
      <right style="dashed">
        <color indexed="64"/>
      </right>
      <top style="thin">
        <color indexed="64"/>
      </top>
      <bottom/>
      <diagonal/>
    </border>
    <border>
      <left style="dashed">
        <color indexed="64"/>
      </left>
      <right style="dashed">
        <color indexed="64"/>
      </right>
      <top style="thin">
        <color indexed="64"/>
      </top>
      <bottom style="thin">
        <color indexed="64"/>
      </bottom>
      <diagonal/>
    </border>
    <border>
      <left style="dashed">
        <color indexed="64"/>
      </left>
      <right/>
      <top/>
      <bottom style="dashed">
        <color indexed="64"/>
      </bottom>
      <diagonal/>
    </border>
    <border>
      <left style="dashed">
        <color indexed="64"/>
      </left>
      <right style="thin">
        <color indexed="64"/>
      </right>
      <top/>
      <bottom style="dashed">
        <color indexed="64"/>
      </bottom>
      <diagonal/>
    </border>
  </borders>
  <cellStyleXfs count="12">
    <xf numFmtId="0" fontId="0" fillId="0" borderId="0"/>
    <xf numFmtId="0" fontId="1" fillId="0" borderId="0"/>
    <xf numFmtId="0" fontId="2" fillId="0" borderId="0" applyNumberFormat="0" applyFill="0" applyBorder="0" applyAlignment="0" applyProtection="0">
      <alignment vertical="top"/>
      <protection locked="0"/>
    </xf>
    <xf numFmtId="164" fontId="3"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16" fillId="0" borderId="0"/>
    <xf numFmtId="0" fontId="17" fillId="24" borderId="0">
      <alignment vertical="center"/>
    </xf>
    <xf numFmtId="0" fontId="19" fillId="24" borderId="47" applyNumberFormat="0" applyProtection="0">
      <alignment vertical="center"/>
    </xf>
    <xf numFmtId="0" fontId="20" fillId="24" borderId="0" applyNumberFormat="0" applyBorder="0" applyProtection="0">
      <alignment vertical="center"/>
    </xf>
    <xf numFmtId="0" fontId="18" fillId="24" borderId="0" applyNumberFormat="0" applyBorder="0" applyProtection="0"/>
    <xf numFmtId="0" fontId="21" fillId="24" borderId="48" applyNumberFormat="0" applyProtection="0">
      <alignment horizontal="center" vertical="center"/>
    </xf>
  </cellStyleXfs>
  <cellXfs count="591">
    <xf numFmtId="0" fontId="0" fillId="0" borderId="0" xfId="0"/>
    <xf numFmtId="0" fontId="0" fillId="0" borderId="0" xfId="0"/>
    <xf numFmtId="0" fontId="4" fillId="0" borderId="0" xfId="0" applyFont="1" applyAlignment="1">
      <alignment vertical="center"/>
    </xf>
    <xf numFmtId="9" fontId="9" fillId="2" borderId="21" xfId="5" applyFont="1" applyFill="1" applyBorder="1" applyAlignment="1" applyProtection="1">
      <alignment horizontal="center" vertical="center"/>
    </xf>
    <xf numFmtId="9" fontId="9" fillId="2" borderId="22" xfId="5" applyFont="1" applyFill="1" applyBorder="1" applyAlignment="1" applyProtection="1">
      <alignment horizontal="center" vertical="center"/>
    </xf>
    <xf numFmtId="9" fontId="9" fillId="2" borderId="23" xfId="5" applyFont="1" applyFill="1" applyBorder="1" applyAlignment="1" applyProtection="1">
      <alignment horizontal="center" vertical="center"/>
    </xf>
    <xf numFmtId="165" fontId="6" fillId="0" borderId="0" xfId="0" applyNumberFormat="1" applyFont="1" applyAlignment="1" applyProtection="1">
      <alignment vertical="center"/>
    </xf>
    <xf numFmtId="165" fontId="8" fillId="0" borderId="0" xfId="0" applyNumberFormat="1" applyFont="1" applyProtection="1"/>
    <xf numFmtId="165" fontId="5" fillId="0" borderId="0" xfId="0" applyNumberFormat="1" applyFont="1" applyProtection="1"/>
    <xf numFmtId="165" fontId="6" fillId="4" borderId="14" xfId="0" applyNumberFormat="1" applyFont="1" applyFill="1" applyBorder="1" applyAlignment="1" applyProtection="1">
      <alignment horizontal="center" vertical="center"/>
    </xf>
    <xf numFmtId="165" fontId="6" fillId="4" borderId="17" xfId="0" applyNumberFormat="1" applyFont="1" applyFill="1" applyBorder="1" applyAlignment="1" applyProtection="1">
      <alignment horizontal="center" vertical="center"/>
    </xf>
    <xf numFmtId="165" fontId="6" fillId="6" borderId="11" xfId="0" applyNumberFormat="1" applyFont="1" applyFill="1" applyBorder="1" applyAlignment="1" applyProtection="1">
      <alignment horizontal="center" vertical="center"/>
    </xf>
    <xf numFmtId="165" fontId="5" fillId="0" borderId="0" xfId="0" applyNumberFormat="1" applyFont="1" applyAlignment="1" applyProtection="1">
      <alignment horizontal="center" vertical="center" textRotation="90"/>
    </xf>
    <xf numFmtId="165" fontId="5" fillId="0" borderId="0" xfId="0" applyNumberFormat="1" applyFont="1" applyAlignment="1" applyProtection="1">
      <alignment vertical="center"/>
    </xf>
    <xf numFmtId="165" fontId="5" fillId="0" borderId="0" xfId="0" applyNumberFormat="1" applyFont="1" applyAlignment="1" applyProtection="1"/>
    <xf numFmtId="165" fontId="6" fillId="4" borderId="13" xfId="0" applyNumberFormat="1" applyFont="1" applyFill="1" applyBorder="1" applyAlignment="1" applyProtection="1">
      <alignment horizontal="center" vertical="center" wrapText="1"/>
    </xf>
    <xf numFmtId="165" fontId="6" fillId="3" borderId="14" xfId="0" applyNumberFormat="1" applyFont="1" applyFill="1" applyBorder="1" applyAlignment="1" applyProtection="1">
      <alignment horizontal="center" vertical="center"/>
    </xf>
    <xf numFmtId="165" fontId="6" fillId="20" borderId="14" xfId="0" applyNumberFormat="1" applyFont="1" applyFill="1" applyBorder="1" applyAlignment="1" applyProtection="1">
      <alignment horizontal="center" vertical="center"/>
    </xf>
    <xf numFmtId="165" fontId="6" fillId="19" borderId="14" xfId="0" applyNumberFormat="1" applyFont="1" applyFill="1" applyBorder="1" applyAlignment="1" applyProtection="1">
      <alignment horizontal="center" vertical="center"/>
    </xf>
    <xf numFmtId="2" fontId="9" fillId="2" borderId="22" xfId="0" applyNumberFormat="1" applyFont="1" applyFill="1" applyBorder="1" applyAlignment="1" applyProtection="1">
      <alignment horizontal="center" vertical="center"/>
      <protection locked="0"/>
    </xf>
    <xf numFmtId="2" fontId="9" fillId="2" borderId="23" xfId="0" applyNumberFormat="1" applyFont="1" applyFill="1" applyBorder="1" applyAlignment="1" applyProtection="1">
      <alignment horizontal="center" vertical="center"/>
      <protection locked="0"/>
    </xf>
    <xf numFmtId="1" fontId="9" fillId="2" borderId="21" xfId="0" applyNumberFormat="1" applyFont="1" applyFill="1" applyBorder="1" applyAlignment="1" applyProtection="1">
      <alignment horizontal="center" vertical="center"/>
      <protection locked="0"/>
    </xf>
    <xf numFmtId="1" fontId="9" fillId="2" borderId="21" xfId="5" applyNumberFormat="1" applyFont="1" applyFill="1" applyBorder="1" applyAlignment="1" applyProtection="1">
      <alignment horizontal="center" vertical="center"/>
      <protection locked="0"/>
    </xf>
    <xf numFmtId="1" fontId="9" fillId="2" borderId="22" xfId="0" applyNumberFormat="1" applyFont="1" applyFill="1" applyBorder="1" applyAlignment="1" applyProtection="1">
      <alignment horizontal="center" vertical="center"/>
      <protection locked="0"/>
    </xf>
    <xf numFmtId="1" fontId="9" fillId="2" borderId="22" xfId="5" applyNumberFormat="1" applyFont="1" applyFill="1" applyBorder="1" applyAlignment="1" applyProtection="1">
      <alignment horizontal="center" vertical="center"/>
      <protection locked="0"/>
    </xf>
    <xf numFmtId="1" fontId="9" fillId="2" borderId="23" xfId="0" applyNumberFormat="1" applyFont="1" applyFill="1" applyBorder="1" applyAlignment="1" applyProtection="1">
      <alignment horizontal="center" vertical="center"/>
      <protection locked="0"/>
    </xf>
    <xf numFmtId="1" fontId="9" fillId="2" borderId="23" xfId="5" applyNumberFormat="1" applyFont="1" applyFill="1" applyBorder="1" applyAlignment="1" applyProtection="1">
      <alignment horizontal="center" vertical="center"/>
      <protection locked="0"/>
    </xf>
    <xf numFmtId="1" fontId="5" fillId="2" borderId="24" xfId="0" applyNumberFormat="1" applyFont="1" applyFill="1" applyBorder="1" applyAlignment="1" applyProtection="1">
      <alignment horizontal="center" vertical="center"/>
      <protection locked="0"/>
    </xf>
    <xf numFmtId="1" fontId="5" fillId="2" borderId="35" xfId="0" applyNumberFormat="1" applyFont="1" applyFill="1" applyBorder="1" applyAlignment="1" applyProtection="1">
      <alignment horizontal="center" vertical="center"/>
      <protection locked="0"/>
    </xf>
    <xf numFmtId="1" fontId="5" fillId="2" borderId="38" xfId="0" applyNumberFormat="1" applyFont="1" applyFill="1" applyBorder="1" applyAlignment="1" applyProtection="1">
      <alignment horizontal="center" vertical="center"/>
      <protection locked="0"/>
    </xf>
    <xf numFmtId="1" fontId="5" fillId="2" borderId="31" xfId="0" applyNumberFormat="1" applyFont="1" applyFill="1" applyBorder="1" applyAlignment="1" applyProtection="1">
      <alignment horizontal="center" vertical="center"/>
      <protection locked="0"/>
    </xf>
    <xf numFmtId="1" fontId="5" fillId="2" borderId="32" xfId="0" applyNumberFormat="1" applyFont="1" applyFill="1" applyBorder="1" applyAlignment="1" applyProtection="1">
      <alignment horizontal="center" vertical="center"/>
      <protection locked="0"/>
    </xf>
    <xf numFmtId="1" fontId="5" fillId="2" borderId="36" xfId="0" applyNumberFormat="1" applyFont="1" applyFill="1" applyBorder="1" applyAlignment="1" applyProtection="1">
      <alignment horizontal="center" vertical="center"/>
      <protection locked="0"/>
    </xf>
    <xf numFmtId="1" fontId="5" fillId="2" borderId="44" xfId="0" applyNumberFormat="1" applyFont="1" applyFill="1" applyBorder="1" applyAlignment="1" applyProtection="1">
      <alignment horizontal="center" vertical="center"/>
      <protection locked="0"/>
    </xf>
    <xf numFmtId="1" fontId="5" fillId="2" borderId="39" xfId="0" applyNumberFormat="1" applyFont="1" applyFill="1" applyBorder="1" applyAlignment="1" applyProtection="1">
      <alignment horizontal="center" vertical="center"/>
      <protection locked="0"/>
    </xf>
    <xf numFmtId="1" fontId="5" fillId="2" borderId="28" xfId="0" applyNumberFormat="1" applyFont="1" applyFill="1" applyBorder="1" applyAlignment="1" applyProtection="1">
      <alignment horizontal="center" vertical="center"/>
      <protection locked="0"/>
    </xf>
    <xf numFmtId="1" fontId="5" fillId="2" borderId="19" xfId="0" applyNumberFormat="1" applyFont="1" applyFill="1" applyBorder="1" applyAlignment="1" applyProtection="1">
      <alignment horizontal="center" vertical="center"/>
      <protection locked="0"/>
    </xf>
    <xf numFmtId="1" fontId="5" fillId="2" borderId="30" xfId="0" applyNumberFormat="1" applyFont="1" applyFill="1" applyBorder="1" applyAlignment="1" applyProtection="1">
      <alignment horizontal="center" vertical="center"/>
      <protection locked="0"/>
    </xf>
    <xf numFmtId="1" fontId="5" fillId="2" borderId="40" xfId="0" applyNumberFormat="1" applyFont="1" applyFill="1" applyBorder="1" applyAlignment="1" applyProtection="1">
      <alignment horizontal="center" vertical="center"/>
      <protection locked="0"/>
    </xf>
    <xf numFmtId="1" fontId="5" fillId="2" borderId="37" xfId="0" applyNumberFormat="1" applyFont="1" applyFill="1" applyBorder="1" applyAlignment="1" applyProtection="1">
      <alignment horizontal="center" vertical="center"/>
      <protection locked="0"/>
    </xf>
    <xf numFmtId="1" fontId="5" fillId="2" borderId="27" xfId="0" applyNumberFormat="1" applyFont="1" applyFill="1" applyBorder="1" applyAlignment="1" applyProtection="1">
      <alignment horizontal="center" vertical="center"/>
      <protection locked="0"/>
    </xf>
    <xf numFmtId="1" fontId="5" fillId="2" borderId="45" xfId="0" applyNumberFormat="1" applyFont="1" applyFill="1" applyBorder="1" applyAlignment="1" applyProtection="1">
      <alignment horizontal="center" vertical="center"/>
      <protection locked="0"/>
    </xf>
    <xf numFmtId="1" fontId="5" fillId="2" borderId="42" xfId="0" applyNumberFormat="1" applyFont="1" applyFill="1" applyBorder="1" applyAlignment="1" applyProtection="1">
      <alignment horizontal="center" vertical="center"/>
      <protection locked="0"/>
    </xf>
    <xf numFmtId="1" fontId="5" fillId="2" borderId="29" xfId="0" applyNumberFormat="1" applyFont="1" applyFill="1" applyBorder="1" applyAlignment="1" applyProtection="1">
      <alignment horizontal="center" vertical="center"/>
      <protection locked="0"/>
    </xf>
    <xf numFmtId="2" fontId="9" fillId="2" borderId="33" xfId="0" applyNumberFormat="1" applyFont="1" applyFill="1" applyBorder="1" applyAlignment="1" applyProtection="1">
      <alignment horizontal="center" vertical="center"/>
      <protection locked="0"/>
    </xf>
    <xf numFmtId="2" fontId="9" fillId="2" borderId="30" xfId="0" applyNumberFormat="1" applyFont="1" applyFill="1" applyBorder="1" applyAlignment="1" applyProtection="1">
      <alignment horizontal="center" vertical="center"/>
      <protection locked="0"/>
    </xf>
    <xf numFmtId="2" fontId="9" fillId="2" borderId="34" xfId="0" applyNumberFormat="1" applyFont="1" applyFill="1" applyBorder="1" applyAlignment="1" applyProtection="1">
      <alignment horizontal="center" vertical="center"/>
      <protection locked="0"/>
    </xf>
    <xf numFmtId="1" fontId="9" fillId="2" borderId="21" xfId="0" applyNumberFormat="1" applyFont="1" applyFill="1" applyBorder="1" applyAlignment="1" applyProtection="1">
      <alignment horizontal="center" vertical="center"/>
    </xf>
    <xf numFmtId="1" fontId="9" fillId="2" borderId="22" xfId="0" applyNumberFormat="1" applyFont="1" applyFill="1" applyBorder="1" applyAlignment="1" applyProtection="1">
      <alignment horizontal="center" vertical="center"/>
    </xf>
    <xf numFmtId="1" fontId="9" fillId="2" borderId="23" xfId="0" applyNumberFormat="1" applyFont="1" applyFill="1" applyBorder="1" applyAlignment="1" applyProtection="1">
      <alignment horizontal="center" vertical="center"/>
    </xf>
    <xf numFmtId="165" fontId="6" fillId="7" borderId="21" xfId="0" applyNumberFormat="1" applyFont="1" applyFill="1" applyBorder="1" applyAlignment="1" applyProtection="1">
      <alignment vertical="center"/>
    </xf>
    <xf numFmtId="165" fontId="6" fillId="7" borderId="22" xfId="0" applyNumberFormat="1" applyFont="1" applyFill="1" applyBorder="1" applyAlignment="1" applyProtection="1">
      <alignment vertical="center"/>
    </xf>
    <xf numFmtId="165" fontId="6" fillId="7" borderId="13" xfId="0" applyNumberFormat="1" applyFont="1" applyFill="1" applyBorder="1" applyAlignment="1" applyProtection="1">
      <alignment vertical="center"/>
    </xf>
    <xf numFmtId="165" fontId="6" fillId="5" borderId="13" xfId="0" applyNumberFormat="1" applyFont="1" applyFill="1" applyBorder="1" applyAlignment="1" applyProtection="1">
      <alignment horizontal="right" vertical="center"/>
    </xf>
    <xf numFmtId="1" fontId="5" fillId="7" borderId="37" xfId="0" applyNumberFormat="1" applyFont="1" applyFill="1" applyBorder="1" applyAlignment="1" applyProtection="1">
      <alignment horizontal="center" vertical="center"/>
    </xf>
    <xf numFmtId="1" fontId="5" fillId="7" borderId="2" xfId="0" applyNumberFormat="1" applyFont="1" applyFill="1" applyBorder="1" applyAlignment="1" applyProtection="1">
      <alignment horizontal="center" vertical="center"/>
    </xf>
    <xf numFmtId="9" fontId="5" fillId="7" borderId="2" xfId="5" applyFont="1" applyFill="1" applyBorder="1" applyAlignment="1" applyProtection="1">
      <alignment horizontal="center" vertical="center"/>
    </xf>
    <xf numFmtId="165" fontId="6" fillId="5" borderId="2" xfId="0" applyNumberFormat="1" applyFont="1" applyFill="1" applyBorder="1" applyAlignment="1" applyProtection="1">
      <alignment horizontal="right" vertical="center"/>
    </xf>
    <xf numFmtId="166" fontId="15" fillId="2" borderId="28" xfId="0" applyNumberFormat="1" applyFont="1" applyFill="1" applyBorder="1" applyAlignment="1" applyProtection="1">
      <alignment horizontal="center" vertical="center"/>
      <protection locked="0"/>
    </xf>
    <xf numFmtId="9" fontId="15" fillId="2" borderId="19" xfId="5" applyFont="1" applyFill="1" applyBorder="1" applyAlignment="1" applyProtection="1">
      <alignment horizontal="center" vertical="center"/>
      <protection locked="0"/>
    </xf>
    <xf numFmtId="165" fontId="6" fillId="0" borderId="0" xfId="0" applyNumberFormat="1" applyFont="1" applyBorder="1" applyAlignment="1" applyProtection="1">
      <alignment vertical="center" wrapText="1"/>
    </xf>
    <xf numFmtId="1" fontId="5" fillId="2" borderId="41" xfId="0" applyNumberFormat="1" applyFont="1" applyFill="1" applyBorder="1" applyAlignment="1" applyProtection="1">
      <alignment horizontal="center" vertical="center"/>
      <protection locked="0"/>
    </xf>
    <xf numFmtId="1" fontId="5" fillId="2" borderId="21" xfId="0" applyNumberFormat="1" applyFont="1" applyFill="1" applyBorder="1" applyAlignment="1" applyProtection="1">
      <alignment horizontal="center" vertical="center"/>
      <protection locked="0"/>
    </xf>
    <xf numFmtId="1" fontId="5" fillId="2" borderId="22" xfId="0" applyNumberFormat="1" applyFont="1" applyFill="1" applyBorder="1" applyAlignment="1" applyProtection="1">
      <alignment horizontal="center" vertical="center"/>
      <protection locked="0"/>
    </xf>
    <xf numFmtId="1" fontId="5" fillId="2" borderId="23" xfId="0" applyNumberFormat="1" applyFont="1" applyFill="1" applyBorder="1" applyAlignment="1" applyProtection="1">
      <alignment horizontal="center" vertical="center"/>
      <protection locked="0"/>
    </xf>
    <xf numFmtId="1" fontId="5" fillId="7" borderId="23" xfId="0" applyNumberFormat="1" applyFont="1" applyFill="1" applyBorder="1" applyAlignment="1" applyProtection="1">
      <alignment horizontal="center" vertical="center"/>
    </xf>
    <xf numFmtId="1" fontId="9" fillId="2" borderId="46" xfId="0" applyNumberFormat="1" applyFont="1" applyFill="1" applyBorder="1" applyAlignment="1" applyProtection="1">
      <alignment horizontal="center" vertical="center"/>
      <protection locked="0"/>
    </xf>
    <xf numFmtId="9" fontId="9" fillId="2" borderId="46" xfId="5" applyFont="1" applyFill="1" applyBorder="1" applyAlignment="1" applyProtection="1">
      <alignment horizontal="center" vertical="center"/>
    </xf>
    <xf numFmtId="2" fontId="9" fillId="2" borderId="46" xfId="0" applyNumberFormat="1" applyFont="1" applyFill="1" applyBorder="1" applyAlignment="1" applyProtection="1">
      <alignment horizontal="center" vertical="center"/>
      <protection locked="0"/>
    </xf>
    <xf numFmtId="1" fontId="9" fillId="2" borderId="46" xfId="0" applyNumberFormat="1" applyFont="1" applyFill="1" applyBorder="1" applyAlignment="1" applyProtection="1">
      <alignment horizontal="center" vertical="center"/>
    </xf>
    <xf numFmtId="0" fontId="5" fillId="7" borderId="2" xfId="5" applyNumberFormat="1" applyFont="1" applyFill="1" applyBorder="1" applyAlignment="1" applyProtection="1">
      <alignment horizontal="center" vertical="center"/>
    </xf>
    <xf numFmtId="165" fontId="5" fillId="0" borderId="0" xfId="0" applyNumberFormat="1" applyFont="1" applyAlignment="1" applyProtection="1">
      <alignment horizontal="center" vertical="center" textRotation="90"/>
    </xf>
    <xf numFmtId="165" fontId="6" fillId="0" borderId="0" xfId="0" applyNumberFormat="1" applyFont="1" applyBorder="1" applyAlignment="1" applyProtection="1">
      <alignment horizontal="center" vertical="center"/>
    </xf>
    <xf numFmtId="0" fontId="4" fillId="0" borderId="0" xfId="0" applyFont="1" applyAlignment="1">
      <alignment horizontal="left" vertical="center"/>
    </xf>
    <xf numFmtId="165" fontId="6" fillId="0" borderId="0" xfId="0" applyNumberFormat="1" applyFont="1" applyBorder="1" applyAlignment="1" applyProtection="1">
      <alignment horizontal="center" vertical="center"/>
    </xf>
    <xf numFmtId="165" fontId="5" fillId="0" borderId="0" xfId="0" applyNumberFormat="1" applyFont="1" applyAlignment="1" applyProtection="1">
      <alignment horizontal="center" vertical="center" textRotation="90"/>
    </xf>
    <xf numFmtId="1" fontId="5" fillId="2" borderId="21" xfId="0" applyNumberFormat="1" applyFont="1" applyFill="1" applyBorder="1" applyAlignment="1" applyProtection="1">
      <alignment horizontal="center" vertical="center"/>
    </xf>
    <xf numFmtId="1" fontId="5" fillId="2" borderId="22" xfId="0" applyNumberFormat="1" applyFont="1" applyFill="1" applyBorder="1" applyAlignment="1" applyProtection="1">
      <alignment horizontal="center" vertical="center"/>
    </xf>
    <xf numFmtId="1" fontId="5" fillId="2" borderId="23" xfId="0" applyNumberFormat="1" applyFont="1" applyFill="1" applyBorder="1" applyAlignment="1" applyProtection="1">
      <alignment horizontal="center" vertical="center"/>
    </xf>
    <xf numFmtId="165" fontId="6" fillId="4" borderId="11" xfId="0" applyNumberFormat="1" applyFont="1" applyFill="1" applyBorder="1" applyAlignment="1" applyProtection="1">
      <alignment horizontal="center" vertical="center"/>
    </xf>
    <xf numFmtId="1" fontId="15" fillId="2" borderId="31" xfId="0" applyNumberFormat="1" applyFont="1" applyFill="1" applyBorder="1" applyAlignment="1" applyProtection="1">
      <alignment horizontal="center" vertical="center"/>
      <protection locked="0"/>
    </xf>
    <xf numFmtId="1" fontId="15" fillId="2" borderId="19" xfId="0" applyNumberFormat="1" applyFont="1" applyFill="1" applyBorder="1" applyAlignment="1" applyProtection="1">
      <alignment horizontal="center" vertical="center"/>
      <protection locked="0"/>
    </xf>
    <xf numFmtId="1" fontId="15" fillId="2" borderId="26" xfId="0" applyNumberFormat="1" applyFont="1" applyFill="1" applyBorder="1" applyAlignment="1" applyProtection="1">
      <alignment horizontal="center" vertical="center"/>
      <protection locked="0"/>
    </xf>
    <xf numFmtId="1" fontId="15" fillId="2" borderId="24" xfId="0" applyNumberFormat="1" applyFont="1" applyFill="1" applyBorder="1" applyAlignment="1" applyProtection="1">
      <alignment horizontal="center" vertical="center"/>
      <protection locked="0"/>
    </xf>
    <xf numFmtId="1" fontId="15" fillId="2" borderId="36" xfId="0" applyNumberFormat="1" applyFont="1" applyFill="1" applyBorder="1" applyAlignment="1" applyProtection="1">
      <alignment horizontal="center" vertical="center"/>
      <protection locked="0"/>
    </xf>
    <xf numFmtId="1" fontId="15" fillId="2" borderId="37" xfId="0" applyNumberFormat="1" applyFont="1" applyFill="1" applyBorder="1" applyAlignment="1" applyProtection="1">
      <alignment horizontal="center" vertical="center"/>
      <protection locked="0"/>
    </xf>
    <xf numFmtId="166" fontId="15" fillId="0" borderId="32" xfId="0" applyNumberFormat="1" applyFont="1" applyBorder="1" applyAlignment="1" applyProtection="1">
      <alignment horizontal="center" vertical="center"/>
      <protection locked="0"/>
    </xf>
    <xf numFmtId="166" fontId="15" fillId="0" borderId="28" xfId="0" applyNumberFormat="1" applyFont="1" applyBorder="1" applyAlignment="1" applyProtection="1">
      <alignment horizontal="center" vertical="center"/>
      <protection locked="0"/>
    </xf>
    <xf numFmtId="9" fontId="15" fillId="0" borderId="19" xfId="5" applyFont="1" applyBorder="1" applyAlignment="1" applyProtection="1">
      <alignment horizontal="center" vertical="center"/>
      <protection locked="0"/>
    </xf>
    <xf numFmtId="166" fontId="15" fillId="0" borderId="25" xfId="0" applyNumberFormat="1" applyFont="1" applyBorder="1" applyAlignment="1" applyProtection="1">
      <alignment horizontal="center" vertical="center"/>
      <protection locked="0"/>
    </xf>
    <xf numFmtId="166" fontId="15" fillId="0" borderId="29" xfId="0" applyNumberFormat="1" applyFont="1" applyBorder="1" applyAlignment="1" applyProtection="1">
      <alignment horizontal="center" vertical="center"/>
      <protection locked="0"/>
    </xf>
    <xf numFmtId="9" fontId="15" fillId="0" borderId="26" xfId="5" applyFont="1" applyBorder="1" applyAlignment="1" applyProtection="1">
      <alignment horizontal="center" vertical="center"/>
      <protection locked="0"/>
    </xf>
    <xf numFmtId="166" fontId="15" fillId="0" borderId="27" xfId="0" applyNumberFormat="1" applyFont="1" applyBorder="1" applyAlignment="1" applyProtection="1">
      <alignment horizontal="center" vertical="center"/>
      <protection locked="0"/>
    </xf>
    <xf numFmtId="2" fontId="15" fillId="2" borderId="22" xfId="0" applyNumberFormat="1" applyFont="1" applyFill="1" applyBorder="1" applyAlignment="1" applyProtection="1">
      <alignment horizontal="center" vertical="center"/>
      <protection locked="0"/>
    </xf>
    <xf numFmtId="2" fontId="15" fillId="2" borderId="23" xfId="0" applyNumberFormat="1" applyFont="1" applyFill="1" applyBorder="1" applyAlignment="1" applyProtection="1">
      <alignment horizontal="center" vertical="center"/>
      <protection locked="0"/>
    </xf>
    <xf numFmtId="20" fontId="23" fillId="0" borderId="2" xfId="0" applyNumberFormat="1" applyFont="1" applyBorder="1" applyAlignment="1" applyProtection="1">
      <alignment horizontal="left" vertical="center" wrapText="1"/>
    </xf>
    <xf numFmtId="46" fontId="23" fillId="0" borderId="2" xfId="0" applyNumberFormat="1" applyFont="1" applyBorder="1" applyAlignment="1" applyProtection="1">
      <alignment horizontal="left" vertical="center" wrapText="1"/>
    </xf>
    <xf numFmtId="0" fontId="15" fillId="4" borderId="2" xfId="0" applyFont="1" applyFill="1" applyBorder="1" applyAlignment="1">
      <alignment horizontal="center" vertical="center" wrapText="1"/>
    </xf>
    <xf numFmtId="14" fontId="15" fillId="4" borderId="2" xfId="0" applyNumberFormat="1" applyFont="1" applyFill="1" applyBorder="1" applyAlignment="1">
      <alignment horizontal="center" vertical="center" wrapText="1"/>
    </xf>
    <xf numFmtId="165" fontId="5" fillId="0" borderId="0" xfId="0" applyNumberFormat="1" applyFont="1" applyAlignment="1" applyProtection="1">
      <alignment horizontal="center" vertical="center" textRotation="90"/>
    </xf>
    <xf numFmtId="165" fontId="6" fillId="17" borderId="7" xfId="0" applyNumberFormat="1" applyFont="1" applyFill="1" applyBorder="1" applyAlignment="1" applyProtection="1">
      <alignment horizontal="center" vertical="center"/>
    </xf>
    <xf numFmtId="0" fontId="5" fillId="15" borderId="36" xfId="0" applyNumberFormat="1" applyFont="1" applyFill="1" applyBorder="1" applyAlignment="1" applyProtection="1">
      <alignment horizontal="center" vertical="center" wrapText="1"/>
      <protection locked="0"/>
    </xf>
    <xf numFmtId="0" fontId="5" fillId="15" borderId="37" xfId="0" applyNumberFormat="1" applyFont="1" applyFill="1" applyBorder="1" applyAlignment="1" applyProtection="1">
      <alignment horizontal="center" vertical="center"/>
      <protection locked="0"/>
    </xf>
    <xf numFmtId="165" fontId="5" fillId="0" borderId="0" xfId="0" applyNumberFormat="1" applyFont="1" applyAlignment="1" applyProtection="1">
      <alignment horizontal="center" vertical="center"/>
    </xf>
    <xf numFmtId="165" fontId="5" fillId="0" borderId="0" xfId="0" applyNumberFormat="1" applyFont="1" applyAlignment="1" applyProtection="1">
      <alignment horizontal="left" vertical="center" wrapText="1"/>
    </xf>
    <xf numFmtId="0" fontId="4" fillId="0" borderId="0" xfId="0" applyFont="1" applyAlignment="1">
      <alignment horizontal="left" vertical="center"/>
    </xf>
    <xf numFmtId="165" fontId="5" fillId="0" borderId="0" xfId="0" applyNumberFormat="1" applyFont="1" applyAlignment="1" applyProtection="1">
      <alignment horizontal="center" vertical="center" textRotation="90"/>
    </xf>
    <xf numFmtId="0" fontId="5" fillId="0" borderId="0" xfId="0" applyNumberFormat="1" applyFont="1" applyAlignment="1" applyProtection="1">
      <alignment horizontal="center" vertical="center"/>
    </xf>
    <xf numFmtId="0" fontId="5" fillId="0" borderId="0" xfId="0" applyNumberFormat="1" applyFont="1" applyAlignment="1" applyProtection="1">
      <alignment horizontal="left" vertical="center" wrapText="1"/>
    </xf>
    <xf numFmtId="0" fontId="5" fillId="0" borderId="2" xfId="0" applyNumberFormat="1" applyFont="1" applyBorder="1" applyAlignment="1" applyProtection="1">
      <alignment horizontal="center" vertical="center"/>
      <protection locked="0"/>
    </xf>
    <xf numFmtId="14" fontId="5" fillId="0" borderId="2" xfId="0" applyNumberFormat="1" applyFont="1" applyBorder="1" applyAlignment="1" applyProtection="1">
      <alignment horizontal="center" vertical="center"/>
      <protection locked="0"/>
    </xf>
    <xf numFmtId="0" fontId="5" fillId="0" borderId="2" xfId="0" applyFont="1" applyFill="1" applyBorder="1" applyAlignment="1" applyProtection="1">
      <alignment horizontal="center" vertical="center" wrapText="1"/>
      <protection locked="0"/>
    </xf>
    <xf numFmtId="0" fontId="24" fillId="0" borderId="2" xfId="0" applyFont="1" applyFill="1" applyBorder="1" applyAlignment="1" applyProtection="1">
      <alignment horizontal="center" vertical="center" wrapText="1"/>
      <protection locked="0"/>
    </xf>
    <xf numFmtId="166" fontId="15" fillId="0" borderId="66" xfId="0" applyNumberFormat="1" applyFont="1" applyBorder="1" applyAlignment="1" applyProtection="1">
      <alignment horizontal="center" vertical="center"/>
      <protection locked="0"/>
    </xf>
    <xf numFmtId="9" fontId="15" fillId="0" borderId="67" xfId="5" applyFont="1" applyBorder="1" applyAlignment="1" applyProtection="1">
      <alignment horizontal="center" vertical="center"/>
      <protection locked="0"/>
    </xf>
    <xf numFmtId="2" fontId="15" fillId="2" borderId="46" xfId="0" applyNumberFormat="1" applyFont="1" applyFill="1" applyBorder="1" applyAlignment="1" applyProtection="1">
      <alignment horizontal="center" vertical="center"/>
      <protection locked="0"/>
    </xf>
    <xf numFmtId="165" fontId="6" fillId="3" borderId="8" xfId="0" applyNumberFormat="1" applyFont="1" applyFill="1" applyBorder="1" applyAlignment="1" applyProtection="1">
      <alignment horizontal="center" vertical="center"/>
    </xf>
    <xf numFmtId="165" fontId="6" fillId="20" borderId="8" xfId="0" applyNumberFormat="1" applyFont="1" applyFill="1" applyBorder="1" applyAlignment="1" applyProtection="1">
      <alignment horizontal="center" vertical="center"/>
    </xf>
    <xf numFmtId="165" fontId="6" fillId="3" borderId="11" xfId="0" applyNumberFormat="1" applyFont="1" applyFill="1" applyBorder="1" applyAlignment="1" applyProtection="1">
      <alignment horizontal="center" vertical="center"/>
    </xf>
    <xf numFmtId="165" fontId="6" fillId="3" borderId="2" xfId="0" applyNumberFormat="1" applyFont="1" applyFill="1" applyBorder="1" applyAlignment="1" applyProtection="1">
      <alignment horizontal="center" vertical="center"/>
    </xf>
    <xf numFmtId="0" fontId="5" fillId="15" borderId="68" xfId="0" applyNumberFormat="1" applyFont="1" applyFill="1" applyBorder="1" applyAlignment="1" applyProtection="1">
      <alignment horizontal="center" vertical="center" wrapText="1"/>
      <protection locked="0"/>
    </xf>
    <xf numFmtId="0" fontId="5" fillId="15" borderId="32" xfId="0" applyNumberFormat="1" applyFont="1" applyFill="1" applyBorder="1" applyAlignment="1" applyProtection="1">
      <alignment horizontal="center" vertical="center" wrapText="1"/>
      <protection locked="0"/>
    </xf>
    <xf numFmtId="0" fontId="5" fillId="15" borderId="44" xfId="0" applyNumberFormat="1" applyFont="1" applyFill="1" applyBorder="1" applyAlignment="1" applyProtection="1">
      <alignment horizontal="center" vertical="center" wrapText="1"/>
      <protection locked="0"/>
    </xf>
    <xf numFmtId="0" fontId="5" fillId="15" borderId="28" xfId="0" applyNumberFormat="1" applyFont="1" applyFill="1" applyBorder="1" applyAlignment="1" applyProtection="1">
      <alignment horizontal="center" vertical="center" wrapText="1"/>
      <protection locked="0"/>
    </xf>
    <xf numFmtId="0" fontId="5" fillId="15" borderId="25" xfId="0" applyNumberFormat="1" applyFont="1" applyFill="1" applyBorder="1" applyAlignment="1" applyProtection="1">
      <alignment horizontal="center" vertical="center" wrapText="1"/>
      <protection locked="0"/>
    </xf>
    <xf numFmtId="0" fontId="5" fillId="15" borderId="27" xfId="0" applyNumberFormat="1" applyFont="1" applyFill="1" applyBorder="1" applyAlignment="1" applyProtection="1">
      <alignment horizontal="center" vertical="center"/>
      <protection locked="0"/>
    </xf>
    <xf numFmtId="165" fontId="5" fillId="0" borderId="0" xfId="0" applyNumberFormat="1" applyFont="1" applyAlignment="1" applyProtection="1">
      <alignment horizontal="center" vertical="center" textRotation="90"/>
    </xf>
    <xf numFmtId="0" fontId="4" fillId="0" borderId="0" xfId="0" applyFont="1" applyAlignment="1">
      <alignment horizontal="left" vertical="center"/>
    </xf>
    <xf numFmtId="165" fontId="6" fillId="6" borderId="8" xfId="0" applyNumberFormat="1" applyFont="1" applyFill="1" applyBorder="1" applyAlignment="1" applyProtection="1">
      <alignment horizontal="center" vertical="center"/>
    </xf>
    <xf numFmtId="165" fontId="5" fillId="6" borderId="20" xfId="0" applyNumberFormat="1" applyFont="1" applyFill="1" applyBorder="1" applyAlignment="1" applyProtection="1">
      <alignment vertical="center" wrapText="1"/>
    </xf>
    <xf numFmtId="165" fontId="5" fillId="6" borderId="8" xfId="0" applyNumberFormat="1" applyFont="1" applyFill="1" applyBorder="1" applyAlignment="1" applyProtection="1">
      <alignment vertical="center" wrapText="1"/>
    </xf>
    <xf numFmtId="14" fontId="9" fillId="2" borderId="36" xfId="0" applyNumberFormat="1" applyFont="1" applyFill="1" applyBorder="1" applyAlignment="1" applyProtection="1">
      <alignment horizontal="center" vertical="center"/>
      <protection locked="0"/>
    </xf>
    <xf numFmtId="14" fontId="9" fillId="0" borderId="36" xfId="0" applyNumberFormat="1" applyFont="1" applyBorder="1" applyAlignment="1" applyProtection="1">
      <alignment horizontal="center" vertical="center"/>
      <protection locked="0"/>
    </xf>
    <xf numFmtId="14" fontId="9" fillId="0" borderId="28" xfId="0" applyNumberFormat="1" applyFont="1" applyBorder="1" applyAlignment="1" applyProtection="1">
      <alignment horizontal="center" vertical="center"/>
      <protection locked="0"/>
    </xf>
    <xf numFmtId="14" fontId="9" fillId="0" borderId="56" xfId="0" applyNumberFormat="1" applyFont="1" applyBorder="1" applyAlignment="1" applyProtection="1">
      <alignment horizontal="center" vertical="center"/>
      <protection locked="0"/>
    </xf>
    <xf numFmtId="14" fontId="9" fillId="0" borderId="37" xfId="0" applyNumberFormat="1" applyFont="1" applyBorder="1" applyAlignment="1" applyProtection="1">
      <alignment horizontal="center" vertical="center"/>
      <protection locked="0"/>
    </xf>
    <xf numFmtId="1" fontId="9" fillId="2" borderId="38" xfId="0" applyNumberFormat="1" applyFont="1" applyFill="1" applyBorder="1" applyAlignment="1" applyProtection="1">
      <alignment horizontal="center" vertical="center"/>
      <protection locked="0"/>
    </xf>
    <xf numFmtId="1" fontId="9" fillId="2" borderId="32" xfId="0" applyNumberFormat="1" applyFont="1" applyFill="1" applyBorder="1" applyAlignment="1" applyProtection="1">
      <alignment horizontal="center" vertical="center"/>
      <protection locked="0"/>
    </xf>
    <xf numFmtId="1" fontId="9" fillId="0" borderId="39" xfId="0" applyNumberFormat="1" applyFont="1" applyBorder="1" applyAlignment="1" applyProtection="1">
      <alignment horizontal="center" vertical="center"/>
      <protection locked="0"/>
    </xf>
    <xf numFmtId="1" fontId="9" fillId="0" borderId="25" xfId="0" applyNumberFormat="1" applyFont="1" applyBorder="1" applyAlignment="1" applyProtection="1">
      <alignment horizontal="center" vertical="center"/>
      <protection locked="0"/>
    </xf>
    <xf numFmtId="1" fontId="9" fillId="0" borderId="19" xfId="0" applyNumberFormat="1" applyFont="1" applyBorder="1" applyAlignment="1" applyProtection="1">
      <alignment horizontal="center" vertical="center"/>
      <protection locked="0"/>
    </xf>
    <xf numFmtId="1" fontId="9" fillId="0" borderId="44" xfId="0" applyNumberFormat="1" applyFont="1" applyBorder="1" applyAlignment="1" applyProtection="1">
      <alignment horizontal="center" vertical="center"/>
      <protection locked="0"/>
    </xf>
    <xf numFmtId="1" fontId="9" fillId="0" borderId="60" xfId="0" applyNumberFormat="1" applyFont="1" applyBorder="1" applyAlignment="1" applyProtection="1">
      <alignment horizontal="center" vertical="center"/>
      <protection locked="0"/>
    </xf>
    <xf numFmtId="1" fontId="9" fillId="0" borderId="42" xfId="0" applyNumberFormat="1" applyFont="1" applyBorder="1" applyAlignment="1" applyProtection="1">
      <alignment horizontal="center" vertical="center"/>
      <protection locked="0"/>
    </xf>
    <xf numFmtId="1" fontId="9" fillId="0" borderId="27" xfId="0" applyNumberFormat="1" applyFont="1" applyBorder="1" applyAlignment="1" applyProtection="1">
      <alignment horizontal="center" vertical="center"/>
      <protection locked="0"/>
    </xf>
    <xf numFmtId="165" fontId="6" fillId="4" borderId="2" xfId="0" applyNumberFormat="1" applyFont="1" applyFill="1" applyBorder="1" applyAlignment="1" applyProtection="1">
      <alignment horizontal="center" vertical="center"/>
    </xf>
    <xf numFmtId="0" fontId="5" fillId="8" borderId="28" xfId="0" applyNumberFormat="1" applyFont="1" applyFill="1" applyBorder="1" applyAlignment="1" applyProtection="1">
      <alignment vertical="center" wrapText="1"/>
      <protection locked="0"/>
    </xf>
    <xf numFmtId="0" fontId="5" fillId="8" borderId="44" xfId="0" applyNumberFormat="1" applyFont="1" applyFill="1" applyBorder="1" applyAlignment="1" applyProtection="1">
      <alignment vertical="center" wrapText="1"/>
      <protection locked="0"/>
    </xf>
    <xf numFmtId="0" fontId="5" fillId="18" borderId="32" xfId="0" applyNumberFormat="1" applyFont="1" applyFill="1" applyBorder="1" applyAlignment="1" applyProtection="1">
      <alignment horizontal="center" vertical="center" wrapText="1"/>
      <protection locked="0"/>
    </xf>
    <xf numFmtId="0" fontId="5" fillId="18" borderId="25" xfId="0" applyNumberFormat="1" applyFont="1" applyFill="1" applyBorder="1" applyAlignment="1" applyProtection="1">
      <alignment horizontal="center" vertical="center" wrapText="1"/>
      <protection locked="0"/>
    </xf>
    <xf numFmtId="0" fontId="5" fillId="18" borderId="30" xfId="0" applyNumberFormat="1" applyFont="1" applyFill="1" applyBorder="1" applyAlignment="1" applyProtection="1">
      <alignment horizontal="center" vertical="center" wrapText="1"/>
      <protection locked="0"/>
    </xf>
    <xf numFmtId="0" fontId="5" fillId="18" borderId="27" xfId="0" applyNumberFormat="1" applyFont="1" applyFill="1" applyBorder="1" applyAlignment="1" applyProtection="1">
      <alignment horizontal="center" vertical="center" wrapText="1"/>
      <protection locked="0"/>
    </xf>
    <xf numFmtId="0" fontId="5" fillId="18" borderId="35" xfId="0" applyNumberFormat="1" applyFont="1" applyFill="1" applyBorder="1" applyAlignment="1" applyProtection="1">
      <alignment vertical="center" wrapText="1"/>
      <protection locked="0"/>
    </xf>
    <xf numFmtId="0" fontId="5" fillId="18" borderId="28" xfId="0" applyNumberFormat="1" applyFont="1" applyFill="1" applyBorder="1" applyAlignment="1" applyProtection="1">
      <alignment vertical="center" wrapText="1"/>
      <protection locked="0"/>
    </xf>
    <xf numFmtId="0" fontId="5" fillId="18" borderId="29" xfId="0" applyNumberFormat="1" applyFont="1" applyFill="1" applyBorder="1" applyAlignment="1" applyProtection="1">
      <alignment vertical="center" wrapText="1"/>
      <protection locked="0"/>
    </xf>
    <xf numFmtId="0" fontId="5" fillId="18" borderId="33" xfId="0" applyNumberFormat="1" applyFont="1" applyFill="1" applyBorder="1" applyAlignment="1" applyProtection="1">
      <alignment horizontal="center" vertical="center" wrapText="1"/>
      <protection locked="0"/>
    </xf>
    <xf numFmtId="0" fontId="5" fillId="18" borderId="31" xfId="0" applyNumberFormat="1" applyFont="1" applyFill="1" applyBorder="1" applyAlignment="1" applyProtection="1">
      <alignment vertical="center" wrapText="1"/>
      <protection locked="0"/>
    </xf>
    <xf numFmtId="0" fontId="5" fillId="18" borderId="19" xfId="0" applyNumberFormat="1" applyFont="1" applyFill="1" applyBorder="1" applyAlignment="1" applyProtection="1">
      <alignment vertical="center" wrapText="1"/>
      <protection locked="0"/>
    </xf>
    <xf numFmtId="0" fontId="5" fillId="18" borderId="45" xfId="0" applyNumberFormat="1" applyFont="1" applyFill="1" applyBorder="1" applyAlignment="1" applyProtection="1">
      <alignment vertical="center" wrapText="1"/>
      <protection locked="0"/>
    </xf>
    <xf numFmtId="165" fontId="6" fillId="6" borderId="71" xfId="0" applyNumberFormat="1" applyFont="1" applyFill="1" applyBorder="1" applyAlignment="1" applyProtection="1">
      <alignment horizontal="center" vertical="center"/>
    </xf>
    <xf numFmtId="165" fontId="6" fillId="6" borderId="70" xfId="0" applyNumberFormat="1" applyFont="1" applyFill="1" applyBorder="1" applyAlignment="1" applyProtection="1">
      <alignment horizontal="center" vertical="center"/>
    </xf>
    <xf numFmtId="165" fontId="6" fillId="17" borderId="74" xfId="0" applyNumberFormat="1" applyFont="1" applyFill="1" applyBorder="1" applyAlignment="1" applyProtection="1">
      <alignment horizontal="center" vertical="center"/>
    </xf>
    <xf numFmtId="165" fontId="6" fillId="17" borderId="79" xfId="0" applyNumberFormat="1" applyFont="1" applyFill="1" applyBorder="1" applyAlignment="1" applyProtection="1">
      <alignment horizontal="center" vertical="center"/>
    </xf>
    <xf numFmtId="1" fontId="15" fillId="2" borderId="32" xfId="0" applyNumberFormat="1" applyFont="1" applyFill="1" applyBorder="1" applyAlignment="1" applyProtection="1">
      <alignment horizontal="center" vertical="center"/>
      <protection locked="0"/>
    </xf>
    <xf numFmtId="1" fontId="15" fillId="2" borderId="25" xfId="0" applyNumberFormat="1" applyFont="1" applyFill="1" applyBorder="1" applyAlignment="1" applyProtection="1">
      <alignment horizontal="center" vertical="center"/>
      <protection locked="0"/>
    </xf>
    <xf numFmtId="1" fontId="15" fillId="2" borderId="27" xfId="0" applyNumberFormat="1" applyFont="1" applyFill="1" applyBorder="1" applyAlignment="1" applyProtection="1">
      <alignment horizontal="center" vertical="center"/>
      <protection locked="0"/>
    </xf>
    <xf numFmtId="165" fontId="6" fillId="4" borderId="18" xfId="0" applyNumberFormat="1" applyFont="1" applyFill="1" applyBorder="1" applyAlignment="1" applyProtection="1">
      <alignment horizontal="center" vertical="center" wrapText="1"/>
    </xf>
    <xf numFmtId="165" fontId="6" fillId="4" borderId="20" xfId="0" applyNumberFormat="1" applyFont="1" applyFill="1" applyBorder="1" applyAlignment="1" applyProtection="1">
      <alignment horizontal="center" vertical="center" wrapText="1"/>
    </xf>
    <xf numFmtId="1" fontId="9" fillId="0" borderId="30" xfId="0" applyNumberFormat="1" applyFont="1" applyBorder="1" applyAlignment="1" applyProtection="1">
      <alignment horizontal="center" vertical="center"/>
      <protection locked="0"/>
    </xf>
    <xf numFmtId="1" fontId="9" fillId="0" borderId="57" xfId="0" applyNumberFormat="1" applyFont="1" applyBorder="1" applyAlignment="1" applyProtection="1">
      <alignment horizontal="center" vertical="center"/>
      <protection locked="0"/>
    </xf>
    <xf numFmtId="165" fontId="5" fillId="0" borderId="0" xfId="0" applyNumberFormat="1" applyFont="1" applyAlignment="1" applyProtection="1">
      <alignment horizontal="center" vertical="center" textRotation="90"/>
    </xf>
    <xf numFmtId="165" fontId="6" fillId="20" borderId="11" xfId="0" applyNumberFormat="1" applyFont="1" applyFill="1" applyBorder="1" applyAlignment="1" applyProtection="1">
      <alignment horizontal="center" vertical="center" wrapText="1"/>
    </xf>
    <xf numFmtId="165" fontId="5" fillId="0" borderId="0" xfId="0" applyNumberFormat="1" applyFont="1" applyAlignment="1" applyProtection="1">
      <alignment horizontal="center" vertical="center" textRotation="90"/>
    </xf>
    <xf numFmtId="165" fontId="6" fillId="20" borderId="11" xfId="0" applyNumberFormat="1" applyFont="1" applyFill="1" applyBorder="1" applyAlignment="1" applyProtection="1">
      <alignment horizontal="center" vertical="center" wrapText="1"/>
    </xf>
    <xf numFmtId="165" fontId="6" fillId="20" borderId="2" xfId="0" applyNumberFormat="1" applyFont="1" applyFill="1" applyBorder="1" applyAlignment="1" applyProtection="1">
      <alignment horizontal="center" vertical="center" wrapText="1"/>
    </xf>
    <xf numFmtId="165" fontId="6" fillId="6" borderId="11" xfId="0" applyNumberFormat="1" applyFont="1" applyFill="1" applyBorder="1" applyAlignment="1" applyProtection="1">
      <alignment horizontal="center" vertical="center" wrapText="1"/>
    </xf>
    <xf numFmtId="165" fontId="6" fillId="6" borderId="12" xfId="0" applyNumberFormat="1" applyFont="1" applyFill="1" applyBorder="1" applyAlignment="1" applyProtection="1">
      <alignment horizontal="center" vertical="center" wrapText="1"/>
    </xf>
    <xf numFmtId="165" fontId="6" fillId="6" borderId="2" xfId="0" applyNumberFormat="1" applyFont="1" applyFill="1" applyBorder="1" applyAlignment="1" applyProtection="1">
      <alignment horizontal="center" vertical="center" wrapText="1"/>
    </xf>
    <xf numFmtId="165" fontId="6" fillId="20" borderId="11" xfId="0" applyNumberFormat="1" applyFont="1" applyFill="1" applyBorder="1" applyAlignment="1" applyProtection="1">
      <alignment horizontal="center" vertical="center" wrapText="1"/>
    </xf>
    <xf numFmtId="165" fontId="6" fillId="20" borderId="12" xfId="0" applyNumberFormat="1" applyFont="1" applyFill="1" applyBorder="1" applyAlignment="1" applyProtection="1">
      <alignment horizontal="center" vertical="center" wrapText="1"/>
    </xf>
    <xf numFmtId="165" fontId="6" fillId="6" borderId="17" xfId="0" applyNumberFormat="1" applyFont="1" applyFill="1" applyBorder="1" applyAlignment="1" applyProtection="1">
      <alignment horizontal="center" vertical="center" wrapText="1"/>
    </xf>
    <xf numFmtId="20" fontId="23" fillId="0" borderId="2" xfId="0" applyNumberFormat="1" applyFont="1" applyBorder="1" applyAlignment="1">
      <alignment horizontal="left" vertical="center"/>
    </xf>
    <xf numFmtId="46" fontId="23" fillId="0" borderId="2" xfId="0" applyNumberFormat="1" applyFont="1" applyBorder="1" applyAlignment="1">
      <alignment horizontal="left" vertical="center"/>
    </xf>
    <xf numFmtId="46" fontId="23" fillId="0" borderId="2" xfId="0" applyNumberFormat="1" applyFont="1" applyBorder="1" applyAlignment="1">
      <alignment horizontal="left" vertical="center" wrapText="1"/>
    </xf>
    <xf numFmtId="0" fontId="25" fillId="7" borderId="2" xfId="0" applyFont="1" applyFill="1" applyBorder="1" applyAlignment="1">
      <alignment horizontal="center" vertical="center" wrapText="1"/>
    </xf>
    <xf numFmtId="165" fontId="5" fillId="0" borderId="0" xfId="0" applyNumberFormat="1" applyFont="1" applyAlignment="1" applyProtection="1">
      <alignment horizontal="center" vertical="center" textRotation="90"/>
    </xf>
    <xf numFmtId="165" fontId="6" fillId="4" borderId="8" xfId="0" applyNumberFormat="1" applyFont="1" applyFill="1" applyBorder="1" applyAlignment="1" applyProtection="1">
      <alignment horizontal="center" vertical="center" wrapText="1"/>
    </xf>
    <xf numFmtId="165" fontId="5" fillId="0" borderId="12" xfId="0" applyNumberFormat="1" applyFont="1" applyFill="1" applyBorder="1" applyAlignment="1" applyProtection="1">
      <alignment vertical="center" wrapText="1"/>
    </xf>
    <xf numFmtId="1" fontId="9" fillId="2" borderId="12" xfId="0" applyNumberFormat="1" applyFont="1" applyFill="1" applyBorder="1" applyAlignment="1" applyProtection="1">
      <alignment horizontal="center" vertical="center"/>
      <protection locked="0"/>
    </xf>
    <xf numFmtId="9" fontId="9" fillId="2" borderId="12" xfId="5" applyFont="1" applyFill="1" applyBorder="1" applyAlignment="1" applyProtection="1">
      <alignment horizontal="center" vertical="center"/>
    </xf>
    <xf numFmtId="14" fontId="9" fillId="2" borderId="21" xfId="0" applyNumberFormat="1" applyFont="1" applyFill="1" applyBorder="1" applyAlignment="1" applyProtection="1">
      <alignment horizontal="center" vertical="center"/>
      <protection locked="0"/>
    </xf>
    <xf numFmtId="14" fontId="9" fillId="0" borderId="22" xfId="0" applyNumberFormat="1" applyFont="1" applyBorder="1" applyAlignment="1" applyProtection="1">
      <alignment horizontal="center" vertical="center"/>
      <protection locked="0"/>
    </xf>
    <xf numFmtId="14" fontId="9" fillId="0" borderId="23" xfId="0" applyNumberFormat="1" applyFont="1" applyBorder="1" applyAlignment="1" applyProtection="1">
      <alignment horizontal="center" vertical="center"/>
      <protection locked="0"/>
    </xf>
    <xf numFmtId="1" fontId="9" fillId="2" borderId="35" xfId="0" applyNumberFormat="1" applyFont="1" applyFill="1" applyBorder="1" applyAlignment="1" applyProtection="1">
      <alignment horizontal="center" vertical="center"/>
      <protection locked="0"/>
    </xf>
    <xf numFmtId="1" fontId="9" fillId="2" borderId="66" xfId="0" applyNumberFormat="1" applyFont="1" applyFill="1" applyBorder="1" applyAlignment="1" applyProtection="1">
      <alignment horizontal="center" vertical="center"/>
      <protection locked="0"/>
    </xf>
    <xf numFmtId="1" fontId="9" fillId="2" borderId="73" xfId="0" applyNumberFormat="1" applyFont="1" applyFill="1" applyBorder="1" applyAlignment="1" applyProtection="1">
      <alignment horizontal="center" vertical="center"/>
      <protection locked="0"/>
    </xf>
    <xf numFmtId="1" fontId="9" fillId="2" borderId="5" xfId="0" applyNumberFormat="1" applyFont="1" applyFill="1" applyBorder="1" applyAlignment="1" applyProtection="1">
      <alignment horizontal="center" vertical="center"/>
      <protection locked="0"/>
    </xf>
    <xf numFmtId="9" fontId="9" fillId="2" borderId="33" xfId="5" applyFont="1" applyFill="1" applyBorder="1" applyAlignment="1" applyProtection="1">
      <alignment horizontal="center" vertical="center"/>
    </xf>
    <xf numFmtId="9" fontId="9" fillId="2" borderId="69" xfId="5" applyFont="1" applyFill="1" applyBorder="1" applyAlignment="1" applyProtection="1">
      <alignment horizontal="center" vertical="center"/>
    </xf>
    <xf numFmtId="9" fontId="9" fillId="2" borderId="16" xfId="5" applyFont="1" applyFill="1" applyBorder="1" applyAlignment="1" applyProtection="1">
      <alignment horizontal="center" vertical="center"/>
    </xf>
    <xf numFmtId="1" fontId="9" fillId="2" borderId="31" xfId="0" applyNumberFormat="1" applyFont="1" applyFill="1" applyBorder="1" applyAlignment="1" applyProtection="1">
      <alignment horizontal="center" vertical="center"/>
      <protection locked="0"/>
    </xf>
    <xf numFmtId="1" fontId="9" fillId="2" borderId="67" xfId="0" applyNumberFormat="1" applyFont="1" applyFill="1" applyBorder="1" applyAlignment="1" applyProtection="1">
      <alignment horizontal="center" vertical="center"/>
      <protection locked="0"/>
    </xf>
    <xf numFmtId="1" fontId="9" fillId="2" borderId="80" xfId="0" applyNumberFormat="1" applyFont="1" applyFill="1" applyBorder="1" applyAlignment="1" applyProtection="1">
      <alignment horizontal="center" vertical="center"/>
      <protection locked="0"/>
    </xf>
    <xf numFmtId="1" fontId="9" fillId="2" borderId="28" xfId="0" applyNumberFormat="1" applyFont="1" applyFill="1" applyBorder="1" applyAlignment="1" applyProtection="1">
      <alignment horizontal="center" vertical="center"/>
      <protection locked="0"/>
    </xf>
    <xf numFmtId="9" fontId="9" fillId="2" borderId="27" xfId="5" applyFont="1" applyFill="1" applyBorder="1" applyAlignment="1" applyProtection="1">
      <alignment horizontal="center" vertical="center"/>
    </xf>
    <xf numFmtId="165" fontId="6" fillId="0" borderId="0" xfId="0" applyNumberFormat="1" applyFont="1" applyBorder="1" applyAlignment="1" applyProtection="1">
      <alignment horizontal="center" vertical="center"/>
    </xf>
    <xf numFmtId="165" fontId="6" fillId="7" borderId="2" xfId="0" applyNumberFormat="1" applyFont="1" applyFill="1" applyBorder="1" applyAlignment="1" applyProtection="1">
      <alignment horizontal="center" vertical="center"/>
    </xf>
    <xf numFmtId="1" fontId="9" fillId="2" borderId="12" xfId="0" applyNumberFormat="1" applyFont="1" applyFill="1" applyBorder="1" applyAlignment="1" applyProtection="1">
      <alignment horizontal="center" vertical="center"/>
    </xf>
    <xf numFmtId="165" fontId="6" fillId="7" borderId="12" xfId="0" applyNumberFormat="1" applyFont="1" applyFill="1" applyBorder="1" applyAlignment="1" applyProtection="1">
      <alignment vertical="center"/>
    </xf>
    <xf numFmtId="1" fontId="9" fillId="7" borderId="2" xfId="0" applyNumberFormat="1" applyFont="1" applyFill="1" applyBorder="1" applyAlignment="1" applyProtection="1">
      <alignment horizontal="center" vertical="center"/>
    </xf>
    <xf numFmtId="9" fontId="9" fillId="7" borderId="2" xfId="5" applyFont="1" applyFill="1" applyBorder="1" applyAlignment="1" applyProtection="1">
      <alignment horizontal="center" vertical="center"/>
    </xf>
    <xf numFmtId="2" fontId="9" fillId="7" borderId="2" xfId="0" applyNumberFormat="1" applyFont="1" applyFill="1" applyBorder="1" applyAlignment="1" applyProtection="1">
      <alignment horizontal="center" vertical="center"/>
    </xf>
    <xf numFmtId="165" fontId="6" fillId="7" borderId="2" xfId="0" applyNumberFormat="1" applyFont="1" applyFill="1" applyBorder="1" applyAlignment="1" applyProtection="1">
      <alignment horizontal="center" vertical="center"/>
    </xf>
    <xf numFmtId="0" fontId="7" fillId="7" borderId="2" xfId="0" applyFont="1" applyFill="1" applyBorder="1" applyAlignment="1">
      <alignment horizontal="center" vertical="center"/>
    </xf>
    <xf numFmtId="1" fontId="5" fillId="2" borderId="7" xfId="0" applyNumberFormat="1" applyFont="1" applyFill="1" applyBorder="1" applyAlignment="1" applyProtection="1">
      <alignment horizontal="center" vertical="center"/>
      <protection locked="0"/>
    </xf>
    <xf numFmtId="1" fontId="5" fillId="2" borderId="74" xfId="0" applyNumberFormat="1" applyFont="1" applyFill="1" applyBorder="1" applyAlignment="1" applyProtection="1">
      <alignment horizontal="center" vertical="center"/>
      <protection locked="0"/>
    </xf>
    <xf numFmtId="0" fontId="5" fillId="0" borderId="7" xfId="0" applyFont="1" applyBorder="1" applyAlignment="1" applyProtection="1">
      <alignment horizontal="center" vertical="center"/>
      <protection locked="0"/>
    </xf>
    <xf numFmtId="0" fontId="7" fillId="7" borderId="2" xfId="0" applyFont="1" applyFill="1" applyBorder="1" applyAlignment="1">
      <alignment horizontal="center" vertical="center" wrapText="1"/>
    </xf>
    <xf numFmtId="165" fontId="6" fillId="7" borderId="21" xfId="0" applyNumberFormat="1" applyFont="1" applyFill="1" applyBorder="1" applyAlignment="1" applyProtection="1">
      <alignment horizontal="center" vertical="center"/>
    </xf>
    <xf numFmtId="165" fontId="6" fillId="7" borderId="22" xfId="0" applyNumberFormat="1" applyFont="1" applyFill="1" applyBorder="1" applyAlignment="1" applyProtection="1">
      <alignment horizontal="center" vertical="center"/>
    </xf>
    <xf numFmtId="165" fontId="6" fillId="7" borderId="23" xfId="0" applyNumberFormat="1" applyFont="1" applyFill="1" applyBorder="1" applyAlignment="1" applyProtection="1">
      <alignment horizontal="center" vertical="center"/>
    </xf>
    <xf numFmtId="1" fontId="5" fillId="2" borderId="17" xfId="0" applyNumberFormat="1" applyFont="1" applyFill="1" applyBorder="1" applyAlignment="1" applyProtection="1">
      <alignment horizontal="center" vertical="center"/>
      <protection locked="0"/>
    </xf>
    <xf numFmtId="1" fontId="5" fillId="2" borderId="18" xfId="0" applyNumberFormat="1" applyFont="1" applyFill="1" applyBorder="1" applyAlignment="1" applyProtection="1">
      <alignment horizontal="center" vertical="center"/>
      <protection locked="0"/>
    </xf>
    <xf numFmtId="165" fontId="5" fillId="0" borderId="9" xfId="0" applyNumberFormat="1" applyFont="1" applyBorder="1" applyAlignment="1" applyProtection="1">
      <alignment vertical="center"/>
    </xf>
    <xf numFmtId="2" fontId="5" fillId="2" borderId="17" xfId="0" applyNumberFormat="1" applyFont="1" applyFill="1" applyBorder="1" applyAlignment="1" applyProtection="1">
      <alignment horizontal="center" vertical="center"/>
      <protection locked="0"/>
    </xf>
    <xf numFmtId="2" fontId="5" fillId="2" borderId="22" xfId="0" applyNumberFormat="1" applyFont="1" applyFill="1" applyBorder="1" applyAlignment="1" applyProtection="1">
      <alignment horizontal="center" vertical="center"/>
      <protection locked="0"/>
    </xf>
    <xf numFmtId="2" fontId="5" fillId="2" borderId="18" xfId="0" applyNumberFormat="1" applyFont="1" applyFill="1" applyBorder="1" applyAlignment="1" applyProtection="1">
      <alignment horizontal="center" vertical="center"/>
      <protection locked="0"/>
    </xf>
    <xf numFmtId="2" fontId="5" fillId="2" borderId="71" xfId="0" applyNumberFormat="1" applyFont="1" applyFill="1" applyBorder="1" applyAlignment="1" applyProtection="1">
      <alignment horizontal="center" vertical="center"/>
      <protection locked="0"/>
    </xf>
    <xf numFmtId="2" fontId="5" fillId="2" borderId="82" xfId="0" applyNumberFormat="1" applyFont="1" applyFill="1" applyBorder="1" applyAlignment="1" applyProtection="1">
      <alignment horizontal="center" vertical="center"/>
      <protection locked="0"/>
    </xf>
    <xf numFmtId="2" fontId="5" fillId="2" borderId="74" xfId="0" applyNumberFormat="1" applyFont="1" applyFill="1" applyBorder="1" applyAlignment="1" applyProtection="1">
      <alignment horizontal="center" vertical="center"/>
      <protection locked="0"/>
    </xf>
    <xf numFmtId="2" fontId="5" fillId="0" borderId="7" xfId="0" applyNumberFormat="1" applyFont="1" applyBorder="1" applyAlignment="1" applyProtection="1">
      <alignment horizontal="center" vertical="center" wrapText="1"/>
      <protection locked="0"/>
    </xf>
    <xf numFmtId="1" fontId="9" fillId="2" borderId="83" xfId="0" applyNumberFormat="1" applyFont="1" applyFill="1" applyBorder="1" applyAlignment="1" applyProtection="1">
      <alignment horizontal="center" vertical="center"/>
      <protection locked="0"/>
    </xf>
    <xf numFmtId="1" fontId="9" fillId="2" borderId="84" xfId="0" applyNumberFormat="1" applyFont="1" applyFill="1" applyBorder="1" applyAlignment="1" applyProtection="1">
      <alignment horizontal="center" vertical="center"/>
      <protection locked="0"/>
    </xf>
    <xf numFmtId="165" fontId="6" fillId="6" borderId="68" xfId="0" applyNumberFormat="1" applyFont="1" applyFill="1" applyBorder="1" applyAlignment="1" applyProtection="1">
      <alignment vertical="center"/>
    </xf>
    <xf numFmtId="165" fontId="6" fillId="6" borderId="69" xfId="0" applyNumberFormat="1" applyFont="1" applyFill="1" applyBorder="1" applyAlignment="1" applyProtection="1">
      <alignment vertical="center"/>
    </xf>
    <xf numFmtId="0" fontId="9" fillId="2" borderId="32" xfId="0" applyNumberFormat="1" applyFont="1" applyFill="1" applyBorder="1" applyAlignment="1" applyProtection="1">
      <alignment horizontal="center" vertical="center"/>
      <protection locked="0"/>
    </xf>
    <xf numFmtId="0" fontId="9" fillId="0" borderId="25" xfId="0" applyNumberFormat="1" applyFont="1" applyBorder="1" applyAlignment="1" applyProtection="1">
      <alignment horizontal="center" vertical="center"/>
      <protection locked="0"/>
    </xf>
    <xf numFmtId="165" fontId="8" fillId="0" borderId="9" xfId="0" applyNumberFormat="1" applyFont="1" applyBorder="1" applyProtection="1"/>
    <xf numFmtId="165" fontId="8" fillId="0" borderId="0" xfId="0" applyNumberFormat="1" applyFont="1" applyBorder="1" applyProtection="1"/>
    <xf numFmtId="165" fontId="5" fillId="0" borderId="0" xfId="0" applyNumberFormat="1" applyFont="1" applyAlignment="1" applyProtection="1">
      <alignment horizontal="center" vertical="center" textRotation="90"/>
    </xf>
    <xf numFmtId="165" fontId="6" fillId="5" borderId="2" xfId="0" applyNumberFormat="1" applyFont="1" applyFill="1" applyBorder="1" applyAlignment="1" applyProtection="1">
      <alignment horizontal="center" vertical="center"/>
    </xf>
    <xf numFmtId="165" fontId="6" fillId="4" borderId="9" xfId="0" applyNumberFormat="1" applyFont="1" applyFill="1" applyBorder="1" applyAlignment="1" applyProtection="1">
      <alignment horizontal="center" vertical="center" wrapText="1"/>
    </xf>
    <xf numFmtId="165" fontId="6" fillId="4" borderId="10" xfId="0" applyNumberFormat="1" applyFont="1" applyFill="1" applyBorder="1" applyAlignment="1" applyProtection="1">
      <alignment horizontal="center" vertical="center" wrapText="1"/>
    </xf>
    <xf numFmtId="165" fontId="6" fillId="4" borderId="14" xfId="0" applyNumberFormat="1" applyFont="1" applyFill="1" applyBorder="1" applyAlignment="1" applyProtection="1">
      <alignment horizontal="center" vertical="center" wrapText="1"/>
    </xf>
    <xf numFmtId="14" fontId="9" fillId="2" borderId="24" xfId="0" applyNumberFormat="1" applyFont="1" applyFill="1" applyBorder="1" applyAlignment="1" applyProtection="1">
      <alignment horizontal="center" vertical="center"/>
      <protection locked="0"/>
    </xf>
    <xf numFmtId="1" fontId="9" fillId="0" borderId="26" xfId="0" applyNumberFormat="1" applyFont="1" applyBorder="1" applyAlignment="1" applyProtection="1">
      <alignment horizontal="center" vertical="center"/>
      <protection locked="0"/>
    </xf>
    <xf numFmtId="0" fontId="9" fillId="0" borderId="27" xfId="0" applyNumberFormat="1" applyFont="1" applyBorder="1" applyAlignment="1" applyProtection="1">
      <alignment horizontal="center" vertical="center"/>
      <protection locked="0"/>
    </xf>
    <xf numFmtId="14" fontId="9" fillId="2" borderId="37" xfId="0" applyNumberFormat="1" applyFont="1" applyFill="1" applyBorder="1" applyAlignment="1" applyProtection="1">
      <alignment horizontal="center" vertical="center"/>
      <protection locked="0"/>
    </xf>
    <xf numFmtId="1" fontId="9" fillId="2" borderId="78" xfId="0" applyNumberFormat="1" applyFont="1" applyFill="1" applyBorder="1" applyAlignment="1" applyProtection="1">
      <alignment horizontal="center" vertical="center"/>
      <protection locked="0"/>
    </xf>
    <xf numFmtId="1" fontId="9" fillId="2" borderId="76" xfId="0" applyNumberFormat="1" applyFont="1" applyFill="1" applyBorder="1" applyAlignment="1" applyProtection="1">
      <alignment horizontal="center" vertical="center"/>
      <protection locked="0"/>
    </xf>
    <xf numFmtId="165" fontId="5" fillId="0" borderId="0" xfId="0" applyNumberFormat="1" applyFont="1" applyAlignment="1" applyProtection="1">
      <alignment horizontal="center" vertical="center" textRotation="90"/>
    </xf>
    <xf numFmtId="165" fontId="5" fillId="0" borderId="0" xfId="0" applyNumberFormat="1" applyFont="1" applyAlignment="1" applyProtection="1">
      <alignment horizontal="center" vertical="center" textRotation="90"/>
    </xf>
    <xf numFmtId="165" fontId="6" fillId="7" borderId="2" xfId="0" applyNumberFormat="1" applyFont="1" applyFill="1" applyBorder="1" applyAlignment="1" applyProtection="1">
      <alignment horizontal="center" vertical="center"/>
    </xf>
    <xf numFmtId="165" fontId="6" fillId="19" borderId="36" xfId="0" applyNumberFormat="1" applyFont="1" applyFill="1" applyBorder="1" applyAlignment="1" applyProtection="1">
      <alignment vertical="center"/>
    </xf>
    <xf numFmtId="165" fontId="6" fillId="19" borderId="30" xfId="0" applyNumberFormat="1" applyFont="1" applyFill="1" applyBorder="1" applyAlignment="1" applyProtection="1">
      <alignment vertical="center"/>
    </xf>
    <xf numFmtId="165" fontId="8" fillId="0" borderId="0" xfId="0" applyNumberFormat="1" applyFont="1" applyProtection="1">
      <protection locked="0"/>
    </xf>
    <xf numFmtId="14" fontId="5" fillId="0" borderId="28" xfId="0" applyNumberFormat="1" applyFont="1" applyFill="1" applyBorder="1" applyAlignment="1" applyProtection="1">
      <alignment horizontal="center" vertical="center"/>
      <protection locked="0"/>
    </xf>
    <xf numFmtId="167" fontId="5" fillId="0" borderId="30" xfId="0" applyNumberFormat="1" applyFont="1" applyFill="1" applyBorder="1" applyAlignment="1" applyProtection="1">
      <alignment horizontal="center" vertical="center"/>
      <protection locked="0"/>
    </xf>
    <xf numFmtId="14" fontId="5" fillId="0" borderId="36" xfId="0" applyNumberFormat="1" applyFont="1" applyFill="1" applyBorder="1" applyAlignment="1" applyProtection="1">
      <alignment horizontal="center" vertical="center"/>
      <protection locked="0"/>
    </xf>
    <xf numFmtId="167" fontId="5" fillId="0" borderId="25" xfId="0" applyNumberFormat="1" applyFont="1" applyFill="1" applyBorder="1" applyAlignment="1" applyProtection="1">
      <alignment horizontal="center" vertical="center"/>
      <protection locked="0"/>
    </xf>
    <xf numFmtId="1" fontId="5" fillId="0" borderId="28" xfId="0" applyNumberFormat="1" applyFont="1" applyFill="1" applyBorder="1" applyAlignment="1" applyProtection="1">
      <alignment horizontal="center" vertical="center"/>
      <protection locked="0"/>
    </xf>
    <xf numFmtId="1" fontId="5" fillId="0" borderId="30" xfId="0" applyNumberFormat="1" applyFont="1" applyFill="1" applyBorder="1" applyAlignment="1" applyProtection="1">
      <alignment horizontal="center" vertical="center"/>
      <protection locked="0"/>
    </xf>
    <xf numFmtId="1" fontId="5" fillId="0" borderId="63" xfId="0" applyNumberFormat="1" applyFont="1" applyFill="1" applyBorder="1" applyAlignment="1" applyProtection="1">
      <alignment horizontal="center" vertical="center"/>
      <protection locked="0"/>
    </xf>
    <xf numFmtId="1" fontId="5" fillId="0" borderId="55" xfId="0" applyNumberFormat="1" applyFont="1" applyFill="1" applyBorder="1" applyAlignment="1" applyProtection="1">
      <alignment horizontal="center" vertical="center"/>
      <protection locked="0"/>
    </xf>
    <xf numFmtId="165" fontId="5" fillId="0" borderId="0" xfId="0" applyNumberFormat="1" applyFont="1" applyAlignment="1" applyProtection="1">
      <alignment horizontal="center" vertical="center" textRotation="90"/>
    </xf>
    <xf numFmtId="165" fontId="5" fillId="0" borderId="0" xfId="0" applyNumberFormat="1" applyFont="1" applyAlignment="1" applyProtection="1">
      <alignment horizontal="center"/>
    </xf>
    <xf numFmtId="0" fontId="5" fillId="0" borderId="0" xfId="0" applyNumberFormat="1" applyFont="1" applyAlignment="1" applyProtection="1">
      <alignment horizontal="center" vertical="center" wrapText="1"/>
    </xf>
    <xf numFmtId="0" fontId="5" fillId="0" borderId="2" xfId="0" applyNumberFormat="1" applyFont="1" applyBorder="1" applyAlignment="1" applyProtection="1">
      <alignment horizontal="center" vertical="center" wrapText="1"/>
      <protection locked="0"/>
    </xf>
    <xf numFmtId="0" fontId="5" fillId="0" borderId="2" xfId="0" applyNumberFormat="1" applyFont="1" applyBorder="1" applyAlignment="1" applyProtection="1">
      <alignment vertical="center" wrapText="1"/>
      <protection locked="0"/>
    </xf>
    <xf numFmtId="165" fontId="5" fillId="0" borderId="0" xfId="0" applyNumberFormat="1" applyFont="1" applyAlignment="1" applyProtection="1">
      <alignment horizontal="center" vertical="center" textRotation="90"/>
    </xf>
    <xf numFmtId="1" fontId="5" fillId="0" borderId="30" xfId="0" applyNumberFormat="1" applyFont="1" applyFill="1" applyBorder="1" applyAlignment="1" applyProtection="1">
      <alignment horizontal="center" vertical="center"/>
      <protection locked="0"/>
    </xf>
    <xf numFmtId="167" fontId="5" fillId="0" borderId="30" xfId="0" applyNumberFormat="1" applyFont="1" applyFill="1" applyBorder="1" applyAlignment="1" applyProtection="1">
      <alignment horizontal="center" vertical="center"/>
      <protection locked="0"/>
    </xf>
    <xf numFmtId="165" fontId="6" fillId="4" borderId="11" xfId="0" applyNumberFormat="1" applyFont="1" applyFill="1" applyBorder="1" applyAlignment="1" applyProtection="1">
      <alignment horizontal="center" vertical="center" wrapText="1"/>
    </xf>
    <xf numFmtId="165" fontId="6" fillId="4" borderId="12" xfId="0" applyNumberFormat="1" applyFont="1" applyFill="1" applyBorder="1" applyAlignment="1" applyProtection="1">
      <alignment horizontal="center" vertical="center" wrapText="1"/>
    </xf>
    <xf numFmtId="165" fontId="6" fillId="4" borderId="2" xfId="0" applyNumberFormat="1" applyFont="1" applyFill="1" applyBorder="1" applyAlignment="1" applyProtection="1">
      <alignment horizontal="center" vertical="center" wrapText="1"/>
    </xf>
    <xf numFmtId="0" fontId="4" fillId="0" borderId="0" xfId="0" applyFont="1" applyAlignment="1">
      <alignment horizontal="left" vertical="center"/>
    </xf>
    <xf numFmtId="0" fontId="5" fillId="0" borderId="7" xfId="0" applyFont="1" applyBorder="1" applyAlignment="1" applyProtection="1">
      <alignment vertical="center"/>
      <protection locked="0"/>
    </xf>
    <xf numFmtId="0" fontId="5" fillId="0" borderId="20" xfId="0" applyFont="1" applyBorder="1" applyAlignment="1" applyProtection="1">
      <alignment vertical="center"/>
      <protection locked="0"/>
    </xf>
    <xf numFmtId="0" fontId="5" fillId="0" borderId="8" xfId="0" applyFont="1" applyBorder="1" applyAlignment="1" applyProtection="1">
      <alignment vertical="center"/>
      <protection locked="0"/>
    </xf>
    <xf numFmtId="165" fontId="6" fillId="7" borderId="7" xfId="0" applyNumberFormat="1" applyFont="1" applyFill="1" applyBorder="1" applyAlignment="1" applyProtection="1">
      <alignment vertical="center" wrapText="1"/>
    </xf>
    <xf numFmtId="165" fontId="6" fillId="7" borderId="20" xfId="0" applyNumberFormat="1" applyFont="1" applyFill="1" applyBorder="1" applyAlignment="1" applyProtection="1">
      <alignment vertical="center"/>
    </xf>
    <xf numFmtId="165" fontId="6" fillId="7" borderId="8" xfId="0" applyNumberFormat="1" applyFont="1" applyFill="1" applyBorder="1" applyAlignment="1" applyProtection="1">
      <alignment vertical="center"/>
    </xf>
    <xf numFmtId="165" fontId="6" fillId="14" borderId="17" xfId="0" applyNumberFormat="1" applyFont="1" applyFill="1" applyBorder="1" applyAlignment="1" applyProtection="1">
      <alignment horizontal="center" vertical="center"/>
    </xf>
    <xf numFmtId="165" fontId="6" fillId="14" borderId="10" xfId="0" applyNumberFormat="1" applyFont="1" applyFill="1" applyBorder="1" applyAlignment="1" applyProtection="1">
      <alignment horizontal="center" vertical="center"/>
    </xf>
    <xf numFmtId="165" fontId="6" fillId="14" borderId="14" xfId="0" applyNumberFormat="1" applyFont="1" applyFill="1" applyBorder="1" applyAlignment="1" applyProtection="1">
      <alignment horizontal="center" vertical="center"/>
    </xf>
    <xf numFmtId="165" fontId="5" fillId="0" borderId="0" xfId="0" applyNumberFormat="1" applyFont="1" applyAlignment="1" applyProtection="1">
      <alignment horizontal="center" vertical="center" textRotation="90"/>
    </xf>
    <xf numFmtId="165" fontId="28" fillId="7" borderId="7" xfId="0" applyNumberFormat="1" applyFont="1" applyFill="1" applyBorder="1" applyAlignment="1" applyProtection="1">
      <alignment horizontal="center" vertical="center"/>
    </xf>
    <xf numFmtId="165" fontId="28" fillId="7" borderId="20" xfId="0" applyNumberFormat="1" applyFont="1" applyFill="1" applyBorder="1" applyAlignment="1" applyProtection="1">
      <alignment horizontal="center" vertical="center"/>
    </xf>
    <xf numFmtId="165" fontId="28" fillId="7" borderId="8" xfId="0" applyNumberFormat="1" applyFont="1" applyFill="1" applyBorder="1" applyAlignment="1" applyProtection="1">
      <alignment horizontal="center" vertical="center"/>
    </xf>
    <xf numFmtId="165" fontId="6" fillId="5" borderId="2" xfId="0" applyNumberFormat="1" applyFont="1" applyFill="1" applyBorder="1" applyAlignment="1" applyProtection="1">
      <alignment horizontal="center" vertical="center"/>
    </xf>
    <xf numFmtId="165" fontId="6" fillId="5" borderId="11" xfId="0" applyNumberFormat="1" applyFont="1" applyFill="1" applyBorder="1" applyAlignment="1" applyProtection="1">
      <alignment horizontal="center" vertical="center"/>
    </xf>
    <xf numFmtId="165" fontId="6" fillId="19" borderId="11" xfId="0" applyNumberFormat="1" applyFont="1" applyFill="1" applyBorder="1" applyAlignment="1" applyProtection="1">
      <alignment horizontal="center" vertical="center" wrapText="1"/>
    </xf>
    <xf numFmtId="165" fontId="6" fillId="19" borderId="13" xfId="0" applyNumberFormat="1" applyFont="1" applyFill="1" applyBorder="1" applyAlignment="1" applyProtection="1">
      <alignment horizontal="center" vertical="center" wrapText="1"/>
    </xf>
    <xf numFmtId="165" fontId="6" fillId="18" borderId="20" xfId="0" applyNumberFormat="1" applyFont="1" applyFill="1" applyBorder="1" applyAlignment="1" applyProtection="1">
      <alignment horizontal="center" vertical="center"/>
    </xf>
    <xf numFmtId="165" fontId="6" fillId="18" borderId="8" xfId="0" applyNumberFormat="1" applyFont="1" applyFill="1" applyBorder="1" applyAlignment="1" applyProtection="1">
      <alignment horizontal="center" vertical="center"/>
    </xf>
    <xf numFmtId="165" fontId="6" fillId="14" borderId="7" xfId="0" applyNumberFormat="1" applyFont="1" applyFill="1" applyBorder="1" applyAlignment="1" applyProtection="1">
      <alignment horizontal="center" vertical="center"/>
    </xf>
    <xf numFmtId="165" fontId="6" fillId="14" borderId="20" xfId="0" applyNumberFormat="1" applyFont="1" applyFill="1" applyBorder="1" applyAlignment="1" applyProtection="1">
      <alignment horizontal="center" vertical="center"/>
    </xf>
    <xf numFmtId="165" fontId="6" fillId="14" borderId="8" xfId="0" applyNumberFormat="1" applyFont="1" applyFill="1" applyBorder="1" applyAlignment="1" applyProtection="1">
      <alignment horizontal="center" vertical="center"/>
    </xf>
    <xf numFmtId="165" fontId="6" fillId="0" borderId="0" xfId="0" applyNumberFormat="1" applyFont="1" applyBorder="1" applyAlignment="1" applyProtection="1">
      <alignment horizontal="center" vertical="center"/>
    </xf>
    <xf numFmtId="165" fontId="27" fillId="25" borderId="5" xfId="0" applyNumberFormat="1" applyFont="1" applyFill="1" applyBorder="1" applyAlignment="1" applyProtection="1">
      <alignment horizontal="center" vertical="center"/>
    </xf>
    <xf numFmtId="165" fontId="28" fillId="7" borderId="2" xfId="0" applyNumberFormat="1" applyFont="1" applyFill="1" applyBorder="1" applyAlignment="1" applyProtection="1">
      <alignment horizontal="center" vertical="center"/>
    </xf>
    <xf numFmtId="165" fontId="6" fillId="5" borderId="13" xfId="0" applyNumberFormat="1" applyFont="1" applyFill="1" applyBorder="1" applyAlignment="1" applyProtection="1">
      <alignment horizontal="center" vertical="center"/>
    </xf>
    <xf numFmtId="165" fontId="6" fillId="19" borderId="12" xfId="0" applyNumberFormat="1" applyFont="1" applyFill="1" applyBorder="1" applyAlignment="1" applyProtection="1">
      <alignment horizontal="center" vertical="center" wrapText="1"/>
    </xf>
    <xf numFmtId="165" fontId="6" fillId="19" borderId="18" xfId="0" applyNumberFormat="1" applyFont="1" applyFill="1" applyBorder="1" applyAlignment="1" applyProtection="1">
      <alignment horizontal="center" vertical="center" wrapText="1"/>
    </xf>
    <xf numFmtId="165" fontId="6" fillId="18" borderId="18" xfId="0" applyNumberFormat="1" applyFont="1" applyFill="1" applyBorder="1" applyAlignment="1" applyProtection="1">
      <alignment horizontal="center" vertical="center"/>
    </xf>
    <xf numFmtId="165" fontId="6" fillId="18" borderId="16" xfId="0" applyNumberFormat="1" applyFont="1" applyFill="1" applyBorder="1" applyAlignment="1" applyProtection="1">
      <alignment horizontal="center" vertical="center"/>
    </xf>
    <xf numFmtId="43" fontId="5" fillId="0" borderId="7" xfId="4" applyFont="1" applyBorder="1" applyAlignment="1" applyProtection="1">
      <alignment vertical="center" wrapText="1"/>
      <protection locked="0"/>
    </xf>
    <xf numFmtId="43" fontId="5" fillId="0" borderId="8" xfId="4" applyFont="1" applyBorder="1" applyAlignment="1" applyProtection="1">
      <alignment vertical="center" wrapText="1"/>
      <protection locked="0"/>
    </xf>
    <xf numFmtId="43" fontId="5" fillId="0" borderId="7" xfId="4" applyFont="1" applyBorder="1" applyAlignment="1" applyProtection="1">
      <alignment horizontal="right" vertical="center" wrapText="1"/>
      <protection locked="0"/>
    </xf>
    <xf numFmtId="43" fontId="5" fillId="0" borderId="8" xfId="4" applyFont="1" applyBorder="1" applyAlignment="1" applyProtection="1">
      <alignment horizontal="right" vertical="center" wrapText="1"/>
      <protection locked="0"/>
    </xf>
    <xf numFmtId="1" fontId="9" fillId="2" borderId="11" xfId="0" applyNumberFormat="1" applyFont="1" applyFill="1" applyBorder="1" applyAlignment="1" applyProtection="1">
      <alignment horizontal="center" vertical="center"/>
    </xf>
    <xf numFmtId="1" fontId="9" fillId="2" borderId="13" xfId="0" applyNumberFormat="1" applyFont="1" applyFill="1" applyBorder="1" applyAlignment="1" applyProtection="1">
      <alignment horizontal="center" vertical="center"/>
    </xf>
    <xf numFmtId="2" fontId="9" fillId="2" borderId="11" xfId="0" applyNumberFormat="1" applyFont="1" applyFill="1" applyBorder="1" applyAlignment="1" applyProtection="1">
      <alignment horizontal="center" vertical="center"/>
    </xf>
    <xf numFmtId="2" fontId="9" fillId="2" borderId="13" xfId="0" applyNumberFormat="1" applyFont="1" applyFill="1" applyBorder="1" applyAlignment="1" applyProtection="1">
      <alignment horizontal="center" vertical="center"/>
    </xf>
    <xf numFmtId="2" fontId="9" fillId="2" borderId="12" xfId="0" applyNumberFormat="1" applyFont="1" applyFill="1" applyBorder="1" applyAlignment="1" applyProtection="1">
      <alignment horizontal="center" vertical="center"/>
    </xf>
    <xf numFmtId="165" fontId="6" fillId="8" borderId="17" xfId="0" applyNumberFormat="1" applyFont="1" applyFill="1" applyBorder="1" applyAlignment="1" applyProtection="1">
      <alignment horizontal="center" vertical="center" wrapText="1"/>
    </xf>
    <xf numFmtId="165" fontId="6" fillId="8" borderId="14" xfId="0" applyNumberFormat="1" applyFont="1" applyFill="1" applyBorder="1" applyAlignment="1" applyProtection="1">
      <alignment horizontal="center" vertical="center" wrapText="1"/>
    </xf>
    <xf numFmtId="165" fontId="6" fillId="8" borderId="18" xfId="0" applyNumberFormat="1" applyFont="1" applyFill="1" applyBorder="1" applyAlignment="1" applyProtection="1">
      <alignment horizontal="center" vertical="center" wrapText="1"/>
    </xf>
    <xf numFmtId="165" fontId="6" fillId="8" borderId="16" xfId="0" applyNumberFormat="1" applyFont="1" applyFill="1" applyBorder="1" applyAlignment="1" applyProtection="1">
      <alignment horizontal="center" vertical="center" wrapText="1"/>
    </xf>
    <xf numFmtId="165" fontId="6" fillId="8" borderId="10" xfId="0" applyNumberFormat="1" applyFont="1" applyFill="1" applyBorder="1" applyAlignment="1" applyProtection="1">
      <alignment horizontal="center" vertical="center" wrapText="1"/>
    </xf>
    <xf numFmtId="165" fontId="6" fillId="14" borderId="17" xfId="0" applyNumberFormat="1" applyFont="1" applyFill="1" applyBorder="1" applyAlignment="1" applyProtection="1">
      <alignment horizontal="center" vertical="center" wrapText="1"/>
    </xf>
    <xf numFmtId="165" fontId="6" fillId="14" borderId="14" xfId="0" applyNumberFormat="1" applyFont="1" applyFill="1" applyBorder="1" applyAlignment="1" applyProtection="1">
      <alignment horizontal="center" vertical="center" wrapText="1"/>
    </xf>
    <xf numFmtId="165" fontId="6" fillId="14" borderId="18" xfId="0" applyNumberFormat="1" applyFont="1" applyFill="1" applyBorder="1" applyAlignment="1" applyProtection="1">
      <alignment horizontal="center" vertical="center" wrapText="1"/>
    </xf>
    <xf numFmtId="165" fontId="6" fillId="14" borderId="16" xfId="0" applyNumberFormat="1" applyFont="1" applyFill="1" applyBorder="1" applyAlignment="1" applyProtection="1">
      <alignment horizontal="center" vertical="center" wrapText="1"/>
    </xf>
    <xf numFmtId="165" fontId="6" fillId="14" borderId="10" xfId="0" applyNumberFormat="1" applyFont="1" applyFill="1" applyBorder="1" applyAlignment="1" applyProtection="1">
      <alignment horizontal="center" vertical="center" wrapText="1"/>
    </xf>
    <xf numFmtId="165" fontId="6" fillId="18" borderId="17" xfId="0" applyNumberFormat="1" applyFont="1" applyFill="1" applyBorder="1" applyAlignment="1" applyProtection="1">
      <alignment horizontal="center" vertical="center" wrapText="1"/>
    </xf>
    <xf numFmtId="165" fontId="6" fillId="18" borderId="10" xfId="0" applyNumberFormat="1" applyFont="1" applyFill="1" applyBorder="1" applyAlignment="1" applyProtection="1">
      <alignment horizontal="center" vertical="center" wrapText="1"/>
    </xf>
    <xf numFmtId="165" fontId="6" fillId="18" borderId="14" xfId="0" applyNumberFormat="1" applyFont="1" applyFill="1" applyBorder="1" applyAlignment="1" applyProtection="1">
      <alignment horizontal="center" vertical="center" wrapText="1"/>
    </xf>
    <xf numFmtId="165" fontId="6" fillId="18" borderId="18" xfId="0" applyNumberFormat="1" applyFont="1" applyFill="1" applyBorder="1" applyAlignment="1" applyProtection="1">
      <alignment horizontal="center" vertical="center" wrapText="1"/>
    </xf>
    <xf numFmtId="165" fontId="6" fillId="18" borderId="16" xfId="0" applyNumberFormat="1" applyFont="1" applyFill="1" applyBorder="1" applyAlignment="1" applyProtection="1">
      <alignment horizontal="center" vertical="center" wrapText="1"/>
    </xf>
    <xf numFmtId="165" fontId="6" fillId="7" borderId="11" xfId="0" applyNumberFormat="1" applyFont="1" applyFill="1" applyBorder="1" applyAlignment="1" applyProtection="1">
      <alignment vertical="center" wrapText="1"/>
    </xf>
    <xf numFmtId="165" fontId="6" fillId="7" borderId="12" xfId="0" applyNumberFormat="1" applyFont="1" applyFill="1" applyBorder="1" applyAlignment="1" applyProtection="1">
      <alignment vertical="center" wrapText="1"/>
    </xf>
    <xf numFmtId="165" fontId="6" fillId="7" borderId="13" xfId="0" applyNumberFormat="1" applyFont="1" applyFill="1" applyBorder="1" applyAlignment="1" applyProtection="1">
      <alignment vertical="center" wrapText="1"/>
    </xf>
    <xf numFmtId="0" fontId="9" fillId="2" borderId="24" xfId="5" applyNumberFormat="1" applyFont="1" applyFill="1" applyBorder="1" applyAlignment="1" applyProtection="1">
      <alignment vertical="center"/>
      <protection locked="0"/>
    </xf>
    <xf numFmtId="0" fontId="9" fillId="2" borderId="43" xfId="5" applyNumberFormat="1" applyFont="1" applyFill="1" applyBorder="1" applyAlignment="1" applyProtection="1">
      <alignment vertical="center"/>
      <protection locked="0"/>
    </xf>
    <xf numFmtId="0" fontId="9" fillId="2" borderId="33" xfId="5" applyNumberFormat="1" applyFont="1" applyFill="1" applyBorder="1" applyAlignment="1" applyProtection="1">
      <alignment vertical="center"/>
      <protection locked="0"/>
    </xf>
    <xf numFmtId="0" fontId="9" fillId="2" borderId="36" xfId="5" applyNumberFormat="1" applyFont="1" applyFill="1" applyBorder="1" applyAlignment="1" applyProtection="1">
      <alignment vertical="center"/>
      <protection locked="0"/>
    </xf>
    <xf numFmtId="0" fontId="9" fillId="2" borderId="44" xfId="5" applyNumberFormat="1" applyFont="1" applyFill="1" applyBorder="1" applyAlignment="1" applyProtection="1">
      <alignment vertical="center"/>
      <protection locked="0"/>
    </xf>
    <xf numFmtId="0" fontId="9" fillId="2" borderId="30" xfId="5" applyNumberFormat="1" applyFont="1" applyFill="1" applyBorder="1" applyAlignment="1" applyProtection="1">
      <alignment vertical="center"/>
      <protection locked="0"/>
    </xf>
    <xf numFmtId="0" fontId="9" fillId="2" borderId="56" xfId="5" applyNumberFormat="1" applyFont="1" applyFill="1" applyBorder="1" applyAlignment="1" applyProtection="1">
      <alignment vertical="center"/>
      <protection locked="0"/>
    </xf>
    <xf numFmtId="0" fontId="9" fillId="2" borderId="60" xfId="5" applyNumberFormat="1" applyFont="1" applyFill="1" applyBorder="1" applyAlignment="1" applyProtection="1">
      <alignment vertical="center"/>
      <protection locked="0"/>
    </xf>
    <xf numFmtId="0" fontId="9" fillId="2" borderId="57" xfId="5" applyNumberFormat="1" applyFont="1" applyFill="1" applyBorder="1" applyAlignment="1" applyProtection="1">
      <alignment vertical="center"/>
      <protection locked="0"/>
    </xf>
    <xf numFmtId="0" fontId="9" fillId="7" borderId="7" xfId="5" applyNumberFormat="1" applyFont="1" applyFill="1" applyBorder="1" applyAlignment="1" applyProtection="1">
      <alignment vertical="center"/>
    </xf>
    <xf numFmtId="0" fontId="9" fillId="7" borderId="20" xfId="5" applyNumberFormat="1" applyFont="1" applyFill="1" applyBorder="1" applyAlignment="1" applyProtection="1">
      <alignment vertical="center"/>
    </xf>
    <xf numFmtId="0" fontId="9" fillId="7" borderId="8" xfId="5" applyNumberFormat="1" applyFont="1" applyFill="1" applyBorder="1" applyAlignment="1" applyProtection="1">
      <alignment vertical="center"/>
    </xf>
    <xf numFmtId="165" fontId="6" fillId="5" borderId="17" xfId="0" applyNumberFormat="1" applyFont="1" applyFill="1" applyBorder="1" applyAlignment="1" applyProtection="1">
      <alignment horizontal="center" vertical="center"/>
    </xf>
    <xf numFmtId="165" fontId="6" fillId="5" borderId="18" xfId="0" applyNumberFormat="1" applyFont="1" applyFill="1" applyBorder="1" applyAlignment="1" applyProtection="1">
      <alignment horizontal="center" vertical="center"/>
    </xf>
    <xf numFmtId="165" fontId="6" fillId="8" borderId="11" xfId="0" applyNumberFormat="1" applyFont="1" applyFill="1" applyBorder="1" applyAlignment="1" applyProtection="1">
      <alignment horizontal="center" vertical="center" wrapText="1"/>
    </xf>
    <xf numFmtId="165" fontId="6" fillId="8" borderId="13" xfId="0" applyNumberFormat="1" applyFont="1" applyFill="1" applyBorder="1" applyAlignment="1" applyProtection="1">
      <alignment horizontal="center" vertical="center" wrapText="1"/>
    </xf>
    <xf numFmtId="165" fontId="6" fillId="18" borderId="11" xfId="0" applyNumberFormat="1" applyFont="1" applyFill="1" applyBorder="1" applyAlignment="1" applyProtection="1">
      <alignment horizontal="center" vertical="center" wrapText="1"/>
    </xf>
    <xf numFmtId="165" fontId="6" fillId="18" borderId="13" xfId="0" applyNumberFormat="1" applyFont="1" applyFill="1" applyBorder="1" applyAlignment="1" applyProtection="1">
      <alignment horizontal="center" vertical="center" wrapText="1"/>
    </xf>
    <xf numFmtId="165" fontId="6" fillId="15" borderId="17" xfId="0" applyNumberFormat="1" applyFont="1" applyFill="1" applyBorder="1" applyAlignment="1" applyProtection="1">
      <alignment horizontal="center" vertical="center" wrapText="1"/>
    </xf>
    <xf numFmtId="165" fontId="6" fillId="15" borderId="10" xfId="0" applyNumberFormat="1" applyFont="1" applyFill="1" applyBorder="1" applyAlignment="1" applyProtection="1">
      <alignment horizontal="center" vertical="center" wrapText="1"/>
    </xf>
    <xf numFmtId="165" fontId="6" fillId="15" borderId="14" xfId="0" applyNumberFormat="1" applyFont="1" applyFill="1" applyBorder="1" applyAlignment="1" applyProtection="1">
      <alignment horizontal="center" vertical="center" wrapText="1"/>
    </xf>
    <xf numFmtId="165" fontId="6" fillId="15" borderId="18" xfId="0" applyNumberFormat="1" applyFont="1" applyFill="1" applyBorder="1" applyAlignment="1" applyProtection="1">
      <alignment horizontal="center" vertical="center" wrapText="1"/>
    </xf>
    <xf numFmtId="165" fontId="6" fillId="15" borderId="5" xfId="0" applyNumberFormat="1" applyFont="1" applyFill="1" applyBorder="1" applyAlignment="1" applyProtection="1">
      <alignment horizontal="center" vertical="center" wrapText="1"/>
    </xf>
    <xf numFmtId="165" fontId="6" fillId="15" borderId="16" xfId="0" applyNumberFormat="1" applyFont="1" applyFill="1" applyBorder="1" applyAlignment="1" applyProtection="1">
      <alignment horizontal="center" vertical="center" wrapText="1"/>
    </xf>
    <xf numFmtId="165" fontId="6" fillId="7" borderId="24" xfId="0" applyNumberFormat="1" applyFont="1" applyFill="1" applyBorder="1" applyAlignment="1" applyProtection="1">
      <alignment vertical="center" wrapText="1"/>
    </xf>
    <xf numFmtId="165" fontId="6" fillId="7" borderId="33" xfId="0" applyNumberFormat="1" applyFont="1" applyFill="1" applyBorder="1" applyAlignment="1" applyProtection="1">
      <alignment vertical="center" wrapText="1"/>
    </xf>
    <xf numFmtId="165" fontId="6" fillId="7" borderId="36" xfId="0" applyNumberFormat="1" applyFont="1" applyFill="1" applyBorder="1" applyAlignment="1" applyProtection="1">
      <alignment vertical="center" wrapText="1"/>
    </xf>
    <xf numFmtId="165" fontId="6" fillId="7" borderId="30" xfId="0" applyNumberFormat="1" applyFont="1" applyFill="1" applyBorder="1" applyAlignment="1" applyProtection="1">
      <alignment vertical="center" wrapText="1"/>
    </xf>
    <xf numFmtId="165" fontId="6" fillId="7" borderId="37" xfId="0" applyNumberFormat="1" applyFont="1" applyFill="1" applyBorder="1" applyAlignment="1" applyProtection="1">
      <alignment vertical="center" wrapText="1"/>
    </xf>
    <xf numFmtId="165" fontId="6" fillId="7" borderId="34" xfId="0" applyNumberFormat="1" applyFont="1" applyFill="1" applyBorder="1" applyAlignment="1" applyProtection="1">
      <alignment vertical="center" wrapText="1"/>
    </xf>
    <xf numFmtId="0" fontId="9" fillId="2" borderId="37" xfId="5" applyNumberFormat="1" applyFont="1" applyFill="1" applyBorder="1" applyAlignment="1" applyProtection="1">
      <alignment horizontal="center" vertical="center"/>
      <protection locked="0"/>
    </xf>
    <xf numFmtId="0" fontId="9" fillId="2" borderId="34" xfId="5" applyNumberFormat="1" applyFont="1" applyFill="1" applyBorder="1" applyAlignment="1" applyProtection="1">
      <alignment horizontal="center" vertical="center"/>
      <protection locked="0"/>
    </xf>
    <xf numFmtId="0" fontId="9" fillId="2" borderId="24" xfId="5" applyNumberFormat="1" applyFont="1" applyFill="1" applyBorder="1" applyAlignment="1" applyProtection="1">
      <alignment horizontal="center" vertical="center"/>
      <protection locked="0"/>
    </xf>
    <xf numFmtId="0" fontId="9" fillId="2" borderId="33" xfId="5" applyNumberFormat="1" applyFont="1" applyFill="1" applyBorder="1" applyAlignment="1" applyProtection="1">
      <alignment horizontal="center" vertical="center"/>
      <protection locked="0"/>
    </xf>
    <xf numFmtId="0" fontId="9" fillId="2" borderId="36" xfId="5" applyNumberFormat="1" applyFont="1" applyFill="1" applyBorder="1" applyAlignment="1" applyProtection="1">
      <alignment horizontal="center" vertical="center"/>
      <protection locked="0"/>
    </xf>
    <xf numFmtId="0" fontId="9" fillId="2" borderId="30" xfId="5" applyNumberFormat="1" applyFont="1" applyFill="1" applyBorder="1" applyAlignment="1" applyProtection="1">
      <alignment horizontal="center" vertical="center"/>
      <protection locked="0"/>
    </xf>
    <xf numFmtId="165" fontId="6" fillId="18" borderId="75" xfId="0" applyNumberFormat="1" applyFont="1" applyFill="1" applyBorder="1" applyAlignment="1" applyProtection="1">
      <alignment horizontal="center" vertical="center" wrapText="1"/>
    </xf>
    <xf numFmtId="165" fontId="6" fillId="18" borderId="76" xfId="0" applyNumberFormat="1" applyFont="1" applyFill="1" applyBorder="1" applyAlignment="1" applyProtection="1">
      <alignment horizontal="center" vertical="center" wrapText="1"/>
    </xf>
    <xf numFmtId="165" fontId="6" fillId="23" borderId="11" xfId="0" applyNumberFormat="1" applyFont="1" applyFill="1" applyBorder="1" applyAlignment="1" applyProtection="1">
      <alignment horizontal="center" vertical="center" wrapText="1"/>
    </xf>
    <xf numFmtId="165" fontId="6" fillId="23" borderId="13" xfId="0" applyNumberFormat="1" applyFont="1" applyFill="1" applyBorder="1" applyAlignment="1" applyProtection="1">
      <alignment horizontal="center" vertical="center" wrapText="1"/>
    </xf>
    <xf numFmtId="165" fontId="6" fillId="5" borderId="14" xfId="0" applyNumberFormat="1" applyFont="1" applyFill="1" applyBorder="1" applyAlignment="1" applyProtection="1">
      <alignment horizontal="center" vertical="center"/>
    </xf>
    <xf numFmtId="165" fontId="6" fillId="5" borderId="16" xfId="0" applyNumberFormat="1" applyFont="1" applyFill="1" applyBorder="1" applyAlignment="1" applyProtection="1">
      <alignment horizontal="center" vertical="center"/>
    </xf>
    <xf numFmtId="165" fontId="6" fillId="7" borderId="17" xfId="0" applyNumberFormat="1" applyFont="1" applyFill="1" applyBorder="1" applyAlignment="1" applyProtection="1">
      <alignment vertical="center" wrapText="1"/>
    </xf>
    <xf numFmtId="165" fontId="6" fillId="7" borderId="9" xfId="0" applyNumberFormat="1" applyFont="1" applyFill="1" applyBorder="1" applyAlignment="1" applyProtection="1">
      <alignment vertical="center" wrapText="1"/>
    </xf>
    <xf numFmtId="165" fontId="6" fillId="7" borderId="18" xfId="0" applyNumberFormat="1" applyFont="1" applyFill="1" applyBorder="1" applyAlignment="1" applyProtection="1">
      <alignment vertical="center" wrapText="1"/>
    </xf>
    <xf numFmtId="165" fontId="6" fillId="5" borderId="10" xfId="0" applyNumberFormat="1" applyFont="1" applyFill="1" applyBorder="1" applyAlignment="1" applyProtection="1">
      <alignment horizontal="center" vertical="center"/>
    </xf>
    <xf numFmtId="165" fontId="6" fillId="5" borderId="5" xfId="0" applyNumberFormat="1" applyFont="1" applyFill="1" applyBorder="1" applyAlignment="1" applyProtection="1">
      <alignment horizontal="center" vertical="center"/>
    </xf>
    <xf numFmtId="165" fontId="6" fillId="8" borderId="77" xfId="0" applyNumberFormat="1" applyFont="1" applyFill="1" applyBorder="1" applyAlignment="1" applyProtection="1">
      <alignment horizontal="center" vertical="center" wrapText="1"/>
    </xf>
    <xf numFmtId="165" fontId="6" fillId="8" borderId="78" xfId="0" applyNumberFormat="1" applyFont="1" applyFill="1" applyBorder="1" applyAlignment="1" applyProtection="1">
      <alignment horizontal="center" vertical="center" wrapText="1"/>
    </xf>
    <xf numFmtId="165" fontId="6" fillId="8" borderId="75" xfId="0" applyNumberFormat="1" applyFont="1" applyFill="1" applyBorder="1" applyAlignment="1" applyProtection="1">
      <alignment horizontal="center" vertical="center" wrapText="1"/>
    </xf>
    <xf numFmtId="165" fontId="6" fillId="8" borderId="76" xfId="0" applyNumberFormat="1" applyFont="1" applyFill="1" applyBorder="1" applyAlignment="1" applyProtection="1">
      <alignment horizontal="center" vertical="center" wrapText="1"/>
    </xf>
    <xf numFmtId="165" fontId="6" fillId="18" borderId="81" xfId="0" applyNumberFormat="1" applyFont="1" applyFill="1" applyBorder="1" applyAlignment="1" applyProtection="1">
      <alignment horizontal="center" vertical="center" wrapText="1"/>
    </xf>
    <xf numFmtId="165" fontId="6" fillId="18" borderId="80" xfId="0" applyNumberFormat="1" applyFont="1" applyFill="1" applyBorder="1" applyAlignment="1" applyProtection="1">
      <alignment horizontal="center" vertical="center" wrapText="1"/>
    </xf>
    <xf numFmtId="165" fontId="6" fillId="15" borderId="72" xfId="0" applyNumberFormat="1" applyFont="1" applyFill="1" applyBorder="1" applyAlignment="1" applyProtection="1">
      <alignment horizontal="center" vertical="center" wrapText="1"/>
    </xf>
    <xf numFmtId="165" fontId="6" fillId="15" borderId="73" xfId="0" applyNumberFormat="1" applyFont="1" applyFill="1" applyBorder="1" applyAlignment="1" applyProtection="1">
      <alignment horizontal="center" vertical="center" wrapText="1"/>
    </xf>
    <xf numFmtId="165" fontId="6" fillId="15" borderId="81" xfId="0" applyNumberFormat="1" applyFont="1" applyFill="1" applyBorder="1" applyAlignment="1" applyProtection="1">
      <alignment horizontal="center" vertical="center" wrapText="1"/>
    </xf>
    <xf numFmtId="165" fontId="6" fillId="15" borderId="80" xfId="0" applyNumberFormat="1" applyFont="1" applyFill="1" applyBorder="1" applyAlignment="1" applyProtection="1">
      <alignment horizontal="center" vertical="center" wrapText="1"/>
    </xf>
    <xf numFmtId="165" fontId="6" fillId="18" borderId="72" xfId="0" applyNumberFormat="1" applyFont="1" applyFill="1" applyBorder="1" applyAlignment="1" applyProtection="1">
      <alignment horizontal="center" vertical="center" wrapText="1"/>
    </xf>
    <xf numFmtId="165" fontId="6" fillId="18" borderId="73" xfId="0" applyNumberFormat="1" applyFont="1" applyFill="1" applyBorder="1" applyAlignment="1" applyProtection="1">
      <alignment horizontal="center" vertical="center" wrapText="1"/>
    </xf>
    <xf numFmtId="165" fontId="6" fillId="18" borderId="5" xfId="0" applyNumberFormat="1" applyFont="1" applyFill="1" applyBorder="1" applyAlignment="1" applyProtection="1">
      <alignment horizontal="center" vertical="center" wrapText="1"/>
    </xf>
    <xf numFmtId="165" fontId="6" fillId="7" borderId="36" xfId="0" applyNumberFormat="1" applyFont="1" applyFill="1" applyBorder="1" applyAlignment="1" applyProtection="1">
      <alignment vertical="center"/>
    </xf>
    <xf numFmtId="165" fontId="6" fillId="7" borderId="30" xfId="0" applyNumberFormat="1" applyFont="1" applyFill="1" applyBorder="1" applyAlignment="1" applyProtection="1">
      <alignment vertical="center"/>
    </xf>
    <xf numFmtId="165" fontId="5" fillId="0" borderId="56" xfId="0" applyNumberFormat="1" applyFont="1" applyBorder="1" applyAlignment="1" applyProtection="1">
      <alignment horizontal="left" vertical="center" wrapText="1"/>
      <protection locked="0"/>
    </xf>
    <xf numFmtId="165" fontId="5" fillId="0" borderId="57" xfId="0" applyNumberFormat="1" applyFont="1" applyBorder="1" applyAlignment="1" applyProtection="1">
      <alignment horizontal="left" vertical="center" wrapText="1"/>
      <protection locked="0"/>
    </xf>
    <xf numFmtId="165" fontId="5" fillId="0" borderId="9" xfId="0" applyNumberFormat="1" applyFont="1" applyBorder="1" applyAlignment="1" applyProtection="1">
      <alignment horizontal="left" vertical="center" wrapText="1"/>
      <protection locked="0"/>
    </xf>
    <xf numFmtId="165" fontId="5" fillId="0" borderId="15" xfId="0" applyNumberFormat="1" applyFont="1" applyBorder="1" applyAlignment="1" applyProtection="1">
      <alignment horizontal="left" vertical="center" wrapText="1"/>
      <protection locked="0"/>
    </xf>
    <xf numFmtId="165" fontId="5" fillId="0" borderId="58" xfId="0" applyNumberFormat="1" applyFont="1" applyBorder="1" applyAlignment="1" applyProtection="1">
      <alignment horizontal="left" vertical="center" wrapText="1"/>
      <protection locked="0"/>
    </xf>
    <xf numFmtId="165" fontId="5" fillId="0" borderId="59" xfId="0" applyNumberFormat="1" applyFont="1" applyBorder="1" applyAlignment="1" applyProtection="1">
      <alignment horizontal="left" vertical="center" wrapText="1"/>
      <protection locked="0"/>
    </xf>
    <xf numFmtId="165" fontId="5" fillId="0" borderId="60" xfId="0" applyNumberFormat="1" applyFont="1" applyBorder="1" applyAlignment="1" applyProtection="1">
      <alignment horizontal="left" vertical="center" wrapText="1"/>
      <protection locked="0"/>
    </xf>
    <xf numFmtId="165" fontId="5" fillId="0" borderId="0" xfId="0" applyNumberFormat="1" applyFont="1" applyBorder="1" applyAlignment="1" applyProtection="1">
      <alignment horizontal="left" vertical="center" wrapText="1"/>
      <protection locked="0"/>
    </xf>
    <xf numFmtId="165" fontId="5" fillId="0" borderId="3" xfId="0" applyNumberFormat="1" applyFont="1" applyBorder="1" applyAlignment="1" applyProtection="1">
      <alignment horizontal="left" vertical="center" wrapText="1"/>
      <protection locked="0"/>
    </xf>
    <xf numFmtId="165" fontId="5" fillId="0" borderId="62" xfId="0" applyNumberFormat="1" applyFont="1" applyBorder="1" applyAlignment="1" applyProtection="1">
      <alignment horizontal="left" vertical="center" wrapText="1"/>
      <protection locked="0"/>
    </xf>
    <xf numFmtId="165" fontId="5" fillId="0" borderId="4" xfId="0" applyNumberFormat="1" applyFont="1" applyBorder="1" applyAlignment="1" applyProtection="1">
      <alignment horizontal="left" vertical="center" wrapText="1"/>
      <protection locked="0"/>
    </xf>
    <xf numFmtId="165" fontId="5" fillId="0" borderId="1" xfId="0" applyNumberFormat="1" applyFont="1" applyBorder="1" applyAlignment="1" applyProtection="1">
      <alignment horizontal="left" vertical="center" wrapText="1"/>
      <protection locked="0"/>
    </xf>
    <xf numFmtId="165" fontId="6" fillId="7" borderId="54" xfId="0" applyNumberFormat="1" applyFont="1" applyFill="1" applyBorder="1" applyAlignment="1" applyProtection="1">
      <alignment vertical="center"/>
    </xf>
    <xf numFmtId="165" fontId="6" fillId="7" borderId="55" xfId="0" applyNumberFormat="1" applyFont="1" applyFill="1" applyBorder="1" applyAlignment="1" applyProtection="1">
      <alignment vertical="center"/>
    </xf>
    <xf numFmtId="165" fontId="5" fillId="0" borderId="56" xfId="0" applyNumberFormat="1" applyFont="1" applyBorder="1" applyAlignment="1" applyProtection="1">
      <alignment vertical="center" wrapText="1"/>
      <protection locked="0"/>
    </xf>
    <xf numFmtId="165" fontId="5" fillId="0" borderId="57" xfId="0" applyNumberFormat="1" applyFont="1" applyBorder="1" applyAlignment="1" applyProtection="1">
      <alignment vertical="center" wrapText="1"/>
      <protection locked="0"/>
    </xf>
    <xf numFmtId="165" fontId="5" fillId="0" borderId="9" xfId="0" applyNumberFormat="1" applyFont="1" applyBorder="1" applyAlignment="1" applyProtection="1">
      <alignment vertical="center" wrapText="1"/>
      <protection locked="0"/>
    </xf>
    <xf numFmtId="165" fontId="5" fillId="0" borderId="15" xfId="0" applyNumberFormat="1" applyFont="1" applyBorder="1" applyAlignment="1" applyProtection="1">
      <alignment vertical="center" wrapText="1"/>
      <protection locked="0"/>
    </xf>
    <xf numFmtId="165" fontId="5" fillId="0" borderId="18" xfId="0" applyNumberFormat="1" applyFont="1" applyBorder="1" applyAlignment="1" applyProtection="1">
      <alignment vertical="center" wrapText="1"/>
      <protection locked="0"/>
    </xf>
    <xf numFmtId="165" fontId="5" fillId="0" borderId="16" xfId="0" applyNumberFormat="1" applyFont="1" applyBorder="1" applyAlignment="1" applyProtection="1">
      <alignment vertical="center" wrapText="1"/>
      <protection locked="0"/>
    </xf>
    <xf numFmtId="165" fontId="5" fillId="0" borderId="62" xfId="0" applyNumberFormat="1" applyFont="1" applyBorder="1" applyAlignment="1" applyProtection="1">
      <alignment vertical="center" wrapText="1"/>
      <protection locked="0"/>
    </xf>
    <xf numFmtId="165" fontId="5" fillId="0" borderId="4" xfId="0" applyNumberFormat="1" applyFont="1" applyBorder="1" applyAlignment="1" applyProtection="1">
      <alignment vertical="center" wrapText="1"/>
      <protection locked="0"/>
    </xf>
    <xf numFmtId="165" fontId="5" fillId="0" borderId="6" xfId="0" applyNumberFormat="1" applyFont="1" applyBorder="1" applyAlignment="1" applyProtection="1">
      <alignment vertical="center" wrapText="1"/>
      <protection locked="0"/>
    </xf>
    <xf numFmtId="165" fontId="5" fillId="0" borderId="36" xfId="0" applyNumberFormat="1" applyFont="1" applyFill="1" applyBorder="1" applyAlignment="1" applyProtection="1">
      <alignment horizontal="center" vertical="center"/>
      <protection locked="0"/>
    </xf>
    <xf numFmtId="165" fontId="5" fillId="0" borderId="30" xfId="0" applyNumberFormat="1" applyFont="1" applyFill="1" applyBorder="1" applyAlignment="1" applyProtection="1">
      <alignment horizontal="center" vertical="center"/>
      <protection locked="0"/>
    </xf>
    <xf numFmtId="165" fontId="6" fillId="7" borderId="24" xfId="0" applyNumberFormat="1" applyFont="1" applyFill="1" applyBorder="1" applyAlignment="1" applyProtection="1">
      <alignment horizontal="center" vertical="center"/>
    </xf>
    <xf numFmtId="165" fontId="6" fillId="7" borderId="65" xfId="0" applyNumberFormat="1" applyFont="1" applyFill="1" applyBorder="1" applyAlignment="1" applyProtection="1">
      <alignment horizontal="center" vertical="center"/>
    </xf>
    <xf numFmtId="165" fontId="5" fillId="5" borderId="49" xfId="0" applyNumberFormat="1" applyFont="1" applyFill="1" applyBorder="1" applyAlignment="1" applyProtection="1">
      <alignment horizontal="center" vertical="center"/>
    </xf>
    <xf numFmtId="165" fontId="5" fillId="5" borderId="52" xfId="0" applyNumberFormat="1" applyFont="1" applyFill="1" applyBorder="1" applyAlignment="1" applyProtection="1">
      <alignment horizontal="center" vertical="center"/>
    </xf>
    <xf numFmtId="165" fontId="5" fillId="5" borderId="53" xfId="0" applyNumberFormat="1" applyFont="1" applyFill="1" applyBorder="1" applyAlignment="1" applyProtection="1">
      <alignment horizontal="center" vertical="center"/>
    </xf>
    <xf numFmtId="165" fontId="6" fillId="7" borderId="50" xfId="0" applyNumberFormat="1" applyFont="1" applyFill="1" applyBorder="1" applyAlignment="1" applyProtection="1">
      <alignment vertical="center"/>
    </xf>
    <xf numFmtId="165" fontId="6" fillId="7" borderId="51" xfId="0" applyNumberFormat="1" applyFont="1" applyFill="1" applyBorder="1" applyAlignment="1" applyProtection="1">
      <alignment vertical="center"/>
    </xf>
    <xf numFmtId="165" fontId="5" fillId="2" borderId="50" xfId="0" applyNumberFormat="1" applyFont="1" applyFill="1" applyBorder="1" applyAlignment="1" applyProtection="1">
      <alignment horizontal="center" vertical="center"/>
      <protection locked="0"/>
    </xf>
    <xf numFmtId="165" fontId="5" fillId="2" borderId="51" xfId="0" applyNumberFormat="1" applyFont="1" applyFill="1" applyBorder="1" applyAlignment="1" applyProtection="1">
      <alignment horizontal="center" vertical="center"/>
      <protection locked="0"/>
    </xf>
    <xf numFmtId="165" fontId="6" fillId="7" borderId="64" xfId="0" applyNumberFormat="1" applyFont="1" applyFill="1" applyBorder="1" applyAlignment="1" applyProtection="1">
      <alignment horizontal="center" vertical="center"/>
    </xf>
    <xf numFmtId="165" fontId="6" fillId="7" borderId="51" xfId="0" applyNumberFormat="1" applyFont="1" applyFill="1" applyBorder="1" applyAlignment="1" applyProtection="1">
      <alignment horizontal="center" vertical="center"/>
    </xf>
    <xf numFmtId="165" fontId="6" fillId="7" borderId="50" xfId="0" applyNumberFormat="1" applyFont="1" applyFill="1" applyBorder="1" applyAlignment="1" applyProtection="1">
      <alignment horizontal="center" vertical="center"/>
    </xf>
    <xf numFmtId="165" fontId="6" fillId="7" borderId="33" xfId="0" applyNumberFormat="1" applyFont="1" applyFill="1" applyBorder="1" applyAlignment="1" applyProtection="1">
      <alignment horizontal="center" vertical="center"/>
    </xf>
    <xf numFmtId="165" fontId="6" fillId="7" borderId="61" xfId="0" applyNumberFormat="1" applyFont="1" applyFill="1" applyBorder="1" applyAlignment="1" applyProtection="1">
      <alignment horizontal="center" vertical="center"/>
    </xf>
    <xf numFmtId="167" fontId="5" fillId="0" borderId="36" xfId="0" applyNumberFormat="1" applyFont="1" applyFill="1" applyBorder="1" applyAlignment="1" applyProtection="1">
      <alignment horizontal="center" vertical="center"/>
      <protection locked="0"/>
    </xf>
    <xf numFmtId="167" fontId="5" fillId="0" borderId="30" xfId="0" applyNumberFormat="1" applyFont="1" applyFill="1" applyBorder="1" applyAlignment="1" applyProtection="1">
      <alignment horizontal="center" vertical="center"/>
      <protection locked="0"/>
    </xf>
    <xf numFmtId="1" fontId="5" fillId="0" borderId="36" xfId="0" applyNumberFormat="1" applyFont="1" applyFill="1" applyBorder="1" applyAlignment="1" applyProtection="1">
      <alignment horizontal="center" vertical="center"/>
      <protection locked="0"/>
    </xf>
    <xf numFmtId="1" fontId="5" fillId="0" borderId="30" xfId="0" applyNumberFormat="1" applyFont="1" applyFill="1" applyBorder="1" applyAlignment="1" applyProtection="1">
      <alignment horizontal="center" vertical="center"/>
      <protection locked="0"/>
    </xf>
    <xf numFmtId="165" fontId="6" fillId="18" borderId="7" xfId="0" applyNumberFormat="1" applyFont="1" applyFill="1" applyBorder="1" applyAlignment="1" applyProtection="1">
      <alignment horizontal="center" vertical="center" wrapText="1"/>
    </xf>
    <xf numFmtId="165" fontId="6" fillId="18" borderId="20" xfId="0" applyNumberFormat="1" applyFont="1" applyFill="1" applyBorder="1" applyAlignment="1" applyProtection="1">
      <alignment horizontal="center" vertical="center" wrapText="1"/>
    </xf>
    <xf numFmtId="165" fontId="6" fillId="18" borderId="8" xfId="0" applyNumberFormat="1" applyFont="1" applyFill="1" applyBorder="1" applyAlignment="1" applyProtection="1">
      <alignment horizontal="center" vertical="center" wrapText="1"/>
    </xf>
    <xf numFmtId="165" fontId="5" fillId="0" borderId="7" xfId="0" applyNumberFormat="1" applyFont="1" applyBorder="1" applyAlignment="1" applyProtection="1">
      <alignment horizontal="left" vertical="center" wrapText="1"/>
      <protection locked="0"/>
    </xf>
    <xf numFmtId="165" fontId="5" fillId="0" borderId="8" xfId="0" applyNumberFormat="1" applyFont="1" applyBorder="1" applyAlignment="1" applyProtection="1">
      <alignment horizontal="left" vertical="center" wrapText="1"/>
      <protection locked="0"/>
    </xf>
    <xf numFmtId="0" fontId="5" fillId="0" borderId="7" xfId="0" applyNumberFormat="1" applyFont="1" applyBorder="1" applyAlignment="1" applyProtection="1">
      <alignment horizontal="left" vertical="center" wrapText="1"/>
      <protection locked="0"/>
    </xf>
    <xf numFmtId="0" fontId="5" fillId="0" borderId="8" xfId="0" applyNumberFormat="1" applyFont="1" applyBorder="1" applyAlignment="1" applyProtection="1">
      <alignment horizontal="left" vertical="center" wrapText="1"/>
      <protection locked="0"/>
    </xf>
    <xf numFmtId="165" fontId="6" fillId="22" borderId="7" xfId="0" applyNumberFormat="1" applyFont="1" applyFill="1" applyBorder="1" applyAlignment="1" applyProtection="1">
      <alignment horizontal="center" vertical="center"/>
    </xf>
    <xf numFmtId="165" fontId="6" fillId="22" borderId="20" xfId="0" applyNumberFormat="1" applyFont="1" applyFill="1" applyBorder="1" applyAlignment="1" applyProtection="1">
      <alignment horizontal="center" vertical="center"/>
    </xf>
    <xf numFmtId="165" fontId="6" fillId="22" borderId="8" xfId="0" applyNumberFormat="1" applyFont="1" applyFill="1" applyBorder="1" applyAlignment="1" applyProtection="1">
      <alignment horizontal="center" vertical="center"/>
    </xf>
    <xf numFmtId="165" fontId="6" fillId="5" borderId="9" xfId="0" applyNumberFormat="1" applyFont="1" applyFill="1" applyBorder="1" applyAlignment="1" applyProtection="1">
      <alignment horizontal="center" vertical="center"/>
    </xf>
    <xf numFmtId="0" fontId="15" fillId="4" borderId="7" xfId="0" applyFont="1" applyFill="1" applyBorder="1" applyAlignment="1">
      <alignment horizontal="center" vertical="center" wrapText="1"/>
    </xf>
    <xf numFmtId="0" fontId="15" fillId="4" borderId="8" xfId="0" applyFont="1" applyFill="1" applyBorder="1" applyAlignment="1">
      <alignment horizontal="center" vertical="center" wrapText="1"/>
    </xf>
    <xf numFmtId="165" fontId="6" fillId="6" borderId="37" xfId="0" applyNumberFormat="1" applyFont="1" applyFill="1" applyBorder="1" applyAlignment="1" applyProtection="1">
      <alignment vertical="center"/>
    </xf>
    <xf numFmtId="165" fontId="6" fillId="6" borderId="34" xfId="0" applyNumberFormat="1" applyFont="1" applyFill="1" applyBorder="1" applyAlignment="1" applyProtection="1">
      <alignment vertical="center"/>
    </xf>
    <xf numFmtId="165" fontId="6" fillId="19" borderId="36" xfId="0" applyNumberFormat="1" applyFont="1" applyFill="1" applyBorder="1" applyAlignment="1" applyProtection="1">
      <alignment vertical="center" wrapText="1"/>
    </xf>
    <xf numFmtId="165" fontId="6" fillId="19" borderId="30" xfId="0" applyNumberFormat="1" applyFont="1" applyFill="1" applyBorder="1" applyAlignment="1" applyProtection="1">
      <alignment vertical="center" wrapText="1"/>
    </xf>
    <xf numFmtId="165" fontId="6" fillId="14" borderId="5" xfId="0" applyNumberFormat="1" applyFont="1" applyFill="1" applyBorder="1" applyAlignment="1" applyProtection="1">
      <alignment horizontal="center" vertical="center" wrapText="1"/>
    </xf>
    <xf numFmtId="165" fontId="6" fillId="19" borderId="37" xfId="0" applyNumberFormat="1" applyFont="1" applyFill="1" applyBorder="1" applyAlignment="1" applyProtection="1">
      <alignment vertical="center"/>
    </xf>
    <xf numFmtId="165" fontId="6" fillId="19" borderId="34" xfId="0" applyNumberFormat="1" applyFont="1" applyFill="1" applyBorder="1" applyAlignment="1" applyProtection="1">
      <alignment vertical="center"/>
    </xf>
    <xf numFmtId="165" fontId="6" fillId="19" borderId="36" xfId="0" applyNumberFormat="1" applyFont="1" applyFill="1" applyBorder="1" applyAlignment="1" applyProtection="1">
      <alignment vertical="center"/>
    </xf>
    <xf numFmtId="165" fontId="6" fillId="19" borderId="30" xfId="0" applyNumberFormat="1" applyFont="1" applyFill="1" applyBorder="1" applyAlignment="1" applyProtection="1">
      <alignment vertical="center"/>
    </xf>
    <xf numFmtId="165" fontId="6" fillId="6" borderId="36" xfId="0" applyNumberFormat="1" applyFont="1" applyFill="1" applyBorder="1" applyAlignment="1" applyProtection="1">
      <alignment vertical="center"/>
    </xf>
    <xf numFmtId="165" fontId="6" fillId="6" borderId="30" xfId="0" applyNumberFormat="1" applyFont="1" applyFill="1" applyBorder="1" applyAlignment="1" applyProtection="1">
      <alignment vertical="center"/>
    </xf>
    <xf numFmtId="165" fontId="6" fillId="8" borderId="5" xfId="0" applyNumberFormat="1" applyFont="1" applyFill="1" applyBorder="1" applyAlignment="1" applyProtection="1">
      <alignment horizontal="center" vertical="center" wrapText="1"/>
    </xf>
    <xf numFmtId="165" fontId="6" fillId="20" borderId="36" xfId="0" applyNumberFormat="1" applyFont="1" applyFill="1" applyBorder="1" applyAlignment="1" applyProtection="1">
      <alignment vertical="center"/>
    </xf>
    <xf numFmtId="165" fontId="6" fillId="20" borderId="30" xfId="0" applyNumberFormat="1" applyFont="1" applyFill="1" applyBorder="1" applyAlignment="1" applyProtection="1">
      <alignment vertical="center"/>
    </xf>
    <xf numFmtId="165" fontId="6" fillId="23" borderId="17" xfId="0" applyNumberFormat="1" applyFont="1" applyFill="1" applyBorder="1" applyAlignment="1" applyProtection="1">
      <alignment horizontal="center" vertical="center" wrapText="1"/>
    </xf>
    <xf numFmtId="165" fontId="6" fillId="23" borderId="10" xfId="0" applyNumberFormat="1" applyFont="1" applyFill="1" applyBorder="1" applyAlignment="1" applyProtection="1">
      <alignment horizontal="center" vertical="center" wrapText="1"/>
    </xf>
    <xf numFmtId="165" fontId="6" fillId="23" borderId="9" xfId="0" applyNumberFormat="1" applyFont="1" applyFill="1" applyBorder="1" applyAlignment="1" applyProtection="1">
      <alignment horizontal="center" vertical="center" wrapText="1"/>
    </xf>
    <xf numFmtId="165" fontId="6" fillId="23" borderId="0" xfId="0" applyNumberFormat="1" applyFont="1" applyFill="1" applyBorder="1" applyAlignment="1" applyProtection="1">
      <alignment horizontal="center" vertical="center" wrapText="1"/>
    </xf>
    <xf numFmtId="165" fontId="6" fillId="20" borderId="37" xfId="0" applyNumberFormat="1" applyFont="1" applyFill="1" applyBorder="1" applyAlignment="1" applyProtection="1">
      <alignment vertical="center"/>
    </xf>
    <xf numFmtId="165" fontId="6" fillId="20" borderId="34" xfId="0" applyNumberFormat="1" applyFont="1" applyFill="1" applyBorder="1" applyAlignment="1" applyProtection="1">
      <alignment vertical="center"/>
    </xf>
    <xf numFmtId="165" fontId="6" fillId="6" borderId="24" xfId="0" applyNumberFormat="1" applyFont="1" applyFill="1" applyBorder="1" applyAlignment="1" applyProtection="1">
      <alignment vertical="center"/>
    </xf>
    <xf numFmtId="165" fontId="6" fillId="6" borderId="33" xfId="0" applyNumberFormat="1" applyFont="1" applyFill="1" applyBorder="1" applyAlignment="1" applyProtection="1">
      <alignment vertical="center"/>
    </xf>
    <xf numFmtId="165" fontId="6" fillId="19" borderId="24" xfId="0" applyNumberFormat="1" applyFont="1" applyFill="1" applyBorder="1" applyAlignment="1" applyProtection="1">
      <alignment vertical="center"/>
    </xf>
    <xf numFmtId="165" fontId="6" fillId="19" borderId="33" xfId="0" applyNumberFormat="1" applyFont="1" applyFill="1" applyBorder="1" applyAlignment="1" applyProtection="1">
      <alignment vertical="center"/>
    </xf>
    <xf numFmtId="165" fontId="6" fillId="18" borderId="76" xfId="0" applyNumberFormat="1" applyFont="1" applyFill="1" applyBorder="1" applyAlignment="1" applyProtection="1">
      <alignment horizontal="center" vertical="center"/>
    </xf>
    <xf numFmtId="165" fontId="10" fillId="10" borderId="7" xfId="0" applyNumberFormat="1" applyFont="1" applyFill="1" applyBorder="1" applyAlignment="1" applyProtection="1">
      <alignment horizontal="center" vertical="center"/>
    </xf>
    <xf numFmtId="165" fontId="10" fillId="10" borderId="20" xfId="0" applyNumberFormat="1" applyFont="1" applyFill="1" applyBorder="1" applyAlignment="1" applyProtection="1">
      <alignment horizontal="center" vertical="center"/>
    </xf>
    <xf numFmtId="0" fontId="5" fillId="18" borderId="36" xfId="0" applyNumberFormat="1" applyFont="1" applyFill="1" applyBorder="1" applyAlignment="1" applyProtection="1">
      <alignment vertical="center" wrapText="1"/>
      <protection locked="0"/>
    </xf>
    <xf numFmtId="0" fontId="5" fillId="18" borderId="40" xfId="0" applyNumberFormat="1" applyFont="1" applyFill="1" applyBorder="1" applyAlignment="1" applyProtection="1">
      <alignment vertical="center" wrapText="1"/>
      <protection locked="0"/>
    </xf>
    <xf numFmtId="0" fontId="5" fillId="18" borderId="37" xfId="0" applyNumberFormat="1" applyFont="1" applyFill="1" applyBorder="1" applyAlignment="1" applyProtection="1">
      <alignment vertical="center" wrapText="1"/>
      <protection locked="0"/>
    </xf>
    <xf numFmtId="0" fontId="5" fillId="18" borderId="45" xfId="0" applyNumberFormat="1" applyFont="1" applyFill="1" applyBorder="1" applyAlignment="1" applyProtection="1">
      <alignment vertical="center" wrapText="1"/>
      <protection locked="0"/>
    </xf>
    <xf numFmtId="165" fontId="6" fillId="18" borderId="77" xfId="0" applyNumberFormat="1" applyFont="1" applyFill="1" applyBorder="1" applyAlignment="1" applyProtection="1">
      <alignment horizontal="center" vertical="center" wrapText="1"/>
    </xf>
    <xf numFmtId="165" fontId="6" fillId="18" borderId="78" xfId="0" applyNumberFormat="1" applyFont="1" applyFill="1" applyBorder="1" applyAlignment="1" applyProtection="1">
      <alignment horizontal="center" vertical="center"/>
    </xf>
    <xf numFmtId="0" fontId="5" fillId="15" borderId="36" xfId="0" applyNumberFormat="1" applyFont="1" applyFill="1" applyBorder="1" applyAlignment="1" applyProtection="1">
      <alignment horizontal="center" vertical="center" wrapText="1"/>
      <protection locked="0"/>
    </xf>
    <xf numFmtId="0" fontId="5" fillId="15" borderId="30" xfId="0" applyNumberFormat="1" applyFont="1" applyFill="1" applyBorder="1" applyAlignment="1" applyProtection="1">
      <alignment horizontal="center" vertical="center" wrapText="1"/>
      <protection locked="0"/>
    </xf>
    <xf numFmtId="165" fontId="5" fillId="21" borderId="20" xfId="0" applyNumberFormat="1" applyFont="1" applyFill="1" applyBorder="1" applyAlignment="1" applyProtection="1">
      <alignment vertical="center" wrapText="1"/>
    </xf>
    <xf numFmtId="165" fontId="5" fillId="21" borderId="8" xfId="0" applyNumberFormat="1" applyFont="1" applyFill="1" applyBorder="1" applyAlignment="1" applyProtection="1">
      <alignment vertical="center" wrapText="1"/>
    </xf>
    <xf numFmtId="0" fontId="5" fillId="14" borderId="36" xfId="0" applyNumberFormat="1" applyFont="1" applyFill="1" applyBorder="1" applyAlignment="1" applyProtection="1">
      <alignment horizontal="center" vertical="center"/>
      <protection locked="0"/>
    </xf>
    <xf numFmtId="0" fontId="5" fillId="14" borderId="30" xfId="0" applyNumberFormat="1" applyFont="1" applyFill="1" applyBorder="1" applyAlignment="1" applyProtection="1">
      <alignment horizontal="center" vertical="center"/>
      <protection locked="0"/>
    </xf>
    <xf numFmtId="0" fontId="5" fillId="14" borderId="37" xfId="0" applyNumberFormat="1" applyFont="1" applyFill="1" applyBorder="1" applyAlignment="1" applyProtection="1">
      <alignment horizontal="center" vertical="center"/>
      <protection locked="0"/>
    </xf>
    <xf numFmtId="0" fontId="5" fillId="14" borderId="34" xfId="0" applyNumberFormat="1" applyFont="1" applyFill="1" applyBorder="1" applyAlignment="1" applyProtection="1">
      <alignment horizontal="center" vertical="center"/>
      <protection locked="0"/>
    </xf>
    <xf numFmtId="0" fontId="5" fillId="15" borderId="37" xfId="0" applyNumberFormat="1" applyFont="1" applyFill="1" applyBorder="1" applyAlignment="1" applyProtection="1">
      <alignment horizontal="center" vertical="center"/>
      <protection locked="0"/>
    </xf>
    <xf numFmtId="0" fontId="5" fillId="15" borderId="34" xfId="0" applyNumberFormat="1" applyFont="1" applyFill="1" applyBorder="1" applyAlignment="1" applyProtection="1">
      <alignment horizontal="center" vertical="center"/>
      <protection locked="0"/>
    </xf>
    <xf numFmtId="165" fontId="5" fillId="21" borderId="7" xfId="0" applyNumberFormat="1" applyFont="1" applyFill="1" applyBorder="1" applyAlignment="1" applyProtection="1">
      <alignment vertical="center" wrapText="1"/>
    </xf>
    <xf numFmtId="165" fontId="10" fillId="11" borderId="7" xfId="0" applyNumberFormat="1" applyFont="1" applyFill="1" applyBorder="1" applyAlignment="1" applyProtection="1">
      <alignment horizontal="center" vertical="center"/>
    </xf>
    <xf numFmtId="165" fontId="10" fillId="11" borderId="20" xfId="0" applyNumberFormat="1" applyFont="1" applyFill="1" applyBorder="1" applyAlignment="1" applyProtection="1">
      <alignment horizontal="center" vertical="center"/>
    </xf>
    <xf numFmtId="165" fontId="10" fillId="11" borderId="8" xfId="0" applyNumberFormat="1" applyFont="1" applyFill="1" applyBorder="1" applyAlignment="1" applyProtection="1">
      <alignment horizontal="center" vertical="center"/>
    </xf>
    <xf numFmtId="165" fontId="6" fillId="14" borderId="18" xfId="0" applyNumberFormat="1" applyFont="1" applyFill="1" applyBorder="1" applyAlignment="1" applyProtection="1">
      <alignment horizontal="center" vertical="center"/>
    </xf>
    <xf numFmtId="165" fontId="6" fillId="14" borderId="16" xfId="0" applyNumberFormat="1" applyFont="1" applyFill="1" applyBorder="1" applyAlignment="1" applyProtection="1">
      <alignment horizontal="center" vertical="center"/>
    </xf>
    <xf numFmtId="165" fontId="6" fillId="15" borderId="17" xfId="0" applyNumberFormat="1" applyFont="1" applyFill="1" applyBorder="1" applyAlignment="1" applyProtection="1">
      <alignment horizontal="center" vertical="center"/>
    </xf>
    <xf numFmtId="165" fontId="6" fillId="15" borderId="14" xfId="0" applyNumberFormat="1" applyFont="1" applyFill="1" applyBorder="1" applyAlignment="1" applyProtection="1">
      <alignment horizontal="center" vertical="center"/>
    </xf>
    <xf numFmtId="165" fontId="6" fillId="15" borderId="18" xfId="0" applyNumberFormat="1" applyFont="1" applyFill="1" applyBorder="1" applyAlignment="1" applyProtection="1">
      <alignment horizontal="center" vertical="center"/>
    </xf>
    <xf numFmtId="165" fontId="6" fillId="15" borderId="16" xfId="0" applyNumberFormat="1" applyFont="1" applyFill="1" applyBorder="1" applyAlignment="1" applyProtection="1">
      <alignment horizontal="center" vertical="center"/>
    </xf>
    <xf numFmtId="165" fontId="6" fillId="15" borderId="73" xfId="0" applyNumberFormat="1" applyFont="1" applyFill="1" applyBorder="1" applyAlignment="1" applyProtection="1">
      <alignment horizontal="center" vertical="center"/>
    </xf>
    <xf numFmtId="165" fontId="6" fillId="15" borderId="10" xfId="0" applyNumberFormat="1" applyFont="1" applyFill="1" applyBorder="1" applyAlignment="1" applyProtection="1">
      <alignment horizontal="center" vertical="center"/>
    </xf>
    <xf numFmtId="165" fontId="6" fillId="15" borderId="5" xfId="0" applyNumberFormat="1" applyFont="1" applyFill="1" applyBorder="1" applyAlignment="1" applyProtection="1">
      <alignment horizontal="center" vertical="center"/>
    </xf>
    <xf numFmtId="0" fontId="5" fillId="15" borderId="68" xfId="0" applyNumberFormat="1" applyFont="1" applyFill="1" applyBorder="1" applyAlignment="1" applyProtection="1">
      <alignment horizontal="center" vertical="center" wrapText="1"/>
    </xf>
    <xf numFmtId="0" fontId="5" fillId="15" borderId="69" xfId="0" applyNumberFormat="1" applyFont="1" applyFill="1" applyBorder="1" applyAlignment="1" applyProtection="1">
      <alignment horizontal="center" vertical="center" wrapText="1"/>
    </xf>
    <xf numFmtId="0" fontId="5" fillId="17" borderId="24" xfId="0" applyNumberFormat="1" applyFont="1" applyFill="1" applyBorder="1" applyAlignment="1" applyProtection="1">
      <alignment horizontal="center" vertical="center"/>
      <protection locked="0"/>
    </xf>
    <xf numFmtId="0" fontId="5" fillId="17" borderId="33" xfId="0" applyNumberFormat="1" applyFont="1" applyFill="1" applyBorder="1" applyAlignment="1" applyProtection="1">
      <alignment horizontal="center" vertical="center"/>
      <protection locked="0"/>
    </xf>
    <xf numFmtId="0" fontId="5" fillId="17" borderId="36" xfId="0" applyNumberFormat="1" applyFont="1" applyFill="1" applyBorder="1" applyAlignment="1" applyProtection="1">
      <alignment horizontal="center" vertical="center"/>
      <protection locked="0"/>
    </xf>
    <xf numFmtId="0" fontId="5" fillId="17" borderId="30" xfId="0" applyNumberFormat="1" applyFont="1" applyFill="1" applyBorder="1" applyAlignment="1" applyProtection="1">
      <alignment horizontal="center" vertical="center"/>
      <protection locked="0"/>
    </xf>
    <xf numFmtId="165" fontId="10" fillId="9" borderId="7" xfId="0" applyNumberFormat="1" applyFont="1" applyFill="1" applyBorder="1" applyAlignment="1" applyProtection="1">
      <alignment horizontal="center" vertical="center"/>
    </xf>
    <xf numFmtId="165" fontId="10" fillId="9" borderId="20" xfId="0" applyNumberFormat="1" applyFont="1" applyFill="1" applyBorder="1" applyAlignment="1" applyProtection="1">
      <alignment horizontal="center" vertical="center"/>
    </xf>
    <xf numFmtId="165" fontId="10" fillId="9" borderId="8" xfId="0" applyNumberFormat="1" applyFont="1" applyFill="1" applyBorder="1" applyAlignment="1" applyProtection="1">
      <alignment horizontal="center" vertical="center"/>
    </xf>
    <xf numFmtId="165" fontId="6" fillId="23" borderId="17" xfId="0" applyNumberFormat="1" applyFont="1" applyFill="1" applyBorder="1" applyAlignment="1" applyProtection="1">
      <alignment horizontal="center" vertical="center"/>
    </xf>
    <xf numFmtId="165" fontId="6" fillId="23" borderId="14" xfId="0" applyNumberFormat="1" applyFont="1" applyFill="1" applyBorder="1" applyAlignment="1" applyProtection="1">
      <alignment horizontal="center" vertical="center"/>
    </xf>
    <xf numFmtId="165" fontId="6" fillId="23" borderId="18" xfId="0" applyNumberFormat="1" applyFont="1" applyFill="1" applyBorder="1" applyAlignment="1" applyProtection="1">
      <alignment horizontal="center" vertical="center"/>
    </xf>
    <xf numFmtId="165" fontId="6" fillId="23" borderId="16" xfId="0" applyNumberFormat="1" applyFont="1" applyFill="1" applyBorder="1" applyAlignment="1" applyProtection="1">
      <alignment horizontal="center" vertical="center"/>
    </xf>
    <xf numFmtId="0" fontId="5" fillId="23" borderId="43" xfId="0" applyNumberFormat="1" applyFont="1" applyFill="1" applyBorder="1" applyAlignment="1" applyProtection="1">
      <alignment horizontal="center" vertical="center" wrapText="1"/>
      <protection locked="0"/>
    </xf>
    <xf numFmtId="0" fontId="5" fillId="23" borderId="33" xfId="0" applyNumberFormat="1" applyFont="1" applyFill="1" applyBorder="1" applyAlignment="1" applyProtection="1">
      <alignment horizontal="center" vertical="center" wrapText="1"/>
      <protection locked="0"/>
    </xf>
    <xf numFmtId="0" fontId="5" fillId="23" borderId="44" xfId="0" applyNumberFormat="1" applyFont="1" applyFill="1" applyBorder="1" applyAlignment="1" applyProtection="1">
      <alignment horizontal="center" vertical="center" wrapText="1"/>
      <protection locked="0"/>
    </xf>
    <xf numFmtId="0" fontId="5" fillId="23" borderId="30" xfId="0" applyNumberFormat="1" applyFont="1" applyFill="1" applyBorder="1" applyAlignment="1" applyProtection="1">
      <alignment horizontal="center" vertical="center" wrapText="1"/>
      <protection locked="0"/>
    </xf>
    <xf numFmtId="165" fontId="10" fillId="16" borderId="18" xfId="0" applyNumberFormat="1" applyFont="1" applyFill="1" applyBorder="1" applyAlignment="1" applyProtection="1">
      <alignment horizontal="center" vertical="center"/>
    </xf>
    <xf numFmtId="165" fontId="10" fillId="16" borderId="5" xfId="0" applyNumberFormat="1" applyFont="1" applyFill="1" applyBorder="1" applyAlignment="1" applyProtection="1">
      <alignment horizontal="center" vertical="center"/>
    </xf>
    <xf numFmtId="165" fontId="10" fillId="16" borderId="16" xfId="0" applyNumberFormat="1" applyFont="1" applyFill="1" applyBorder="1" applyAlignment="1" applyProtection="1">
      <alignment horizontal="center" vertical="center"/>
    </xf>
    <xf numFmtId="165" fontId="6" fillId="17" borderId="7" xfId="0" applyNumberFormat="1" applyFont="1" applyFill="1" applyBorder="1" applyAlignment="1" applyProtection="1">
      <alignment horizontal="center" vertical="center"/>
    </xf>
    <xf numFmtId="165" fontId="6" fillId="17" borderId="20" xfId="0" applyNumberFormat="1" applyFont="1" applyFill="1" applyBorder="1" applyAlignment="1" applyProtection="1">
      <alignment horizontal="center" vertical="center"/>
    </xf>
    <xf numFmtId="165" fontId="6" fillId="17" borderId="8" xfId="0" applyNumberFormat="1" applyFont="1" applyFill="1" applyBorder="1" applyAlignment="1" applyProtection="1">
      <alignment horizontal="center" vertical="center"/>
    </xf>
    <xf numFmtId="165" fontId="6" fillId="17" borderId="17" xfId="0" applyNumberFormat="1" applyFont="1" applyFill="1" applyBorder="1" applyAlignment="1" applyProtection="1">
      <alignment horizontal="center" vertical="center"/>
    </xf>
    <xf numFmtId="165" fontId="6" fillId="17" borderId="14" xfId="0" applyNumberFormat="1" applyFont="1" applyFill="1" applyBorder="1" applyAlignment="1" applyProtection="1">
      <alignment horizontal="center" vertical="center"/>
    </xf>
    <xf numFmtId="165" fontId="6" fillId="17" borderId="18" xfId="0" applyNumberFormat="1" applyFont="1" applyFill="1" applyBorder="1" applyAlignment="1" applyProtection="1">
      <alignment horizontal="center" vertical="center"/>
    </xf>
    <xf numFmtId="165" fontId="6" fillId="17" borderId="16" xfId="0" applyNumberFormat="1" applyFont="1" applyFill="1" applyBorder="1" applyAlignment="1" applyProtection="1">
      <alignment horizontal="center" vertical="center"/>
    </xf>
    <xf numFmtId="0" fontId="5" fillId="23" borderId="45" xfId="0" applyNumberFormat="1" applyFont="1" applyFill="1" applyBorder="1" applyAlignment="1" applyProtection="1">
      <alignment horizontal="center" vertical="center" wrapText="1"/>
      <protection locked="0"/>
    </xf>
    <xf numFmtId="0" fontId="5" fillId="23" borderId="34" xfId="0" applyNumberFormat="1" applyFont="1" applyFill="1" applyBorder="1" applyAlignment="1" applyProtection="1">
      <alignment horizontal="center" vertical="center" wrapText="1"/>
      <protection locked="0"/>
    </xf>
    <xf numFmtId="0" fontId="5" fillId="17" borderId="37" xfId="0" applyNumberFormat="1" applyFont="1" applyFill="1" applyBorder="1" applyAlignment="1" applyProtection="1">
      <alignment horizontal="center" vertical="center"/>
      <protection locked="0"/>
    </xf>
    <xf numFmtId="0" fontId="5" fillId="17" borderId="34" xfId="0" applyNumberFormat="1" applyFont="1" applyFill="1" applyBorder="1" applyAlignment="1" applyProtection="1">
      <alignment horizontal="center" vertical="center"/>
      <protection locked="0"/>
    </xf>
    <xf numFmtId="0" fontId="11" fillId="2" borderId="10" xfId="0" applyNumberFormat="1" applyFont="1" applyFill="1" applyBorder="1" applyAlignment="1" applyProtection="1">
      <alignment horizontal="center" vertical="center"/>
      <protection locked="0"/>
    </xf>
    <xf numFmtId="0" fontId="11" fillId="2" borderId="14" xfId="0" applyNumberFormat="1" applyFont="1" applyFill="1" applyBorder="1" applyAlignment="1" applyProtection="1">
      <alignment horizontal="center" vertical="center"/>
      <protection locked="0"/>
    </xf>
    <xf numFmtId="0" fontId="11" fillId="2" borderId="0" xfId="0" applyNumberFormat="1" applyFont="1" applyFill="1" applyBorder="1" applyAlignment="1" applyProtection="1">
      <alignment horizontal="center" vertical="center"/>
      <protection locked="0"/>
    </xf>
    <xf numFmtId="0" fontId="11" fillId="2" borderId="15" xfId="0" applyNumberFormat="1" applyFont="1" applyFill="1" applyBorder="1" applyAlignment="1" applyProtection="1">
      <alignment horizontal="center" vertical="center"/>
      <protection locked="0"/>
    </xf>
    <xf numFmtId="0" fontId="11" fillId="2" borderId="5" xfId="0" applyNumberFormat="1" applyFont="1" applyFill="1" applyBorder="1" applyAlignment="1" applyProtection="1">
      <alignment horizontal="center" vertical="center"/>
      <protection locked="0"/>
    </xf>
    <xf numFmtId="0" fontId="11" fillId="2" borderId="16" xfId="0" applyNumberFormat="1" applyFont="1" applyFill="1" applyBorder="1" applyAlignment="1" applyProtection="1">
      <alignment horizontal="center" vertical="center"/>
      <protection locked="0"/>
    </xf>
    <xf numFmtId="0" fontId="7" fillId="7" borderId="17" xfId="0" applyFont="1" applyFill="1" applyBorder="1" applyAlignment="1">
      <alignment vertical="center" wrapText="1"/>
    </xf>
    <xf numFmtId="0" fontId="7" fillId="7" borderId="14" xfId="0" applyFont="1" applyFill="1" applyBorder="1" applyAlignment="1">
      <alignment vertical="center" wrapText="1"/>
    </xf>
    <xf numFmtId="0" fontId="7" fillId="7" borderId="36" xfId="0" applyFont="1" applyFill="1" applyBorder="1" applyAlignment="1">
      <alignment vertical="center" wrapText="1"/>
    </xf>
    <xf numFmtId="0" fontId="7" fillId="7" borderId="30" xfId="0" applyFont="1" applyFill="1" applyBorder="1" applyAlignment="1">
      <alignment vertical="center" wrapText="1"/>
    </xf>
    <xf numFmtId="0" fontId="7" fillId="7" borderId="37" xfId="0" applyFont="1" applyFill="1" applyBorder="1" applyAlignment="1">
      <alignment vertical="center" wrapText="1"/>
    </xf>
    <xf numFmtId="0" fontId="7" fillId="7" borderId="34" xfId="0" applyFont="1" applyFill="1" applyBorder="1" applyAlignment="1">
      <alignment vertical="center" wrapText="1"/>
    </xf>
    <xf numFmtId="165" fontId="10" fillId="12" borderId="7" xfId="0" applyNumberFormat="1" applyFont="1" applyFill="1" applyBorder="1" applyAlignment="1" applyProtection="1">
      <alignment horizontal="center" vertical="center"/>
    </xf>
    <xf numFmtId="165" fontId="10" fillId="12" borderId="20" xfId="0" applyNumberFormat="1" applyFont="1" applyFill="1" applyBorder="1" applyAlignment="1" applyProtection="1">
      <alignment horizontal="center" vertical="center"/>
    </xf>
    <xf numFmtId="165" fontId="10" fillId="12" borderId="8" xfId="0" applyNumberFormat="1" applyFont="1" applyFill="1" applyBorder="1" applyAlignment="1" applyProtection="1">
      <alignment horizontal="center" vertical="center"/>
    </xf>
    <xf numFmtId="165" fontId="6" fillId="8" borderId="18" xfId="0" applyNumberFormat="1" applyFont="1" applyFill="1" applyBorder="1" applyAlignment="1" applyProtection="1">
      <alignment horizontal="center" vertical="center"/>
    </xf>
    <xf numFmtId="165" fontId="6" fillId="8" borderId="75" xfId="0" applyNumberFormat="1" applyFont="1" applyFill="1" applyBorder="1" applyAlignment="1" applyProtection="1">
      <alignment horizontal="center" vertical="center"/>
    </xf>
    <xf numFmtId="165" fontId="6" fillId="8" borderId="76" xfId="0" applyNumberFormat="1" applyFont="1" applyFill="1" applyBorder="1" applyAlignment="1" applyProtection="1">
      <alignment horizontal="center" vertical="center"/>
    </xf>
    <xf numFmtId="165" fontId="5" fillId="22" borderId="17" xfId="0" applyNumberFormat="1" applyFont="1" applyFill="1" applyBorder="1" applyAlignment="1" applyProtection="1">
      <alignment vertical="center" wrapText="1"/>
    </xf>
    <xf numFmtId="165" fontId="5" fillId="22" borderId="10" xfId="0" applyNumberFormat="1" applyFont="1" applyFill="1" applyBorder="1" applyAlignment="1" applyProtection="1">
      <alignment vertical="center" wrapText="1"/>
    </xf>
    <xf numFmtId="165" fontId="5" fillId="22" borderId="14" xfId="0" applyNumberFormat="1" applyFont="1" applyFill="1" applyBorder="1" applyAlignment="1" applyProtection="1">
      <alignment vertical="center" wrapText="1"/>
    </xf>
    <xf numFmtId="165" fontId="5" fillId="22" borderId="18" xfId="0" applyNumberFormat="1" applyFont="1" applyFill="1" applyBorder="1" applyAlignment="1" applyProtection="1">
      <alignment vertical="center" wrapText="1"/>
    </xf>
    <xf numFmtId="165" fontId="5" fillId="22" borderId="5" xfId="0" applyNumberFormat="1" applyFont="1" applyFill="1" applyBorder="1" applyAlignment="1" applyProtection="1">
      <alignment vertical="center" wrapText="1"/>
    </xf>
    <xf numFmtId="165" fontId="5" fillId="22" borderId="16" xfId="0" applyNumberFormat="1" applyFont="1" applyFill="1" applyBorder="1" applyAlignment="1" applyProtection="1">
      <alignment vertical="center" wrapText="1"/>
    </xf>
    <xf numFmtId="165" fontId="6" fillId="6" borderId="7" xfId="0" applyNumberFormat="1" applyFont="1" applyFill="1" applyBorder="1" applyAlignment="1" applyProtection="1">
      <alignment horizontal="center" vertical="center"/>
    </xf>
    <xf numFmtId="165" fontId="6" fillId="6" borderId="20" xfId="0" applyNumberFormat="1" applyFont="1" applyFill="1" applyBorder="1" applyAlignment="1" applyProtection="1">
      <alignment horizontal="center" vertical="center"/>
    </xf>
    <xf numFmtId="165" fontId="6" fillId="6" borderId="8" xfId="0" applyNumberFormat="1" applyFont="1" applyFill="1" applyBorder="1" applyAlignment="1" applyProtection="1">
      <alignment horizontal="center" vertical="center"/>
    </xf>
    <xf numFmtId="165" fontId="10" fillId="13" borderId="7" xfId="0" applyNumberFormat="1" applyFont="1" applyFill="1" applyBorder="1" applyAlignment="1" applyProtection="1">
      <alignment horizontal="center" vertical="center"/>
    </xf>
    <xf numFmtId="165" fontId="10" fillId="13" borderId="20" xfId="0" applyNumberFormat="1" applyFont="1" applyFill="1" applyBorder="1" applyAlignment="1" applyProtection="1">
      <alignment horizontal="center" vertical="center"/>
    </xf>
    <xf numFmtId="165" fontId="10" fillId="13" borderId="8" xfId="0" applyNumberFormat="1" applyFont="1" applyFill="1" applyBorder="1" applyAlignment="1" applyProtection="1">
      <alignment horizontal="center" vertical="center"/>
    </xf>
    <xf numFmtId="165" fontId="6" fillId="18" borderId="17" xfId="0" applyNumberFormat="1" applyFont="1" applyFill="1" applyBorder="1" applyAlignment="1" applyProtection="1">
      <alignment horizontal="center" vertical="center"/>
    </xf>
    <xf numFmtId="165" fontId="6" fillId="18" borderId="10" xfId="0" applyNumberFormat="1" applyFont="1" applyFill="1" applyBorder="1" applyAlignment="1" applyProtection="1">
      <alignment horizontal="center" vertical="center"/>
    </xf>
    <xf numFmtId="165" fontId="6" fillId="18" borderId="5" xfId="0" applyNumberFormat="1" applyFont="1" applyFill="1" applyBorder="1" applyAlignment="1" applyProtection="1">
      <alignment horizontal="center" vertical="center"/>
    </xf>
    <xf numFmtId="0" fontId="5" fillId="18" borderId="24" xfId="0" applyNumberFormat="1" applyFont="1" applyFill="1" applyBorder="1" applyAlignment="1" applyProtection="1">
      <alignment vertical="center" wrapText="1"/>
      <protection locked="0"/>
    </xf>
    <xf numFmtId="0" fontId="5" fillId="18" borderId="43" xfId="0" applyNumberFormat="1" applyFont="1" applyFill="1" applyBorder="1" applyAlignment="1" applyProtection="1">
      <alignment vertical="center" wrapText="1"/>
      <protection locked="0"/>
    </xf>
    <xf numFmtId="0" fontId="5" fillId="18" borderId="44" xfId="0" applyNumberFormat="1" applyFont="1" applyFill="1" applyBorder="1" applyAlignment="1" applyProtection="1">
      <alignment vertical="center" wrapText="1"/>
      <protection locked="0"/>
    </xf>
    <xf numFmtId="165" fontId="5" fillId="6" borderId="7" xfId="0" applyNumberFormat="1" applyFont="1" applyFill="1" applyBorder="1" applyAlignment="1" applyProtection="1">
      <alignment vertical="center" wrapText="1"/>
    </xf>
    <xf numFmtId="165" fontId="5" fillId="6" borderId="20" xfId="0" applyNumberFormat="1" applyFont="1" applyFill="1" applyBorder="1" applyAlignment="1" applyProtection="1">
      <alignment vertical="center" wrapText="1"/>
    </xf>
    <xf numFmtId="14" fontId="5" fillId="0" borderId="7" xfId="0" applyNumberFormat="1" applyFont="1" applyBorder="1" applyAlignment="1" applyProtection="1">
      <alignment vertical="center"/>
      <protection locked="0"/>
    </xf>
    <xf numFmtId="14" fontId="5" fillId="0" borderId="20" xfId="0" applyNumberFormat="1" applyFont="1" applyBorder="1" applyAlignment="1" applyProtection="1">
      <alignment vertical="center"/>
      <protection locked="0"/>
    </xf>
    <xf numFmtId="0" fontId="5" fillId="0" borderId="7" xfId="0" applyNumberFormat="1" applyFont="1" applyBorder="1" applyAlignment="1" applyProtection="1">
      <alignment horizontal="center" vertical="center" wrapText="1"/>
      <protection locked="0"/>
    </xf>
    <xf numFmtId="0" fontId="5" fillId="0" borderId="8" xfId="0" applyNumberFormat="1" applyFont="1" applyBorder="1" applyAlignment="1" applyProtection="1">
      <alignment horizontal="center" vertical="center" wrapText="1"/>
      <protection locked="0"/>
    </xf>
    <xf numFmtId="0" fontId="15" fillId="4" borderId="20" xfId="0" applyFont="1" applyFill="1" applyBorder="1" applyAlignment="1">
      <alignment horizontal="center" vertical="center" wrapText="1"/>
    </xf>
    <xf numFmtId="1" fontId="5" fillId="7" borderId="7" xfId="0" applyNumberFormat="1" applyFont="1" applyFill="1" applyBorder="1" applyAlignment="1" applyProtection="1">
      <alignment vertical="center" wrapText="1"/>
    </xf>
    <xf numFmtId="1" fontId="5" fillId="7" borderId="20" xfId="0" applyNumberFormat="1" applyFont="1" applyFill="1" applyBorder="1" applyAlignment="1" applyProtection="1">
      <alignment vertical="center" wrapText="1"/>
    </xf>
    <xf numFmtId="1" fontId="5" fillId="7" borderId="8" xfId="0" applyNumberFormat="1" applyFont="1" applyFill="1" applyBorder="1" applyAlignment="1" applyProtection="1">
      <alignment vertical="center" wrapText="1"/>
    </xf>
    <xf numFmtId="165" fontId="6" fillId="7" borderId="2" xfId="0" applyNumberFormat="1" applyFont="1" applyFill="1" applyBorder="1" applyAlignment="1" applyProtection="1">
      <alignment horizontal="center" vertical="center"/>
    </xf>
    <xf numFmtId="165" fontId="6" fillId="8" borderId="2" xfId="0" applyNumberFormat="1" applyFont="1" applyFill="1" applyBorder="1" applyAlignment="1" applyProtection="1">
      <alignment horizontal="center" vertical="center"/>
    </xf>
    <xf numFmtId="165" fontId="6" fillId="23" borderId="2" xfId="0" applyNumberFormat="1" applyFont="1" applyFill="1" applyBorder="1" applyAlignment="1" applyProtection="1">
      <alignment horizontal="center" vertical="center"/>
    </xf>
    <xf numFmtId="165" fontId="6" fillId="20" borderId="11" xfId="0" applyNumberFormat="1" applyFont="1" applyFill="1" applyBorder="1" applyAlignment="1" applyProtection="1">
      <alignment horizontal="center" vertical="center" wrapText="1"/>
    </xf>
    <xf numFmtId="165" fontId="6" fillId="20" borderId="12" xfId="0" applyNumberFormat="1" applyFont="1" applyFill="1" applyBorder="1" applyAlignment="1" applyProtection="1">
      <alignment horizontal="center" vertical="center" wrapText="1"/>
    </xf>
    <xf numFmtId="165" fontId="6" fillId="20" borderId="13" xfId="0" applyNumberFormat="1" applyFont="1" applyFill="1" applyBorder="1" applyAlignment="1" applyProtection="1">
      <alignment horizontal="center" vertical="center" wrapText="1"/>
    </xf>
    <xf numFmtId="0" fontId="26" fillId="5" borderId="2" xfId="0" applyFont="1" applyFill="1" applyBorder="1" applyAlignment="1">
      <alignment horizontal="center" vertical="center"/>
    </xf>
  </cellXfs>
  <cellStyles count="12">
    <cellStyle name="Ana Başlık 2" xfId="10"/>
    <cellStyle name="Başlık 1 2" xfId="8"/>
    <cellStyle name="Başlık 3 2" xfId="9"/>
    <cellStyle name="Başlık 4 2" xfId="11"/>
    <cellStyle name="Köprü 2" xfId="2"/>
    <cellStyle name="Normal" xfId="0" builtinId="0"/>
    <cellStyle name="Normal 2" xfId="1"/>
    <cellStyle name="Normal 2 16" xfId="6"/>
    <cellStyle name="Normal 3" xfId="7"/>
    <cellStyle name="Virgül" xfId="4" builtinId="3"/>
    <cellStyle name="Virgül 2" xfId="3"/>
    <cellStyle name="Yüzde" xfId="5" builtinId="5"/>
  </cellStyles>
  <dxfs count="76">
    <dxf>
      <font>
        <color theme="4"/>
      </font>
      <fill>
        <patternFill patternType="none">
          <bgColor auto="1"/>
        </patternFill>
      </fill>
    </dxf>
    <dxf>
      <font>
        <color theme="5"/>
      </font>
      <fill>
        <patternFill patternType="none">
          <bgColor auto="1"/>
        </patternFill>
      </fill>
    </dxf>
    <dxf>
      <font>
        <color theme="4"/>
      </font>
      <fill>
        <patternFill patternType="none">
          <bgColor auto="1"/>
        </patternFill>
      </fill>
    </dxf>
    <dxf>
      <font>
        <color theme="4"/>
      </font>
      <fill>
        <patternFill patternType="none">
          <bgColor auto="1"/>
        </patternFill>
      </fill>
    </dxf>
    <dxf>
      <font>
        <color theme="4"/>
      </font>
      <fill>
        <patternFill patternType="none">
          <bgColor auto="1"/>
        </patternFill>
      </fill>
    </dxf>
    <dxf>
      <font>
        <color theme="4"/>
      </font>
      <fill>
        <patternFill patternType="none">
          <bgColor auto="1"/>
        </patternFill>
      </fill>
    </dxf>
    <dxf>
      <font>
        <color theme="4"/>
      </font>
      <fill>
        <patternFill patternType="none">
          <bgColor auto="1"/>
        </patternFill>
      </fill>
    </dxf>
    <dxf>
      <font>
        <color theme="4"/>
      </font>
      <fill>
        <patternFill patternType="none">
          <bgColor auto="1"/>
        </patternFill>
      </fill>
    </dxf>
    <dxf>
      <font>
        <color theme="4"/>
      </font>
      <fill>
        <patternFill patternType="none">
          <bgColor auto="1"/>
        </patternFill>
      </fill>
    </dxf>
    <dxf>
      <font>
        <color theme="4"/>
      </font>
      <fill>
        <patternFill patternType="none">
          <bgColor auto="1"/>
        </patternFill>
      </fill>
    </dxf>
    <dxf>
      <font>
        <color theme="4"/>
      </font>
      <fill>
        <patternFill patternType="none">
          <bgColor auto="1"/>
        </patternFill>
      </fill>
    </dxf>
    <dxf>
      <font>
        <color theme="4"/>
      </font>
      <fill>
        <patternFill patternType="none">
          <bgColor auto="1"/>
        </patternFill>
      </fill>
    </dxf>
    <dxf>
      <font>
        <color theme="4"/>
      </font>
      <fill>
        <patternFill patternType="none">
          <bgColor auto="1"/>
        </patternFill>
      </fill>
    </dxf>
    <dxf>
      <font>
        <color theme="4"/>
      </font>
      <fill>
        <patternFill patternType="none">
          <bgColor auto="1"/>
        </patternFill>
      </fill>
    </dxf>
    <dxf>
      <font>
        <color theme="4"/>
      </font>
      <fill>
        <patternFill patternType="none">
          <bgColor auto="1"/>
        </patternFill>
      </fill>
    </dxf>
    <dxf>
      <font>
        <color theme="4"/>
      </font>
      <fill>
        <patternFill patternType="none">
          <bgColor auto="1"/>
        </patternFill>
      </fill>
    </dxf>
    <dxf>
      <font>
        <color theme="4"/>
      </font>
      <fill>
        <patternFill patternType="none">
          <bgColor auto="1"/>
        </patternFill>
      </fill>
    </dxf>
    <dxf>
      <font>
        <color theme="4"/>
      </font>
      <fill>
        <patternFill patternType="none">
          <bgColor auto="1"/>
        </patternFill>
      </fill>
    </dxf>
    <dxf>
      <font>
        <color theme="4"/>
      </font>
      <fill>
        <patternFill patternType="none">
          <bgColor auto="1"/>
        </patternFill>
      </fill>
    </dxf>
    <dxf>
      <font>
        <color theme="4"/>
      </font>
      <fill>
        <patternFill patternType="none">
          <bgColor auto="1"/>
        </patternFill>
      </fill>
    </dxf>
    <dxf>
      <font>
        <color theme="6"/>
      </font>
      <fill>
        <patternFill patternType="none">
          <bgColor auto="1"/>
        </patternFill>
      </fill>
    </dxf>
    <dxf>
      <font>
        <color theme="5"/>
      </font>
      <fill>
        <patternFill patternType="none">
          <bgColor auto="1"/>
        </patternFill>
      </fill>
    </dxf>
    <dxf>
      <font>
        <color theme="4"/>
      </font>
      <fill>
        <patternFill patternType="none">
          <bgColor auto="1"/>
        </patternFill>
      </fill>
    </dxf>
    <dxf>
      <font>
        <b/>
        <i val="0"/>
        <color theme="4"/>
      </font>
    </dxf>
    <dxf>
      <font>
        <b/>
        <i val="0"/>
        <color theme="4"/>
      </font>
    </dxf>
    <dxf>
      <font>
        <b/>
        <i val="0"/>
        <color theme="4"/>
      </font>
    </dxf>
    <dxf>
      <font>
        <b/>
        <i val="0"/>
        <color theme="4"/>
      </font>
    </dxf>
    <dxf>
      <font>
        <color theme="6"/>
      </font>
      <fill>
        <patternFill patternType="none">
          <bgColor auto="1"/>
        </patternFill>
      </fill>
    </dxf>
    <dxf>
      <font>
        <color theme="5"/>
      </font>
      <fill>
        <patternFill patternType="none">
          <bgColor auto="1"/>
        </patternFill>
      </fill>
    </dxf>
    <dxf>
      <font>
        <color theme="4"/>
      </font>
      <fill>
        <patternFill patternType="none">
          <bgColor auto="1"/>
        </patternFill>
      </fill>
    </dxf>
    <dxf>
      <font>
        <b/>
        <i val="0"/>
        <color theme="4"/>
      </font>
    </dxf>
    <dxf>
      <font>
        <b/>
        <i val="0"/>
        <color theme="4"/>
      </font>
    </dxf>
    <dxf>
      <font>
        <b/>
        <i val="0"/>
        <color theme="4"/>
      </font>
    </dxf>
    <dxf>
      <font>
        <b/>
        <i val="0"/>
        <color theme="4"/>
      </font>
    </dxf>
    <dxf>
      <font>
        <color theme="6"/>
      </font>
      <fill>
        <patternFill patternType="none">
          <bgColor auto="1"/>
        </patternFill>
      </fill>
    </dxf>
    <dxf>
      <font>
        <color theme="5"/>
      </font>
      <fill>
        <patternFill patternType="none">
          <bgColor auto="1"/>
        </patternFill>
      </fill>
    </dxf>
    <dxf>
      <font>
        <color theme="4"/>
      </font>
      <fill>
        <patternFill patternType="none">
          <bgColor auto="1"/>
        </patternFill>
      </fill>
    </dxf>
    <dxf>
      <font>
        <b/>
        <i val="0"/>
        <color theme="4"/>
      </font>
    </dxf>
    <dxf>
      <font>
        <b/>
        <i val="0"/>
        <color theme="4"/>
      </font>
    </dxf>
    <dxf>
      <font>
        <b/>
        <i val="0"/>
        <color theme="4"/>
      </font>
    </dxf>
    <dxf>
      <font>
        <b/>
        <i val="0"/>
        <color theme="4"/>
      </font>
    </dxf>
    <dxf>
      <font>
        <color theme="6"/>
      </font>
      <fill>
        <patternFill patternType="none">
          <bgColor auto="1"/>
        </patternFill>
      </fill>
    </dxf>
    <dxf>
      <font>
        <color theme="5"/>
      </font>
      <fill>
        <patternFill patternType="none">
          <bgColor auto="1"/>
        </patternFill>
      </fill>
    </dxf>
    <dxf>
      <font>
        <color theme="4"/>
      </font>
      <fill>
        <patternFill patternType="none">
          <bgColor auto="1"/>
        </patternFill>
      </fill>
    </dxf>
    <dxf>
      <font>
        <b/>
        <i val="0"/>
        <color theme="4"/>
      </font>
    </dxf>
    <dxf>
      <font>
        <b/>
        <i val="0"/>
        <color theme="4"/>
      </font>
    </dxf>
    <dxf>
      <font>
        <b/>
        <i val="0"/>
        <color theme="4"/>
      </font>
    </dxf>
    <dxf>
      <font>
        <b/>
        <i val="0"/>
        <color theme="4"/>
      </font>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theme="3"/>
      </font>
      <fill>
        <patternFill>
          <bgColor theme="3" tint="0.59996337778862885"/>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theme="3"/>
      </font>
      <fill>
        <patternFill>
          <bgColor theme="3" tint="0.59996337778862885"/>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theme="3"/>
      </font>
      <fill>
        <patternFill>
          <bgColor theme="3" tint="0.59996337778862885"/>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theme="3"/>
      </font>
      <fill>
        <patternFill>
          <bgColor theme="3" tint="0.59996337778862885"/>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theme="3"/>
      </font>
      <fill>
        <patternFill>
          <bgColor theme="3" tint="0.59996337778862885"/>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theme="3"/>
      </font>
      <fill>
        <patternFill>
          <bgColor theme="3" tint="0.59996337778862885"/>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theme="3"/>
      </font>
      <fill>
        <patternFill>
          <bgColor theme="3" tint="0.59996337778862885"/>
        </patternFill>
      </fill>
    </dxf>
  </dxfs>
  <tableStyles count="0" defaultTableStyle="TableStyleMedium9" defaultPivotStyle="PivotStyleLight16"/>
  <colors>
    <mruColors>
      <color rgb="FF525963"/>
      <color rgb="FFA1A7B1"/>
      <color rgb="FFFFFF00"/>
      <color rgb="FFFFFF99"/>
      <color rgb="FF00CC00"/>
      <color rgb="FFCCCCFF"/>
      <color rgb="FFCCFF99"/>
      <color rgb="FFCCFFFF"/>
      <color rgb="FFFFCC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Uçak İzi">
  <a:themeElements>
    <a:clrScheme name="Uçak İzi">
      <a:dk1>
        <a:sysClr val="windowText" lastClr="000000"/>
      </a:dk1>
      <a:lt1>
        <a:sysClr val="window" lastClr="FFFFFF"/>
      </a:lt1>
      <a:dk2>
        <a:srgbClr val="454545"/>
      </a:dk2>
      <a:lt2>
        <a:srgbClr val="DADADA"/>
      </a:lt2>
      <a:accent1>
        <a:srgbClr val="DF2E28"/>
      </a:accent1>
      <a:accent2>
        <a:srgbClr val="FE801A"/>
      </a:accent2>
      <a:accent3>
        <a:srgbClr val="E9BF35"/>
      </a:accent3>
      <a:accent4>
        <a:srgbClr val="81BB42"/>
      </a:accent4>
      <a:accent5>
        <a:srgbClr val="32C7A9"/>
      </a:accent5>
      <a:accent6>
        <a:srgbClr val="4A9BDC"/>
      </a:accent6>
      <a:hlink>
        <a:srgbClr val="F0532B"/>
      </a:hlink>
      <a:folHlink>
        <a:srgbClr val="F38B53"/>
      </a:folHlink>
    </a:clrScheme>
    <a:fontScheme name="Uçak İzi">
      <a:majorFont>
        <a:latin typeface="Century Gothic" panose="020B0502020202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B050202020202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Uçak İzi">
      <a:fillStyleLst>
        <a:solidFill>
          <a:schemeClr val="phClr"/>
        </a:solidFill>
        <a:gradFill rotWithShape="1">
          <a:gsLst>
            <a:gs pos="0">
              <a:schemeClr val="phClr">
                <a:tint val="69000"/>
                <a:alpha val="100000"/>
                <a:satMod val="109000"/>
                <a:lumMod val="110000"/>
              </a:schemeClr>
            </a:gs>
            <a:gs pos="52000">
              <a:schemeClr val="phClr">
                <a:tint val="74000"/>
                <a:satMod val="100000"/>
                <a:lumMod val="104000"/>
              </a:schemeClr>
            </a:gs>
            <a:gs pos="100000">
              <a:schemeClr val="phClr">
                <a:tint val="78000"/>
                <a:satMod val="100000"/>
                <a:lumMod val="100000"/>
              </a:schemeClr>
            </a:gs>
          </a:gsLst>
          <a:lin ang="5400000" scaled="0"/>
        </a:gradFill>
        <a:gradFill rotWithShape="1">
          <a:gsLst>
            <a:gs pos="0">
              <a:schemeClr val="phClr">
                <a:tint val="96000"/>
                <a:satMod val="100000"/>
                <a:lumMod val="104000"/>
              </a:schemeClr>
            </a:gs>
            <a:gs pos="78000">
              <a:schemeClr val="phClr">
                <a:shade val="100000"/>
                <a:satMod val="110000"/>
                <a:lumMod val="100000"/>
              </a:schemeClr>
            </a:gs>
          </a:gsLst>
          <a:lin ang="5400000" scaled="0"/>
        </a:gradFill>
      </a:fillStyleLst>
      <a:lnStyleLst>
        <a:ln w="9525"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scene3d>
            <a:camera prst="orthographicFront">
              <a:rot lat="0" lon="0" rev="0"/>
            </a:camera>
            <a:lightRig rig="threePt" dir="t"/>
          </a:scene3d>
          <a:sp3d>
            <a:bevelT w="25400" h="12700"/>
          </a:sp3d>
        </a:effectStyle>
        <a:effectStyle>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a:effectStyle>
      </a:effectStyleLst>
      <a:bgFillStyleLst>
        <a:solidFill>
          <a:schemeClr val="phClr"/>
        </a:solidFill>
        <a:solidFill>
          <a:schemeClr val="phClr">
            <a:tint val="95000"/>
            <a:satMod val="170000"/>
          </a:schemeClr>
        </a:solidFill>
        <a:gradFill rotWithShape="1">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Vapor Trail" id="{4FDF2955-7D9C-493C-B9F9-C205151B46CD}" vid="{8F31A783-2159-4870-BC29-2BA7D038EA44}"/>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ayfa3">
    <tabColor theme="6" tint="0.79998168889431442"/>
    <pageSetUpPr fitToPage="1"/>
  </sheetPr>
  <dimension ref="A1:U51"/>
  <sheetViews>
    <sheetView showGridLines="0" zoomScale="40" zoomScaleNormal="40" zoomScaleSheetLayoutView="40" workbookViewId="0">
      <selection activeCell="I44" sqref="I44"/>
    </sheetView>
  </sheetViews>
  <sheetFormatPr defaultColWidth="9.125" defaultRowHeight="20.25" x14ac:dyDescent="0.3"/>
  <cols>
    <col min="1" max="1" width="3.625" style="7" customWidth="1"/>
    <col min="2" max="12" width="34.625" style="7" customWidth="1"/>
    <col min="13" max="13" width="3.625" style="7" customWidth="1"/>
    <col min="14" max="16" width="9.125" style="7"/>
    <col min="17" max="17" width="15.375" style="7" customWidth="1"/>
    <col min="18" max="16384" width="9.125" style="7"/>
  </cols>
  <sheetData>
    <row r="1" spans="1:21" ht="22.5" customHeight="1" x14ac:dyDescent="0.3">
      <c r="A1" s="6"/>
      <c r="B1" s="298"/>
      <c r="C1" s="298"/>
      <c r="D1" s="298"/>
      <c r="E1" s="298"/>
      <c r="F1" s="298"/>
      <c r="G1" s="298"/>
      <c r="H1" s="298"/>
      <c r="I1" s="298"/>
      <c r="J1" s="298"/>
      <c r="K1" s="298"/>
      <c r="L1" s="298"/>
      <c r="M1" s="6"/>
    </row>
    <row r="2" spans="1:21" s="8" customFormat="1" ht="50.1" customHeight="1" x14ac:dyDescent="0.25">
      <c r="A2" s="6"/>
      <c r="B2" s="299" t="s">
        <v>119</v>
      </c>
      <c r="C2" s="299"/>
      <c r="D2" s="299"/>
      <c r="E2" s="299"/>
      <c r="F2" s="299"/>
      <c r="G2" s="299"/>
      <c r="H2" s="299"/>
      <c r="I2" s="299"/>
      <c r="J2" s="299"/>
      <c r="K2" s="299"/>
      <c r="L2" s="299"/>
      <c r="M2" s="6"/>
    </row>
    <row r="3" spans="1:21" s="8" customFormat="1" ht="15" customHeight="1" x14ac:dyDescent="0.25">
      <c r="A3" s="6"/>
      <c r="B3" s="74"/>
      <c r="C3" s="74"/>
      <c r="D3" s="74"/>
      <c r="E3" s="74"/>
      <c r="F3" s="74"/>
      <c r="G3" s="74"/>
      <c r="H3" s="74"/>
      <c r="I3" s="74"/>
      <c r="J3" s="74"/>
      <c r="K3" s="74"/>
      <c r="L3" s="74"/>
      <c r="M3" s="6"/>
    </row>
    <row r="4" spans="1:21" s="2" customFormat="1" ht="50.1" customHeight="1" x14ac:dyDescent="0.25">
      <c r="A4" s="6"/>
      <c r="B4" s="213" t="s">
        <v>127</v>
      </c>
      <c r="C4" s="306" t="s">
        <v>365</v>
      </c>
      <c r="D4" s="307"/>
      <c r="E4" s="213" t="s">
        <v>268</v>
      </c>
      <c r="F4" s="306" t="s">
        <v>366</v>
      </c>
      <c r="G4" s="307"/>
      <c r="H4" s="213" t="s">
        <v>266</v>
      </c>
      <c r="I4" s="276" t="s">
        <v>367</v>
      </c>
      <c r="J4" s="277"/>
      <c r="K4" s="277"/>
      <c r="L4" s="278"/>
      <c r="M4" s="6"/>
      <c r="N4" s="8"/>
      <c r="O4" s="8"/>
      <c r="P4" s="8"/>
      <c r="Q4" s="8"/>
      <c r="R4" s="8"/>
      <c r="S4" s="6"/>
      <c r="T4" s="275"/>
      <c r="U4" s="275"/>
    </row>
    <row r="5" spans="1:21" s="2" customFormat="1" ht="50.1" customHeight="1" x14ac:dyDescent="0.25">
      <c r="A5" s="6"/>
      <c r="B5" s="213" t="s">
        <v>267</v>
      </c>
      <c r="C5" s="308">
        <v>2.8610010115548099E+25</v>
      </c>
      <c r="D5" s="309"/>
      <c r="E5" s="213" t="s">
        <v>126</v>
      </c>
      <c r="F5" s="306" t="s">
        <v>368</v>
      </c>
      <c r="G5" s="307"/>
      <c r="H5" s="217" t="s">
        <v>262</v>
      </c>
      <c r="I5" s="276" t="s">
        <v>369</v>
      </c>
      <c r="J5" s="277"/>
      <c r="K5" s="277"/>
      <c r="L5" s="278"/>
      <c r="M5" s="6"/>
      <c r="N5" s="8"/>
      <c r="O5" s="8"/>
      <c r="P5" s="8"/>
      <c r="Q5" s="8"/>
      <c r="R5" s="8"/>
      <c r="S5" s="6"/>
      <c r="T5" s="73"/>
      <c r="U5" s="73"/>
    </row>
    <row r="6" spans="1:21" s="8" customFormat="1" ht="15" customHeight="1" x14ac:dyDescent="0.25">
      <c r="A6" s="6"/>
      <c r="B6" s="205"/>
      <c r="C6" s="205"/>
      <c r="D6" s="205"/>
      <c r="E6" s="205"/>
      <c r="F6" s="205"/>
      <c r="G6" s="205"/>
      <c r="H6" s="205"/>
      <c r="I6" s="205"/>
      <c r="J6" s="205"/>
      <c r="K6" s="205"/>
      <c r="L6" s="205"/>
      <c r="M6" s="6"/>
    </row>
    <row r="7" spans="1:21" s="13" customFormat="1" ht="60" customHeight="1" x14ac:dyDescent="0.3">
      <c r="A7" s="6"/>
      <c r="B7" s="212"/>
      <c r="C7" s="217" t="s">
        <v>269</v>
      </c>
      <c r="D7" s="217" t="s">
        <v>124</v>
      </c>
      <c r="E7" s="213" t="s">
        <v>261</v>
      </c>
      <c r="F7" s="217" t="s">
        <v>125</v>
      </c>
      <c r="G7" s="217" t="s">
        <v>121</v>
      </c>
      <c r="H7" s="217" t="s">
        <v>123</v>
      </c>
      <c r="I7" s="217" t="s">
        <v>121</v>
      </c>
      <c r="J7" s="217" t="s">
        <v>122</v>
      </c>
      <c r="K7" s="217" t="s">
        <v>263</v>
      </c>
      <c r="L7" s="213" t="s">
        <v>120</v>
      </c>
    </row>
    <row r="8" spans="1:21" s="13" customFormat="1" ht="30" customHeight="1" x14ac:dyDescent="0.3">
      <c r="A8" s="6"/>
      <c r="B8" s="206" t="s">
        <v>265</v>
      </c>
      <c r="C8" s="214">
        <v>17</v>
      </c>
      <c r="D8" s="230"/>
      <c r="E8" s="214">
        <v>17</v>
      </c>
      <c r="F8" s="230">
        <v>41.5</v>
      </c>
      <c r="G8" s="227">
        <v>47000</v>
      </c>
      <c r="H8" s="216">
        <v>300</v>
      </c>
      <c r="I8" s="227">
        <v>47000</v>
      </c>
      <c r="J8" s="228">
        <v>4000</v>
      </c>
      <c r="K8" s="229">
        <v>0</v>
      </c>
      <c r="L8" s="215">
        <v>2016</v>
      </c>
    </row>
    <row r="9" spans="1:21" s="13" customFormat="1" ht="30" customHeight="1" x14ac:dyDescent="0.3">
      <c r="A9" s="6"/>
      <c r="B9" s="218" t="s">
        <v>256</v>
      </c>
      <c r="C9" s="221"/>
      <c r="D9" s="224"/>
      <c r="E9" s="221"/>
      <c r="F9" s="224"/>
      <c r="G9" s="224"/>
      <c r="H9" s="221"/>
      <c r="I9" s="224"/>
      <c r="J9" s="224"/>
      <c r="K9" s="224"/>
      <c r="L9" s="221"/>
      <c r="M9" s="223"/>
    </row>
    <row r="10" spans="1:21" s="13" customFormat="1" ht="30" customHeight="1" x14ac:dyDescent="0.3">
      <c r="A10" s="6"/>
      <c r="B10" s="219" t="s">
        <v>257</v>
      </c>
      <c r="C10" s="63"/>
      <c r="D10" s="225"/>
      <c r="E10" s="63"/>
      <c r="F10" s="225"/>
      <c r="G10" s="225"/>
      <c r="H10" s="63"/>
      <c r="I10" s="225"/>
      <c r="J10" s="225"/>
      <c r="K10" s="225"/>
      <c r="L10" s="32"/>
      <c r="M10" s="223"/>
    </row>
    <row r="11" spans="1:21" s="13" customFormat="1" ht="30" customHeight="1" x14ac:dyDescent="0.3">
      <c r="A11" s="6"/>
      <c r="B11" s="219" t="s">
        <v>258</v>
      </c>
      <c r="C11" s="63"/>
      <c r="D11" s="225"/>
      <c r="E11" s="63"/>
      <c r="F11" s="225"/>
      <c r="G11" s="225"/>
      <c r="H11" s="63"/>
      <c r="I11" s="225"/>
      <c r="J11" s="225"/>
      <c r="K11" s="225"/>
      <c r="L11" s="32"/>
      <c r="M11" s="223"/>
    </row>
    <row r="12" spans="1:21" s="13" customFormat="1" ht="30" customHeight="1" x14ac:dyDescent="0.3">
      <c r="A12" s="6"/>
      <c r="B12" s="219" t="s">
        <v>259</v>
      </c>
      <c r="C12" s="63"/>
      <c r="D12" s="225"/>
      <c r="E12" s="63"/>
      <c r="F12" s="225"/>
      <c r="G12" s="225"/>
      <c r="H12" s="63"/>
      <c r="I12" s="225"/>
      <c r="J12" s="225"/>
      <c r="K12" s="225"/>
      <c r="L12" s="32"/>
      <c r="M12" s="223"/>
    </row>
    <row r="13" spans="1:21" s="13" customFormat="1" ht="30" customHeight="1" x14ac:dyDescent="0.3">
      <c r="A13" s="6"/>
      <c r="B13" s="220" t="s">
        <v>260</v>
      </c>
      <c r="C13" s="222"/>
      <c r="D13" s="226"/>
      <c r="E13" s="222"/>
      <c r="F13" s="226"/>
      <c r="G13" s="226"/>
      <c r="H13" s="222"/>
      <c r="I13" s="226"/>
      <c r="J13" s="226"/>
      <c r="K13" s="226"/>
      <c r="L13" s="222"/>
      <c r="M13" s="223"/>
    </row>
    <row r="14" spans="1:21" s="8" customFormat="1" ht="99.95" customHeight="1" x14ac:dyDescent="0.25">
      <c r="A14" s="6"/>
      <c r="B14" s="212" t="s">
        <v>270</v>
      </c>
      <c r="C14" s="279" t="s">
        <v>327</v>
      </c>
      <c r="D14" s="280"/>
      <c r="E14" s="280"/>
      <c r="F14" s="280"/>
      <c r="G14" s="280"/>
      <c r="H14" s="280"/>
      <c r="I14" s="280"/>
      <c r="J14" s="280"/>
      <c r="K14" s="280"/>
      <c r="L14" s="281"/>
      <c r="M14" s="6"/>
    </row>
    <row r="15" spans="1:21" s="8" customFormat="1" ht="15" customHeight="1" x14ac:dyDescent="0.25">
      <c r="A15" s="6"/>
      <c r="B15" s="205"/>
      <c r="C15" s="205"/>
      <c r="D15" s="205"/>
      <c r="E15" s="205"/>
      <c r="F15" s="205"/>
      <c r="G15" s="205"/>
      <c r="H15" s="205"/>
      <c r="I15" s="205"/>
      <c r="J15" s="205"/>
      <c r="K15" s="205"/>
      <c r="L15" s="205"/>
      <c r="M15" s="6"/>
    </row>
    <row r="16" spans="1:21" s="8" customFormat="1" ht="50.1" customHeight="1" x14ac:dyDescent="0.25">
      <c r="A16" s="6"/>
      <c r="B16" s="299" t="s">
        <v>274</v>
      </c>
      <c r="C16" s="299"/>
      <c r="D16" s="299"/>
      <c r="E16" s="299"/>
      <c r="F16" s="299"/>
      <c r="G16" s="299"/>
      <c r="H16" s="299"/>
      <c r="I16" s="299"/>
      <c r="J16" s="299"/>
      <c r="K16" s="299"/>
      <c r="L16" s="299"/>
      <c r="M16" s="6"/>
    </row>
    <row r="17" spans="1:13" s="8" customFormat="1" ht="15" customHeight="1" x14ac:dyDescent="0.25">
      <c r="A17" s="6"/>
      <c r="B17" s="72"/>
      <c r="C17" s="72"/>
      <c r="D17" s="72"/>
      <c r="E17" s="72"/>
      <c r="F17" s="72"/>
      <c r="G17" s="72"/>
      <c r="H17" s="72"/>
      <c r="I17" s="72"/>
      <c r="J17" s="72"/>
      <c r="K17" s="72"/>
      <c r="L17" s="72"/>
      <c r="M17" s="6"/>
    </row>
    <row r="18" spans="1:13" s="8" customFormat="1" ht="45" customHeight="1" x14ac:dyDescent="0.25">
      <c r="A18" s="6"/>
      <c r="B18" s="300" t="s">
        <v>304</v>
      </c>
      <c r="C18" s="300"/>
      <c r="D18" s="300"/>
      <c r="E18" s="300"/>
      <c r="F18" s="300"/>
      <c r="G18" s="300"/>
      <c r="H18" s="300"/>
      <c r="I18" s="300"/>
      <c r="J18" s="300"/>
      <c r="K18" s="300"/>
      <c r="L18" s="300"/>
    </row>
    <row r="19" spans="1:13" s="8" customFormat="1" ht="30" customHeight="1" x14ac:dyDescent="0.25">
      <c r="A19" s="6"/>
      <c r="B19" s="301" t="s">
        <v>27</v>
      </c>
      <c r="C19" s="302" t="s">
        <v>2</v>
      </c>
      <c r="D19" s="302" t="s">
        <v>69</v>
      </c>
      <c r="E19" s="302" t="s">
        <v>107</v>
      </c>
      <c r="F19" s="302" t="s">
        <v>106</v>
      </c>
      <c r="G19" s="304" t="s">
        <v>28</v>
      </c>
      <c r="H19" s="305"/>
      <c r="I19" s="282" t="s">
        <v>88</v>
      </c>
      <c r="J19" s="283"/>
      <c r="K19" s="283"/>
      <c r="L19" s="284"/>
    </row>
    <row r="20" spans="1:13" s="13" customFormat="1" ht="54.95" customHeight="1" x14ac:dyDescent="0.3">
      <c r="A20" s="285"/>
      <c r="B20" s="290"/>
      <c r="C20" s="292"/>
      <c r="D20" s="292"/>
      <c r="E20" s="292"/>
      <c r="F20" s="303"/>
      <c r="G20" s="79" t="s">
        <v>0</v>
      </c>
      <c r="H20" s="10" t="s">
        <v>18</v>
      </c>
      <c r="I20" s="11" t="s">
        <v>67</v>
      </c>
      <c r="J20" s="11" t="s">
        <v>68</v>
      </c>
      <c r="K20" s="175" t="s">
        <v>300</v>
      </c>
      <c r="L20" s="11" t="s">
        <v>92</v>
      </c>
    </row>
    <row r="21" spans="1:13" s="13" customFormat="1" ht="30" customHeight="1" x14ac:dyDescent="0.3">
      <c r="A21" s="285"/>
      <c r="B21" s="50" t="s">
        <v>16</v>
      </c>
      <c r="C21" s="27">
        <v>222</v>
      </c>
      <c r="D21" s="76">
        <f>C21*7.5*26</f>
        <v>43290</v>
      </c>
      <c r="E21" s="27">
        <v>45</v>
      </c>
      <c r="F21" s="27">
        <v>0</v>
      </c>
      <c r="G21" s="28">
        <v>146</v>
      </c>
      <c r="H21" s="29">
        <v>76</v>
      </c>
      <c r="I21" s="28">
        <v>6</v>
      </c>
      <c r="J21" s="30">
        <v>1</v>
      </c>
      <c r="K21" s="30">
        <v>0</v>
      </c>
      <c r="L21" s="31">
        <v>0</v>
      </c>
    </row>
    <row r="22" spans="1:13" s="13" customFormat="1" ht="30" customHeight="1" x14ac:dyDescent="0.3">
      <c r="A22" s="285"/>
      <c r="B22" s="51" t="s">
        <v>5</v>
      </c>
      <c r="C22" s="32"/>
      <c r="D22" s="77">
        <f>C22*7.5*24</f>
        <v>0</v>
      </c>
      <c r="E22" s="32"/>
      <c r="F22" s="32"/>
      <c r="G22" s="32"/>
      <c r="H22" s="34"/>
      <c r="I22" s="35"/>
      <c r="J22" s="36"/>
      <c r="K22" s="36"/>
      <c r="L22" s="37"/>
    </row>
    <row r="23" spans="1:13" s="13" customFormat="1" ht="30" customHeight="1" x14ac:dyDescent="0.3">
      <c r="A23" s="285"/>
      <c r="B23" s="51" t="s">
        <v>6</v>
      </c>
      <c r="C23" s="32"/>
      <c r="D23" s="77">
        <f>C23*7.5*25</f>
        <v>0</v>
      </c>
      <c r="E23" s="32"/>
      <c r="F23" s="32"/>
      <c r="G23" s="35"/>
      <c r="H23" s="33"/>
      <c r="I23" s="35"/>
      <c r="J23" s="36"/>
      <c r="K23" s="36"/>
      <c r="L23" s="37"/>
    </row>
    <row r="24" spans="1:13" s="13" customFormat="1" ht="30" customHeight="1" x14ac:dyDescent="0.3">
      <c r="A24" s="285"/>
      <c r="B24" s="51" t="s">
        <v>7</v>
      </c>
      <c r="C24" s="32"/>
      <c r="D24" s="77">
        <f>C24*7.5*24</f>
        <v>0</v>
      </c>
      <c r="E24" s="32"/>
      <c r="F24" s="32"/>
      <c r="G24" s="35"/>
      <c r="H24" s="33"/>
      <c r="I24" s="35"/>
      <c r="J24" s="36"/>
      <c r="K24" s="36"/>
      <c r="L24" s="37"/>
    </row>
    <row r="25" spans="1:13" s="13" customFormat="1" ht="30" customHeight="1" x14ac:dyDescent="0.3">
      <c r="A25" s="285"/>
      <c r="B25" s="51" t="s">
        <v>8</v>
      </c>
      <c r="C25" s="32"/>
      <c r="D25" s="77">
        <f>C25*7.5*25</f>
        <v>0</v>
      </c>
      <c r="E25" s="32"/>
      <c r="F25" s="32"/>
      <c r="G25" s="35"/>
      <c r="H25" s="33"/>
      <c r="I25" s="35"/>
      <c r="J25" s="36"/>
      <c r="K25" s="36"/>
      <c r="L25" s="37"/>
    </row>
    <row r="26" spans="1:13" s="13" customFormat="1" ht="30" customHeight="1" x14ac:dyDescent="0.3">
      <c r="A26" s="285"/>
      <c r="B26" s="51" t="s">
        <v>9</v>
      </c>
      <c r="C26" s="32"/>
      <c r="D26" s="77">
        <f>C26*7.5*22</f>
        <v>0</v>
      </c>
      <c r="E26" s="32"/>
      <c r="F26" s="32"/>
      <c r="G26" s="35"/>
      <c r="H26" s="33"/>
      <c r="I26" s="35"/>
      <c r="J26" s="36"/>
      <c r="K26" s="36"/>
      <c r="L26" s="37"/>
    </row>
    <row r="27" spans="1:13" s="13" customFormat="1" ht="30" customHeight="1" x14ac:dyDescent="0.3">
      <c r="A27" s="285"/>
      <c r="B27" s="51" t="s">
        <v>10</v>
      </c>
      <c r="C27" s="32"/>
      <c r="D27" s="77">
        <f t="shared" ref="D27:D30" si="0">C27*7.5*26</f>
        <v>0</v>
      </c>
      <c r="E27" s="32"/>
      <c r="F27" s="32"/>
      <c r="G27" s="35"/>
      <c r="H27" s="33"/>
      <c r="I27" s="35"/>
      <c r="J27" s="36"/>
      <c r="K27" s="36"/>
      <c r="L27" s="37"/>
    </row>
    <row r="28" spans="1:13" s="13" customFormat="1" ht="30" customHeight="1" x14ac:dyDescent="0.3">
      <c r="A28" s="285"/>
      <c r="B28" s="51" t="s">
        <v>11</v>
      </c>
      <c r="C28" s="32"/>
      <c r="D28" s="77">
        <f>C28*7.5*25</f>
        <v>0</v>
      </c>
      <c r="E28" s="32"/>
      <c r="F28" s="32"/>
      <c r="G28" s="32"/>
      <c r="H28" s="34"/>
      <c r="I28" s="35"/>
      <c r="J28" s="36"/>
      <c r="K28" s="36"/>
      <c r="L28" s="37"/>
    </row>
    <row r="29" spans="1:13" s="13" customFormat="1" ht="30" customHeight="1" x14ac:dyDescent="0.3">
      <c r="A29" s="285"/>
      <c r="B29" s="51" t="s">
        <v>12</v>
      </c>
      <c r="C29" s="32"/>
      <c r="D29" s="77">
        <f>C29*7.5*26</f>
        <v>0</v>
      </c>
      <c r="E29" s="32"/>
      <c r="F29" s="32"/>
      <c r="G29" s="32"/>
      <c r="H29" s="34"/>
      <c r="I29" s="35"/>
      <c r="J29" s="36"/>
      <c r="K29" s="36"/>
      <c r="L29" s="37"/>
    </row>
    <row r="30" spans="1:13" s="13" customFormat="1" ht="30" customHeight="1" x14ac:dyDescent="0.3">
      <c r="A30" s="285"/>
      <c r="B30" s="51" t="s">
        <v>13</v>
      </c>
      <c r="C30" s="32"/>
      <c r="D30" s="77">
        <f t="shared" si="0"/>
        <v>0</v>
      </c>
      <c r="E30" s="32"/>
      <c r="F30" s="32"/>
      <c r="G30" s="32"/>
      <c r="H30" s="34"/>
      <c r="I30" s="35"/>
      <c r="J30" s="36"/>
      <c r="K30" s="36"/>
      <c r="L30" s="37"/>
    </row>
    <row r="31" spans="1:13" s="13" customFormat="1" ht="30" customHeight="1" x14ac:dyDescent="0.3">
      <c r="A31" s="285"/>
      <c r="B31" s="51" t="s">
        <v>14</v>
      </c>
      <c r="C31" s="32"/>
      <c r="D31" s="77">
        <f>C31*7.5*25</f>
        <v>0</v>
      </c>
      <c r="E31" s="32"/>
      <c r="F31" s="32"/>
      <c r="G31" s="32"/>
      <c r="H31" s="34"/>
      <c r="I31" s="35"/>
      <c r="J31" s="36"/>
      <c r="K31" s="36"/>
      <c r="L31" s="37"/>
    </row>
    <row r="32" spans="1:13" s="13" customFormat="1" ht="30" customHeight="1" x14ac:dyDescent="0.3">
      <c r="A32" s="285"/>
      <c r="B32" s="52" t="s">
        <v>15</v>
      </c>
      <c r="C32" s="39"/>
      <c r="D32" s="78">
        <f>C32*7.5*27</f>
        <v>0</v>
      </c>
      <c r="E32" s="39"/>
      <c r="F32" s="39"/>
      <c r="G32" s="39"/>
      <c r="H32" s="42"/>
      <c r="I32" s="43"/>
      <c r="J32" s="42"/>
      <c r="K32" s="42"/>
      <c r="L32" s="40"/>
    </row>
    <row r="33" spans="1:14" s="13" customFormat="1" ht="30" customHeight="1" x14ac:dyDescent="0.3">
      <c r="A33" s="285"/>
      <c r="B33" s="53" t="s">
        <v>104</v>
      </c>
      <c r="C33" s="54">
        <f>IFERROR(AVERAGE(C21:C32),"0")</f>
        <v>222</v>
      </c>
      <c r="D33" s="65">
        <f>SUM(D21:D32)</f>
        <v>43290</v>
      </c>
      <c r="E33" s="54">
        <f>IFERROR(SUM(E21:E32),"0")</f>
        <v>45</v>
      </c>
      <c r="F33" s="54">
        <f>IFERROR(SUM(F21:F32),"")</f>
        <v>0</v>
      </c>
      <c r="G33" s="65">
        <f t="shared" ref="G33:L33" si="1">IFERROR(AVERAGE(G21:G32),"0")</f>
        <v>146</v>
      </c>
      <c r="H33" s="65">
        <f t="shared" si="1"/>
        <v>76</v>
      </c>
      <c r="I33" s="65">
        <f t="shared" si="1"/>
        <v>6</v>
      </c>
      <c r="J33" s="65">
        <f t="shared" si="1"/>
        <v>1</v>
      </c>
      <c r="K33" s="65">
        <f t="shared" si="1"/>
        <v>0</v>
      </c>
      <c r="L33" s="65">
        <f t="shared" si="1"/>
        <v>0</v>
      </c>
    </row>
    <row r="34" spans="1:14" s="8" customFormat="1" ht="15" customHeight="1" x14ac:dyDescent="0.25">
      <c r="A34" s="285"/>
      <c r="B34" s="72"/>
      <c r="C34" s="72"/>
      <c r="D34" s="72"/>
      <c r="E34" s="72"/>
      <c r="F34" s="72"/>
      <c r="G34" s="72"/>
      <c r="H34" s="72"/>
      <c r="I34" s="72"/>
      <c r="J34" s="72"/>
      <c r="K34" s="72"/>
      <c r="L34" s="72"/>
      <c r="M34" s="6"/>
    </row>
    <row r="35" spans="1:14" s="8" customFormat="1" ht="45" customHeight="1" x14ac:dyDescent="0.25">
      <c r="A35" s="285"/>
      <c r="B35" s="286" t="s">
        <v>111</v>
      </c>
      <c r="C35" s="287"/>
      <c r="D35" s="287"/>
      <c r="E35" s="287"/>
      <c r="F35" s="287"/>
      <c r="G35" s="287"/>
      <c r="H35" s="287"/>
      <c r="I35" s="287"/>
      <c r="J35" s="287"/>
      <c r="K35" s="287"/>
      <c r="L35" s="288"/>
    </row>
    <row r="36" spans="1:14" s="8" customFormat="1" ht="30" customHeight="1" x14ac:dyDescent="0.25">
      <c r="A36" s="285"/>
      <c r="B36" s="289" t="s">
        <v>27</v>
      </c>
      <c r="C36" s="291" t="s">
        <v>2</v>
      </c>
      <c r="D36" s="291" t="s">
        <v>69</v>
      </c>
      <c r="E36" s="291" t="s">
        <v>107</v>
      </c>
      <c r="F36" s="291" t="s">
        <v>106</v>
      </c>
      <c r="G36" s="293" t="s">
        <v>28</v>
      </c>
      <c r="H36" s="294"/>
      <c r="I36" s="295" t="s">
        <v>88</v>
      </c>
      <c r="J36" s="296"/>
      <c r="K36" s="296"/>
      <c r="L36" s="297"/>
      <c r="M36" s="60"/>
      <c r="N36" s="60"/>
    </row>
    <row r="37" spans="1:14" s="13" customFormat="1" ht="54.95" customHeight="1" x14ac:dyDescent="0.3">
      <c r="A37" s="285"/>
      <c r="B37" s="290"/>
      <c r="C37" s="292"/>
      <c r="D37" s="292"/>
      <c r="E37" s="292"/>
      <c r="F37" s="292"/>
      <c r="G37" s="9" t="s">
        <v>0</v>
      </c>
      <c r="H37" s="10" t="s">
        <v>18</v>
      </c>
      <c r="I37" s="11" t="s">
        <v>67</v>
      </c>
      <c r="J37" s="11" t="s">
        <v>68</v>
      </c>
      <c r="K37" s="175" t="s">
        <v>300</v>
      </c>
      <c r="L37" s="11" t="s">
        <v>92</v>
      </c>
      <c r="M37" s="60"/>
      <c r="N37" s="60"/>
    </row>
    <row r="38" spans="1:14" s="13" customFormat="1" ht="30" customHeight="1" x14ac:dyDescent="0.3">
      <c r="A38" s="285"/>
      <c r="B38" s="50" t="s">
        <v>16</v>
      </c>
      <c r="C38" s="27">
        <v>91</v>
      </c>
      <c r="D38" s="76">
        <f>C38*7.5*26</f>
        <v>17745</v>
      </c>
      <c r="E38" s="27">
        <v>0</v>
      </c>
      <c r="F38" s="62">
        <v>0</v>
      </c>
      <c r="G38" s="61">
        <v>44</v>
      </c>
      <c r="H38" s="29">
        <v>47</v>
      </c>
      <c r="I38" s="28">
        <v>6</v>
      </c>
      <c r="J38" s="30">
        <v>0</v>
      </c>
      <c r="K38" s="30">
        <v>0</v>
      </c>
      <c r="L38" s="31">
        <v>0</v>
      </c>
      <c r="M38" s="60"/>
      <c r="N38" s="60"/>
    </row>
    <row r="39" spans="1:14" s="13" customFormat="1" ht="30" customHeight="1" x14ac:dyDescent="0.3">
      <c r="A39" s="285"/>
      <c r="B39" s="51" t="s">
        <v>5</v>
      </c>
      <c r="C39" s="32"/>
      <c r="D39" s="77">
        <f>C39*7.5*24</f>
        <v>0</v>
      </c>
      <c r="E39" s="32"/>
      <c r="F39" s="63"/>
      <c r="G39" s="33"/>
      <c r="H39" s="34"/>
      <c r="I39" s="35"/>
      <c r="J39" s="36"/>
      <c r="K39" s="36"/>
      <c r="L39" s="37"/>
      <c r="M39" s="60"/>
      <c r="N39" s="60"/>
    </row>
    <row r="40" spans="1:14" s="13" customFormat="1" ht="30" customHeight="1" x14ac:dyDescent="0.3">
      <c r="A40" s="285"/>
      <c r="B40" s="51" t="s">
        <v>6</v>
      </c>
      <c r="C40" s="32"/>
      <c r="D40" s="77">
        <f>C40*7.5*25</f>
        <v>0</v>
      </c>
      <c r="E40" s="32"/>
      <c r="F40" s="63"/>
      <c r="G40" s="38"/>
      <c r="H40" s="33"/>
      <c r="I40" s="35"/>
      <c r="J40" s="36"/>
      <c r="K40" s="36"/>
      <c r="L40" s="37"/>
      <c r="M40" s="60"/>
      <c r="N40" s="60"/>
    </row>
    <row r="41" spans="1:14" s="13" customFormat="1" ht="30" customHeight="1" x14ac:dyDescent="0.3">
      <c r="A41" s="285"/>
      <c r="B41" s="51" t="s">
        <v>7</v>
      </c>
      <c r="C41" s="32"/>
      <c r="D41" s="77">
        <f>C41*7.5*24</f>
        <v>0</v>
      </c>
      <c r="E41" s="32"/>
      <c r="F41" s="63"/>
      <c r="G41" s="38"/>
      <c r="H41" s="33"/>
      <c r="I41" s="35"/>
      <c r="J41" s="36"/>
      <c r="K41" s="36"/>
      <c r="L41" s="37"/>
      <c r="M41" s="60"/>
      <c r="N41" s="60"/>
    </row>
    <row r="42" spans="1:14" s="13" customFormat="1" ht="30" customHeight="1" x14ac:dyDescent="0.3">
      <c r="A42" s="285"/>
      <c r="B42" s="51" t="s">
        <v>8</v>
      </c>
      <c r="C42" s="32"/>
      <c r="D42" s="77">
        <f>C42*7.5*25</f>
        <v>0</v>
      </c>
      <c r="E42" s="32"/>
      <c r="F42" s="63"/>
      <c r="G42" s="38"/>
      <c r="H42" s="33"/>
      <c r="I42" s="35"/>
      <c r="J42" s="36"/>
      <c r="K42" s="36"/>
      <c r="L42" s="37"/>
      <c r="M42" s="60"/>
      <c r="N42" s="60"/>
    </row>
    <row r="43" spans="1:14" s="13" customFormat="1" ht="30" customHeight="1" x14ac:dyDescent="0.3">
      <c r="A43" s="285"/>
      <c r="B43" s="51" t="s">
        <v>9</v>
      </c>
      <c r="C43" s="32"/>
      <c r="D43" s="77">
        <f>C43*7.5*22</f>
        <v>0</v>
      </c>
      <c r="E43" s="32"/>
      <c r="F43" s="63"/>
      <c r="G43" s="38"/>
      <c r="H43" s="33"/>
      <c r="I43" s="35"/>
      <c r="J43" s="36"/>
      <c r="K43" s="36"/>
      <c r="L43" s="37"/>
      <c r="M43" s="60"/>
      <c r="N43" s="60"/>
    </row>
    <row r="44" spans="1:14" s="13" customFormat="1" ht="30" customHeight="1" x14ac:dyDescent="0.3">
      <c r="A44" s="285"/>
      <c r="B44" s="51" t="s">
        <v>10</v>
      </c>
      <c r="C44" s="32"/>
      <c r="D44" s="77">
        <f t="shared" ref="D44:D47" si="2">C44*7.5*26</f>
        <v>0</v>
      </c>
      <c r="E44" s="32"/>
      <c r="F44" s="63"/>
      <c r="G44" s="38"/>
      <c r="H44" s="33"/>
      <c r="I44" s="35"/>
      <c r="J44" s="36"/>
      <c r="K44" s="36"/>
      <c r="L44" s="37"/>
      <c r="M44" s="60"/>
      <c r="N44" s="60"/>
    </row>
    <row r="45" spans="1:14" s="13" customFormat="1" ht="30" customHeight="1" x14ac:dyDescent="0.3">
      <c r="A45" s="285"/>
      <c r="B45" s="51" t="s">
        <v>11</v>
      </c>
      <c r="C45" s="32"/>
      <c r="D45" s="77">
        <f>C45*7.5*25</f>
        <v>0</v>
      </c>
      <c r="E45" s="32"/>
      <c r="F45" s="63"/>
      <c r="G45" s="33"/>
      <c r="H45" s="34"/>
      <c r="I45" s="35"/>
      <c r="J45" s="36"/>
      <c r="K45" s="36"/>
      <c r="L45" s="37"/>
      <c r="M45" s="60"/>
      <c r="N45" s="60"/>
    </row>
    <row r="46" spans="1:14" s="13" customFormat="1" ht="30" customHeight="1" x14ac:dyDescent="0.3">
      <c r="A46" s="285"/>
      <c r="B46" s="51" t="s">
        <v>12</v>
      </c>
      <c r="C46" s="32"/>
      <c r="D46" s="77">
        <f>C46*7.5*26</f>
        <v>0</v>
      </c>
      <c r="E46" s="32"/>
      <c r="F46" s="63"/>
      <c r="G46" s="33"/>
      <c r="H46" s="34"/>
      <c r="I46" s="35"/>
      <c r="J46" s="36"/>
      <c r="K46" s="36"/>
      <c r="L46" s="37"/>
      <c r="M46" s="60"/>
      <c r="N46" s="60"/>
    </row>
    <row r="47" spans="1:14" s="13" customFormat="1" ht="30" customHeight="1" x14ac:dyDescent="0.3">
      <c r="A47" s="285"/>
      <c r="B47" s="51" t="s">
        <v>13</v>
      </c>
      <c r="C47" s="32"/>
      <c r="D47" s="77">
        <f t="shared" si="2"/>
        <v>0</v>
      </c>
      <c r="E47" s="32"/>
      <c r="F47" s="63"/>
      <c r="G47" s="33"/>
      <c r="H47" s="34"/>
      <c r="I47" s="35"/>
      <c r="J47" s="36"/>
      <c r="K47" s="36"/>
      <c r="L47" s="37"/>
      <c r="M47" s="60"/>
      <c r="N47" s="60"/>
    </row>
    <row r="48" spans="1:14" s="13" customFormat="1" ht="30" customHeight="1" x14ac:dyDescent="0.3">
      <c r="A48" s="285"/>
      <c r="B48" s="51" t="s">
        <v>14</v>
      </c>
      <c r="C48" s="32"/>
      <c r="D48" s="77">
        <f>C48*7.5*25</f>
        <v>0</v>
      </c>
      <c r="E48" s="32"/>
      <c r="F48" s="63"/>
      <c r="G48" s="33"/>
      <c r="H48" s="34"/>
      <c r="I48" s="35"/>
      <c r="J48" s="36"/>
      <c r="K48" s="36"/>
      <c r="L48" s="37"/>
      <c r="M48" s="60"/>
      <c r="N48" s="60"/>
    </row>
    <row r="49" spans="1:14" s="13" customFormat="1" ht="30" customHeight="1" x14ac:dyDescent="0.3">
      <c r="A49" s="285"/>
      <c r="B49" s="52" t="s">
        <v>15</v>
      </c>
      <c r="C49" s="39"/>
      <c r="D49" s="78">
        <f>C49*7.5*27</f>
        <v>0</v>
      </c>
      <c r="E49" s="39"/>
      <c r="F49" s="64"/>
      <c r="G49" s="41"/>
      <c r="H49" s="42"/>
      <c r="I49" s="43"/>
      <c r="J49" s="42"/>
      <c r="K49" s="42"/>
      <c r="L49" s="40"/>
      <c r="M49" s="60"/>
      <c r="N49" s="60"/>
    </row>
    <row r="50" spans="1:14" s="13" customFormat="1" ht="30" customHeight="1" x14ac:dyDescent="0.3">
      <c r="A50" s="285"/>
      <c r="B50" s="53" t="s">
        <v>104</v>
      </c>
      <c r="C50" s="54">
        <f>IFERROR(AVERAGE(C38:C49),"0")</f>
        <v>91</v>
      </c>
      <c r="D50" s="65">
        <f>SUM(D38:D49)</f>
        <v>17745</v>
      </c>
      <c r="E50" s="54">
        <f>IFERROR(AVERAGE(E38:E49),"0")</f>
        <v>0</v>
      </c>
      <c r="F50" s="54">
        <f>IFERROR(SUM(F38:F49),"")</f>
        <v>0</v>
      </c>
      <c r="G50" s="65">
        <f t="shared" ref="G50:L50" si="3">IFERROR(AVERAGE(G38:G49),"0")</f>
        <v>44</v>
      </c>
      <c r="H50" s="54">
        <f t="shared" si="3"/>
        <v>47</v>
      </c>
      <c r="I50" s="54">
        <f t="shared" si="3"/>
        <v>6</v>
      </c>
      <c r="J50" s="54">
        <f t="shared" si="3"/>
        <v>0</v>
      </c>
      <c r="K50" s="55">
        <f t="shared" si="3"/>
        <v>0</v>
      </c>
      <c r="L50" s="55">
        <f t="shared" si="3"/>
        <v>0</v>
      </c>
      <c r="M50" s="60"/>
      <c r="N50" s="60"/>
    </row>
    <row r="51" spans="1:14" s="8" customFormat="1" ht="15" customHeight="1" x14ac:dyDescent="0.25">
      <c r="A51" s="285"/>
      <c r="M51" s="71"/>
    </row>
  </sheetData>
  <sheetProtection selectLockedCells="1"/>
  <mergeCells count="28">
    <mergeCell ref="B1:L1"/>
    <mergeCell ref="B16:L16"/>
    <mergeCell ref="B18:L18"/>
    <mergeCell ref="B19:B20"/>
    <mergeCell ref="C19:C20"/>
    <mergeCell ref="D19:D20"/>
    <mergeCell ref="E19:E20"/>
    <mergeCell ref="F19:F20"/>
    <mergeCell ref="G19:H19"/>
    <mergeCell ref="B2:L2"/>
    <mergeCell ref="C4:D4"/>
    <mergeCell ref="C5:D5"/>
    <mergeCell ref="F4:G4"/>
    <mergeCell ref="F5:G5"/>
    <mergeCell ref="A20:A51"/>
    <mergeCell ref="B35:L35"/>
    <mergeCell ref="B36:B37"/>
    <mergeCell ref="C36:C37"/>
    <mergeCell ref="D36:D37"/>
    <mergeCell ref="E36:E37"/>
    <mergeCell ref="F36:F37"/>
    <mergeCell ref="G36:H36"/>
    <mergeCell ref="I36:L36"/>
    <mergeCell ref="T4:U4"/>
    <mergeCell ref="I5:L5"/>
    <mergeCell ref="C14:L14"/>
    <mergeCell ref="I4:L4"/>
    <mergeCell ref="I19:L19"/>
  </mergeCells>
  <dataValidations count="2">
    <dataValidation type="whole" operator="greaterThanOrEqual" allowBlank="1" showInputMessage="1" showErrorMessage="1" sqref="C21:C32 C38:C49 E21:L32 E8:E13 L8:L13 H8:H13 C8:C13 E38:L49">
      <formula1>0</formula1>
    </dataValidation>
    <dataValidation type="decimal" operator="greaterThanOrEqual" allowBlank="1" showInputMessage="1" showErrorMessage="1" sqref="D8:D13 F8:G13 I8:K13">
      <formula1>0</formula1>
    </dataValidation>
  </dataValidations>
  <pageMargins left="0.23622047244094491" right="0.23622047244094491" top="0.35433070866141736" bottom="0.15748031496062992" header="0.31496062992125984" footer="0.11811023622047245"/>
  <pageSetup paperSize="9" scale="34" fitToHeight="0" orientation="landscape" r:id="rId1"/>
  <ignoredErrors>
    <ignoredError sqref="D40:D41 D45 D50 D28 D23:D24 D33 F33 F50" formula="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ayfa1">
    <tabColor theme="4" tint="0.79998168889431442"/>
    <pageSetUpPr fitToPage="1"/>
  </sheetPr>
  <dimension ref="A1:M52"/>
  <sheetViews>
    <sheetView showGridLines="0" zoomScale="40" zoomScaleNormal="40" zoomScaleSheetLayoutView="40" workbookViewId="0">
      <selection activeCell="H6" sqref="H6"/>
    </sheetView>
  </sheetViews>
  <sheetFormatPr defaultColWidth="9.125" defaultRowHeight="20.25" x14ac:dyDescent="0.3"/>
  <cols>
    <col min="1" max="1" width="3.625" style="7" customWidth="1"/>
    <col min="2" max="12" width="34.625" style="7" customWidth="1"/>
    <col min="13" max="13" width="3.625" style="7" customWidth="1"/>
    <col min="14" max="16" width="9.125" style="7"/>
    <col min="17" max="17" width="15.375" style="7" customWidth="1"/>
    <col min="18" max="16384" width="9.125" style="7"/>
  </cols>
  <sheetData>
    <row r="1" spans="1:13" ht="22.5" customHeight="1" x14ac:dyDescent="0.3">
      <c r="A1" s="6"/>
      <c r="B1" s="298"/>
      <c r="C1" s="298"/>
      <c r="D1" s="298"/>
      <c r="E1" s="298"/>
      <c r="F1" s="298"/>
      <c r="G1" s="298"/>
      <c r="H1" s="298"/>
      <c r="I1" s="298"/>
      <c r="J1" s="298"/>
      <c r="K1" s="298"/>
      <c r="L1" s="298"/>
      <c r="M1" s="6"/>
    </row>
    <row r="2" spans="1:13" s="8" customFormat="1" ht="50.1" customHeight="1" x14ac:dyDescent="0.25">
      <c r="A2" s="285"/>
      <c r="B2" s="299" t="s">
        <v>230</v>
      </c>
      <c r="C2" s="299"/>
      <c r="D2" s="299"/>
      <c r="E2" s="299"/>
      <c r="F2" s="299"/>
      <c r="G2" s="299"/>
      <c r="H2" s="299"/>
      <c r="I2" s="299"/>
      <c r="J2" s="299"/>
      <c r="K2" s="299"/>
      <c r="L2" s="299"/>
    </row>
    <row r="3" spans="1:13" s="8" customFormat="1" ht="15" customHeight="1" x14ac:dyDescent="0.25">
      <c r="A3" s="285"/>
      <c r="G3" s="14"/>
      <c r="M3" s="12"/>
    </row>
    <row r="4" spans="1:13" s="8" customFormat="1" ht="60" customHeight="1" x14ac:dyDescent="0.25">
      <c r="A4" s="285"/>
      <c r="B4" s="289" t="s">
        <v>27</v>
      </c>
      <c r="C4" s="315" t="s">
        <v>305</v>
      </c>
      <c r="D4" s="319"/>
      <c r="E4" s="319"/>
      <c r="F4" s="319"/>
      <c r="G4" s="319"/>
      <c r="H4" s="319"/>
      <c r="I4" s="319"/>
      <c r="J4" s="319"/>
      <c r="K4" s="315" t="s">
        <v>110</v>
      </c>
      <c r="L4" s="316"/>
    </row>
    <row r="5" spans="1:13" s="8" customFormat="1" ht="60" customHeight="1" x14ac:dyDescent="0.25">
      <c r="A5" s="285"/>
      <c r="B5" s="290"/>
      <c r="C5" s="171" t="s">
        <v>97</v>
      </c>
      <c r="D5" s="171" t="s">
        <v>98</v>
      </c>
      <c r="E5" s="171" t="s">
        <v>296</v>
      </c>
      <c r="F5" s="171" t="s">
        <v>219</v>
      </c>
      <c r="G5" s="173" t="s">
        <v>220</v>
      </c>
      <c r="H5" s="173" t="s">
        <v>66</v>
      </c>
      <c r="I5" s="173" t="s">
        <v>216</v>
      </c>
      <c r="J5" s="173" t="s">
        <v>221</v>
      </c>
      <c r="K5" s="317"/>
      <c r="L5" s="318"/>
    </row>
    <row r="6" spans="1:13" s="8" customFormat="1" ht="30" customHeight="1" x14ac:dyDescent="0.25">
      <c r="A6" s="285"/>
      <c r="B6" s="50" t="s">
        <v>16</v>
      </c>
      <c r="C6" s="21">
        <v>4</v>
      </c>
      <c r="D6" s="21">
        <v>1</v>
      </c>
      <c r="E6" s="21">
        <v>4</v>
      </c>
      <c r="F6" s="21">
        <v>1</v>
      </c>
      <c r="G6" s="21">
        <v>3</v>
      </c>
      <c r="H6" s="21">
        <v>2</v>
      </c>
      <c r="I6" s="21">
        <v>0</v>
      </c>
      <c r="J6" s="21">
        <v>0</v>
      </c>
      <c r="K6" s="178" t="s">
        <v>93</v>
      </c>
      <c r="L6" s="178" t="s">
        <v>223</v>
      </c>
    </row>
    <row r="7" spans="1:13" s="8" customFormat="1" ht="30" customHeight="1" x14ac:dyDescent="0.25">
      <c r="A7" s="285"/>
      <c r="B7" s="51" t="s">
        <v>5</v>
      </c>
      <c r="C7" s="23"/>
      <c r="D7" s="23"/>
      <c r="E7" s="23"/>
      <c r="F7" s="23"/>
      <c r="G7" s="23"/>
      <c r="H7" s="23"/>
      <c r="I7" s="23"/>
      <c r="J7" s="23"/>
      <c r="K7" s="312">
        <f>IFERROR(((D18*100000)/'İşyeri ve Çalışan Bilgileri'!$C$33),"0")</f>
        <v>450.45045045045043</v>
      </c>
      <c r="L7" s="312">
        <f>IFERROR(((H18*200000)/'İşyeri ve Çalışan Bilgileri'!$D$33),"0")</f>
        <v>9.2400092400092397</v>
      </c>
    </row>
    <row r="8" spans="1:13" s="8" customFormat="1" ht="30" customHeight="1" x14ac:dyDescent="0.25">
      <c r="A8" s="285"/>
      <c r="B8" s="51" t="s">
        <v>6</v>
      </c>
      <c r="C8" s="23"/>
      <c r="D8" s="23"/>
      <c r="E8" s="23"/>
      <c r="F8" s="23"/>
      <c r="G8" s="23"/>
      <c r="H8" s="23"/>
      <c r="I8" s="23"/>
      <c r="J8" s="23"/>
      <c r="K8" s="313"/>
      <c r="L8" s="313"/>
    </row>
    <row r="9" spans="1:13" s="8" customFormat="1" ht="30" customHeight="1" x14ac:dyDescent="0.25">
      <c r="A9" s="285"/>
      <c r="B9" s="51" t="s">
        <v>7</v>
      </c>
      <c r="C9" s="23"/>
      <c r="D9" s="23"/>
      <c r="E9" s="23"/>
      <c r="F9" s="23"/>
      <c r="G9" s="23"/>
      <c r="H9" s="23"/>
      <c r="I9" s="23"/>
      <c r="J9" s="23"/>
      <c r="K9" s="179" t="s">
        <v>4</v>
      </c>
      <c r="L9" s="179" t="s">
        <v>229</v>
      </c>
    </row>
    <row r="10" spans="1:13" s="8" customFormat="1" ht="30" customHeight="1" x14ac:dyDescent="0.25">
      <c r="A10" s="285"/>
      <c r="B10" s="51" t="s">
        <v>8</v>
      </c>
      <c r="C10" s="23"/>
      <c r="D10" s="23"/>
      <c r="E10" s="23"/>
      <c r="F10" s="23"/>
      <c r="G10" s="23"/>
      <c r="H10" s="23"/>
      <c r="I10" s="23"/>
      <c r="J10" s="23"/>
      <c r="K10" s="312">
        <f>IFERROR((H18/'İşyeri ve Çalışan Bilgileri'!$D$33)*100000,"0")</f>
        <v>4.6200046200046199</v>
      </c>
      <c r="L10" s="310">
        <f>IFERROR((H18/301)*100,"")</f>
        <v>0.66445182724252494</v>
      </c>
    </row>
    <row r="11" spans="1:13" s="8" customFormat="1" ht="30" customHeight="1" x14ac:dyDescent="0.25">
      <c r="A11" s="285"/>
      <c r="B11" s="51" t="s">
        <v>9</v>
      </c>
      <c r="C11" s="23"/>
      <c r="D11" s="23"/>
      <c r="E11" s="23"/>
      <c r="F11" s="23"/>
      <c r="G11" s="23"/>
      <c r="H11" s="23"/>
      <c r="I11" s="23"/>
      <c r="J11" s="23"/>
      <c r="K11" s="313"/>
      <c r="L11" s="311"/>
    </row>
    <row r="12" spans="1:13" s="8" customFormat="1" ht="30" customHeight="1" x14ac:dyDescent="0.25">
      <c r="A12" s="285"/>
      <c r="B12" s="51" t="s">
        <v>10</v>
      </c>
      <c r="C12" s="23"/>
      <c r="D12" s="23"/>
      <c r="E12" s="23"/>
      <c r="F12" s="23"/>
      <c r="G12" s="23"/>
      <c r="H12" s="23"/>
      <c r="I12" s="23"/>
      <c r="J12" s="23"/>
      <c r="K12" s="178" t="s">
        <v>3</v>
      </c>
      <c r="L12" s="178" t="s">
        <v>222</v>
      </c>
    </row>
    <row r="13" spans="1:13" s="8" customFormat="1" ht="30" customHeight="1" x14ac:dyDescent="0.25">
      <c r="A13" s="285"/>
      <c r="B13" s="51" t="s">
        <v>11</v>
      </c>
      <c r="C13" s="23"/>
      <c r="D13" s="23"/>
      <c r="E13" s="23"/>
      <c r="F13" s="23"/>
      <c r="G13" s="23"/>
      <c r="H13" s="23"/>
      <c r="I13" s="23"/>
      <c r="J13" s="23"/>
      <c r="K13" s="312">
        <f>IFERROR((C18/'İşyeri ve Çalışan Bilgileri'!$D$33)*1000000,"0")</f>
        <v>92.400092400092404</v>
      </c>
      <c r="L13" s="312">
        <f>IFERROR(J18/('İşyeri ve Çalışan Bilgileri'!D33*200000),"0")</f>
        <v>0</v>
      </c>
    </row>
    <row r="14" spans="1:13" s="8" customFormat="1" ht="30" customHeight="1" x14ac:dyDescent="0.25">
      <c r="A14" s="285"/>
      <c r="B14" s="51" t="s">
        <v>12</v>
      </c>
      <c r="C14" s="23"/>
      <c r="D14" s="23"/>
      <c r="E14" s="23"/>
      <c r="F14" s="23"/>
      <c r="G14" s="23"/>
      <c r="H14" s="23"/>
      <c r="I14" s="23"/>
      <c r="J14" s="23"/>
      <c r="K14" s="313"/>
      <c r="L14" s="313"/>
    </row>
    <row r="15" spans="1:13" s="8" customFormat="1" ht="30" customHeight="1" x14ac:dyDescent="0.25">
      <c r="A15" s="285"/>
      <c r="B15" s="51" t="s">
        <v>13</v>
      </c>
      <c r="C15" s="23"/>
      <c r="D15" s="23"/>
      <c r="E15" s="23"/>
      <c r="F15" s="23"/>
      <c r="G15" s="23"/>
      <c r="H15" s="23"/>
      <c r="I15" s="23"/>
      <c r="J15" s="23"/>
      <c r="K15" s="174" t="s">
        <v>105</v>
      </c>
      <c r="L15" s="174"/>
    </row>
    <row r="16" spans="1:13" s="8" customFormat="1" ht="30" customHeight="1" x14ac:dyDescent="0.25">
      <c r="A16" s="285"/>
      <c r="B16" s="51" t="s">
        <v>14</v>
      </c>
      <c r="C16" s="23"/>
      <c r="D16" s="23"/>
      <c r="E16" s="23"/>
      <c r="F16" s="23"/>
      <c r="G16" s="23"/>
      <c r="H16" s="23"/>
      <c r="I16" s="23"/>
      <c r="J16" s="23"/>
      <c r="K16" s="314">
        <f>IFERROR((C18/'İşyeri ve Çalışan Bilgileri'!$C$33),"0")</f>
        <v>1.8018018018018018E-2</v>
      </c>
      <c r="L16" s="314"/>
    </row>
    <row r="17" spans="1:13" s="8" customFormat="1" ht="30" customHeight="1" x14ac:dyDescent="0.25">
      <c r="A17" s="285"/>
      <c r="B17" s="52" t="s">
        <v>15</v>
      </c>
      <c r="C17" s="25"/>
      <c r="D17" s="25"/>
      <c r="E17" s="25"/>
      <c r="F17" s="25"/>
      <c r="G17" s="25"/>
      <c r="H17" s="25"/>
      <c r="I17" s="25"/>
      <c r="J17" s="25"/>
      <c r="K17" s="313"/>
      <c r="L17" s="313"/>
    </row>
    <row r="18" spans="1:13" s="8" customFormat="1" ht="30" customHeight="1" x14ac:dyDescent="0.25">
      <c r="A18" s="285"/>
      <c r="B18" s="53" t="s">
        <v>1</v>
      </c>
      <c r="C18" s="55">
        <f t="shared" ref="C18:D18" si="0">SUM(C6:C17)</f>
        <v>4</v>
      </c>
      <c r="D18" s="55">
        <f t="shared" si="0"/>
        <v>1</v>
      </c>
      <c r="E18" s="55">
        <f t="shared" ref="E18" si="1">SUM(E6:E17)</f>
        <v>4</v>
      </c>
      <c r="F18" s="55">
        <f t="shared" ref="F18:G18" si="2">SUM(F6:F17)</f>
        <v>1</v>
      </c>
      <c r="G18" s="55">
        <f t="shared" si="2"/>
        <v>3</v>
      </c>
      <c r="H18" s="55">
        <f t="shared" ref="H18:I18" si="3">SUM(H6:H17)</f>
        <v>2</v>
      </c>
      <c r="I18" s="55">
        <f t="shared" si="3"/>
        <v>0</v>
      </c>
      <c r="J18" s="55">
        <f t="shared" ref="J18" si="4">SUM(J6:J17)</f>
        <v>0</v>
      </c>
      <c r="K18" s="55"/>
      <c r="L18" s="55"/>
    </row>
    <row r="19" spans="1:13" s="8" customFormat="1" ht="15" customHeight="1" x14ac:dyDescent="0.25">
      <c r="A19" s="285"/>
      <c r="M19" s="269"/>
    </row>
    <row r="20" spans="1:13" s="8" customFormat="1" ht="60" customHeight="1" x14ac:dyDescent="0.25">
      <c r="A20" s="285"/>
      <c r="B20" s="289" t="s">
        <v>27</v>
      </c>
      <c r="C20" s="325" t="s">
        <v>334</v>
      </c>
      <c r="D20" s="326"/>
      <c r="E20" s="326"/>
      <c r="F20" s="326"/>
      <c r="G20" s="326"/>
      <c r="H20" s="326"/>
      <c r="I20" s="326"/>
      <c r="J20" s="326"/>
      <c r="K20" s="325" t="s">
        <v>110</v>
      </c>
      <c r="L20" s="327"/>
    </row>
    <row r="21" spans="1:13" s="8" customFormat="1" ht="60" customHeight="1" x14ac:dyDescent="0.25">
      <c r="A21" s="285"/>
      <c r="B21" s="290"/>
      <c r="C21" s="272" t="s">
        <v>97</v>
      </c>
      <c r="D21" s="272" t="s">
        <v>98</v>
      </c>
      <c r="E21" s="272" t="s">
        <v>296</v>
      </c>
      <c r="F21" s="272" t="s">
        <v>219</v>
      </c>
      <c r="G21" s="272" t="s">
        <v>220</v>
      </c>
      <c r="H21" s="272" t="s">
        <v>66</v>
      </c>
      <c r="I21" s="272" t="s">
        <v>216</v>
      </c>
      <c r="J21" s="272" t="s">
        <v>221</v>
      </c>
      <c r="K21" s="328"/>
      <c r="L21" s="329"/>
    </row>
    <row r="22" spans="1:13" s="8" customFormat="1" ht="30" customHeight="1" x14ac:dyDescent="0.25">
      <c r="A22" s="285"/>
      <c r="B22" s="50" t="s">
        <v>16</v>
      </c>
      <c r="C22" s="21">
        <v>0</v>
      </c>
      <c r="D22" s="21">
        <v>0</v>
      </c>
      <c r="E22" s="21">
        <v>0</v>
      </c>
      <c r="F22" s="21">
        <v>0</v>
      </c>
      <c r="G22" s="21">
        <v>0</v>
      </c>
      <c r="H22" s="21">
        <v>0</v>
      </c>
      <c r="I22" s="21">
        <v>0</v>
      </c>
      <c r="J22" s="21">
        <v>0</v>
      </c>
      <c r="K22" s="272" t="s">
        <v>93</v>
      </c>
      <c r="L22" s="272" t="s">
        <v>223</v>
      </c>
    </row>
    <row r="23" spans="1:13" s="8" customFormat="1" ht="30" customHeight="1" x14ac:dyDescent="0.25">
      <c r="A23" s="285"/>
      <c r="B23" s="51" t="s">
        <v>5</v>
      </c>
      <c r="C23" s="23"/>
      <c r="D23" s="23"/>
      <c r="E23" s="23"/>
      <c r="F23" s="23"/>
      <c r="G23" s="23"/>
      <c r="H23" s="23"/>
      <c r="I23" s="23"/>
      <c r="J23" s="23"/>
      <c r="K23" s="312">
        <f>IFERROR(((D34*100000)/'İşyeri ve Çalışan Bilgileri'!$C$33),"0")</f>
        <v>0</v>
      </c>
      <c r="L23" s="312">
        <f>IFERROR(((H34*200000)/'İşyeri ve Çalışan Bilgileri'!$D$33),"0")</f>
        <v>0</v>
      </c>
    </row>
    <row r="24" spans="1:13" s="8" customFormat="1" ht="30" customHeight="1" x14ac:dyDescent="0.25">
      <c r="A24" s="285"/>
      <c r="B24" s="51" t="s">
        <v>6</v>
      </c>
      <c r="C24" s="23"/>
      <c r="D24" s="23"/>
      <c r="E24" s="23"/>
      <c r="F24" s="23"/>
      <c r="G24" s="23"/>
      <c r="H24" s="23"/>
      <c r="I24" s="23"/>
      <c r="J24" s="23"/>
      <c r="K24" s="313"/>
      <c r="L24" s="313"/>
    </row>
    <row r="25" spans="1:13" s="8" customFormat="1" ht="30" customHeight="1" x14ac:dyDescent="0.25">
      <c r="A25" s="285"/>
      <c r="B25" s="51" t="s">
        <v>7</v>
      </c>
      <c r="C25" s="23"/>
      <c r="D25" s="23"/>
      <c r="E25" s="23"/>
      <c r="F25" s="23"/>
      <c r="G25" s="23"/>
      <c r="H25" s="23"/>
      <c r="I25" s="23"/>
      <c r="J25" s="23"/>
      <c r="K25" s="273" t="s">
        <v>4</v>
      </c>
      <c r="L25" s="273" t="s">
        <v>229</v>
      </c>
    </row>
    <row r="26" spans="1:13" s="8" customFormat="1" ht="30" customHeight="1" x14ac:dyDescent="0.25">
      <c r="A26" s="285"/>
      <c r="B26" s="51" t="s">
        <v>8</v>
      </c>
      <c r="C26" s="23"/>
      <c r="D26" s="23"/>
      <c r="E26" s="23"/>
      <c r="F26" s="23"/>
      <c r="G26" s="23"/>
      <c r="H26" s="23"/>
      <c r="I26" s="23"/>
      <c r="J26" s="23"/>
      <c r="K26" s="312">
        <f>IFERROR((H34/'İşyeri ve Çalışan Bilgileri'!$D$33)*100000,"0")</f>
        <v>0</v>
      </c>
      <c r="L26" s="310">
        <f>IFERROR((H34/301)*100,"")</f>
        <v>0</v>
      </c>
    </row>
    <row r="27" spans="1:13" s="8" customFormat="1" ht="30" customHeight="1" x14ac:dyDescent="0.25">
      <c r="A27" s="285"/>
      <c r="B27" s="51" t="s">
        <v>9</v>
      </c>
      <c r="C27" s="23"/>
      <c r="D27" s="23"/>
      <c r="E27" s="23"/>
      <c r="F27" s="23"/>
      <c r="G27" s="23"/>
      <c r="H27" s="23"/>
      <c r="I27" s="23"/>
      <c r="J27" s="23"/>
      <c r="K27" s="313"/>
      <c r="L27" s="311"/>
    </row>
    <row r="28" spans="1:13" s="8" customFormat="1" ht="30" customHeight="1" x14ac:dyDescent="0.25">
      <c r="A28" s="285"/>
      <c r="B28" s="51" t="s">
        <v>10</v>
      </c>
      <c r="C28" s="23"/>
      <c r="D28" s="23"/>
      <c r="E28" s="23"/>
      <c r="F28" s="23"/>
      <c r="G28" s="23"/>
      <c r="H28" s="23"/>
      <c r="I28" s="23"/>
      <c r="J28" s="23"/>
      <c r="K28" s="272" t="s">
        <v>3</v>
      </c>
      <c r="L28" s="272" t="s">
        <v>222</v>
      </c>
    </row>
    <row r="29" spans="1:13" s="8" customFormat="1" ht="30" customHeight="1" x14ac:dyDescent="0.25">
      <c r="A29" s="285"/>
      <c r="B29" s="51" t="s">
        <v>11</v>
      </c>
      <c r="C29" s="23"/>
      <c r="D29" s="23"/>
      <c r="E29" s="23"/>
      <c r="F29" s="23"/>
      <c r="G29" s="23"/>
      <c r="H29" s="23"/>
      <c r="I29" s="23"/>
      <c r="J29" s="23"/>
      <c r="K29" s="312">
        <f>IFERROR((C34/'İşyeri ve Çalışan Bilgileri'!$D$33)*1000000,"0")</f>
        <v>0</v>
      </c>
      <c r="L29" s="312">
        <f>IFERROR(J34/('İşyeri ve Çalışan Bilgileri'!D33*200000),"0")</f>
        <v>0</v>
      </c>
    </row>
    <row r="30" spans="1:13" s="8" customFormat="1" ht="30" customHeight="1" x14ac:dyDescent="0.25">
      <c r="A30" s="285"/>
      <c r="B30" s="51" t="s">
        <v>12</v>
      </c>
      <c r="C30" s="23"/>
      <c r="D30" s="23"/>
      <c r="E30" s="23"/>
      <c r="F30" s="23"/>
      <c r="G30" s="23"/>
      <c r="H30" s="23"/>
      <c r="I30" s="23"/>
      <c r="J30" s="23"/>
      <c r="K30" s="313"/>
      <c r="L30" s="313"/>
    </row>
    <row r="31" spans="1:13" s="8" customFormat="1" ht="30" customHeight="1" x14ac:dyDescent="0.25">
      <c r="A31" s="285"/>
      <c r="B31" s="51" t="s">
        <v>13</v>
      </c>
      <c r="C31" s="23"/>
      <c r="D31" s="23"/>
      <c r="E31" s="23"/>
      <c r="F31" s="23"/>
      <c r="G31" s="23"/>
      <c r="H31" s="23"/>
      <c r="I31" s="23"/>
      <c r="J31" s="23"/>
      <c r="K31" s="274" t="s">
        <v>105</v>
      </c>
      <c r="L31" s="274"/>
    </row>
    <row r="32" spans="1:13" s="8" customFormat="1" ht="30" customHeight="1" x14ac:dyDescent="0.25">
      <c r="A32" s="285"/>
      <c r="B32" s="51" t="s">
        <v>14</v>
      </c>
      <c r="C32" s="23"/>
      <c r="D32" s="23"/>
      <c r="E32" s="23"/>
      <c r="F32" s="23"/>
      <c r="G32" s="23"/>
      <c r="H32" s="23"/>
      <c r="I32" s="23"/>
      <c r="J32" s="23"/>
      <c r="K32" s="314">
        <f>IFERROR((C34/'İşyeri ve Çalışan Bilgileri'!$C$33),"0")</f>
        <v>0</v>
      </c>
      <c r="L32" s="314"/>
    </row>
    <row r="33" spans="1:13" s="8" customFormat="1" ht="30" customHeight="1" x14ac:dyDescent="0.25">
      <c r="A33" s="285"/>
      <c r="B33" s="52" t="s">
        <v>15</v>
      </c>
      <c r="C33" s="25"/>
      <c r="D33" s="25"/>
      <c r="E33" s="25"/>
      <c r="F33" s="25"/>
      <c r="G33" s="25"/>
      <c r="H33" s="25"/>
      <c r="I33" s="25"/>
      <c r="J33" s="25"/>
      <c r="K33" s="313"/>
      <c r="L33" s="313"/>
    </row>
    <row r="34" spans="1:13" s="8" customFormat="1" ht="30" customHeight="1" x14ac:dyDescent="0.25">
      <c r="A34" s="285"/>
      <c r="B34" s="53" t="s">
        <v>1</v>
      </c>
      <c r="C34" s="55">
        <f t="shared" ref="C34:D34" si="5">SUM(C22:C33)</f>
        <v>0</v>
      </c>
      <c r="D34" s="55">
        <f t="shared" si="5"/>
        <v>0</v>
      </c>
      <c r="E34" s="55">
        <f t="shared" ref="E34:J34" si="6">SUM(E22:E33)</f>
        <v>0</v>
      </c>
      <c r="F34" s="55">
        <f t="shared" si="6"/>
        <v>0</v>
      </c>
      <c r="G34" s="55">
        <f t="shared" si="6"/>
        <v>0</v>
      </c>
      <c r="H34" s="55">
        <f t="shared" si="6"/>
        <v>0</v>
      </c>
      <c r="I34" s="55">
        <f t="shared" si="6"/>
        <v>0</v>
      </c>
      <c r="J34" s="55">
        <f t="shared" si="6"/>
        <v>0</v>
      </c>
      <c r="K34" s="55"/>
      <c r="L34" s="55"/>
    </row>
    <row r="35" spans="1:13" s="8" customFormat="1" ht="15" customHeight="1" x14ac:dyDescent="0.25">
      <c r="A35" s="285"/>
      <c r="M35" s="172"/>
    </row>
    <row r="36" spans="1:13" s="8" customFormat="1" ht="60" customHeight="1" x14ac:dyDescent="0.25">
      <c r="A36" s="172"/>
      <c r="B36" s="289" t="s">
        <v>27</v>
      </c>
      <c r="C36" s="320" t="s">
        <v>335</v>
      </c>
      <c r="D36" s="324"/>
      <c r="E36" s="324"/>
      <c r="F36" s="324"/>
      <c r="G36" s="324"/>
      <c r="H36" s="324"/>
      <c r="I36" s="324"/>
      <c r="J36" s="324"/>
      <c r="K36" s="320" t="s">
        <v>110</v>
      </c>
      <c r="L36" s="321"/>
    </row>
    <row r="37" spans="1:13" s="8" customFormat="1" ht="60" customHeight="1" x14ac:dyDescent="0.25">
      <c r="A37" s="172"/>
      <c r="B37" s="290"/>
      <c r="C37" s="175" t="s">
        <v>97</v>
      </c>
      <c r="D37" s="175" t="s">
        <v>98</v>
      </c>
      <c r="E37" s="175" t="s">
        <v>296</v>
      </c>
      <c r="F37" s="175" t="s">
        <v>219</v>
      </c>
      <c r="G37" s="175" t="s">
        <v>220</v>
      </c>
      <c r="H37" s="175" t="s">
        <v>66</v>
      </c>
      <c r="I37" s="175" t="s">
        <v>216</v>
      </c>
      <c r="J37" s="180" t="s">
        <v>221</v>
      </c>
      <c r="K37" s="322"/>
      <c r="L37" s="323"/>
    </row>
    <row r="38" spans="1:13" s="8" customFormat="1" ht="30" customHeight="1" x14ac:dyDescent="0.25">
      <c r="A38" s="172"/>
      <c r="B38" s="50" t="s">
        <v>16</v>
      </c>
      <c r="C38" s="21">
        <v>0</v>
      </c>
      <c r="D38" s="21">
        <v>0</v>
      </c>
      <c r="E38" s="21">
        <v>0</v>
      </c>
      <c r="F38" s="21">
        <v>0</v>
      </c>
      <c r="G38" s="21">
        <v>0</v>
      </c>
      <c r="H38" s="21">
        <v>0</v>
      </c>
      <c r="I38" s="21">
        <v>0</v>
      </c>
      <c r="J38" s="21">
        <v>0</v>
      </c>
      <c r="K38" s="175" t="s">
        <v>93</v>
      </c>
      <c r="L38" s="175" t="s">
        <v>223</v>
      </c>
    </row>
    <row r="39" spans="1:13" s="8" customFormat="1" ht="30" customHeight="1" x14ac:dyDescent="0.25">
      <c r="A39" s="172"/>
      <c r="B39" s="51" t="s">
        <v>5</v>
      </c>
      <c r="C39" s="23"/>
      <c r="D39" s="23"/>
      <c r="E39" s="23"/>
      <c r="F39" s="23"/>
      <c r="G39" s="23"/>
      <c r="H39" s="23"/>
      <c r="I39" s="23"/>
      <c r="J39" s="23"/>
      <c r="K39" s="312">
        <f>IFERROR(((D50*100000)/'İşyeri ve Çalışan Bilgileri'!$C$50),"0")</f>
        <v>0</v>
      </c>
      <c r="L39" s="312">
        <f>IFERROR(((H50*200000)/'İşyeri ve Çalışan Bilgileri'!$D$50),"0")</f>
        <v>0</v>
      </c>
    </row>
    <row r="40" spans="1:13" s="8" customFormat="1" ht="30" customHeight="1" x14ac:dyDescent="0.25">
      <c r="A40" s="172"/>
      <c r="B40" s="51" t="s">
        <v>6</v>
      </c>
      <c r="C40" s="23"/>
      <c r="D40" s="23"/>
      <c r="E40" s="23"/>
      <c r="F40" s="23"/>
      <c r="G40" s="23"/>
      <c r="H40" s="23"/>
      <c r="I40" s="23"/>
      <c r="J40" s="23"/>
      <c r="K40" s="313"/>
      <c r="L40" s="313"/>
    </row>
    <row r="41" spans="1:13" s="8" customFormat="1" ht="30" customHeight="1" x14ac:dyDescent="0.25">
      <c r="A41" s="172"/>
      <c r="B41" s="51" t="s">
        <v>7</v>
      </c>
      <c r="C41" s="23"/>
      <c r="D41" s="23"/>
      <c r="E41" s="23"/>
      <c r="F41" s="23"/>
      <c r="G41" s="23"/>
      <c r="H41" s="23"/>
      <c r="I41" s="23"/>
      <c r="J41" s="23"/>
      <c r="K41" s="176" t="s">
        <v>4</v>
      </c>
      <c r="L41" s="176" t="s">
        <v>229</v>
      </c>
    </row>
    <row r="42" spans="1:13" s="8" customFormat="1" ht="30" customHeight="1" x14ac:dyDescent="0.25">
      <c r="A42" s="172"/>
      <c r="B42" s="51" t="s">
        <v>8</v>
      </c>
      <c r="C42" s="23"/>
      <c r="D42" s="23"/>
      <c r="E42" s="23"/>
      <c r="F42" s="23"/>
      <c r="G42" s="23"/>
      <c r="H42" s="23"/>
      <c r="I42" s="23"/>
      <c r="J42" s="23"/>
      <c r="K42" s="312">
        <f>IFERROR((H50/'İşyeri ve Çalışan Bilgileri'!$D$50)*100000,"0")</f>
        <v>0</v>
      </c>
      <c r="L42" s="310">
        <f>IFERROR((H50/301)*100,"")</f>
        <v>0</v>
      </c>
    </row>
    <row r="43" spans="1:13" s="8" customFormat="1" ht="30" customHeight="1" x14ac:dyDescent="0.25">
      <c r="A43" s="172"/>
      <c r="B43" s="51" t="s">
        <v>9</v>
      </c>
      <c r="C43" s="23"/>
      <c r="D43" s="23"/>
      <c r="E43" s="23"/>
      <c r="F43" s="23"/>
      <c r="G43" s="23"/>
      <c r="H43" s="23"/>
      <c r="I43" s="23"/>
      <c r="J43" s="23"/>
      <c r="K43" s="313"/>
      <c r="L43" s="311"/>
    </row>
    <row r="44" spans="1:13" s="8" customFormat="1" ht="30" customHeight="1" x14ac:dyDescent="0.25">
      <c r="A44" s="172"/>
      <c r="B44" s="51" t="s">
        <v>10</v>
      </c>
      <c r="C44" s="23"/>
      <c r="D44" s="23"/>
      <c r="E44" s="23"/>
      <c r="F44" s="23"/>
      <c r="G44" s="23"/>
      <c r="H44" s="23"/>
      <c r="I44" s="23"/>
      <c r="J44" s="23"/>
      <c r="K44" s="175" t="s">
        <v>3</v>
      </c>
      <c r="L44" s="175" t="s">
        <v>222</v>
      </c>
    </row>
    <row r="45" spans="1:13" s="8" customFormat="1" ht="30" customHeight="1" x14ac:dyDescent="0.25">
      <c r="A45" s="172"/>
      <c r="B45" s="51" t="s">
        <v>11</v>
      </c>
      <c r="C45" s="23"/>
      <c r="D45" s="23"/>
      <c r="E45" s="23"/>
      <c r="F45" s="23"/>
      <c r="G45" s="23"/>
      <c r="H45" s="23"/>
      <c r="I45" s="23"/>
      <c r="J45" s="23"/>
      <c r="K45" s="312">
        <f>IFERROR((C50/'İşyeri ve Çalışan Bilgileri'!$D$50)*1000000,"0")</f>
        <v>0</v>
      </c>
      <c r="L45" s="312">
        <f>IFERROR(J50/('İşyeri ve Çalışan Bilgileri'!D50*200000),"0")</f>
        <v>0</v>
      </c>
    </row>
    <row r="46" spans="1:13" s="8" customFormat="1" ht="30" customHeight="1" x14ac:dyDescent="0.25">
      <c r="A46" s="172"/>
      <c r="B46" s="51" t="s">
        <v>12</v>
      </c>
      <c r="C46" s="23"/>
      <c r="D46" s="23"/>
      <c r="E46" s="23"/>
      <c r="F46" s="23"/>
      <c r="G46" s="23"/>
      <c r="H46" s="23"/>
      <c r="I46" s="23"/>
      <c r="J46" s="23"/>
      <c r="K46" s="313"/>
      <c r="L46" s="313"/>
    </row>
    <row r="47" spans="1:13" s="8" customFormat="1" ht="30" customHeight="1" x14ac:dyDescent="0.25">
      <c r="A47" s="172"/>
      <c r="B47" s="51" t="s">
        <v>13</v>
      </c>
      <c r="C47" s="23"/>
      <c r="D47" s="23"/>
      <c r="E47" s="23"/>
      <c r="F47" s="23"/>
      <c r="G47" s="23"/>
      <c r="H47" s="23"/>
      <c r="I47" s="23"/>
      <c r="J47" s="23"/>
      <c r="K47" s="177" t="s">
        <v>105</v>
      </c>
      <c r="L47" s="177"/>
    </row>
    <row r="48" spans="1:13" s="8" customFormat="1" ht="30" customHeight="1" x14ac:dyDescent="0.25">
      <c r="A48" s="172"/>
      <c r="B48" s="51" t="s">
        <v>14</v>
      </c>
      <c r="C48" s="23"/>
      <c r="D48" s="23"/>
      <c r="E48" s="23"/>
      <c r="F48" s="23"/>
      <c r="G48" s="23"/>
      <c r="H48" s="23"/>
      <c r="I48" s="23"/>
      <c r="J48" s="23"/>
      <c r="K48" s="314">
        <f>IFERROR((C50/'İşyeri ve Çalışan Bilgileri'!$C$50),"0")</f>
        <v>0</v>
      </c>
      <c r="L48" s="314"/>
    </row>
    <row r="49" spans="1:13" s="8" customFormat="1" ht="30" customHeight="1" x14ac:dyDescent="0.25">
      <c r="A49" s="172"/>
      <c r="B49" s="52" t="s">
        <v>15</v>
      </c>
      <c r="C49" s="25"/>
      <c r="D49" s="25"/>
      <c r="E49" s="25"/>
      <c r="F49" s="25"/>
      <c r="G49" s="25"/>
      <c r="H49" s="25"/>
      <c r="I49" s="25"/>
      <c r="J49" s="25"/>
      <c r="K49" s="313"/>
      <c r="L49" s="313"/>
    </row>
    <row r="50" spans="1:13" s="8" customFormat="1" ht="30" customHeight="1" x14ac:dyDescent="0.25">
      <c r="A50" s="172"/>
      <c r="B50" s="53" t="s">
        <v>1</v>
      </c>
      <c r="C50" s="55">
        <f t="shared" ref="C50:F50" si="7">SUM(C38:C49)</f>
        <v>0</v>
      </c>
      <c r="D50" s="55">
        <f t="shared" si="7"/>
        <v>0</v>
      </c>
      <c r="E50" s="55">
        <f t="shared" si="7"/>
        <v>0</v>
      </c>
      <c r="F50" s="55">
        <f t="shared" si="7"/>
        <v>0</v>
      </c>
      <c r="G50" s="55">
        <f t="shared" ref="G50:I50" si="8">SUM(G38:G49)</f>
        <v>0</v>
      </c>
      <c r="H50" s="55">
        <f t="shared" si="8"/>
        <v>0</v>
      </c>
      <c r="I50" s="55">
        <f t="shared" si="8"/>
        <v>0</v>
      </c>
      <c r="J50" s="55">
        <f t="shared" ref="J50" si="9">SUM(J38:J49)</f>
        <v>0</v>
      </c>
      <c r="K50" s="55"/>
      <c r="L50" s="55"/>
    </row>
    <row r="51" spans="1:13" s="8" customFormat="1" ht="15" customHeight="1" x14ac:dyDescent="0.3">
      <c r="A51" s="7"/>
      <c r="M51" s="170"/>
    </row>
    <row r="52" spans="1:13" s="8" customFormat="1" ht="99.95" customHeight="1" x14ac:dyDescent="0.25">
      <c r="A52" s="6"/>
      <c r="B52" s="252" t="s">
        <v>270</v>
      </c>
      <c r="C52" s="279" t="s">
        <v>302</v>
      </c>
      <c r="D52" s="280"/>
      <c r="E52" s="280"/>
      <c r="F52" s="280"/>
      <c r="G52" s="280"/>
      <c r="H52" s="280"/>
      <c r="I52" s="280"/>
      <c r="J52" s="280"/>
      <c r="K52" s="280"/>
      <c r="L52" s="281"/>
      <c r="M52" s="6"/>
    </row>
  </sheetData>
  <sheetProtection selectLockedCells="1"/>
  <sortState ref="J179:J186">
    <sortCondition ref="J178"/>
  </sortState>
  <mergeCells count="37">
    <mergeCell ref="K48:K49"/>
    <mergeCell ref="A2:A35"/>
    <mergeCell ref="B2:L2"/>
    <mergeCell ref="B36:B37"/>
    <mergeCell ref="L39:L40"/>
    <mergeCell ref="L42:L43"/>
    <mergeCell ref="K36:L37"/>
    <mergeCell ref="C36:J36"/>
    <mergeCell ref="K39:K40"/>
    <mergeCell ref="K42:K43"/>
    <mergeCell ref="B20:B21"/>
    <mergeCell ref="C20:J20"/>
    <mergeCell ref="K20:L21"/>
    <mergeCell ref="K23:K24"/>
    <mergeCell ref="L23:L24"/>
    <mergeCell ref="K26:K27"/>
    <mergeCell ref="C52:L52"/>
    <mergeCell ref="B1:L1"/>
    <mergeCell ref="K16:K17"/>
    <mergeCell ref="K10:K11"/>
    <mergeCell ref="K7:K8"/>
    <mergeCell ref="K13:K14"/>
    <mergeCell ref="B4:B5"/>
    <mergeCell ref="K4:L5"/>
    <mergeCell ref="C4:J4"/>
    <mergeCell ref="L7:L8"/>
    <mergeCell ref="L10:L11"/>
    <mergeCell ref="L13:L14"/>
    <mergeCell ref="L16:L17"/>
    <mergeCell ref="L45:L46"/>
    <mergeCell ref="L48:L49"/>
    <mergeCell ref="K45:K46"/>
    <mergeCell ref="L26:L27"/>
    <mergeCell ref="K29:K30"/>
    <mergeCell ref="L29:L30"/>
    <mergeCell ref="K32:K33"/>
    <mergeCell ref="L32:L33"/>
  </mergeCells>
  <dataValidations count="1">
    <dataValidation type="whole" operator="greaterThanOrEqual" allowBlank="1" showInputMessage="1" showErrorMessage="1" sqref="C6:J17 C38:J49 C22:J33">
      <formula1>0</formula1>
    </dataValidation>
  </dataValidations>
  <pageMargins left="0.23622047244094491" right="0.23622047244094491" top="0.35433070866141736" bottom="0.15748031496062992" header="0.31496062992125984" footer="0.11811023622047245"/>
  <pageSetup paperSize="9" scale="34" fitToHeight="0"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ayfa2">
    <tabColor theme="4" tint="0.79998168889431442"/>
    <pageSetUpPr fitToPage="1"/>
  </sheetPr>
  <dimension ref="A1:M161"/>
  <sheetViews>
    <sheetView showGridLines="0" zoomScale="40" zoomScaleNormal="40" zoomScaleSheetLayoutView="40" workbookViewId="0">
      <pane xSplit="1" ySplit="5" topLeftCell="B6" activePane="bottomRight" state="frozen"/>
      <selection activeCell="H34" sqref="H34"/>
      <selection pane="topRight" activeCell="H34" sqref="H34"/>
      <selection pane="bottomLeft" activeCell="H34" sqref="H34"/>
      <selection pane="bottomRight" activeCell="E84" sqref="E84"/>
    </sheetView>
  </sheetViews>
  <sheetFormatPr defaultColWidth="9.125" defaultRowHeight="20.25" x14ac:dyDescent="0.3"/>
  <cols>
    <col min="1" max="1" width="3.625" style="7" customWidth="1"/>
    <col min="2" max="12" width="34.625" style="7" customWidth="1"/>
    <col min="13" max="13" width="3.625" style="7" customWidth="1"/>
    <col min="14" max="16" width="9.125" style="7"/>
    <col min="17" max="17" width="15.375" style="7" customWidth="1"/>
    <col min="18" max="16384" width="9.125" style="7"/>
  </cols>
  <sheetData>
    <row r="1" spans="1:13" ht="22.5" customHeight="1" x14ac:dyDescent="0.3">
      <c r="A1" s="6"/>
      <c r="B1" s="298"/>
      <c r="C1" s="298"/>
      <c r="D1" s="298"/>
      <c r="E1" s="298"/>
      <c r="F1" s="298"/>
      <c r="G1" s="298"/>
      <c r="H1" s="298"/>
      <c r="I1" s="298"/>
      <c r="J1" s="298"/>
      <c r="K1" s="298"/>
      <c r="L1" s="298"/>
      <c r="M1" s="6"/>
    </row>
    <row r="2" spans="1:13" s="8" customFormat="1" ht="50.1" customHeight="1" x14ac:dyDescent="0.3">
      <c r="A2" s="7"/>
      <c r="B2" s="299" t="s">
        <v>113</v>
      </c>
      <c r="C2" s="299"/>
      <c r="D2" s="299"/>
      <c r="E2" s="299"/>
      <c r="F2" s="299"/>
      <c r="G2" s="299"/>
      <c r="H2" s="299"/>
      <c r="I2" s="299"/>
      <c r="J2" s="299"/>
      <c r="K2" s="299"/>
      <c r="L2" s="299"/>
      <c r="M2" s="185"/>
    </row>
    <row r="3" spans="1:13" s="8" customFormat="1" ht="15" customHeight="1" x14ac:dyDescent="0.3">
      <c r="A3" s="7"/>
      <c r="M3" s="185"/>
    </row>
    <row r="4" spans="1:13" s="8" customFormat="1" ht="30" customHeight="1" x14ac:dyDescent="0.3">
      <c r="A4" s="7"/>
      <c r="B4" s="345" t="s">
        <v>26</v>
      </c>
      <c r="C4" s="289" t="s">
        <v>27</v>
      </c>
      <c r="D4" s="347" t="s">
        <v>24</v>
      </c>
      <c r="E4" s="347" t="s">
        <v>25</v>
      </c>
      <c r="F4" s="347" t="s">
        <v>303</v>
      </c>
      <c r="G4" s="349" t="s">
        <v>59</v>
      </c>
      <c r="H4" s="349" t="s">
        <v>60</v>
      </c>
      <c r="I4" s="349" t="s">
        <v>58</v>
      </c>
      <c r="J4" s="351" t="s">
        <v>65</v>
      </c>
      <c r="K4" s="352"/>
      <c r="L4" s="353"/>
      <c r="M4" s="185"/>
    </row>
    <row r="5" spans="1:13" s="8" customFormat="1" ht="30" customHeight="1" x14ac:dyDescent="0.3">
      <c r="A5" s="7"/>
      <c r="B5" s="346"/>
      <c r="C5" s="290"/>
      <c r="D5" s="348"/>
      <c r="E5" s="348"/>
      <c r="F5" s="348"/>
      <c r="G5" s="350"/>
      <c r="H5" s="350"/>
      <c r="I5" s="350"/>
      <c r="J5" s="354"/>
      <c r="K5" s="355"/>
      <c r="L5" s="356"/>
      <c r="M5" s="185"/>
    </row>
    <row r="6" spans="1:13" s="8" customFormat="1" ht="30" customHeight="1" x14ac:dyDescent="0.3">
      <c r="A6" s="7"/>
      <c r="B6" s="330" t="s">
        <v>306</v>
      </c>
      <c r="C6" s="50" t="s">
        <v>16</v>
      </c>
      <c r="D6" s="47">
        <f>'İşyeri ve Çalışan Bilgileri'!E21</f>
        <v>45</v>
      </c>
      <c r="E6" s="21">
        <v>35</v>
      </c>
      <c r="F6" s="3">
        <f>IFERROR(E6/D6,"")</f>
        <v>0.77777777777777779</v>
      </c>
      <c r="G6" s="21"/>
      <c r="H6" s="21"/>
      <c r="I6" s="3" t="str">
        <f>IFERROR(((H6-G6)/G6),"")</f>
        <v/>
      </c>
      <c r="J6" s="333"/>
      <c r="K6" s="334"/>
      <c r="L6" s="335"/>
      <c r="M6" s="185"/>
    </row>
    <row r="7" spans="1:13" s="8" customFormat="1" ht="30" customHeight="1" x14ac:dyDescent="0.3">
      <c r="A7" s="7"/>
      <c r="B7" s="331"/>
      <c r="C7" s="51" t="s">
        <v>5</v>
      </c>
      <c r="D7" s="69">
        <f>'İşyeri ve Çalışan Bilgileri'!E22</f>
        <v>0</v>
      </c>
      <c r="E7" s="66"/>
      <c r="F7" s="67" t="str">
        <f t="shared" ref="F7:F17" si="0">IFERROR(E7/D7,"")</f>
        <v/>
      </c>
      <c r="G7" s="66"/>
      <c r="H7" s="66"/>
      <c r="I7" s="67" t="str">
        <f t="shared" ref="I7:I69" si="1">IFERROR(((H7-G7)/G7),"")</f>
        <v/>
      </c>
      <c r="J7" s="336"/>
      <c r="K7" s="337"/>
      <c r="L7" s="338"/>
      <c r="M7" s="185"/>
    </row>
    <row r="8" spans="1:13" s="8" customFormat="1" ht="30" customHeight="1" x14ac:dyDescent="0.3">
      <c r="A8" s="7"/>
      <c r="B8" s="331"/>
      <c r="C8" s="51" t="s">
        <v>6</v>
      </c>
      <c r="D8" s="69">
        <f>'İşyeri ve Çalışan Bilgileri'!E23</f>
        <v>0</v>
      </c>
      <c r="E8" s="66"/>
      <c r="F8" s="67" t="str">
        <f t="shared" si="0"/>
        <v/>
      </c>
      <c r="G8" s="66"/>
      <c r="H8" s="66"/>
      <c r="I8" s="67" t="str">
        <f t="shared" si="1"/>
        <v/>
      </c>
      <c r="J8" s="336"/>
      <c r="K8" s="337"/>
      <c r="L8" s="338"/>
      <c r="M8" s="185"/>
    </row>
    <row r="9" spans="1:13" s="8" customFormat="1" ht="30" customHeight="1" x14ac:dyDescent="0.3">
      <c r="A9" s="7"/>
      <c r="B9" s="331"/>
      <c r="C9" s="51" t="s">
        <v>7</v>
      </c>
      <c r="D9" s="69">
        <f>'İşyeri ve Çalışan Bilgileri'!E24</f>
        <v>0</v>
      </c>
      <c r="E9" s="66"/>
      <c r="F9" s="67" t="str">
        <f t="shared" si="0"/>
        <v/>
      </c>
      <c r="G9" s="66"/>
      <c r="H9" s="66"/>
      <c r="I9" s="67" t="str">
        <f t="shared" si="1"/>
        <v/>
      </c>
      <c r="J9" s="336"/>
      <c r="K9" s="337"/>
      <c r="L9" s="338"/>
      <c r="M9" s="185"/>
    </row>
    <row r="10" spans="1:13" s="8" customFormat="1" ht="30" customHeight="1" x14ac:dyDescent="0.3">
      <c r="A10" s="7"/>
      <c r="B10" s="331"/>
      <c r="C10" s="51" t="s">
        <v>8</v>
      </c>
      <c r="D10" s="69">
        <f>'İşyeri ve Çalışan Bilgileri'!E25</f>
        <v>0</v>
      </c>
      <c r="E10" s="66"/>
      <c r="F10" s="67" t="str">
        <f t="shared" si="0"/>
        <v/>
      </c>
      <c r="G10" s="66"/>
      <c r="H10" s="66"/>
      <c r="I10" s="67" t="str">
        <f t="shared" si="1"/>
        <v/>
      </c>
      <c r="J10" s="336"/>
      <c r="K10" s="337"/>
      <c r="L10" s="338"/>
      <c r="M10" s="185"/>
    </row>
    <row r="11" spans="1:13" s="8" customFormat="1" ht="30" customHeight="1" x14ac:dyDescent="0.3">
      <c r="A11" s="7"/>
      <c r="B11" s="331"/>
      <c r="C11" s="51" t="s">
        <v>9</v>
      </c>
      <c r="D11" s="69">
        <f>'İşyeri ve Çalışan Bilgileri'!E26</f>
        <v>0</v>
      </c>
      <c r="E11" s="66"/>
      <c r="F11" s="67" t="str">
        <f t="shared" si="0"/>
        <v/>
      </c>
      <c r="G11" s="66"/>
      <c r="H11" s="66"/>
      <c r="I11" s="67" t="str">
        <f t="shared" si="1"/>
        <v/>
      </c>
      <c r="J11" s="336"/>
      <c r="K11" s="337"/>
      <c r="L11" s="338"/>
      <c r="M11" s="185"/>
    </row>
    <row r="12" spans="1:13" s="8" customFormat="1" ht="30" customHeight="1" x14ac:dyDescent="0.3">
      <c r="A12" s="7"/>
      <c r="B12" s="331"/>
      <c r="C12" s="51" t="s">
        <v>10</v>
      </c>
      <c r="D12" s="69">
        <f>'İşyeri ve Çalışan Bilgileri'!E27</f>
        <v>0</v>
      </c>
      <c r="E12" s="66"/>
      <c r="F12" s="67" t="str">
        <f t="shared" si="0"/>
        <v/>
      </c>
      <c r="G12" s="66"/>
      <c r="H12" s="66"/>
      <c r="I12" s="67" t="str">
        <f t="shared" si="1"/>
        <v/>
      </c>
      <c r="J12" s="336"/>
      <c r="K12" s="337"/>
      <c r="L12" s="338"/>
      <c r="M12" s="185"/>
    </row>
    <row r="13" spans="1:13" s="8" customFormat="1" ht="30" customHeight="1" x14ac:dyDescent="0.3">
      <c r="A13" s="7"/>
      <c r="B13" s="331"/>
      <c r="C13" s="51" t="s">
        <v>11</v>
      </c>
      <c r="D13" s="69">
        <f>'İşyeri ve Çalışan Bilgileri'!E28</f>
        <v>0</v>
      </c>
      <c r="E13" s="66"/>
      <c r="F13" s="67" t="str">
        <f t="shared" si="0"/>
        <v/>
      </c>
      <c r="G13" s="66"/>
      <c r="H13" s="66"/>
      <c r="I13" s="67" t="str">
        <f t="shared" si="1"/>
        <v/>
      </c>
      <c r="J13" s="336"/>
      <c r="K13" s="337"/>
      <c r="L13" s="338"/>
      <c r="M13" s="185"/>
    </row>
    <row r="14" spans="1:13" s="8" customFormat="1" ht="30" customHeight="1" x14ac:dyDescent="0.3">
      <c r="A14" s="7"/>
      <c r="B14" s="331"/>
      <c r="C14" s="51" t="s">
        <v>12</v>
      </c>
      <c r="D14" s="69">
        <f>'İşyeri ve Çalışan Bilgileri'!E29</f>
        <v>0</v>
      </c>
      <c r="E14" s="66"/>
      <c r="F14" s="67" t="str">
        <f t="shared" si="0"/>
        <v/>
      </c>
      <c r="G14" s="66"/>
      <c r="H14" s="66"/>
      <c r="I14" s="67" t="str">
        <f t="shared" si="1"/>
        <v/>
      </c>
      <c r="J14" s="336"/>
      <c r="K14" s="337"/>
      <c r="L14" s="338"/>
      <c r="M14" s="185"/>
    </row>
    <row r="15" spans="1:13" s="8" customFormat="1" ht="30" customHeight="1" x14ac:dyDescent="0.3">
      <c r="A15" s="7"/>
      <c r="B15" s="331"/>
      <c r="C15" s="51" t="s">
        <v>13</v>
      </c>
      <c r="D15" s="69">
        <f>'İşyeri ve Çalışan Bilgileri'!E30</f>
        <v>0</v>
      </c>
      <c r="E15" s="66"/>
      <c r="F15" s="67" t="str">
        <f t="shared" si="0"/>
        <v/>
      </c>
      <c r="G15" s="66"/>
      <c r="H15" s="66"/>
      <c r="I15" s="67" t="str">
        <f t="shared" si="1"/>
        <v/>
      </c>
      <c r="J15" s="336"/>
      <c r="K15" s="337"/>
      <c r="L15" s="338"/>
      <c r="M15" s="185"/>
    </row>
    <row r="16" spans="1:13" s="8" customFormat="1" ht="30" customHeight="1" x14ac:dyDescent="0.3">
      <c r="A16" s="7"/>
      <c r="B16" s="331"/>
      <c r="C16" s="51" t="s">
        <v>14</v>
      </c>
      <c r="D16" s="69">
        <f>'İşyeri ve Çalışan Bilgileri'!E31</f>
        <v>0</v>
      </c>
      <c r="E16" s="66"/>
      <c r="F16" s="67" t="str">
        <f t="shared" si="0"/>
        <v/>
      </c>
      <c r="G16" s="66"/>
      <c r="H16" s="66"/>
      <c r="I16" s="67" t="str">
        <f t="shared" si="1"/>
        <v/>
      </c>
      <c r="J16" s="336"/>
      <c r="K16" s="337"/>
      <c r="L16" s="338"/>
      <c r="M16" s="185"/>
    </row>
    <row r="17" spans="1:13" s="8" customFormat="1" ht="30" customHeight="1" x14ac:dyDescent="0.3">
      <c r="A17" s="7"/>
      <c r="B17" s="331"/>
      <c r="C17" s="208" t="s">
        <v>15</v>
      </c>
      <c r="D17" s="207">
        <f>'İşyeri ve Çalışan Bilgileri'!E32</f>
        <v>0</v>
      </c>
      <c r="E17" s="188"/>
      <c r="F17" s="189" t="str">
        <f t="shared" si="0"/>
        <v/>
      </c>
      <c r="G17" s="188"/>
      <c r="H17" s="188"/>
      <c r="I17" s="189" t="str">
        <f t="shared" si="1"/>
        <v/>
      </c>
      <c r="J17" s="339"/>
      <c r="K17" s="340"/>
      <c r="L17" s="341"/>
      <c r="M17" s="185"/>
    </row>
    <row r="18" spans="1:13" s="8" customFormat="1" ht="30" customHeight="1" x14ac:dyDescent="0.3">
      <c r="A18" s="7"/>
      <c r="B18" s="332"/>
      <c r="C18" s="57" t="s">
        <v>255</v>
      </c>
      <c r="D18" s="209">
        <f>SUM(D6:D17)</f>
        <v>45</v>
      </c>
      <c r="E18" s="209">
        <f>SUM(E6:E17)</f>
        <v>35</v>
      </c>
      <c r="F18" s="210">
        <f>IFERROR(E18/D18,0%)</f>
        <v>0.77777777777777779</v>
      </c>
      <c r="G18" s="211">
        <f>IFERROR(AVERAGE(G6:G17),0)</f>
        <v>0</v>
      </c>
      <c r="H18" s="211">
        <f>IFERROR(AVERAGE(H6:H17),0)</f>
        <v>0</v>
      </c>
      <c r="I18" s="210">
        <f>IFERROR(H18/G18,0%)</f>
        <v>0</v>
      </c>
      <c r="J18" s="342"/>
      <c r="K18" s="343"/>
      <c r="L18" s="344"/>
      <c r="M18" s="185"/>
    </row>
    <row r="19" spans="1:13" s="8" customFormat="1" ht="30" customHeight="1" x14ac:dyDescent="0.3">
      <c r="A19" s="7"/>
      <c r="B19" s="330" t="s">
        <v>307</v>
      </c>
      <c r="C19" s="50" t="s">
        <v>16</v>
      </c>
      <c r="D19" s="47">
        <f>'İşyeri ve Çalışan Bilgileri'!F21</f>
        <v>0</v>
      </c>
      <c r="E19" s="21"/>
      <c r="F19" s="3" t="str">
        <f>IFERROR(E19/D19,"")</f>
        <v/>
      </c>
      <c r="G19" s="21"/>
      <c r="H19" s="21"/>
      <c r="I19" s="3" t="str">
        <f t="shared" si="1"/>
        <v/>
      </c>
      <c r="J19" s="333"/>
      <c r="K19" s="334"/>
      <c r="L19" s="335"/>
      <c r="M19" s="185"/>
    </row>
    <row r="20" spans="1:13" s="8" customFormat="1" ht="30" customHeight="1" x14ac:dyDescent="0.3">
      <c r="A20" s="7"/>
      <c r="B20" s="331"/>
      <c r="C20" s="51" t="s">
        <v>5</v>
      </c>
      <c r="D20" s="69">
        <f>'İşyeri ve Çalışan Bilgileri'!F22</f>
        <v>0</v>
      </c>
      <c r="E20" s="66"/>
      <c r="F20" s="67" t="str">
        <f t="shared" ref="F20:F43" si="2">IFERROR(E20/D20,"")</f>
        <v/>
      </c>
      <c r="G20" s="66"/>
      <c r="H20" s="66"/>
      <c r="I20" s="67" t="str">
        <f t="shared" si="1"/>
        <v/>
      </c>
      <c r="J20" s="336"/>
      <c r="K20" s="337"/>
      <c r="L20" s="338"/>
      <c r="M20" s="185"/>
    </row>
    <row r="21" spans="1:13" s="8" customFormat="1" ht="30" customHeight="1" x14ac:dyDescent="0.3">
      <c r="A21" s="7"/>
      <c r="B21" s="331"/>
      <c r="C21" s="51" t="s">
        <v>6</v>
      </c>
      <c r="D21" s="69">
        <f>'İşyeri ve Çalışan Bilgileri'!F23</f>
        <v>0</v>
      </c>
      <c r="E21" s="66"/>
      <c r="F21" s="67" t="str">
        <f t="shared" si="2"/>
        <v/>
      </c>
      <c r="G21" s="66"/>
      <c r="H21" s="66"/>
      <c r="I21" s="67" t="str">
        <f t="shared" si="1"/>
        <v/>
      </c>
      <c r="J21" s="336"/>
      <c r="K21" s="337"/>
      <c r="L21" s="338"/>
      <c r="M21" s="185"/>
    </row>
    <row r="22" spans="1:13" s="8" customFormat="1" ht="30" customHeight="1" x14ac:dyDescent="0.3">
      <c r="A22" s="7"/>
      <c r="B22" s="331"/>
      <c r="C22" s="51" t="s">
        <v>7</v>
      </c>
      <c r="D22" s="69">
        <f>'İşyeri ve Çalışan Bilgileri'!F24</f>
        <v>0</v>
      </c>
      <c r="E22" s="66"/>
      <c r="F22" s="67" t="str">
        <f t="shared" si="2"/>
        <v/>
      </c>
      <c r="G22" s="66"/>
      <c r="H22" s="66"/>
      <c r="I22" s="67" t="str">
        <f t="shared" si="1"/>
        <v/>
      </c>
      <c r="J22" s="336"/>
      <c r="K22" s="337"/>
      <c r="L22" s="338"/>
      <c r="M22" s="185"/>
    </row>
    <row r="23" spans="1:13" s="8" customFormat="1" ht="30" customHeight="1" x14ac:dyDescent="0.3">
      <c r="A23" s="7"/>
      <c r="B23" s="331"/>
      <c r="C23" s="51" t="s">
        <v>8</v>
      </c>
      <c r="D23" s="69">
        <f>'İşyeri ve Çalışan Bilgileri'!F25</f>
        <v>0</v>
      </c>
      <c r="E23" s="66"/>
      <c r="F23" s="67" t="str">
        <f t="shared" si="2"/>
        <v/>
      </c>
      <c r="G23" s="66"/>
      <c r="H23" s="66"/>
      <c r="I23" s="67" t="str">
        <f t="shared" si="1"/>
        <v/>
      </c>
      <c r="J23" s="336"/>
      <c r="K23" s="337"/>
      <c r="L23" s="338"/>
      <c r="M23" s="185"/>
    </row>
    <row r="24" spans="1:13" s="8" customFormat="1" ht="30" customHeight="1" x14ac:dyDescent="0.3">
      <c r="A24" s="7"/>
      <c r="B24" s="331"/>
      <c r="C24" s="51" t="s">
        <v>9</v>
      </c>
      <c r="D24" s="69">
        <f>'İşyeri ve Çalışan Bilgileri'!F26</f>
        <v>0</v>
      </c>
      <c r="E24" s="66"/>
      <c r="F24" s="67" t="str">
        <f t="shared" si="2"/>
        <v/>
      </c>
      <c r="G24" s="66"/>
      <c r="H24" s="66"/>
      <c r="I24" s="67" t="str">
        <f t="shared" si="1"/>
        <v/>
      </c>
      <c r="J24" s="336"/>
      <c r="K24" s="337"/>
      <c r="L24" s="338"/>
      <c r="M24" s="185"/>
    </row>
    <row r="25" spans="1:13" s="8" customFormat="1" ht="30" customHeight="1" x14ac:dyDescent="0.3">
      <c r="A25" s="7"/>
      <c r="B25" s="331"/>
      <c r="C25" s="51" t="s">
        <v>10</v>
      </c>
      <c r="D25" s="69">
        <f>'İşyeri ve Çalışan Bilgileri'!F27</f>
        <v>0</v>
      </c>
      <c r="E25" s="66"/>
      <c r="F25" s="67" t="str">
        <f t="shared" si="2"/>
        <v/>
      </c>
      <c r="G25" s="66"/>
      <c r="H25" s="66"/>
      <c r="I25" s="67" t="str">
        <f t="shared" si="1"/>
        <v/>
      </c>
      <c r="J25" s="336"/>
      <c r="K25" s="337"/>
      <c r="L25" s="338"/>
      <c r="M25" s="185"/>
    </row>
    <row r="26" spans="1:13" s="8" customFormat="1" ht="30" customHeight="1" x14ac:dyDescent="0.3">
      <c r="A26" s="7"/>
      <c r="B26" s="331"/>
      <c r="C26" s="51" t="s">
        <v>11</v>
      </c>
      <c r="D26" s="69">
        <f>'İşyeri ve Çalışan Bilgileri'!F28</f>
        <v>0</v>
      </c>
      <c r="E26" s="66"/>
      <c r="F26" s="67" t="str">
        <f t="shared" si="2"/>
        <v/>
      </c>
      <c r="G26" s="66"/>
      <c r="H26" s="66"/>
      <c r="I26" s="67" t="str">
        <f t="shared" si="1"/>
        <v/>
      </c>
      <c r="J26" s="336"/>
      <c r="K26" s="337"/>
      <c r="L26" s="338"/>
      <c r="M26" s="185"/>
    </row>
    <row r="27" spans="1:13" s="8" customFormat="1" ht="30" customHeight="1" x14ac:dyDescent="0.3">
      <c r="A27" s="7"/>
      <c r="B27" s="331"/>
      <c r="C27" s="51" t="s">
        <v>12</v>
      </c>
      <c r="D27" s="69">
        <f>'İşyeri ve Çalışan Bilgileri'!F29</f>
        <v>0</v>
      </c>
      <c r="E27" s="66"/>
      <c r="F27" s="67" t="str">
        <f t="shared" si="2"/>
        <v/>
      </c>
      <c r="G27" s="66"/>
      <c r="H27" s="66"/>
      <c r="I27" s="67" t="str">
        <f t="shared" si="1"/>
        <v/>
      </c>
      <c r="J27" s="336"/>
      <c r="K27" s="337"/>
      <c r="L27" s="338"/>
      <c r="M27" s="185"/>
    </row>
    <row r="28" spans="1:13" s="8" customFormat="1" ht="30" customHeight="1" x14ac:dyDescent="0.3">
      <c r="A28" s="7"/>
      <c r="B28" s="331"/>
      <c r="C28" s="51" t="s">
        <v>13</v>
      </c>
      <c r="D28" s="69">
        <f>'İşyeri ve Çalışan Bilgileri'!F30</f>
        <v>0</v>
      </c>
      <c r="E28" s="66"/>
      <c r="F28" s="67" t="str">
        <f t="shared" si="2"/>
        <v/>
      </c>
      <c r="G28" s="66"/>
      <c r="H28" s="66"/>
      <c r="I28" s="67" t="str">
        <f t="shared" si="1"/>
        <v/>
      </c>
      <c r="J28" s="336"/>
      <c r="K28" s="337"/>
      <c r="L28" s="338"/>
      <c r="M28" s="185"/>
    </row>
    <row r="29" spans="1:13" s="8" customFormat="1" ht="30" customHeight="1" x14ac:dyDescent="0.3">
      <c r="A29" s="7"/>
      <c r="B29" s="331"/>
      <c r="C29" s="51" t="s">
        <v>14</v>
      </c>
      <c r="D29" s="69">
        <f>'İşyeri ve Çalışan Bilgileri'!F31</f>
        <v>0</v>
      </c>
      <c r="E29" s="66"/>
      <c r="F29" s="67" t="str">
        <f t="shared" si="2"/>
        <v/>
      </c>
      <c r="G29" s="66"/>
      <c r="H29" s="66"/>
      <c r="I29" s="67" t="str">
        <f t="shared" si="1"/>
        <v/>
      </c>
      <c r="J29" s="336"/>
      <c r="K29" s="337"/>
      <c r="L29" s="338"/>
      <c r="M29" s="185"/>
    </row>
    <row r="30" spans="1:13" s="8" customFormat="1" ht="30" customHeight="1" x14ac:dyDescent="0.3">
      <c r="A30" s="7"/>
      <c r="B30" s="331"/>
      <c r="C30" s="208" t="s">
        <v>15</v>
      </c>
      <c r="D30" s="207">
        <f>'İşyeri ve Çalışan Bilgileri'!F32</f>
        <v>0</v>
      </c>
      <c r="E30" s="188"/>
      <c r="F30" s="189" t="str">
        <f t="shared" si="2"/>
        <v/>
      </c>
      <c r="G30" s="188"/>
      <c r="H30" s="188"/>
      <c r="I30" s="189" t="str">
        <f t="shared" si="1"/>
        <v/>
      </c>
      <c r="J30" s="339"/>
      <c r="K30" s="340"/>
      <c r="L30" s="341"/>
      <c r="M30" s="185"/>
    </row>
    <row r="31" spans="1:13" s="8" customFormat="1" ht="30" customHeight="1" x14ac:dyDescent="0.3">
      <c r="A31" s="7"/>
      <c r="B31" s="332"/>
      <c r="C31" s="57" t="s">
        <v>255</v>
      </c>
      <c r="D31" s="209">
        <f>SUM(D19:D30)</f>
        <v>0</v>
      </c>
      <c r="E31" s="209">
        <f>SUM(E19:E30)</f>
        <v>0</v>
      </c>
      <c r="F31" s="210">
        <f>IFERROR(E31/D31,0%)</f>
        <v>0</v>
      </c>
      <c r="G31" s="211">
        <f>IFERROR(AVERAGE(G19:G30),0)</f>
        <v>0</v>
      </c>
      <c r="H31" s="211">
        <f>IFERROR(AVERAGE(H19:H30),0)</f>
        <v>0</v>
      </c>
      <c r="I31" s="210">
        <f>IFERROR(H31/G31,0%)</f>
        <v>0</v>
      </c>
      <c r="J31" s="342"/>
      <c r="K31" s="343"/>
      <c r="L31" s="344"/>
      <c r="M31" s="185"/>
    </row>
    <row r="32" spans="1:13" s="8" customFormat="1" ht="30" customHeight="1" x14ac:dyDescent="0.3">
      <c r="A32" s="7"/>
      <c r="B32" s="330" t="s">
        <v>308</v>
      </c>
      <c r="C32" s="50" t="s">
        <v>16</v>
      </c>
      <c r="D32" s="21"/>
      <c r="E32" s="21"/>
      <c r="F32" s="3" t="str">
        <f>IFERROR(E32/D32,"")</f>
        <v/>
      </c>
      <c r="G32" s="21"/>
      <c r="H32" s="21"/>
      <c r="I32" s="3" t="str">
        <f t="shared" si="1"/>
        <v/>
      </c>
      <c r="J32" s="333"/>
      <c r="K32" s="334"/>
      <c r="L32" s="335"/>
      <c r="M32" s="185"/>
    </row>
    <row r="33" spans="1:13" s="8" customFormat="1" ht="30" customHeight="1" x14ac:dyDescent="0.3">
      <c r="A33" s="7"/>
      <c r="B33" s="331"/>
      <c r="C33" s="51" t="s">
        <v>5</v>
      </c>
      <c r="D33" s="66"/>
      <c r="E33" s="66"/>
      <c r="F33" s="67" t="str">
        <f t="shared" si="2"/>
        <v/>
      </c>
      <c r="G33" s="66"/>
      <c r="H33" s="66"/>
      <c r="I33" s="67" t="str">
        <f t="shared" si="1"/>
        <v/>
      </c>
      <c r="J33" s="336"/>
      <c r="K33" s="337"/>
      <c r="L33" s="338"/>
      <c r="M33" s="185"/>
    </row>
    <row r="34" spans="1:13" s="8" customFormat="1" ht="30" customHeight="1" x14ac:dyDescent="0.3">
      <c r="A34" s="7"/>
      <c r="B34" s="331"/>
      <c r="C34" s="51" t="s">
        <v>6</v>
      </c>
      <c r="D34" s="66"/>
      <c r="E34" s="66"/>
      <c r="F34" s="67" t="str">
        <f t="shared" si="2"/>
        <v/>
      </c>
      <c r="G34" s="66"/>
      <c r="H34" s="66"/>
      <c r="I34" s="67" t="str">
        <f t="shared" si="1"/>
        <v/>
      </c>
      <c r="J34" s="336"/>
      <c r="K34" s="337"/>
      <c r="L34" s="338"/>
      <c r="M34" s="185"/>
    </row>
    <row r="35" spans="1:13" s="8" customFormat="1" ht="30" customHeight="1" x14ac:dyDescent="0.3">
      <c r="A35" s="7"/>
      <c r="B35" s="331"/>
      <c r="C35" s="51" t="s">
        <v>7</v>
      </c>
      <c r="D35" s="66"/>
      <c r="E35" s="66"/>
      <c r="F35" s="67" t="str">
        <f t="shared" si="2"/>
        <v/>
      </c>
      <c r="G35" s="66"/>
      <c r="H35" s="66"/>
      <c r="I35" s="67" t="str">
        <f t="shared" si="1"/>
        <v/>
      </c>
      <c r="J35" s="336"/>
      <c r="K35" s="337"/>
      <c r="L35" s="338"/>
      <c r="M35" s="185"/>
    </row>
    <row r="36" spans="1:13" s="8" customFormat="1" ht="30" customHeight="1" x14ac:dyDescent="0.3">
      <c r="A36" s="7"/>
      <c r="B36" s="331"/>
      <c r="C36" s="51" t="s">
        <v>8</v>
      </c>
      <c r="D36" s="66"/>
      <c r="E36" s="66"/>
      <c r="F36" s="67" t="str">
        <f t="shared" si="2"/>
        <v/>
      </c>
      <c r="G36" s="66"/>
      <c r="H36" s="66"/>
      <c r="I36" s="67" t="str">
        <f t="shared" si="1"/>
        <v/>
      </c>
      <c r="J36" s="336"/>
      <c r="K36" s="337"/>
      <c r="L36" s="338"/>
      <c r="M36" s="185"/>
    </row>
    <row r="37" spans="1:13" s="8" customFormat="1" ht="30" customHeight="1" x14ac:dyDescent="0.3">
      <c r="A37" s="7"/>
      <c r="B37" s="331"/>
      <c r="C37" s="51" t="s">
        <v>9</v>
      </c>
      <c r="D37" s="66"/>
      <c r="E37" s="66"/>
      <c r="F37" s="67" t="str">
        <f t="shared" si="2"/>
        <v/>
      </c>
      <c r="G37" s="66"/>
      <c r="H37" s="66"/>
      <c r="I37" s="67" t="str">
        <f t="shared" si="1"/>
        <v/>
      </c>
      <c r="J37" s="336"/>
      <c r="K37" s="337"/>
      <c r="L37" s="338"/>
      <c r="M37" s="185"/>
    </row>
    <row r="38" spans="1:13" s="8" customFormat="1" ht="30" customHeight="1" x14ac:dyDescent="0.3">
      <c r="A38" s="7"/>
      <c r="B38" s="331"/>
      <c r="C38" s="51" t="s">
        <v>10</v>
      </c>
      <c r="D38" s="66"/>
      <c r="E38" s="66"/>
      <c r="F38" s="67" t="str">
        <f t="shared" si="2"/>
        <v/>
      </c>
      <c r="G38" s="66"/>
      <c r="H38" s="66"/>
      <c r="I38" s="67" t="str">
        <f t="shared" si="1"/>
        <v/>
      </c>
      <c r="J38" s="336"/>
      <c r="K38" s="337"/>
      <c r="L38" s="338"/>
      <c r="M38" s="185"/>
    </row>
    <row r="39" spans="1:13" s="8" customFormat="1" ht="30" customHeight="1" x14ac:dyDescent="0.3">
      <c r="A39" s="7"/>
      <c r="B39" s="331"/>
      <c r="C39" s="51" t="s">
        <v>11</v>
      </c>
      <c r="D39" s="66"/>
      <c r="E39" s="66"/>
      <c r="F39" s="67" t="str">
        <f t="shared" si="2"/>
        <v/>
      </c>
      <c r="G39" s="66"/>
      <c r="H39" s="66"/>
      <c r="I39" s="67" t="str">
        <f t="shared" si="1"/>
        <v/>
      </c>
      <c r="J39" s="336"/>
      <c r="K39" s="337"/>
      <c r="L39" s="338"/>
      <c r="M39" s="185"/>
    </row>
    <row r="40" spans="1:13" s="8" customFormat="1" ht="30" customHeight="1" x14ac:dyDescent="0.3">
      <c r="A40" s="7"/>
      <c r="B40" s="331"/>
      <c r="C40" s="51" t="s">
        <v>12</v>
      </c>
      <c r="D40" s="66"/>
      <c r="E40" s="66"/>
      <c r="F40" s="67" t="str">
        <f t="shared" si="2"/>
        <v/>
      </c>
      <c r="G40" s="66"/>
      <c r="H40" s="66"/>
      <c r="I40" s="67" t="str">
        <f t="shared" si="1"/>
        <v/>
      </c>
      <c r="J40" s="336"/>
      <c r="K40" s="337"/>
      <c r="L40" s="338"/>
      <c r="M40" s="185"/>
    </row>
    <row r="41" spans="1:13" s="8" customFormat="1" ht="30" customHeight="1" x14ac:dyDescent="0.3">
      <c r="A41" s="7"/>
      <c r="B41" s="331"/>
      <c r="C41" s="51" t="s">
        <v>13</v>
      </c>
      <c r="D41" s="66"/>
      <c r="E41" s="66"/>
      <c r="F41" s="67" t="str">
        <f t="shared" si="2"/>
        <v/>
      </c>
      <c r="G41" s="66"/>
      <c r="H41" s="66"/>
      <c r="I41" s="67" t="str">
        <f t="shared" si="1"/>
        <v/>
      </c>
      <c r="J41" s="336"/>
      <c r="K41" s="337"/>
      <c r="L41" s="338"/>
      <c r="M41" s="185"/>
    </row>
    <row r="42" spans="1:13" s="8" customFormat="1" ht="30" customHeight="1" x14ac:dyDescent="0.3">
      <c r="A42" s="7"/>
      <c r="B42" s="331"/>
      <c r="C42" s="51" t="s">
        <v>14</v>
      </c>
      <c r="D42" s="66"/>
      <c r="E42" s="66"/>
      <c r="F42" s="67" t="str">
        <f t="shared" si="2"/>
        <v/>
      </c>
      <c r="G42" s="66"/>
      <c r="H42" s="66"/>
      <c r="I42" s="67" t="str">
        <f t="shared" si="1"/>
        <v/>
      </c>
      <c r="J42" s="336"/>
      <c r="K42" s="337"/>
      <c r="L42" s="338"/>
      <c r="M42" s="185"/>
    </row>
    <row r="43" spans="1:13" s="8" customFormat="1" ht="30" customHeight="1" x14ac:dyDescent="0.3">
      <c r="A43" s="7"/>
      <c r="B43" s="331"/>
      <c r="C43" s="208" t="s">
        <v>15</v>
      </c>
      <c r="D43" s="188"/>
      <c r="E43" s="188"/>
      <c r="F43" s="189" t="str">
        <f t="shared" si="2"/>
        <v/>
      </c>
      <c r="G43" s="188"/>
      <c r="H43" s="188"/>
      <c r="I43" s="189" t="str">
        <f t="shared" si="1"/>
        <v/>
      </c>
      <c r="J43" s="339"/>
      <c r="K43" s="340"/>
      <c r="L43" s="341"/>
      <c r="M43" s="185"/>
    </row>
    <row r="44" spans="1:13" s="8" customFormat="1" ht="30" customHeight="1" x14ac:dyDescent="0.3">
      <c r="A44" s="7"/>
      <c r="B44" s="332"/>
      <c r="C44" s="57" t="s">
        <v>255</v>
      </c>
      <c r="D44" s="209">
        <f>SUM(D32:D43)</f>
        <v>0</v>
      </c>
      <c r="E44" s="209">
        <f>SUM(E32:E43)</f>
        <v>0</v>
      </c>
      <c r="F44" s="210">
        <f>IFERROR(E44/D44,0%)</f>
        <v>0</v>
      </c>
      <c r="G44" s="211">
        <f>IFERROR(AVERAGE(G32:G43),0)</f>
        <v>0</v>
      </c>
      <c r="H44" s="211">
        <f>IFERROR(AVERAGE(H32:H43),0)</f>
        <v>0</v>
      </c>
      <c r="I44" s="210">
        <f>IFERROR(H44/G44,0%)</f>
        <v>0</v>
      </c>
      <c r="J44" s="342"/>
      <c r="K44" s="343"/>
      <c r="L44" s="344"/>
      <c r="M44" s="185"/>
    </row>
    <row r="45" spans="1:13" s="8" customFormat="1" ht="30" customHeight="1" x14ac:dyDescent="0.3">
      <c r="A45" s="7"/>
      <c r="B45" s="330" t="s">
        <v>309</v>
      </c>
      <c r="C45" s="50" t="s">
        <v>16</v>
      </c>
      <c r="D45" s="21"/>
      <c r="E45" s="21"/>
      <c r="F45" s="3" t="str">
        <f>IFERROR(E45/D45,"")</f>
        <v/>
      </c>
      <c r="G45" s="21"/>
      <c r="H45" s="21"/>
      <c r="I45" s="3" t="str">
        <f t="shared" si="1"/>
        <v/>
      </c>
      <c r="J45" s="333"/>
      <c r="K45" s="334"/>
      <c r="L45" s="335"/>
      <c r="M45" s="185"/>
    </row>
    <row r="46" spans="1:13" s="8" customFormat="1" ht="30" customHeight="1" x14ac:dyDescent="0.3">
      <c r="A46" s="7"/>
      <c r="B46" s="331"/>
      <c r="C46" s="51" t="s">
        <v>5</v>
      </c>
      <c r="D46" s="66"/>
      <c r="E46" s="66"/>
      <c r="F46" s="67" t="str">
        <f t="shared" ref="F46:F56" si="3">IFERROR(E46/D46,"")</f>
        <v/>
      </c>
      <c r="G46" s="66"/>
      <c r="H46" s="66"/>
      <c r="I46" s="67" t="str">
        <f t="shared" si="1"/>
        <v/>
      </c>
      <c r="J46" s="336"/>
      <c r="K46" s="337"/>
      <c r="L46" s="338"/>
      <c r="M46" s="185"/>
    </row>
    <row r="47" spans="1:13" s="8" customFormat="1" ht="30" customHeight="1" x14ac:dyDescent="0.3">
      <c r="A47" s="7"/>
      <c r="B47" s="331"/>
      <c r="C47" s="51" t="s">
        <v>6</v>
      </c>
      <c r="D47" s="66"/>
      <c r="E47" s="66"/>
      <c r="F47" s="67" t="str">
        <f t="shared" si="3"/>
        <v/>
      </c>
      <c r="G47" s="66"/>
      <c r="H47" s="66"/>
      <c r="I47" s="67" t="str">
        <f t="shared" si="1"/>
        <v/>
      </c>
      <c r="J47" s="336"/>
      <c r="K47" s="337"/>
      <c r="L47" s="338"/>
      <c r="M47" s="185"/>
    </row>
    <row r="48" spans="1:13" s="8" customFormat="1" ht="30" customHeight="1" x14ac:dyDescent="0.3">
      <c r="A48" s="7"/>
      <c r="B48" s="331"/>
      <c r="C48" s="51" t="s">
        <v>7</v>
      </c>
      <c r="D48" s="66"/>
      <c r="E48" s="66"/>
      <c r="F48" s="67" t="str">
        <f t="shared" si="3"/>
        <v/>
      </c>
      <c r="G48" s="66"/>
      <c r="H48" s="66"/>
      <c r="I48" s="67" t="str">
        <f t="shared" si="1"/>
        <v/>
      </c>
      <c r="J48" s="336"/>
      <c r="K48" s="337"/>
      <c r="L48" s="338"/>
      <c r="M48" s="185"/>
    </row>
    <row r="49" spans="1:13" s="8" customFormat="1" ht="30" customHeight="1" x14ac:dyDescent="0.3">
      <c r="A49" s="7"/>
      <c r="B49" s="331"/>
      <c r="C49" s="51" t="s">
        <v>8</v>
      </c>
      <c r="D49" s="66"/>
      <c r="E49" s="66"/>
      <c r="F49" s="67" t="str">
        <f t="shared" si="3"/>
        <v/>
      </c>
      <c r="G49" s="66"/>
      <c r="H49" s="66"/>
      <c r="I49" s="67" t="str">
        <f t="shared" si="1"/>
        <v/>
      </c>
      <c r="J49" s="336"/>
      <c r="K49" s="337"/>
      <c r="L49" s="338"/>
      <c r="M49" s="185"/>
    </row>
    <row r="50" spans="1:13" s="8" customFormat="1" ht="30" customHeight="1" x14ac:dyDescent="0.3">
      <c r="A50" s="7"/>
      <c r="B50" s="331"/>
      <c r="C50" s="51" t="s">
        <v>9</v>
      </c>
      <c r="D50" s="66"/>
      <c r="E50" s="66"/>
      <c r="F50" s="67" t="str">
        <f t="shared" si="3"/>
        <v/>
      </c>
      <c r="G50" s="66"/>
      <c r="H50" s="66"/>
      <c r="I50" s="67" t="str">
        <f t="shared" si="1"/>
        <v/>
      </c>
      <c r="J50" s="336"/>
      <c r="K50" s="337"/>
      <c r="L50" s="338"/>
      <c r="M50" s="185"/>
    </row>
    <row r="51" spans="1:13" s="8" customFormat="1" ht="30" customHeight="1" x14ac:dyDescent="0.3">
      <c r="A51" s="7"/>
      <c r="B51" s="331"/>
      <c r="C51" s="51" t="s">
        <v>10</v>
      </c>
      <c r="D51" s="66"/>
      <c r="E51" s="66"/>
      <c r="F51" s="67" t="str">
        <f t="shared" si="3"/>
        <v/>
      </c>
      <c r="G51" s="66"/>
      <c r="H51" s="66"/>
      <c r="I51" s="67" t="str">
        <f t="shared" si="1"/>
        <v/>
      </c>
      <c r="J51" s="336"/>
      <c r="K51" s="337"/>
      <c r="L51" s="338"/>
      <c r="M51" s="185"/>
    </row>
    <row r="52" spans="1:13" s="8" customFormat="1" ht="30" customHeight="1" x14ac:dyDescent="0.3">
      <c r="A52" s="7"/>
      <c r="B52" s="331"/>
      <c r="C52" s="51" t="s">
        <v>11</v>
      </c>
      <c r="D52" s="66"/>
      <c r="E52" s="66"/>
      <c r="F52" s="67" t="str">
        <f t="shared" si="3"/>
        <v/>
      </c>
      <c r="G52" s="66"/>
      <c r="H52" s="66"/>
      <c r="I52" s="67" t="str">
        <f t="shared" si="1"/>
        <v/>
      </c>
      <c r="J52" s="336"/>
      <c r="K52" s="337"/>
      <c r="L52" s="338"/>
      <c r="M52" s="185"/>
    </row>
    <row r="53" spans="1:13" s="8" customFormat="1" ht="30" customHeight="1" x14ac:dyDescent="0.3">
      <c r="A53" s="7"/>
      <c r="B53" s="331"/>
      <c r="C53" s="51" t="s">
        <v>12</v>
      </c>
      <c r="D53" s="66"/>
      <c r="E53" s="66"/>
      <c r="F53" s="67" t="str">
        <f t="shared" si="3"/>
        <v/>
      </c>
      <c r="G53" s="66"/>
      <c r="H53" s="66"/>
      <c r="I53" s="67" t="str">
        <f t="shared" si="1"/>
        <v/>
      </c>
      <c r="J53" s="336"/>
      <c r="K53" s="337"/>
      <c r="L53" s="338"/>
      <c r="M53" s="185"/>
    </row>
    <row r="54" spans="1:13" s="8" customFormat="1" ht="30" customHeight="1" x14ac:dyDescent="0.3">
      <c r="A54" s="7"/>
      <c r="B54" s="331"/>
      <c r="C54" s="51" t="s">
        <v>13</v>
      </c>
      <c r="D54" s="66"/>
      <c r="E54" s="66"/>
      <c r="F54" s="67" t="str">
        <f t="shared" si="3"/>
        <v/>
      </c>
      <c r="G54" s="66"/>
      <c r="H54" s="66"/>
      <c r="I54" s="67" t="str">
        <f t="shared" si="1"/>
        <v/>
      </c>
      <c r="J54" s="336"/>
      <c r="K54" s="337"/>
      <c r="L54" s="338"/>
      <c r="M54" s="185"/>
    </row>
    <row r="55" spans="1:13" s="8" customFormat="1" ht="30" customHeight="1" x14ac:dyDescent="0.3">
      <c r="A55" s="7"/>
      <c r="B55" s="331"/>
      <c r="C55" s="51" t="s">
        <v>14</v>
      </c>
      <c r="D55" s="66"/>
      <c r="E55" s="66"/>
      <c r="F55" s="67" t="str">
        <f t="shared" si="3"/>
        <v/>
      </c>
      <c r="G55" s="66"/>
      <c r="H55" s="66"/>
      <c r="I55" s="67" t="str">
        <f t="shared" si="1"/>
        <v/>
      </c>
      <c r="J55" s="336"/>
      <c r="K55" s="337"/>
      <c r="L55" s="338"/>
      <c r="M55" s="185"/>
    </row>
    <row r="56" spans="1:13" s="8" customFormat="1" ht="30" customHeight="1" x14ac:dyDescent="0.3">
      <c r="A56" s="7"/>
      <c r="B56" s="331"/>
      <c r="C56" s="208" t="s">
        <v>15</v>
      </c>
      <c r="D56" s="188"/>
      <c r="E56" s="188"/>
      <c r="F56" s="189" t="str">
        <f t="shared" si="3"/>
        <v/>
      </c>
      <c r="G56" s="188"/>
      <c r="H56" s="188"/>
      <c r="I56" s="189" t="str">
        <f t="shared" si="1"/>
        <v/>
      </c>
      <c r="J56" s="339"/>
      <c r="K56" s="340"/>
      <c r="L56" s="341"/>
      <c r="M56" s="185"/>
    </row>
    <row r="57" spans="1:13" s="8" customFormat="1" ht="30" customHeight="1" x14ac:dyDescent="0.3">
      <c r="A57" s="7"/>
      <c r="B57" s="332"/>
      <c r="C57" s="57" t="s">
        <v>255</v>
      </c>
      <c r="D57" s="209">
        <f>SUM(D45:D56)</f>
        <v>0</v>
      </c>
      <c r="E57" s="209">
        <f>SUM(E45:E56)</f>
        <v>0</v>
      </c>
      <c r="F57" s="210">
        <f>IFERROR(E57/D57,0%)</f>
        <v>0</v>
      </c>
      <c r="G57" s="211">
        <f>IFERROR(AVERAGE(G45:G56),0)</f>
        <v>0</v>
      </c>
      <c r="H57" s="211">
        <f>IFERROR(AVERAGE(H45:H56),0)</f>
        <v>0</v>
      </c>
      <c r="I57" s="210">
        <f>IFERROR(H57/G57,0%)</f>
        <v>0</v>
      </c>
      <c r="J57" s="342"/>
      <c r="K57" s="343"/>
      <c r="L57" s="344"/>
      <c r="M57" s="185"/>
    </row>
    <row r="58" spans="1:13" s="8" customFormat="1" ht="30" customHeight="1" x14ac:dyDescent="0.3">
      <c r="A58" s="7"/>
      <c r="B58" s="330" t="s">
        <v>310</v>
      </c>
      <c r="C58" s="50" t="s">
        <v>16</v>
      </c>
      <c r="D58" s="21"/>
      <c r="E58" s="21"/>
      <c r="F58" s="3" t="str">
        <f>IFERROR(E58/D58,"")</f>
        <v/>
      </c>
      <c r="G58" s="21"/>
      <c r="H58" s="21"/>
      <c r="I58" s="3" t="str">
        <f t="shared" si="1"/>
        <v/>
      </c>
      <c r="J58" s="333"/>
      <c r="K58" s="334"/>
      <c r="L58" s="335"/>
      <c r="M58" s="185"/>
    </row>
    <row r="59" spans="1:13" s="8" customFormat="1" ht="30" customHeight="1" x14ac:dyDescent="0.3">
      <c r="A59" s="7"/>
      <c r="B59" s="331"/>
      <c r="C59" s="51" t="s">
        <v>5</v>
      </c>
      <c r="D59" s="66"/>
      <c r="E59" s="66"/>
      <c r="F59" s="67" t="str">
        <f t="shared" ref="F59:F69" si="4">IFERROR(E59/D59,"")</f>
        <v/>
      </c>
      <c r="G59" s="66"/>
      <c r="H59" s="66"/>
      <c r="I59" s="67" t="str">
        <f t="shared" si="1"/>
        <v/>
      </c>
      <c r="J59" s="336"/>
      <c r="K59" s="337"/>
      <c r="L59" s="338"/>
      <c r="M59" s="185"/>
    </row>
    <row r="60" spans="1:13" s="8" customFormat="1" ht="30" customHeight="1" x14ac:dyDescent="0.3">
      <c r="A60" s="7"/>
      <c r="B60" s="331"/>
      <c r="C60" s="51" t="s">
        <v>6</v>
      </c>
      <c r="D60" s="66"/>
      <c r="E60" s="66"/>
      <c r="F60" s="67" t="str">
        <f t="shared" si="4"/>
        <v/>
      </c>
      <c r="G60" s="66"/>
      <c r="H60" s="66"/>
      <c r="I60" s="67" t="str">
        <f t="shared" si="1"/>
        <v/>
      </c>
      <c r="J60" s="336"/>
      <c r="K60" s="337"/>
      <c r="L60" s="338"/>
      <c r="M60" s="185"/>
    </row>
    <row r="61" spans="1:13" s="8" customFormat="1" ht="30" customHeight="1" x14ac:dyDescent="0.3">
      <c r="A61" s="7"/>
      <c r="B61" s="331"/>
      <c r="C61" s="51" t="s">
        <v>7</v>
      </c>
      <c r="D61" s="66"/>
      <c r="E61" s="66"/>
      <c r="F61" s="67" t="str">
        <f t="shared" si="4"/>
        <v/>
      </c>
      <c r="G61" s="66"/>
      <c r="H61" s="66"/>
      <c r="I61" s="67" t="str">
        <f t="shared" si="1"/>
        <v/>
      </c>
      <c r="J61" s="336"/>
      <c r="K61" s="337"/>
      <c r="L61" s="338"/>
      <c r="M61" s="185"/>
    </row>
    <row r="62" spans="1:13" s="8" customFormat="1" ht="30" customHeight="1" x14ac:dyDescent="0.3">
      <c r="A62" s="7"/>
      <c r="B62" s="331"/>
      <c r="C62" s="51" t="s">
        <v>8</v>
      </c>
      <c r="D62" s="66"/>
      <c r="E62" s="66"/>
      <c r="F62" s="67" t="str">
        <f t="shared" si="4"/>
        <v/>
      </c>
      <c r="G62" s="66"/>
      <c r="H62" s="66"/>
      <c r="I62" s="67" t="str">
        <f t="shared" si="1"/>
        <v/>
      </c>
      <c r="J62" s="336"/>
      <c r="K62" s="337"/>
      <c r="L62" s="338"/>
      <c r="M62" s="185"/>
    </row>
    <row r="63" spans="1:13" s="8" customFormat="1" ht="30" customHeight="1" x14ac:dyDescent="0.3">
      <c r="A63" s="7"/>
      <c r="B63" s="331"/>
      <c r="C63" s="51" t="s">
        <v>9</v>
      </c>
      <c r="D63" s="66"/>
      <c r="E63" s="66"/>
      <c r="F63" s="67" t="str">
        <f t="shared" si="4"/>
        <v/>
      </c>
      <c r="G63" s="66"/>
      <c r="H63" s="66"/>
      <c r="I63" s="67" t="str">
        <f t="shared" si="1"/>
        <v/>
      </c>
      <c r="J63" s="336"/>
      <c r="K63" s="337"/>
      <c r="L63" s="338"/>
      <c r="M63" s="185"/>
    </row>
    <row r="64" spans="1:13" s="8" customFormat="1" ht="30" customHeight="1" x14ac:dyDescent="0.3">
      <c r="A64" s="7"/>
      <c r="B64" s="331"/>
      <c r="C64" s="51" t="s">
        <v>10</v>
      </c>
      <c r="D64" s="66"/>
      <c r="E64" s="66"/>
      <c r="F64" s="67" t="str">
        <f t="shared" si="4"/>
        <v/>
      </c>
      <c r="G64" s="66"/>
      <c r="H64" s="66"/>
      <c r="I64" s="67" t="str">
        <f t="shared" si="1"/>
        <v/>
      </c>
      <c r="J64" s="336"/>
      <c r="K64" s="337"/>
      <c r="L64" s="338"/>
      <c r="M64" s="185"/>
    </row>
    <row r="65" spans="1:13" s="8" customFormat="1" ht="30" customHeight="1" x14ac:dyDescent="0.3">
      <c r="A65" s="7"/>
      <c r="B65" s="331"/>
      <c r="C65" s="51" t="s">
        <v>11</v>
      </c>
      <c r="D65" s="66"/>
      <c r="E65" s="66"/>
      <c r="F65" s="67" t="str">
        <f t="shared" si="4"/>
        <v/>
      </c>
      <c r="G65" s="66"/>
      <c r="H65" s="66"/>
      <c r="I65" s="67" t="str">
        <f t="shared" si="1"/>
        <v/>
      </c>
      <c r="J65" s="336"/>
      <c r="K65" s="337"/>
      <c r="L65" s="338"/>
      <c r="M65" s="185"/>
    </row>
    <row r="66" spans="1:13" s="8" customFormat="1" ht="30" customHeight="1" x14ac:dyDescent="0.3">
      <c r="A66" s="7"/>
      <c r="B66" s="331"/>
      <c r="C66" s="51" t="s">
        <v>12</v>
      </c>
      <c r="D66" s="66"/>
      <c r="E66" s="66"/>
      <c r="F66" s="67" t="str">
        <f t="shared" si="4"/>
        <v/>
      </c>
      <c r="G66" s="66"/>
      <c r="H66" s="66"/>
      <c r="I66" s="67" t="str">
        <f t="shared" si="1"/>
        <v/>
      </c>
      <c r="J66" s="336"/>
      <c r="K66" s="337"/>
      <c r="L66" s="338"/>
      <c r="M66" s="185"/>
    </row>
    <row r="67" spans="1:13" s="8" customFormat="1" ht="30" customHeight="1" x14ac:dyDescent="0.3">
      <c r="A67" s="7"/>
      <c r="B67" s="331"/>
      <c r="C67" s="51" t="s">
        <v>13</v>
      </c>
      <c r="D67" s="66"/>
      <c r="E67" s="66"/>
      <c r="F67" s="67" t="str">
        <f t="shared" si="4"/>
        <v/>
      </c>
      <c r="G67" s="66"/>
      <c r="H67" s="66"/>
      <c r="I67" s="67" t="str">
        <f t="shared" si="1"/>
        <v/>
      </c>
      <c r="J67" s="336"/>
      <c r="K67" s="337"/>
      <c r="L67" s="338"/>
      <c r="M67" s="185"/>
    </row>
    <row r="68" spans="1:13" s="8" customFormat="1" ht="30" customHeight="1" x14ac:dyDescent="0.3">
      <c r="A68" s="7"/>
      <c r="B68" s="331"/>
      <c r="C68" s="51" t="s">
        <v>14</v>
      </c>
      <c r="D68" s="66"/>
      <c r="E68" s="66"/>
      <c r="F68" s="67" t="str">
        <f t="shared" si="4"/>
        <v/>
      </c>
      <c r="G68" s="66"/>
      <c r="H68" s="66"/>
      <c r="I68" s="67" t="str">
        <f t="shared" si="1"/>
        <v/>
      </c>
      <c r="J68" s="336"/>
      <c r="K68" s="337"/>
      <c r="L68" s="338"/>
      <c r="M68" s="185"/>
    </row>
    <row r="69" spans="1:13" s="8" customFormat="1" ht="30" customHeight="1" x14ac:dyDescent="0.3">
      <c r="A69" s="7"/>
      <c r="B69" s="331"/>
      <c r="C69" s="208" t="s">
        <v>15</v>
      </c>
      <c r="D69" s="188"/>
      <c r="E69" s="188"/>
      <c r="F69" s="189" t="str">
        <f t="shared" si="4"/>
        <v/>
      </c>
      <c r="G69" s="188"/>
      <c r="H69" s="188"/>
      <c r="I69" s="189" t="str">
        <f t="shared" si="1"/>
        <v/>
      </c>
      <c r="J69" s="339"/>
      <c r="K69" s="340"/>
      <c r="L69" s="341"/>
      <c r="M69" s="185"/>
    </row>
    <row r="70" spans="1:13" s="8" customFormat="1" ht="30" customHeight="1" x14ac:dyDescent="0.3">
      <c r="A70" s="7"/>
      <c r="B70" s="332"/>
      <c r="C70" s="57" t="s">
        <v>255</v>
      </c>
      <c r="D70" s="209">
        <f>SUM(D58:D69)</f>
        <v>0</v>
      </c>
      <c r="E70" s="209">
        <f>SUM(E58:E69)</f>
        <v>0</v>
      </c>
      <c r="F70" s="210">
        <f>IFERROR(E70/D70,0%)</f>
        <v>0</v>
      </c>
      <c r="G70" s="211">
        <f>IFERROR(AVERAGE(G58:G69),0)</f>
        <v>0</v>
      </c>
      <c r="H70" s="211">
        <f>IFERROR(AVERAGE(H58:H69),0)</f>
        <v>0</v>
      </c>
      <c r="I70" s="210">
        <f>IFERROR(H70/G70,0%)</f>
        <v>0</v>
      </c>
      <c r="J70" s="342"/>
      <c r="K70" s="343"/>
      <c r="L70" s="344"/>
      <c r="M70" s="185"/>
    </row>
    <row r="71" spans="1:13" s="8" customFormat="1" ht="30" customHeight="1" x14ac:dyDescent="0.3">
      <c r="A71" s="7"/>
      <c r="B71" s="330" t="s">
        <v>311</v>
      </c>
      <c r="C71" s="50" t="s">
        <v>16</v>
      </c>
      <c r="D71" s="21"/>
      <c r="E71" s="21"/>
      <c r="F71" s="3" t="str">
        <f>IFERROR(E71/D71,"")</f>
        <v/>
      </c>
      <c r="G71" s="21"/>
      <c r="H71" s="21"/>
      <c r="I71" s="3" t="str">
        <f t="shared" ref="I71:I82" si="5">IFERROR(((H71-G71)/G71),"")</f>
        <v/>
      </c>
      <c r="J71" s="333"/>
      <c r="K71" s="334"/>
      <c r="L71" s="335"/>
      <c r="M71" s="185"/>
    </row>
    <row r="72" spans="1:13" s="8" customFormat="1" ht="30" customHeight="1" x14ac:dyDescent="0.3">
      <c r="A72" s="7"/>
      <c r="B72" s="331"/>
      <c r="C72" s="51" t="s">
        <v>5</v>
      </c>
      <c r="D72" s="66"/>
      <c r="E72" s="66"/>
      <c r="F72" s="67" t="str">
        <f t="shared" ref="F72:F82" si="6">IFERROR(E72/D72,"")</f>
        <v/>
      </c>
      <c r="G72" s="66"/>
      <c r="H72" s="66"/>
      <c r="I72" s="67" t="str">
        <f t="shared" si="5"/>
        <v/>
      </c>
      <c r="J72" s="336"/>
      <c r="K72" s="337"/>
      <c r="L72" s="338"/>
      <c r="M72" s="185"/>
    </row>
    <row r="73" spans="1:13" s="8" customFormat="1" ht="30" customHeight="1" x14ac:dyDescent="0.3">
      <c r="A73" s="7"/>
      <c r="B73" s="331"/>
      <c r="C73" s="51" t="s">
        <v>6</v>
      </c>
      <c r="D73" s="66"/>
      <c r="E73" s="66"/>
      <c r="F73" s="67" t="str">
        <f t="shared" si="6"/>
        <v/>
      </c>
      <c r="G73" s="66"/>
      <c r="H73" s="66"/>
      <c r="I73" s="67" t="str">
        <f t="shared" si="5"/>
        <v/>
      </c>
      <c r="J73" s="336"/>
      <c r="K73" s="337"/>
      <c r="L73" s="338"/>
      <c r="M73" s="185"/>
    </row>
    <row r="74" spans="1:13" s="8" customFormat="1" ht="30" customHeight="1" x14ac:dyDescent="0.3">
      <c r="A74" s="7"/>
      <c r="B74" s="331"/>
      <c r="C74" s="51" t="s">
        <v>7</v>
      </c>
      <c r="D74" s="66"/>
      <c r="E74" s="66"/>
      <c r="F74" s="67" t="str">
        <f t="shared" si="6"/>
        <v/>
      </c>
      <c r="G74" s="66"/>
      <c r="H74" s="66"/>
      <c r="I74" s="67" t="str">
        <f t="shared" si="5"/>
        <v/>
      </c>
      <c r="J74" s="336"/>
      <c r="K74" s="337"/>
      <c r="L74" s="338"/>
      <c r="M74" s="185"/>
    </row>
    <row r="75" spans="1:13" s="8" customFormat="1" ht="30" customHeight="1" x14ac:dyDescent="0.3">
      <c r="A75" s="7"/>
      <c r="B75" s="331"/>
      <c r="C75" s="51" t="s">
        <v>8</v>
      </c>
      <c r="D75" s="66"/>
      <c r="E75" s="66"/>
      <c r="F75" s="67" t="str">
        <f t="shared" si="6"/>
        <v/>
      </c>
      <c r="G75" s="66"/>
      <c r="H75" s="66"/>
      <c r="I75" s="67" t="str">
        <f t="shared" si="5"/>
        <v/>
      </c>
      <c r="J75" s="336"/>
      <c r="K75" s="337"/>
      <c r="L75" s="338"/>
      <c r="M75" s="185"/>
    </row>
    <row r="76" spans="1:13" s="8" customFormat="1" ht="30" customHeight="1" x14ac:dyDescent="0.3">
      <c r="A76" s="7"/>
      <c r="B76" s="331"/>
      <c r="C76" s="51" t="s">
        <v>9</v>
      </c>
      <c r="D76" s="66"/>
      <c r="E76" s="66"/>
      <c r="F76" s="67" t="str">
        <f t="shared" si="6"/>
        <v/>
      </c>
      <c r="G76" s="66"/>
      <c r="H76" s="66"/>
      <c r="I76" s="67" t="str">
        <f t="shared" si="5"/>
        <v/>
      </c>
      <c r="J76" s="336"/>
      <c r="K76" s="337"/>
      <c r="L76" s="338"/>
      <c r="M76" s="185"/>
    </row>
    <row r="77" spans="1:13" s="8" customFormat="1" ht="30" customHeight="1" x14ac:dyDescent="0.3">
      <c r="A77" s="7"/>
      <c r="B77" s="331"/>
      <c r="C77" s="51" t="s">
        <v>10</v>
      </c>
      <c r="D77" s="66"/>
      <c r="E77" s="66"/>
      <c r="F77" s="67" t="str">
        <f t="shared" si="6"/>
        <v/>
      </c>
      <c r="G77" s="66"/>
      <c r="H77" s="66"/>
      <c r="I77" s="67" t="str">
        <f t="shared" si="5"/>
        <v/>
      </c>
      <c r="J77" s="336"/>
      <c r="K77" s="337"/>
      <c r="L77" s="338"/>
      <c r="M77" s="185"/>
    </row>
    <row r="78" spans="1:13" s="8" customFormat="1" ht="30" customHeight="1" x14ac:dyDescent="0.3">
      <c r="A78" s="7"/>
      <c r="B78" s="331"/>
      <c r="C78" s="51" t="s">
        <v>11</v>
      </c>
      <c r="D78" s="66"/>
      <c r="E78" s="66"/>
      <c r="F78" s="67" t="str">
        <f t="shared" si="6"/>
        <v/>
      </c>
      <c r="G78" s="66"/>
      <c r="H78" s="66"/>
      <c r="I78" s="67" t="str">
        <f t="shared" si="5"/>
        <v/>
      </c>
      <c r="J78" s="336"/>
      <c r="K78" s="337"/>
      <c r="L78" s="338"/>
      <c r="M78" s="185"/>
    </row>
    <row r="79" spans="1:13" s="8" customFormat="1" ht="30" customHeight="1" x14ac:dyDescent="0.3">
      <c r="A79" s="7"/>
      <c r="B79" s="331"/>
      <c r="C79" s="51" t="s">
        <v>12</v>
      </c>
      <c r="D79" s="66"/>
      <c r="E79" s="66"/>
      <c r="F79" s="67" t="str">
        <f t="shared" si="6"/>
        <v/>
      </c>
      <c r="G79" s="66"/>
      <c r="H79" s="66"/>
      <c r="I79" s="67" t="str">
        <f t="shared" si="5"/>
        <v/>
      </c>
      <c r="J79" s="336"/>
      <c r="K79" s="337"/>
      <c r="L79" s="338"/>
      <c r="M79" s="185"/>
    </row>
    <row r="80" spans="1:13" s="8" customFormat="1" ht="30" customHeight="1" x14ac:dyDescent="0.3">
      <c r="A80" s="7"/>
      <c r="B80" s="331"/>
      <c r="C80" s="51" t="s">
        <v>13</v>
      </c>
      <c r="D80" s="66"/>
      <c r="E80" s="66"/>
      <c r="F80" s="67" t="str">
        <f t="shared" si="6"/>
        <v/>
      </c>
      <c r="G80" s="66"/>
      <c r="H80" s="66"/>
      <c r="I80" s="67" t="str">
        <f t="shared" si="5"/>
        <v/>
      </c>
      <c r="J80" s="336"/>
      <c r="K80" s="337"/>
      <c r="L80" s="338"/>
      <c r="M80" s="185"/>
    </row>
    <row r="81" spans="1:13" s="8" customFormat="1" ht="30" customHeight="1" x14ac:dyDescent="0.3">
      <c r="A81" s="7"/>
      <c r="B81" s="331"/>
      <c r="C81" s="51" t="s">
        <v>14</v>
      </c>
      <c r="D81" s="66"/>
      <c r="E81" s="66"/>
      <c r="F81" s="67" t="str">
        <f t="shared" si="6"/>
        <v/>
      </c>
      <c r="G81" s="66"/>
      <c r="H81" s="66"/>
      <c r="I81" s="67" t="str">
        <f t="shared" si="5"/>
        <v/>
      </c>
      <c r="J81" s="336"/>
      <c r="K81" s="337"/>
      <c r="L81" s="338"/>
      <c r="M81" s="185"/>
    </row>
    <row r="82" spans="1:13" s="8" customFormat="1" ht="30" customHeight="1" x14ac:dyDescent="0.3">
      <c r="A82" s="7"/>
      <c r="B82" s="331"/>
      <c r="C82" s="208" t="s">
        <v>15</v>
      </c>
      <c r="D82" s="188"/>
      <c r="E82" s="188"/>
      <c r="F82" s="189" t="str">
        <f t="shared" si="6"/>
        <v/>
      </c>
      <c r="G82" s="188"/>
      <c r="H82" s="188"/>
      <c r="I82" s="189" t="str">
        <f t="shared" si="5"/>
        <v/>
      </c>
      <c r="J82" s="339"/>
      <c r="K82" s="340"/>
      <c r="L82" s="341"/>
      <c r="M82" s="185"/>
    </row>
    <row r="83" spans="1:13" s="8" customFormat="1" ht="30" customHeight="1" x14ac:dyDescent="0.3">
      <c r="A83" s="7"/>
      <c r="B83" s="332"/>
      <c r="C83" s="57" t="s">
        <v>255</v>
      </c>
      <c r="D83" s="209">
        <f>SUM(D71:D82)</f>
        <v>0</v>
      </c>
      <c r="E83" s="209">
        <f>SUM(E71:E82)</f>
        <v>0</v>
      </c>
      <c r="F83" s="210">
        <f>IFERROR(E83/D83,0%)</f>
        <v>0</v>
      </c>
      <c r="G83" s="211">
        <f>IFERROR(AVERAGE(G71:G82),0)</f>
        <v>0</v>
      </c>
      <c r="H83" s="211">
        <f>IFERROR(AVERAGE(H71:H82),0)</f>
        <v>0</v>
      </c>
      <c r="I83" s="210">
        <f>IFERROR(H83/G83,0%)</f>
        <v>0</v>
      </c>
      <c r="J83" s="342"/>
      <c r="K83" s="343"/>
      <c r="L83" s="344"/>
      <c r="M83" s="185"/>
    </row>
    <row r="84" spans="1:13" s="8" customFormat="1" ht="30" customHeight="1" x14ac:dyDescent="0.3">
      <c r="A84" s="7"/>
      <c r="B84" s="330" t="s">
        <v>312</v>
      </c>
      <c r="C84" s="50" t="s">
        <v>16</v>
      </c>
      <c r="D84" s="47">
        <f>'İşyeri ve Çalışan Bilgileri'!E38</f>
        <v>0</v>
      </c>
      <c r="E84" s="21"/>
      <c r="F84" s="3" t="str">
        <f>IFERROR(E84/D84,"")</f>
        <v/>
      </c>
      <c r="G84" s="21"/>
      <c r="H84" s="21"/>
      <c r="I84" s="3" t="str">
        <f>IFERROR(((H84-G84)/G84),"")</f>
        <v/>
      </c>
      <c r="J84" s="333"/>
      <c r="K84" s="334"/>
      <c r="L84" s="335"/>
      <c r="M84" s="251"/>
    </row>
    <row r="85" spans="1:13" s="8" customFormat="1" ht="30" customHeight="1" x14ac:dyDescent="0.3">
      <c r="A85" s="7"/>
      <c r="B85" s="331"/>
      <c r="C85" s="51" t="s">
        <v>5</v>
      </c>
      <c r="D85" s="69">
        <f>'İşyeri ve Çalışan Bilgileri'!E39</f>
        <v>0</v>
      </c>
      <c r="E85" s="66"/>
      <c r="F85" s="67" t="str">
        <f t="shared" ref="F85:F95" si="7">IFERROR(E85/D85,"")</f>
        <v/>
      </c>
      <c r="G85" s="66"/>
      <c r="H85" s="66"/>
      <c r="I85" s="67" t="str">
        <f t="shared" ref="I85:I95" si="8">IFERROR(((H85-G85)/G85),"")</f>
        <v/>
      </c>
      <c r="J85" s="336"/>
      <c r="K85" s="337"/>
      <c r="L85" s="338"/>
      <c r="M85" s="251"/>
    </row>
    <row r="86" spans="1:13" s="8" customFormat="1" ht="30" customHeight="1" x14ac:dyDescent="0.3">
      <c r="A86" s="7"/>
      <c r="B86" s="331"/>
      <c r="C86" s="51" t="s">
        <v>6</v>
      </c>
      <c r="D86" s="69">
        <f>'İşyeri ve Çalışan Bilgileri'!E40</f>
        <v>0</v>
      </c>
      <c r="E86" s="66"/>
      <c r="F86" s="67" t="str">
        <f t="shared" si="7"/>
        <v/>
      </c>
      <c r="G86" s="66"/>
      <c r="H86" s="66"/>
      <c r="I86" s="67" t="str">
        <f t="shared" si="8"/>
        <v/>
      </c>
      <c r="J86" s="336"/>
      <c r="K86" s="337"/>
      <c r="L86" s="338"/>
      <c r="M86" s="251"/>
    </row>
    <row r="87" spans="1:13" s="8" customFormat="1" ht="30" customHeight="1" x14ac:dyDescent="0.3">
      <c r="A87" s="7"/>
      <c r="B87" s="331"/>
      <c r="C87" s="51" t="s">
        <v>7</v>
      </c>
      <c r="D87" s="69">
        <f>'İşyeri ve Çalışan Bilgileri'!E41</f>
        <v>0</v>
      </c>
      <c r="E87" s="66"/>
      <c r="F87" s="67" t="str">
        <f t="shared" si="7"/>
        <v/>
      </c>
      <c r="G87" s="66"/>
      <c r="H87" s="66"/>
      <c r="I87" s="67" t="str">
        <f t="shared" si="8"/>
        <v/>
      </c>
      <c r="J87" s="336"/>
      <c r="K87" s="337"/>
      <c r="L87" s="338"/>
      <c r="M87" s="251"/>
    </row>
    <row r="88" spans="1:13" s="8" customFormat="1" ht="30" customHeight="1" x14ac:dyDescent="0.3">
      <c r="A88" s="7"/>
      <c r="B88" s="331"/>
      <c r="C88" s="51" t="s">
        <v>8</v>
      </c>
      <c r="D88" s="69">
        <f>'İşyeri ve Çalışan Bilgileri'!E42</f>
        <v>0</v>
      </c>
      <c r="E88" s="66"/>
      <c r="F88" s="67" t="str">
        <f t="shared" si="7"/>
        <v/>
      </c>
      <c r="G88" s="66"/>
      <c r="H88" s="66"/>
      <c r="I88" s="67" t="str">
        <f t="shared" si="8"/>
        <v/>
      </c>
      <c r="J88" s="336"/>
      <c r="K88" s="337"/>
      <c r="L88" s="338"/>
      <c r="M88" s="251"/>
    </row>
    <row r="89" spans="1:13" s="8" customFormat="1" ht="30" customHeight="1" x14ac:dyDescent="0.3">
      <c r="A89" s="7"/>
      <c r="B89" s="331"/>
      <c r="C89" s="51" t="s">
        <v>9</v>
      </c>
      <c r="D89" s="69">
        <f>'İşyeri ve Çalışan Bilgileri'!E43</f>
        <v>0</v>
      </c>
      <c r="E89" s="66"/>
      <c r="F89" s="67" t="str">
        <f t="shared" si="7"/>
        <v/>
      </c>
      <c r="G89" s="66"/>
      <c r="H89" s="66"/>
      <c r="I89" s="67" t="str">
        <f t="shared" si="8"/>
        <v/>
      </c>
      <c r="J89" s="336"/>
      <c r="K89" s="337"/>
      <c r="L89" s="338"/>
      <c r="M89" s="251"/>
    </row>
    <row r="90" spans="1:13" s="8" customFormat="1" ht="30" customHeight="1" x14ac:dyDescent="0.3">
      <c r="A90" s="7"/>
      <c r="B90" s="331"/>
      <c r="C90" s="51" t="s">
        <v>10</v>
      </c>
      <c r="D90" s="69">
        <f>'İşyeri ve Çalışan Bilgileri'!E44</f>
        <v>0</v>
      </c>
      <c r="E90" s="66"/>
      <c r="F90" s="67" t="str">
        <f t="shared" si="7"/>
        <v/>
      </c>
      <c r="G90" s="66"/>
      <c r="H90" s="66"/>
      <c r="I90" s="67" t="str">
        <f t="shared" si="8"/>
        <v/>
      </c>
      <c r="J90" s="336"/>
      <c r="K90" s="337"/>
      <c r="L90" s="338"/>
      <c r="M90" s="251"/>
    </row>
    <row r="91" spans="1:13" s="8" customFormat="1" ht="30" customHeight="1" x14ac:dyDescent="0.3">
      <c r="A91" s="7"/>
      <c r="B91" s="331"/>
      <c r="C91" s="51" t="s">
        <v>11</v>
      </c>
      <c r="D91" s="69">
        <f>'İşyeri ve Çalışan Bilgileri'!E45</f>
        <v>0</v>
      </c>
      <c r="E91" s="66"/>
      <c r="F91" s="67" t="str">
        <f t="shared" si="7"/>
        <v/>
      </c>
      <c r="G91" s="66"/>
      <c r="H91" s="66"/>
      <c r="I91" s="67" t="str">
        <f t="shared" si="8"/>
        <v/>
      </c>
      <c r="J91" s="336"/>
      <c r="K91" s="337"/>
      <c r="L91" s="338"/>
      <c r="M91" s="251"/>
    </row>
    <row r="92" spans="1:13" s="8" customFormat="1" ht="30" customHeight="1" x14ac:dyDescent="0.3">
      <c r="A92" s="7"/>
      <c r="B92" s="331"/>
      <c r="C92" s="51" t="s">
        <v>12</v>
      </c>
      <c r="D92" s="69">
        <f>'İşyeri ve Çalışan Bilgileri'!E46</f>
        <v>0</v>
      </c>
      <c r="E92" s="66"/>
      <c r="F92" s="67" t="str">
        <f t="shared" si="7"/>
        <v/>
      </c>
      <c r="G92" s="66"/>
      <c r="H92" s="66"/>
      <c r="I92" s="67" t="str">
        <f t="shared" si="8"/>
        <v/>
      </c>
      <c r="J92" s="336"/>
      <c r="K92" s="337"/>
      <c r="L92" s="338"/>
      <c r="M92" s="251"/>
    </row>
    <row r="93" spans="1:13" s="8" customFormat="1" ht="30" customHeight="1" x14ac:dyDescent="0.3">
      <c r="A93" s="7"/>
      <c r="B93" s="331"/>
      <c r="C93" s="51" t="s">
        <v>13</v>
      </c>
      <c r="D93" s="69">
        <f>'İşyeri ve Çalışan Bilgileri'!E47</f>
        <v>0</v>
      </c>
      <c r="E93" s="66"/>
      <c r="F93" s="67" t="str">
        <f t="shared" si="7"/>
        <v/>
      </c>
      <c r="G93" s="66"/>
      <c r="H93" s="66"/>
      <c r="I93" s="67" t="str">
        <f t="shared" si="8"/>
        <v/>
      </c>
      <c r="J93" s="336"/>
      <c r="K93" s="337"/>
      <c r="L93" s="338"/>
      <c r="M93" s="251"/>
    </row>
    <row r="94" spans="1:13" s="8" customFormat="1" ht="30" customHeight="1" x14ac:dyDescent="0.3">
      <c r="A94" s="7"/>
      <c r="B94" s="331"/>
      <c r="C94" s="51" t="s">
        <v>14</v>
      </c>
      <c r="D94" s="69">
        <f>'İşyeri ve Çalışan Bilgileri'!E48</f>
        <v>0</v>
      </c>
      <c r="E94" s="66"/>
      <c r="F94" s="67" t="str">
        <f t="shared" si="7"/>
        <v/>
      </c>
      <c r="G94" s="66"/>
      <c r="H94" s="66"/>
      <c r="I94" s="67" t="str">
        <f t="shared" si="8"/>
        <v/>
      </c>
      <c r="J94" s="336"/>
      <c r="K94" s="337"/>
      <c r="L94" s="338"/>
      <c r="M94" s="251"/>
    </row>
    <row r="95" spans="1:13" s="8" customFormat="1" ht="30" customHeight="1" x14ac:dyDescent="0.3">
      <c r="A95" s="7"/>
      <c r="B95" s="331"/>
      <c r="C95" s="208" t="s">
        <v>15</v>
      </c>
      <c r="D95" s="207">
        <f>'İşyeri ve Çalışan Bilgileri'!E49</f>
        <v>0</v>
      </c>
      <c r="E95" s="188"/>
      <c r="F95" s="189" t="str">
        <f t="shared" si="7"/>
        <v/>
      </c>
      <c r="G95" s="188"/>
      <c r="H95" s="188"/>
      <c r="I95" s="189" t="str">
        <f t="shared" si="8"/>
        <v/>
      </c>
      <c r="J95" s="339"/>
      <c r="K95" s="340"/>
      <c r="L95" s="341"/>
      <c r="M95" s="251"/>
    </row>
    <row r="96" spans="1:13" s="8" customFormat="1" ht="30" customHeight="1" x14ac:dyDescent="0.3">
      <c r="A96" s="7"/>
      <c r="B96" s="332"/>
      <c r="C96" s="57" t="s">
        <v>255</v>
      </c>
      <c r="D96" s="209">
        <f>SUM(D84:D95)</f>
        <v>0</v>
      </c>
      <c r="E96" s="209">
        <f>SUM(E84:E95)</f>
        <v>0</v>
      </c>
      <c r="F96" s="210">
        <f>IFERROR(E96/D96,0%)</f>
        <v>0</v>
      </c>
      <c r="G96" s="211">
        <f>IFERROR(AVERAGE(G84:G95),0)</f>
        <v>0</v>
      </c>
      <c r="H96" s="211">
        <f>IFERROR(AVERAGE(H84:H95),0)</f>
        <v>0</v>
      </c>
      <c r="I96" s="210">
        <f>IFERROR(H96/G96,0%)</f>
        <v>0</v>
      </c>
      <c r="J96" s="342"/>
      <c r="K96" s="343"/>
      <c r="L96" s="344"/>
      <c r="M96" s="251"/>
    </row>
    <row r="97" spans="1:13" s="8" customFormat="1" ht="30" customHeight="1" x14ac:dyDescent="0.3">
      <c r="A97" s="7"/>
      <c r="B97" s="330" t="s">
        <v>313</v>
      </c>
      <c r="C97" s="50" t="s">
        <v>16</v>
      </c>
      <c r="D97" s="47">
        <f>'İşyeri ve Çalışan Bilgileri'!F38</f>
        <v>0</v>
      </c>
      <c r="E97" s="21"/>
      <c r="F97" s="3" t="str">
        <f>IFERROR(E97/D97,"")</f>
        <v/>
      </c>
      <c r="G97" s="21"/>
      <c r="H97" s="21"/>
      <c r="I97" s="3" t="str">
        <f t="shared" ref="I97:I108" si="9">IFERROR(((H97-G97)/G97),"")</f>
        <v/>
      </c>
      <c r="J97" s="333"/>
      <c r="K97" s="334"/>
      <c r="L97" s="335"/>
      <c r="M97" s="251"/>
    </row>
    <row r="98" spans="1:13" s="8" customFormat="1" ht="30" customHeight="1" x14ac:dyDescent="0.3">
      <c r="A98" s="7"/>
      <c r="B98" s="331"/>
      <c r="C98" s="51" t="s">
        <v>5</v>
      </c>
      <c r="D98" s="69">
        <f>'İşyeri ve Çalışan Bilgileri'!F39</f>
        <v>0</v>
      </c>
      <c r="E98" s="66"/>
      <c r="F98" s="67" t="str">
        <f t="shared" ref="F98:F108" si="10">IFERROR(E98/D98,"")</f>
        <v/>
      </c>
      <c r="G98" s="66"/>
      <c r="H98" s="66"/>
      <c r="I98" s="67" t="str">
        <f t="shared" si="9"/>
        <v/>
      </c>
      <c r="J98" s="336"/>
      <c r="K98" s="337"/>
      <c r="L98" s="338"/>
      <c r="M98" s="251"/>
    </row>
    <row r="99" spans="1:13" s="8" customFormat="1" ht="30" customHeight="1" x14ac:dyDescent="0.3">
      <c r="A99" s="7"/>
      <c r="B99" s="331"/>
      <c r="C99" s="51" t="s">
        <v>6</v>
      </c>
      <c r="D99" s="69">
        <f>'İşyeri ve Çalışan Bilgileri'!F40</f>
        <v>0</v>
      </c>
      <c r="E99" s="66"/>
      <c r="F99" s="67" t="str">
        <f t="shared" si="10"/>
        <v/>
      </c>
      <c r="G99" s="66"/>
      <c r="H99" s="66"/>
      <c r="I99" s="67" t="str">
        <f t="shared" si="9"/>
        <v/>
      </c>
      <c r="J99" s="336"/>
      <c r="K99" s="337"/>
      <c r="L99" s="338"/>
      <c r="M99" s="251"/>
    </row>
    <row r="100" spans="1:13" s="8" customFormat="1" ht="30" customHeight="1" x14ac:dyDescent="0.3">
      <c r="A100" s="7"/>
      <c r="B100" s="331"/>
      <c r="C100" s="51" t="s">
        <v>7</v>
      </c>
      <c r="D100" s="69">
        <f>'İşyeri ve Çalışan Bilgileri'!F41</f>
        <v>0</v>
      </c>
      <c r="E100" s="66"/>
      <c r="F100" s="67" t="str">
        <f t="shared" si="10"/>
        <v/>
      </c>
      <c r="G100" s="66"/>
      <c r="H100" s="66"/>
      <c r="I100" s="67" t="str">
        <f t="shared" si="9"/>
        <v/>
      </c>
      <c r="J100" s="336"/>
      <c r="K100" s="337"/>
      <c r="L100" s="338"/>
      <c r="M100" s="251"/>
    </row>
    <row r="101" spans="1:13" s="8" customFormat="1" ht="30" customHeight="1" x14ac:dyDescent="0.3">
      <c r="A101" s="7"/>
      <c r="B101" s="331"/>
      <c r="C101" s="51" t="s">
        <v>8</v>
      </c>
      <c r="D101" s="69">
        <f>'İşyeri ve Çalışan Bilgileri'!F42</f>
        <v>0</v>
      </c>
      <c r="E101" s="66"/>
      <c r="F101" s="67" t="str">
        <f t="shared" si="10"/>
        <v/>
      </c>
      <c r="G101" s="66"/>
      <c r="H101" s="66"/>
      <c r="I101" s="67" t="str">
        <f t="shared" si="9"/>
        <v/>
      </c>
      <c r="J101" s="336"/>
      <c r="K101" s="337"/>
      <c r="L101" s="338"/>
      <c r="M101" s="251"/>
    </row>
    <row r="102" spans="1:13" s="8" customFormat="1" ht="30" customHeight="1" x14ac:dyDescent="0.3">
      <c r="A102" s="7"/>
      <c r="B102" s="331"/>
      <c r="C102" s="51" t="s">
        <v>9</v>
      </c>
      <c r="D102" s="69">
        <f>'İşyeri ve Çalışan Bilgileri'!F43</f>
        <v>0</v>
      </c>
      <c r="E102" s="66"/>
      <c r="F102" s="67" t="str">
        <f t="shared" si="10"/>
        <v/>
      </c>
      <c r="G102" s="66"/>
      <c r="H102" s="66"/>
      <c r="I102" s="67" t="str">
        <f t="shared" si="9"/>
        <v/>
      </c>
      <c r="J102" s="336"/>
      <c r="K102" s="337"/>
      <c r="L102" s="338"/>
      <c r="M102" s="251"/>
    </row>
    <row r="103" spans="1:13" s="8" customFormat="1" ht="30" customHeight="1" x14ac:dyDescent="0.3">
      <c r="A103" s="7"/>
      <c r="B103" s="331"/>
      <c r="C103" s="51" t="s">
        <v>10</v>
      </c>
      <c r="D103" s="69">
        <f>'İşyeri ve Çalışan Bilgileri'!F44</f>
        <v>0</v>
      </c>
      <c r="E103" s="66"/>
      <c r="F103" s="67" t="str">
        <f t="shared" si="10"/>
        <v/>
      </c>
      <c r="G103" s="66"/>
      <c r="H103" s="66"/>
      <c r="I103" s="67" t="str">
        <f t="shared" si="9"/>
        <v/>
      </c>
      <c r="J103" s="336"/>
      <c r="K103" s="337"/>
      <c r="L103" s="338"/>
      <c r="M103" s="251"/>
    </row>
    <row r="104" spans="1:13" s="8" customFormat="1" ht="30" customHeight="1" x14ac:dyDescent="0.3">
      <c r="A104" s="7"/>
      <c r="B104" s="331"/>
      <c r="C104" s="51" t="s">
        <v>11</v>
      </c>
      <c r="D104" s="69">
        <f>'İşyeri ve Çalışan Bilgileri'!F45</f>
        <v>0</v>
      </c>
      <c r="E104" s="66"/>
      <c r="F104" s="67" t="str">
        <f t="shared" si="10"/>
        <v/>
      </c>
      <c r="G104" s="66"/>
      <c r="H104" s="66"/>
      <c r="I104" s="67" t="str">
        <f t="shared" si="9"/>
        <v/>
      </c>
      <c r="J104" s="336"/>
      <c r="K104" s="337"/>
      <c r="L104" s="338"/>
      <c r="M104" s="251"/>
    </row>
    <row r="105" spans="1:13" s="8" customFormat="1" ht="30" customHeight="1" x14ac:dyDescent="0.3">
      <c r="A105" s="7"/>
      <c r="B105" s="331"/>
      <c r="C105" s="51" t="s">
        <v>12</v>
      </c>
      <c r="D105" s="69">
        <f>'İşyeri ve Çalışan Bilgileri'!F46</f>
        <v>0</v>
      </c>
      <c r="E105" s="66"/>
      <c r="F105" s="67" t="str">
        <f t="shared" si="10"/>
        <v/>
      </c>
      <c r="G105" s="66"/>
      <c r="H105" s="66"/>
      <c r="I105" s="67" t="str">
        <f t="shared" si="9"/>
        <v/>
      </c>
      <c r="J105" s="336"/>
      <c r="K105" s="337"/>
      <c r="L105" s="338"/>
      <c r="M105" s="251"/>
    </row>
    <row r="106" spans="1:13" s="8" customFormat="1" ht="30" customHeight="1" x14ac:dyDescent="0.3">
      <c r="A106" s="7"/>
      <c r="B106" s="331"/>
      <c r="C106" s="51" t="s">
        <v>13</v>
      </c>
      <c r="D106" s="69">
        <f>'İşyeri ve Çalışan Bilgileri'!F47</f>
        <v>0</v>
      </c>
      <c r="E106" s="66"/>
      <c r="F106" s="67" t="str">
        <f t="shared" si="10"/>
        <v/>
      </c>
      <c r="G106" s="66"/>
      <c r="H106" s="66"/>
      <c r="I106" s="67" t="str">
        <f t="shared" si="9"/>
        <v/>
      </c>
      <c r="J106" s="336"/>
      <c r="K106" s="337"/>
      <c r="L106" s="338"/>
      <c r="M106" s="251"/>
    </row>
    <row r="107" spans="1:13" s="8" customFormat="1" ht="30" customHeight="1" x14ac:dyDescent="0.3">
      <c r="A107" s="7"/>
      <c r="B107" s="331"/>
      <c r="C107" s="51" t="s">
        <v>14</v>
      </c>
      <c r="D107" s="69">
        <f>'İşyeri ve Çalışan Bilgileri'!F48</f>
        <v>0</v>
      </c>
      <c r="E107" s="66"/>
      <c r="F107" s="67" t="str">
        <f t="shared" si="10"/>
        <v/>
      </c>
      <c r="G107" s="66"/>
      <c r="H107" s="66"/>
      <c r="I107" s="67" t="str">
        <f t="shared" si="9"/>
        <v/>
      </c>
      <c r="J107" s="336"/>
      <c r="K107" s="337"/>
      <c r="L107" s="338"/>
      <c r="M107" s="251"/>
    </row>
    <row r="108" spans="1:13" s="8" customFormat="1" ht="30" customHeight="1" x14ac:dyDescent="0.3">
      <c r="A108" s="7"/>
      <c r="B108" s="331"/>
      <c r="C108" s="208" t="s">
        <v>15</v>
      </c>
      <c r="D108" s="207">
        <f>'İşyeri ve Çalışan Bilgileri'!F49</f>
        <v>0</v>
      </c>
      <c r="E108" s="188"/>
      <c r="F108" s="189" t="str">
        <f t="shared" si="10"/>
        <v/>
      </c>
      <c r="G108" s="188"/>
      <c r="H108" s="188"/>
      <c r="I108" s="189" t="str">
        <f t="shared" si="9"/>
        <v/>
      </c>
      <c r="J108" s="339"/>
      <c r="K108" s="340"/>
      <c r="L108" s="341"/>
      <c r="M108" s="251"/>
    </row>
    <row r="109" spans="1:13" s="8" customFormat="1" ht="30" customHeight="1" x14ac:dyDescent="0.3">
      <c r="A109" s="7"/>
      <c r="B109" s="332"/>
      <c r="C109" s="57" t="s">
        <v>255</v>
      </c>
      <c r="D109" s="209">
        <f>SUM(D97:D108)</f>
        <v>0</v>
      </c>
      <c r="E109" s="209">
        <f>SUM(E97:E108)</f>
        <v>0</v>
      </c>
      <c r="F109" s="210">
        <f>IFERROR(E109/D109,0%)</f>
        <v>0</v>
      </c>
      <c r="G109" s="211">
        <f>IFERROR(AVERAGE(G97:G108),0)</f>
        <v>0</v>
      </c>
      <c r="H109" s="211">
        <f>IFERROR(AVERAGE(H97:H108),0)</f>
        <v>0</v>
      </c>
      <c r="I109" s="210">
        <f>IFERROR(H109/G109,0%)</f>
        <v>0</v>
      </c>
      <c r="J109" s="342"/>
      <c r="K109" s="343"/>
      <c r="L109" s="344"/>
      <c r="M109" s="251"/>
    </row>
    <row r="110" spans="1:13" s="8" customFormat="1" ht="30" customHeight="1" x14ac:dyDescent="0.3">
      <c r="A110" s="7"/>
      <c r="B110" s="330" t="s">
        <v>314</v>
      </c>
      <c r="C110" s="50" t="s">
        <v>16</v>
      </c>
      <c r="D110" s="21"/>
      <c r="E110" s="21"/>
      <c r="F110" s="3" t="str">
        <f>IFERROR(E110/D110,"")</f>
        <v/>
      </c>
      <c r="G110" s="21"/>
      <c r="H110" s="21"/>
      <c r="I110" s="3" t="str">
        <f t="shared" ref="I110:I121" si="11">IFERROR(((H110-G110)/G110),"")</f>
        <v/>
      </c>
      <c r="J110" s="333"/>
      <c r="K110" s="334"/>
      <c r="L110" s="335"/>
      <c r="M110" s="251"/>
    </row>
    <row r="111" spans="1:13" s="8" customFormat="1" ht="30" customHeight="1" x14ac:dyDescent="0.3">
      <c r="A111" s="7"/>
      <c r="B111" s="331"/>
      <c r="C111" s="51" t="s">
        <v>5</v>
      </c>
      <c r="D111" s="66"/>
      <c r="E111" s="66"/>
      <c r="F111" s="67" t="str">
        <f t="shared" ref="F111:F121" si="12">IFERROR(E111/D111,"")</f>
        <v/>
      </c>
      <c r="G111" s="66"/>
      <c r="H111" s="66"/>
      <c r="I111" s="67" t="str">
        <f t="shared" si="11"/>
        <v/>
      </c>
      <c r="J111" s="336"/>
      <c r="K111" s="337"/>
      <c r="L111" s="338"/>
      <c r="M111" s="251"/>
    </row>
    <row r="112" spans="1:13" s="8" customFormat="1" ht="30" customHeight="1" x14ac:dyDescent="0.3">
      <c r="A112" s="7"/>
      <c r="B112" s="331"/>
      <c r="C112" s="51" t="s">
        <v>6</v>
      </c>
      <c r="D112" s="66"/>
      <c r="E112" s="66"/>
      <c r="F112" s="67" t="str">
        <f t="shared" si="12"/>
        <v/>
      </c>
      <c r="G112" s="66"/>
      <c r="H112" s="66"/>
      <c r="I112" s="67" t="str">
        <f t="shared" si="11"/>
        <v/>
      </c>
      <c r="J112" s="336"/>
      <c r="K112" s="337"/>
      <c r="L112" s="338"/>
      <c r="M112" s="251"/>
    </row>
    <row r="113" spans="1:13" s="8" customFormat="1" ht="30" customHeight="1" x14ac:dyDescent="0.3">
      <c r="A113" s="7"/>
      <c r="B113" s="331"/>
      <c r="C113" s="51" t="s">
        <v>7</v>
      </c>
      <c r="D113" s="66"/>
      <c r="E113" s="66"/>
      <c r="F113" s="67" t="str">
        <f t="shared" si="12"/>
        <v/>
      </c>
      <c r="G113" s="66"/>
      <c r="H113" s="66"/>
      <c r="I113" s="67" t="str">
        <f t="shared" si="11"/>
        <v/>
      </c>
      <c r="J113" s="336"/>
      <c r="K113" s="337"/>
      <c r="L113" s="338"/>
      <c r="M113" s="251"/>
    </row>
    <row r="114" spans="1:13" s="8" customFormat="1" ht="30" customHeight="1" x14ac:dyDescent="0.3">
      <c r="A114" s="7"/>
      <c r="B114" s="331"/>
      <c r="C114" s="51" t="s">
        <v>8</v>
      </c>
      <c r="D114" s="66"/>
      <c r="E114" s="66"/>
      <c r="F114" s="67" t="str">
        <f t="shared" si="12"/>
        <v/>
      </c>
      <c r="G114" s="66"/>
      <c r="H114" s="66"/>
      <c r="I114" s="67" t="str">
        <f t="shared" si="11"/>
        <v/>
      </c>
      <c r="J114" s="336"/>
      <c r="K114" s="337"/>
      <c r="L114" s="338"/>
      <c r="M114" s="251"/>
    </row>
    <row r="115" spans="1:13" s="8" customFormat="1" ht="30" customHeight="1" x14ac:dyDescent="0.3">
      <c r="A115" s="7"/>
      <c r="B115" s="331"/>
      <c r="C115" s="51" t="s">
        <v>9</v>
      </c>
      <c r="D115" s="66"/>
      <c r="E115" s="66"/>
      <c r="F115" s="67" t="str">
        <f t="shared" si="12"/>
        <v/>
      </c>
      <c r="G115" s="66"/>
      <c r="H115" s="66"/>
      <c r="I115" s="67" t="str">
        <f t="shared" si="11"/>
        <v/>
      </c>
      <c r="J115" s="336"/>
      <c r="K115" s="337"/>
      <c r="L115" s="338"/>
      <c r="M115" s="251"/>
    </row>
    <row r="116" spans="1:13" s="8" customFormat="1" ht="30" customHeight="1" x14ac:dyDescent="0.3">
      <c r="A116" s="7"/>
      <c r="B116" s="331"/>
      <c r="C116" s="51" t="s">
        <v>10</v>
      </c>
      <c r="D116" s="66"/>
      <c r="E116" s="66"/>
      <c r="F116" s="67" t="str">
        <f t="shared" si="12"/>
        <v/>
      </c>
      <c r="G116" s="66"/>
      <c r="H116" s="66"/>
      <c r="I116" s="67" t="str">
        <f t="shared" si="11"/>
        <v/>
      </c>
      <c r="J116" s="336"/>
      <c r="K116" s="337"/>
      <c r="L116" s="338"/>
      <c r="M116" s="251"/>
    </row>
    <row r="117" spans="1:13" s="8" customFormat="1" ht="30" customHeight="1" x14ac:dyDescent="0.3">
      <c r="A117" s="7"/>
      <c r="B117" s="331"/>
      <c r="C117" s="51" t="s">
        <v>11</v>
      </c>
      <c r="D117" s="66"/>
      <c r="E117" s="66"/>
      <c r="F117" s="67" t="str">
        <f t="shared" si="12"/>
        <v/>
      </c>
      <c r="G117" s="66"/>
      <c r="H117" s="66"/>
      <c r="I117" s="67" t="str">
        <f t="shared" si="11"/>
        <v/>
      </c>
      <c r="J117" s="336"/>
      <c r="K117" s="337"/>
      <c r="L117" s="338"/>
      <c r="M117" s="251"/>
    </row>
    <row r="118" spans="1:13" s="8" customFormat="1" ht="30" customHeight="1" x14ac:dyDescent="0.3">
      <c r="A118" s="7"/>
      <c r="B118" s="331"/>
      <c r="C118" s="51" t="s">
        <v>12</v>
      </c>
      <c r="D118" s="66"/>
      <c r="E118" s="66"/>
      <c r="F118" s="67" t="str">
        <f t="shared" si="12"/>
        <v/>
      </c>
      <c r="G118" s="66"/>
      <c r="H118" s="66"/>
      <c r="I118" s="67" t="str">
        <f t="shared" si="11"/>
        <v/>
      </c>
      <c r="J118" s="336"/>
      <c r="K118" s="337"/>
      <c r="L118" s="338"/>
      <c r="M118" s="251"/>
    </row>
    <row r="119" spans="1:13" s="8" customFormat="1" ht="30" customHeight="1" x14ac:dyDescent="0.3">
      <c r="A119" s="7"/>
      <c r="B119" s="331"/>
      <c r="C119" s="51" t="s">
        <v>13</v>
      </c>
      <c r="D119" s="66"/>
      <c r="E119" s="66"/>
      <c r="F119" s="67" t="str">
        <f t="shared" si="12"/>
        <v/>
      </c>
      <c r="G119" s="66"/>
      <c r="H119" s="66"/>
      <c r="I119" s="67" t="str">
        <f t="shared" si="11"/>
        <v/>
      </c>
      <c r="J119" s="336"/>
      <c r="K119" s="337"/>
      <c r="L119" s="338"/>
      <c r="M119" s="251"/>
    </row>
    <row r="120" spans="1:13" s="8" customFormat="1" ht="30" customHeight="1" x14ac:dyDescent="0.3">
      <c r="A120" s="7"/>
      <c r="B120" s="331"/>
      <c r="C120" s="51" t="s">
        <v>14</v>
      </c>
      <c r="D120" s="66"/>
      <c r="E120" s="66"/>
      <c r="F120" s="67" t="str">
        <f t="shared" si="12"/>
        <v/>
      </c>
      <c r="G120" s="66"/>
      <c r="H120" s="66"/>
      <c r="I120" s="67" t="str">
        <f t="shared" si="11"/>
        <v/>
      </c>
      <c r="J120" s="336"/>
      <c r="K120" s="337"/>
      <c r="L120" s="338"/>
      <c r="M120" s="251"/>
    </row>
    <row r="121" spans="1:13" s="8" customFormat="1" ht="30" customHeight="1" x14ac:dyDescent="0.3">
      <c r="A121" s="7"/>
      <c r="B121" s="331"/>
      <c r="C121" s="208" t="s">
        <v>15</v>
      </c>
      <c r="D121" s="188"/>
      <c r="E121" s="188"/>
      <c r="F121" s="189" t="str">
        <f t="shared" si="12"/>
        <v/>
      </c>
      <c r="G121" s="188"/>
      <c r="H121" s="188"/>
      <c r="I121" s="189" t="str">
        <f t="shared" si="11"/>
        <v/>
      </c>
      <c r="J121" s="339"/>
      <c r="K121" s="340"/>
      <c r="L121" s="341"/>
      <c r="M121" s="251"/>
    </row>
    <row r="122" spans="1:13" s="8" customFormat="1" ht="30" customHeight="1" x14ac:dyDescent="0.3">
      <c r="A122" s="7"/>
      <c r="B122" s="332"/>
      <c r="C122" s="57" t="s">
        <v>255</v>
      </c>
      <c r="D122" s="209">
        <f>SUM(D110:D121)</f>
        <v>0</v>
      </c>
      <c r="E122" s="209">
        <f>SUM(E110:E121)</f>
        <v>0</v>
      </c>
      <c r="F122" s="210">
        <f>IFERROR(E122/D122,0%)</f>
        <v>0</v>
      </c>
      <c r="G122" s="211">
        <f>IFERROR(AVERAGE(G110:G121),0)</f>
        <v>0</v>
      </c>
      <c r="H122" s="211">
        <f>IFERROR(AVERAGE(H110:H121),0)</f>
        <v>0</v>
      </c>
      <c r="I122" s="210">
        <f>IFERROR(H122/G122,0%)</f>
        <v>0</v>
      </c>
      <c r="J122" s="342"/>
      <c r="K122" s="343"/>
      <c r="L122" s="344"/>
      <c r="M122" s="251"/>
    </row>
    <row r="123" spans="1:13" s="8" customFormat="1" ht="30" customHeight="1" x14ac:dyDescent="0.3">
      <c r="A123" s="7"/>
      <c r="B123" s="330" t="s">
        <v>315</v>
      </c>
      <c r="C123" s="50" t="s">
        <v>16</v>
      </c>
      <c r="D123" s="21"/>
      <c r="E123" s="21"/>
      <c r="F123" s="3" t="str">
        <f>IFERROR(E123/D123,"")</f>
        <v/>
      </c>
      <c r="G123" s="21"/>
      <c r="H123" s="21"/>
      <c r="I123" s="3" t="str">
        <f t="shared" ref="I123:I134" si="13">IFERROR(((H123-G123)/G123),"")</f>
        <v/>
      </c>
      <c r="J123" s="333"/>
      <c r="K123" s="334"/>
      <c r="L123" s="335"/>
      <c r="M123" s="251"/>
    </row>
    <row r="124" spans="1:13" s="8" customFormat="1" ht="30" customHeight="1" x14ac:dyDescent="0.3">
      <c r="A124" s="7"/>
      <c r="B124" s="331"/>
      <c r="C124" s="51" t="s">
        <v>5</v>
      </c>
      <c r="D124" s="66"/>
      <c r="E124" s="66"/>
      <c r="F124" s="67" t="str">
        <f t="shared" ref="F124:F134" si="14">IFERROR(E124/D124,"")</f>
        <v/>
      </c>
      <c r="G124" s="66"/>
      <c r="H124" s="66"/>
      <c r="I124" s="67" t="str">
        <f t="shared" si="13"/>
        <v/>
      </c>
      <c r="J124" s="336"/>
      <c r="K124" s="337"/>
      <c r="L124" s="338"/>
      <c r="M124" s="251"/>
    </row>
    <row r="125" spans="1:13" s="8" customFormat="1" ht="30" customHeight="1" x14ac:dyDescent="0.3">
      <c r="A125" s="7"/>
      <c r="B125" s="331"/>
      <c r="C125" s="51" t="s">
        <v>6</v>
      </c>
      <c r="D125" s="66"/>
      <c r="E125" s="66"/>
      <c r="F125" s="67" t="str">
        <f t="shared" si="14"/>
        <v/>
      </c>
      <c r="G125" s="66"/>
      <c r="H125" s="66"/>
      <c r="I125" s="67" t="str">
        <f t="shared" si="13"/>
        <v/>
      </c>
      <c r="J125" s="336"/>
      <c r="K125" s="337"/>
      <c r="L125" s="338"/>
      <c r="M125" s="251"/>
    </row>
    <row r="126" spans="1:13" s="8" customFormat="1" ht="30" customHeight="1" x14ac:dyDescent="0.3">
      <c r="A126" s="7"/>
      <c r="B126" s="331"/>
      <c r="C126" s="51" t="s">
        <v>7</v>
      </c>
      <c r="D126" s="66"/>
      <c r="E126" s="66"/>
      <c r="F126" s="67" t="str">
        <f t="shared" si="14"/>
        <v/>
      </c>
      <c r="G126" s="66"/>
      <c r="H126" s="66"/>
      <c r="I126" s="67" t="str">
        <f t="shared" si="13"/>
        <v/>
      </c>
      <c r="J126" s="336"/>
      <c r="K126" s="337"/>
      <c r="L126" s="338"/>
      <c r="M126" s="251"/>
    </row>
    <row r="127" spans="1:13" s="8" customFormat="1" ht="30" customHeight="1" x14ac:dyDescent="0.3">
      <c r="A127" s="7"/>
      <c r="B127" s="331"/>
      <c r="C127" s="51" t="s">
        <v>8</v>
      </c>
      <c r="D127" s="66"/>
      <c r="E127" s="66"/>
      <c r="F127" s="67" t="str">
        <f t="shared" si="14"/>
        <v/>
      </c>
      <c r="G127" s="66"/>
      <c r="H127" s="66"/>
      <c r="I127" s="67" t="str">
        <f t="shared" si="13"/>
        <v/>
      </c>
      <c r="J127" s="336"/>
      <c r="K127" s="337"/>
      <c r="L127" s="338"/>
      <c r="M127" s="251"/>
    </row>
    <row r="128" spans="1:13" s="8" customFormat="1" ht="30" customHeight="1" x14ac:dyDescent="0.3">
      <c r="A128" s="7"/>
      <c r="B128" s="331"/>
      <c r="C128" s="51" t="s">
        <v>9</v>
      </c>
      <c r="D128" s="66"/>
      <c r="E128" s="66"/>
      <c r="F128" s="67" t="str">
        <f t="shared" si="14"/>
        <v/>
      </c>
      <c r="G128" s="66"/>
      <c r="H128" s="66"/>
      <c r="I128" s="67" t="str">
        <f t="shared" si="13"/>
        <v/>
      </c>
      <c r="J128" s="336"/>
      <c r="K128" s="337"/>
      <c r="L128" s="338"/>
      <c r="M128" s="251"/>
    </row>
    <row r="129" spans="1:13" s="8" customFormat="1" ht="30" customHeight="1" x14ac:dyDescent="0.3">
      <c r="A129" s="7"/>
      <c r="B129" s="331"/>
      <c r="C129" s="51" t="s">
        <v>10</v>
      </c>
      <c r="D129" s="66"/>
      <c r="E129" s="66"/>
      <c r="F129" s="67" t="str">
        <f t="shared" si="14"/>
        <v/>
      </c>
      <c r="G129" s="66"/>
      <c r="H129" s="66"/>
      <c r="I129" s="67" t="str">
        <f t="shared" si="13"/>
        <v/>
      </c>
      <c r="J129" s="336"/>
      <c r="K129" s="337"/>
      <c r="L129" s="338"/>
      <c r="M129" s="251"/>
    </row>
    <row r="130" spans="1:13" s="8" customFormat="1" ht="30" customHeight="1" x14ac:dyDescent="0.3">
      <c r="A130" s="7"/>
      <c r="B130" s="331"/>
      <c r="C130" s="51" t="s">
        <v>11</v>
      </c>
      <c r="D130" s="66"/>
      <c r="E130" s="66"/>
      <c r="F130" s="67" t="str">
        <f t="shared" si="14"/>
        <v/>
      </c>
      <c r="G130" s="66"/>
      <c r="H130" s="66"/>
      <c r="I130" s="67" t="str">
        <f t="shared" si="13"/>
        <v/>
      </c>
      <c r="J130" s="336"/>
      <c r="K130" s="337"/>
      <c r="L130" s="338"/>
      <c r="M130" s="251"/>
    </row>
    <row r="131" spans="1:13" s="8" customFormat="1" ht="30" customHeight="1" x14ac:dyDescent="0.3">
      <c r="A131" s="7"/>
      <c r="B131" s="331"/>
      <c r="C131" s="51" t="s">
        <v>12</v>
      </c>
      <c r="D131" s="66"/>
      <c r="E131" s="66"/>
      <c r="F131" s="67" t="str">
        <f t="shared" si="14"/>
        <v/>
      </c>
      <c r="G131" s="66"/>
      <c r="H131" s="66"/>
      <c r="I131" s="67" t="str">
        <f t="shared" si="13"/>
        <v/>
      </c>
      <c r="J131" s="336"/>
      <c r="K131" s="337"/>
      <c r="L131" s="338"/>
      <c r="M131" s="251"/>
    </row>
    <row r="132" spans="1:13" s="8" customFormat="1" ht="30" customHeight="1" x14ac:dyDescent="0.3">
      <c r="A132" s="7"/>
      <c r="B132" s="331"/>
      <c r="C132" s="51" t="s">
        <v>13</v>
      </c>
      <c r="D132" s="66"/>
      <c r="E132" s="66"/>
      <c r="F132" s="67" t="str">
        <f t="shared" si="14"/>
        <v/>
      </c>
      <c r="G132" s="66"/>
      <c r="H132" s="66"/>
      <c r="I132" s="67" t="str">
        <f t="shared" si="13"/>
        <v/>
      </c>
      <c r="J132" s="336"/>
      <c r="K132" s="337"/>
      <c r="L132" s="338"/>
      <c r="M132" s="251"/>
    </row>
    <row r="133" spans="1:13" s="8" customFormat="1" ht="30" customHeight="1" x14ac:dyDescent="0.3">
      <c r="A133" s="7"/>
      <c r="B133" s="331"/>
      <c r="C133" s="51" t="s">
        <v>14</v>
      </c>
      <c r="D133" s="66"/>
      <c r="E133" s="66"/>
      <c r="F133" s="67" t="str">
        <f t="shared" si="14"/>
        <v/>
      </c>
      <c r="G133" s="66"/>
      <c r="H133" s="66"/>
      <c r="I133" s="67" t="str">
        <f t="shared" si="13"/>
        <v/>
      </c>
      <c r="J133" s="336"/>
      <c r="K133" s="337"/>
      <c r="L133" s="338"/>
      <c r="M133" s="251"/>
    </row>
    <row r="134" spans="1:13" s="8" customFormat="1" ht="30" customHeight="1" x14ac:dyDescent="0.3">
      <c r="A134" s="7"/>
      <c r="B134" s="331"/>
      <c r="C134" s="208" t="s">
        <v>15</v>
      </c>
      <c r="D134" s="188"/>
      <c r="E134" s="188"/>
      <c r="F134" s="189" t="str">
        <f t="shared" si="14"/>
        <v/>
      </c>
      <c r="G134" s="188"/>
      <c r="H134" s="188"/>
      <c r="I134" s="189" t="str">
        <f t="shared" si="13"/>
        <v/>
      </c>
      <c r="J134" s="339"/>
      <c r="K134" s="340"/>
      <c r="L134" s="341"/>
      <c r="M134" s="251"/>
    </row>
    <row r="135" spans="1:13" s="8" customFormat="1" ht="30" customHeight="1" x14ac:dyDescent="0.3">
      <c r="A135" s="7"/>
      <c r="B135" s="332"/>
      <c r="C135" s="57" t="s">
        <v>255</v>
      </c>
      <c r="D135" s="209">
        <f>SUM(D123:D134)</f>
        <v>0</v>
      </c>
      <c r="E135" s="209">
        <f>SUM(E123:E134)</f>
        <v>0</v>
      </c>
      <c r="F135" s="210">
        <f>IFERROR(E135/D135,0%)</f>
        <v>0</v>
      </c>
      <c r="G135" s="211">
        <f>IFERROR(AVERAGE(G123:G134),0)</f>
        <v>0</v>
      </c>
      <c r="H135" s="211">
        <f>IFERROR(AVERAGE(H123:H134),0)</f>
        <v>0</v>
      </c>
      <c r="I135" s="210">
        <f>IFERROR(H135/G135,0%)</f>
        <v>0</v>
      </c>
      <c r="J135" s="342"/>
      <c r="K135" s="343"/>
      <c r="L135" s="344"/>
      <c r="M135" s="251"/>
    </row>
    <row r="136" spans="1:13" s="8" customFormat="1" ht="30" customHeight="1" x14ac:dyDescent="0.3">
      <c r="A136" s="7"/>
      <c r="B136" s="330" t="s">
        <v>316</v>
      </c>
      <c r="C136" s="50" t="s">
        <v>16</v>
      </c>
      <c r="D136" s="21"/>
      <c r="E136" s="21"/>
      <c r="F136" s="3" t="str">
        <f>IFERROR(E136/D136,"")</f>
        <v/>
      </c>
      <c r="G136" s="21"/>
      <c r="H136" s="21"/>
      <c r="I136" s="3" t="str">
        <f t="shared" ref="I136:I147" si="15">IFERROR(((H136-G136)/G136),"")</f>
        <v/>
      </c>
      <c r="J136" s="333"/>
      <c r="K136" s="334"/>
      <c r="L136" s="335"/>
      <c r="M136" s="251"/>
    </row>
    <row r="137" spans="1:13" s="8" customFormat="1" ht="30" customHeight="1" x14ac:dyDescent="0.3">
      <c r="A137" s="7"/>
      <c r="B137" s="331"/>
      <c r="C137" s="51" t="s">
        <v>5</v>
      </c>
      <c r="D137" s="66"/>
      <c r="E137" s="66"/>
      <c r="F137" s="67" t="str">
        <f t="shared" ref="F137:F147" si="16">IFERROR(E137/D137,"")</f>
        <v/>
      </c>
      <c r="G137" s="66"/>
      <c r="H137" s="66"/>
      <c r="I137" s="67" t="str">
        <f t="shared" si="15"/>
        <v/>
      </c>
      <c r="J137" s="336"/>
      <c r="K137" s="337"/>
      <c r="L137" s="338"/>
      <c r="M137" s="251"/>
    </row>
    <row r="138" spans="1:13" s="8" customFormat="1" ht="30" customHeight="1" x14ac:dyDescent="0.3">
      <c r="A138" s="7"/>
      <c r="B138" s="331"/>
      <c r="C138" s="51" t="s">
        <v>6</v>
      </c>
      <c r="D138" s="66"/>
      <c r="E138" s="66"/>
      <c r="F138" s="67" t="str">
        <f t="shared" si="16"/>
        <v/>
      </c>
      <c r="G138" s="66"/>
      <c r="H138" s="66"/>
      <c r="I138" s="67" t="str">
        <f t="shared" si="15"/>
        <v/>
      </c>
      <c r="J138" s="336"/>
      <c r="K138" s="337"/>
      <c r="L138" s="338"/>
      <c r="M138" s="251"/>
    </row>
    <row r="139" spans="1:13" s="8" customFormat="1" ht="30" customHeight="1" x14ac:dyDescent="0.3">
      <c r="A139" s="7"/>
      <c r="B139" s="331"/>
      <c r="C139" s="51" t="s">
        <v>7</v>
      </c>
      <c r="D139" s="66"/>
      <c r="E139" s="66"/>
      <c r="F139" s="67" t="str">
        <f t="shared" si="16"/>
        <v/>
      </c>
      <c r="G139" s="66"/>
      <c r="H139" s="66"/>
      <c r="I139" s="67" t="str">
        <f t="shared" si="15"/>
        <v/>
      </c>
      <c r="J139" s="336"/>
      <c r="K139" s="337"/>
      <c r="L139" s="338"/>
      <c r="M139" s="251"/>
    </row>
    <row r="140" spans="1:13" s="8" customFormat="1" ht="30" customHeight="1" x14ac:dyDescent="0.3">
      <c r="A140" s="7"/>
      <c r="B140" s="331"/>
      <c r="C140" s="51" t="s">
        <v>8</v>
      </c>
      <c r="D140" s="66"/>
      <c r="E140" s="66"/>
      <c r="F140" s="67" t="str">
        <f t="shared" si="16"/>
        <v/>
      </c>
      <c r="G140" s="66"/>
      <c r="H140" s="66"/>
      <c r="I140" s="67" t="str">
        <f t="shared" si="15"/>
        <v/>
      </c>
      <c r="J140" s="336"/>
      <c r="K140" s="337"/>
      <c r="L140" s="338"/>
      <c r="M140" s="251"/>
    </row>
    <row r="141" spans="1:13" s="8" customFormat="1" ht="30" customHeight="1" x14ac:dyDescent="0.3">
      <c r="A141" s="7"/>
      <c r="B141" s="331"/>
      <c r="C141" s="51" t="s">
        <v>9</v>
      </c>
      <c r="D141" s="66"/>
      <c r="E141" s="66"/>
      <c r="F141" s="67" t="str">
        <f t="shared" si="16"/>
        <v/>
      </c>
      <c r="G141" s="66"/>
      <c r="H141" s="66"/>
      <c r="I141" s="67" t="str">
        <f t="shared" si="15"/>
        <v/>
      </c>
      <c r="J141" s="336"/>
      <c r="K141" s="337"/>
      <c r="L141" s="338"/>
      <c r="M141" s="251"/>
    </row>
    <row r="142" spans="1:13" s="8" customFormat="1" ht="30" customHeight="1" x14ac:dyDescent="0.3">
      <c r="A142" s="7"/>
      <c r="B142" s="331"/>
      <c r="C142" s="51" t="s">
        <v>10</v>
      </c>
      <c r="D142" s="66"/>
      <c r="E142" s="66"/>
      <c r="F142" s="67" t="str">
        <f t="shared" si="16"/>
        <v/>
      </c>
      <c r="G142" s="66"/>
      <c r="H142" s="66"/>
      <c r="I142" s="67" t="str">
        <f t="shared" si="15"/>
        <v/>
      </c>
      <c r="J142" s="336"/>
      <c r="K142" s="337"/>
      <c r="L142" s="338"/>
      <c r="M142" s="251"/>
    </row>
    <row r="143" spans="1:13" s="8" customFormat="1" ht="30" customHeight="1" x14ac:dyDescent="0.3">
      <c r="A143" s="7"/>
      <c r="B143" s="331"/>
      <c r="C143" s="51" t="s">
        <v>11</v>
      </c>
      <c r="D143" s="66"/>
      <c r="E143" s="66"/>
      <c r="F143" s="67" t="str">
        <f t="shared" si="16"/>
        <v/>
      </c>
      <c r="G143" s="66"/>
      <c r="H143" s="66"/>
      <c r="I143" s="67" t="str">
        <f t="shared" si="15"/>
        <v/>
      </c>
      <c r="J143" s="336"/>
      <c r="K143" s="337"/>
      <c r="L143" s="338"/>
      <c r="M143" s="251"/>
    </row>
    <row r="144" spans="1:13" s="8" customFormat="1" ht="30" customHeight="1" x14ac:dyDescent="0.3">
      <c r="A144" s="7"/>
      <c r="B144" s="331"/>
      <c r="C144" s="51" t="s">
        <v>12</v>
      </c>
      <c r="D144" s="66"/>
      <c r="E144" s="66"/>
      <c r="F144" s="67" t="str">
        <f t="shared" si="16"/>
        <v/>
      </c>
      <c r="G144" s="66"/>
      <c r="H144" s="66"/>
      <c r="I144" s="67" t="str">
        <f t="shared" si="15"/>
        <v/>
      </c>
      <c r="J144" s="336"/>
      <c r="K144" s="337"/>
      <c r="L144" s="338"/>
      <c r="M144" s="251"/>
    </row>
    <row r="145" spans="1:13" s="8" customFormat="1" ht="30" customHeight="1" x14ac:dyDescent="0.3">
      <c r="A145" s="7"/>
      <c r="B145" s="331"/>
      <c r="C145" s="51" t="s">
        <v>13</v>
      </c>
      <c r="D145" s="66"/>
      <c r="E145" s="66"/>
      <c r="F145" s="67" t="str">
        <f t="shared" si="16"/>
        <v/>
      </c>
      <c r="G145" s="66"/>
      <c r="H145" s="66"/>
      <c r="I145" s="67" t="str">
        <f t="shared" si="15"/>
        <v/>
      </c>
      <c r="J145" s="336"/>
      <c r="K145" s="337"/>
      <c r="L145" s="338"/>
      <c r="M145" s="251"/>
    </row>
    <row r="146" spans="1:13" s="8" customFormat="1" ht="30" customHeight="1" x14ac:dyDescent="0.3">
      <c r="A146" s="7"/>
      <c r="B146" s="331"/>
      <c r="C146" s="51" t="s">
        <v>14</v>
      </c>
      <c r="D146" s="66"/>
      <c r="E146" s="66"/>
      <c r="F146" s="67" t="str">
        <f t="shared" si="16"/>
        <v/>
      </c>
      <c r="G146" s="66"/>
      <c r="H146" s="66"/>
      <c r="I146" s="67" t="str">
        <f t="shared" si="15"/>
        <v/>
      </c>
      <c r="J146" s="336"/>
      <c r="K146" s="337"/>
      <c r="L146" s="338"/>
      <c r="M146" s="251"/>
    </row>
    <row r="147" spans="1:13" s="8" customFormat="1" ht="30" customHeight="1" x14ac:dyDescent="0.3">
      <c r="A147" s="7"/>
      <c r="B147" s="331"/>
      <c r="C147" s="208" t="s">
        <v>15</v>
      </c>
      <c r="D147" s="188"/>
      <c r="E147" s="188"/>
      <c r="F147" s="189" t="str">
        <f t="shared" si="16"/>
        <v/>
      </c>
      <c r="G147" s="188"/>
      <c r="H147" s="188"/>
      <c r="I147" s="189" t="str">
        <f t="shared" si="15"/>
        <v/>
      </c>
      <c r="J147" s="339"/>
      <c r="K147" s="340"/>
      <c r="L147" s="341"/>
      <c r="M147" s="251"/>
    </row>
    <row r="148" spans="1:13" s="8" customFormat="1" ht="30" customHeight="1" x14ac:dyDescent="0.3">
      <c r="A148" s="7"/>
      <c r="B148" s="332"/>
      <c r="C148" s="57" t="s">
        <v>255</v>
      </c>
      <c r="D148" s="209">
        <f>SUM(D136:D147)</f>
        <v>0</v>
      </c>
      <c r="E148" s="209">
        <f>SUM(E136:E147)</f>
        <v>0</v>
      </c>
      <c r="F148" s="210">
        <f>IFERROR(E148/D148,0%)</f>
        <v>0</v>
      </c>
      <c r="G148" s="211">
        <f>IFERROR(AVERAGE(G136:G147),0)</f>
        <v>0</v>
      </c>
      <c r="H148" s="211">
        <f>IFERROR(AVERAGE(H136:H147),0)</f>
        <v>0</v>
      </c>
      <c r="I148" s="210">
        <f>IFERROR(H148/G148,0%)</f>
        <v>0</v>
      </c>
      <c r="J148" s="342"/>
      <c r="K148" s="343"/>
      <c r="L148" s="344"/>
      <c r="M148" s="251"/>
    </row>
    <row r="149" spans="1:13" s="8" customFormat="1" ht="30" customHeight="1" x14ac:dyDescent="0.3">
      <c r="A149" s="7"/>
      <c r="B149" s="330" t="s">
        <v>317</v>
      </c>
      <c r="C149" s="50" t="s">
        <v>16</v>
      </c>
      <c r="D149" s="21"/>
      <c r="E149" s="21"/>
      <c r="F149" s="3" t="str">
        <f>IFERROR(E149/D149,"")</f>
        <v/>
      </c>
      <c r="G149" s="21"/>
      <c r="H149" s="21"/>
      <c r="I149" s="3" t="str">
        <f t="shared" ref="I149:I160" si="17">IFERROR(((H149-G149)/G149),"")</f>
        <v/>
      </c>
      <c r="J149" s="333"/>
      <c r="K149" s="334"/>
      <c r="L149" s="335"/>
      <c r="M149" s="251"/>
    </row>
    <row r="150" spans="1:13" s="8" customFormat="1" ht="30" customHeight="1" x14ac:dyDescent="0.3">
      <c r="A150" s="7"/>
      <c r="B150" s="331"/>
      <c r="C150" s="51" t="s">
        <v>5</v>
      </c>
      <c r="D150" s="66"/>
      <c r="E150" s="66"/>
      <c r="F150" s="67" t="str">
        <f t="shared" ref="F150:F160" si="18">IFERROR(E150/D150,"")</f>
        <v/>
      </c>
      <c r="G150" s="66"/>
      <c r="H150" s="66"/>
      <c r="I150" s="67" t="str">
        <f t="shared" si="17"/>
        <v/>
      </c>
      <c r="J150" s="336"/>
      <c r="K150" s="337"/>
      <c r="L150" s="338"/>
      <c r="M150" s="251"/>
    </row>
    <row r="151" spans="1:13" s="8" customFormat="1" ht="30" customHeight="1" x14ac:dyDescent="0.3">
      <c r="A151" s="7"/>
      <c r="B151" s="331"/>
      <c r="C151" s="51" t="s">
        <v>6</v>
      </c>
      <c r="D151" s="66"/>
      <c r="E151" s="66"/>
      <c r="F151" s="67" t="str">
        <f t="shared" si="18"/>
        <v/>
      </c>
      <c r="G151" s="66"/>
      <c r="H151" s="66"/>
      <c r="I151" s="67" t="str">
        <f t="shared" si="17"/>
        <v/>
      </c>
      <c r="J151" s="336"/>
      <c r="K151" s="337"/>
      <c r="L151" s="338"/>
      <c r="M151" s="251"/>
    </row>
    <row r="152" spans="1:13" s="8" customFormat="1" ht="30" customHeight="1" x14ac:dyDescent="0.3">
      <c r="A152" s="7"/>
      <c r="B152" s="331"/>
      <c r="C152" s="51" t="s">
        <v>7</v>
      </c>
      <c r="D152" s="66"/>
      <c r="E152" s="66"/>
      <c r="F152" s="67" t="str">
        <f t="shared" si="18"/>
        <v/>
      </c>
      <c r="G152" s="66"/>
      <c r="H152" s="66"/>
      <c r="I152" s="67" t="str">
        <f t="shared" si="17"/>
        <v/>
      </c>
      <c r="J152" s="336"/>
      <c r="K152" s="337"/>
      <c r="L152" s="338"/>
      <c r="M152" s="251"/>
    </row>
    <row r="153" spans="1:13" s="8" customFormat="1" ht="30" customHeight="1" x14ac:dyDescent="0.3">
      <c r="A153" s="7"/>
      <c r="B153" s="331"/>
      <c r="C153" s="51" t="s">
        <v>8</v>
      </c>
      <c r="D153" s="66"/>
      <c r="E153" s="66"/>
      <c r="F153" s="67" t="str">
        <f t="shared" si="18"/>
        <v/>
      </c>
      <c r="G153" s="66"/>
      <c r="H153" s="66"/>
      <c r="I153" s="67" t="str">
        <f t="shared" si="17"/>
        <v/>
      </c>
      <c r="J153" s="336"/>
      <c r="K153" s="337"/>
      <c r="L153" s="338"/>
      <c r="M153" s="251"/>
    </row>
    <row r="154" spans="1:13" s="8" customFormat="1" ht="30" customHeight="1" x14ac:dyDescent="0.3">
      <c r="A154" s="7"/>
      <c r="B154" s="331"/>
      <c r="C154" s="51" t="s">
        <v>9</v>
      </c>
      <c r="D154" s="66"/>
      <c r="E154" s="66"/>
      <c r="F154" s="67" t="str">
        <f t="shared" si="18"/>
        <v/>
      </c>
      <c r="G154" s="66"/>
      <c r="H154" s="66"/>
      <c r="I154" s="67" t="str">
        <f t="shared" si="17"/>
        <v/>
      </c>
      <c r="J154" s="336"/>
      <c r="K154" s="337"/>
      <c r="L154" s="338"/>
      <c r="M154" s="251"/>
    </row>
    <row r="155" spans="1:13" s="8" customFormat="1" ht="30" customHeight="1" x14ac:dyDescent="0.3">
      <c r="A155" s="7"/>
      <c r="B155" s="331"/>
      <c r="C155" s="51" t="s">
        <v>10</v>
      </c>
      <c r="D155" s="66"/>
      <c r="E155" s="66"/>
      <c r="F155" s="67" t="str">
        <f t="shared" si="18"/>
        <v/>
      </c>
      <c r="G155" s="66"/>
      <c r="H155" s="66"/>
      <c r="I155" s="67" t="str">
        <f t="shared" si="17"/>
        <v/>
      </c>
      <c r="J155" s="336"/>
      <c r="K155" s="337"/>
      <c r="L155" s="338"/>
      <c r="M155" s="251"/>
    </row>
    <row r="156" spans="1:13" s="8" customFormat="1" ht="30" customHeight="1" x14ac:dyDescent="0.3">
      <c r="A156" s="7"/>
      <c r="B156" s="331"/>
      <c r="C156" s="51" t="s">
        <v>11</v>
      </c>
      <c r="D156" s="66"/>
      <c r="E156" s="66"/>
      <c r="F156" s="67" t="str">
        <f t="shared" si="18"/>
        <v/>
      </c>
      <c r="G156" s="66"/>
      <c r="H156" s="66"/>
      <c r="I156" s="67" t="str">
        <f t="shared" si="17"/>
        <v/>
      </c>
      <c r="J156" s="336"/>
      <c r="K156" s="337"/>
      <c r="L156" s="338"/>
      <c r="M156" s="251"/>
    </row>
    <row r="157" spans="1:13" s="8" customFormat="1" ht="30" customHeight="1" x14ac:dyDescent="0.3">
      <c r="A157" s="7"/>
      <c r="B157" s="331"/>
      <c r="C157" s="51" t="s">
        <v>12</v>
      </c>
      <c r="D157" s="66"/>
      <c r="E157" s="66"/>
      <c r="F157" s="67" t="str">
        <f t="shared" si="18"/>
        <v/>
      </c>
      <c r="G157" s="66"/>
      <c r="H157" s="66"/>
      <c r="I157" s="67" t="str">
        <f t="shared" si="17"/>
        <v/>
      </c>
      <c r="J157" s="336"/>
      <c r="K157" s="337"/>
      <c r="L157" s="338"/>
      <c r="M157" s="251"/>
    </row>
    <row r="158" spans="1:13" s="8" customFormat="1" ht="30" customHeight="1" x14ac:dyDescent="0.3">
      <c r="A158" s="7"/>
      <c r="B158" s="331"/>
      <c r="C158" s="51" t="s">
        <v>13</v>
      </c>
      <c r="D158" s="66"/>
      <c r="E158" s="66"/>
      <c r="F158" s="67" t="str">
        <f t="shared" si="18"/>
        <v/>
      </c>
      <c r="G158" s="66"/>
      <c r="H158" s="66"/>
      <c r="I158" s="67" t="str">
        <f t="shared" si="17"/>
        <v/>
      </c>
      <c r="J158" s="336"/>
      <c r="K158" s="337"/>
      <c r="L158" s="338"/>
      <c r="M158" s="251"/>
    </row>
    <row r="159" spans="1:13" s="8" customFormat="1" ht="30" customHeight="1" x14ac:dyDescent="0.3">
      <c r="A159" s="7"/>
      <c r="B159" s="331"/>
      <c r="C159" s="51" t="s">
        <v>14</v>
      </c>
      <c r="D159" s="66"/>
      <c r="E159" s="66"/>
      <c r="F159" s="67" t="str">
        <f t="shared" si="18"/>
        <v/>
      </c>
      <c r="G159" s="66"/>
      <c r="H159" s="66"/>
      <c r="I159" s="67" t="str">
        <f t="shared" si="17"/>
        <v/>
      </c>
      <c r="J159" s="336"/>
      <c r="K159" s="337"/>
      <c r="L159" s="338"/>
      <c r="M159" s="251"/>
    </row>
    <row r="160" spans="1:13" s="8" customFormat="1" ht="30" customHeight="1" x14ac:dyDescent="0.3">
      <c r="A160" s="7"/>
      <c r="B160" s="331"/>
      <c r="C160" s="208" t="s">
        <v>15</v>
      </c>
      <c r="D160" s="188"/>
      <c r="E160" s="188"/>
      <c r="F160" s="189" t="str">
        <f t="shared" si="18"/>
        <v/>
      </c>
      <c r="G160" s="188"/>
      <c r="H160" s="188"/>
      <c r="I160" s="189" t="str">
        <f t="shared" si="17"/>
        <v/>
      </c>
      <c r="J160" s="339"/>
      <c r="K160" s="340"/>
      <c r="L160" s="341"/>
      <c r="M160" s="251"/>
    </row>
    <row r="161" spans="1:13" s="8" customFormat="1" ht="30" customHeight="1" x14ac:dyDescent="0.3">
      <c r="A161" s="7"/>
      <c r="B161" s="332"/>
      <c r="C161" s="57" t="s">
        <v>255</v>
      </c>
      <c r="D161" s="209">
        <f>SUM(D149:D160)</f>
        <v>0</v>
      </c>
      <c r="E161" s="209">
        <f>SUM(E149:E160)</f>
        <v>0</v>
      </c>
      <c r="F161" s="210">
        <f>IFERROR(E161/D161,0%)</f>
        <v>0</v>
      </c>
      <c r="G161" s="211">
        <f>IFERROR(AVERAGE(G149:G160),0)</f>
        <v>0</v>
      </c>
      <c r="H161" s="211">
        <f>IFERROR(AVERAGE(H149:H160),0)</f>
        <v>0</v>
      </c>
      <c r="I161" s="210">
        <f>IFERROR(H161/G161,0%)</f>
        <v>0</v>
      </c>
      <c r="J161" s="342"/>
      <c r="K161" s="343"/>
      <c r="L161" s="344"/>
      <c r="M161" s="251"/>
    </row>
  </sheetData>
  <sheetProtection algorithmName="SHA-512" hashValue="0Wx5a/EA/8u4pbVpO6D2N6amjER8tO9TNQdcayRQRBYJ7h0FGL1H8qjlPEKGpPIPSzSiYp59APJZwKQe0cq8Mw==" saltValue="3qv9znNnWW2KzBlY5MqOPw==" spinCount="100000" sheet="1" selectLockedCells="1"/>
  <mergeCells count="179">
    <mergeCell ref="B1:L1"/>
    <mergeCell ref="B2:L2"/>
    <mergeCell ref="B4:B5"/>
    <mergeCell ref="C4:C5"/>
    <mergeCell ref="D4:D5"/>
    <mergeCell ref="E4:E5"/>
    <mergeCell ref="F4:F5"/>
    <mergeCell ref="G4:G5"/>
    <mergeCell ref="H4:H5"/>
    <mergeCell ref="I4:I5"/>
    <mergeCell ref="J4:L5"/>
    <mergeCell ref="B6:B18"/>
    <mergeCell ref="J6:L6"/>
    <mergeCell ref="B19:B31"/>
    <mergeCell ref="B32:B44"/>
    <mergeCell ref="J14:L14"/>
    <mergeCell ref="J15:L15"/>
    <mergeCell ref="J16:L16"/>
    <mergeCell ref="J17:L17"/>
    <mergeCell ref="J28:L28"/>
    <mergeCell ref="J29:L29"/>
    <mergeCell ref="J30:L30"/>
    <mergeCell ref="J7:L7"/>
    <mergeCell ref="J8:L8"/>
    <mergeCell ref="J9:L9"/>
    <mergeCell ref="J10:L10"/>
    <mergeCell ref="J11:L11"/>
    <mergeCell ref="J12:L12"/>
    <mergeCell ref="J13:L13"/>
    <mergeCell ref="J18:L18"/>
    <mergeCell ref="J19:L19"/>
    <mergeCell ref="J20:L20"/>
    <mergeCell ref="J21:L21"/>
    <mergeCell ref="J22:L22"/>
    <mergeCell ref="J23:L23"/>
    <mergeCell ref="B45:B57"/>
    <mergeCell ref="B58:B70"/>
    <mergeCell ref="B71:B83"/>
    <mergeCell ref="J31:L31"/>
    <mergeCell ref="J32:L32"/>
    <mergeCell ref="J33:L33"/>
    <mergeCell ref="J34:L34"/>
    <mergeCell ref="J35:L35"/>
    <mergeCell ref="J36:L36"/>
    <mergeCell ref="J49:L49"/>
    <mergeCell ref="J50:L50"/>
    <mergeCell ref="J48:L48"/>
    <mergeCell ref="J57:L57"/>
    <mergeCell ref="J58:L58"/>
    <mergeCell ref="J59:L59"/>
    <mergeCell ref="J60:L60"/>
    <mergeCell ref="J61:L61"/>
    <mergeCell ref="J62:L62"/>
    <mergeCell ref="J51:L51"/>
    <mergeCell ref="J52:L52"/>
    <mergeCell ref="J53:L53"/>
    <mergeCell ref="J54:L54"/>
    <mergeCell ref="J55:L55"/>
    <mergeCell ref="J56:L56"/>
    <mergeCell ref="J24:L24"/>
    <mergeCell ref="J25:L25"/>
    <mergeCell ref="J26:L26"/>
    <mergeCell ref="J43:L43"/>
    <mergeCell ref="J44:L44"/>
    <mergeCell ref="J27:L27"/>
    <mergeCell ref="J45:L45"/>
    <mergeCell ref="J46:L46"/>
    <mergeCell ref="J47:L47"/>
    <mergeCell ref="J37:L37"/>
    <mergeCell ref="J38:L38"/>
    <mergeCell ref="J39:L39"/>
    <mergeCell ref="J40:L40"/>
    <mergeCell ref="J41:L41"/>
    <mergeCell ref="J42:L42"/>
    <mergeCell ref="J69:L69"/>
    <mergeCell ref="J70:L70"/>
    <mergeCell ref="J71:L71"/>
    <mergeCell ref="J72:L72"/>
    <mergeCell ref="J73:L73"/>
    <mergeCell ref="J74:L74"/>
    <mergeCell ref="J63:L63"/>
    <mergeCell ref="J64:L64"/>
    <mergeCell ref="J65:L65"/>
    <mergeCell ref="J66:L66"/>
    <mergeCell ref="J67:L67"/>
    <mergeCell ref="J68:L68"/>
    <mergeCell ref="J81:L81"/>
    <mergeCell ref="J82:L82"/>
    <mergeCell ref="J83:L83"/>
    <mergeCell ref="J75:L75"/>
    <mergeCell ref="J76:L76"/>
    <mergeCell ref="J77:L77"/>
    <mergeCell ref="J78:L78"/>
    <mergeCell ref="J79:L79"/>
    <mergeCell ref="J80:L80"/>
    <mergeCell ref="B84:B96"/>
    <mergeCell ref="J84:L84"/>
    <mergeCell ref="J85:L85"/>
    <mergeCell ref="J86:L86"/>
    <mergeCell ref="J87:L87"/>
    <mergeCell ref="J93:L93"/>
    <mergeCell ref="J94:L94"/>
    <mergeCell ref="J95:L95"/>
    <mergeCell ref="J96:L96"/>
    <mergeCell ref="J88:L88"/>
    <mergeCell ref="J89:L89"/>
    <mergeCell ref="J90:L90"/>
    <mergeCell ref="J91:L91"/>
    <mergeCell ref="J92:L92"/>
    <mergeCell ref="B97:B109"/>
    <mergeCell ref="J97:L97"/>
    <mergeCell ref="J98:L98"/>
    <mergeCell ref="J99:L99"/>
    <mergeCell ref="J100:L100"/>
    <mergeCell ref="J101:L101"/>
    <mergeCell ref="J102:L102"/>
    <mergeCell ref="J103:L103"/>
    <mergeCell ref="J104:L104"/>
    <mergeCell ref="J105:L105"/>
    <mergeCell ref="J106:L106"/>
    <mergeCell ref="J107:L107"/>
    <mergeCell ref="J108:L108"/>
    <mergeCell ref="J109:L109"/>
    <mergeCell ref="B110:B122"/>
    <mergeCell ref="J110:L110"/>
    <mergeCell ref="J111:L111"/>
    <mergeCell ref="J112:L112"/>
    <mergeCell ref="J113:L113"/>
    <mergeCell ref="J114:L114"/>
    <mergeCell ref="J115:L115"/>
    <mergeCell ref="J116:L116"/>
    <mergeCell ref="J117:L117"/>
    <mergeCell ref="J118:L118"/>
    <mergeCell ref="J119:L119"/>
    <mergeCell ref="J120:L120"/>
    <mergeCell ref="J121:L121"/>
    <mergeCell ref="J122:L122"/>
    <mergeCell ref="B123:B135"/>
    <mergeCell ref="J123:L123"/>
    <mergeCell ref="J124:L124"/>
    <mergeCell ref="J125:L125"/>
    <mergeCell ref="J126:L126"/>
    <mergeCell ref="J127:L127"/>
    <mergeCell ref="J128:L128"/>
    <mergeCell ref="J129:L129"/>
    <mergeCell ref="J130:L130"/>
    <mergeCell ref="J131:L131"/>
    <mergeCell ref="J132:L132"/>
    <mergeCell ref="J133:L133"/>
    <mergeCell ref="J134:L134"/>
    <mergeCell ref="J135:L135"/>
    <mergeCell ref="B136:B148"/>
    <mergeCell ref="J136:L136"/>
    <mergeCell ref="J137:L137"/>
    <mergeCell ref="J138:L138"/>
    <mergeCell ref="J139:L139"/>
    <mergeCell ref="J140:L140"/>
    <mergeCell ref="J141:L141"/>
    <mergeCell ref="J142:L142"/>
    <mergeCell ref="J143:L143"/>
    <mergeCell ref="J144:L144"/>
    <mergeCell ref="J145:L145"/>
    <mergeCell ref="J146:L146"/>
    <mergeCell ref="J147:L147"/>
    <mergeCell ref="J148:L148"/>
    <mergeCell ref="B149:B161"/>
    <mergeCell ref="J149:L149"/>
    <mergeCell ref="J150:L150"/>
    <mergeCell ref="J151:L151"/>
    <mergeCell ref="J152:L152"/>
    <mergeCell ref="J153:L153"/>
    <mergeCell ref="J154:L154"/>
    <mergeCell ref="J155:L155"/>
    <mergeCell ref="J156:L156"/>
    <mergeCell ref="J157:L157"/>
    <mergeCell ref="J158:L158"/>
    <mergeCell ref="J159:L159"/>
    <mergeCell ref="J160:L160"/>
    <mergeCell ref="J161:L161"/>
  </mergeCells>
  <dataValidations count="2">
    <dataValidation type="whole" operator="greaterThanOrEqual" allowBlank="1" showInputMessage="1" showErrorMessage="1" sqref="D6:E161">
      <formula1>0</formula1>
    </dataValidation>
    <dataValidation type="whole" allowBlank="1" showInputMessage="1" showErrorMessage="1" sqref="G6:H17 G19:H30 G32:H43 G45:H56 G58:H69 G71:H82 G84:H95 G97:H108 G110:H121 G123:H134 G136:H147 G149:H160">
      <formula1>0</formula1>
      <formula2>100</formula2>
    </dataValidation>
  </dataValidations>
  <pageMargins left="0.23622047244094491" right="0.23622047244094491" top="0.35433070866141736" bottom="0.15748031496062992" header="0.31496062992125984" footer="0.11811023622047245"/>
  <pageSetup paperSize="9" scale="34" fitToHeight="0" orientation="landscape" r:id="rId1"/>
  <ignoredErrors>
    <ignoredError sqref="I18" formula="1"/>
  </ignoredErrors>
  <extLst>
    <ext xmlns:x14="http://schemas.microsoft.com/office/spreadsheetml/2009/9/main" uri="{78C0D931-6437-407d-A8EE-F0AAD7539E65}">
      <x14:conditionalFormattings>
        <x14:conditionalFormatting xmlns:xm="http://schemas.microsoft.com/office/excel/2006/main">
          <x14:cfRule type="iconSet" priority="343" id="{8711D9A0-FAEE-46B3-9110-9CF9BA6EEEBC}">
            <x14:iconSet iconSet="3Triangles">
              <x14:cfvo type="percent">
                <xm:f>0</xm:f>
              </x14:cfvo>
              <x14:cfvo type="num">
                <xm:f>0</xm:f>
              </x14:cfvo>
              <x14:cfvo type="num" gte="0">
                <xm:f>0</xm:f>
              </x14:cfvo>
            </x14:iconSet>
          </x14:cfRule>
          <xm:sqref>I6:I17 I19:I30 I32:I43 I45:I56 I58:I69 I71:I82</xm:sqref>
        </x14:conditionalFormatting>
        <x14:conditionalFormatting xmlns:xm="http://schemas.microsoft.com/office/excel/2006/main">
          <x14:cfRule type="iconSet" priority="1" id="{3D4950A4-4192-44C2-ABF2-B566A18722BF}">
            <x14:iconSet iconSet="3Triangles">
              <x14:cfvo type="percent">
                <xm:f>0</xm:f>
              </x14:cfvo>
              <x14:cfvo type="num">
                <xm:f>0</xm:f>
              </x14:cfvo>
              <x14:cfvo type="num" gte="0">
                <xm:f>0</xm:f>
              </x14:cfvo>
            </x14:iconSet>
          </x14:cfRule>
          <xm:sqref>I84:I95 I97:I108 I110:I121 I123:I134 I136:I147 I149:I160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ayfa14">
    <tabColor theme="4" tint="0.79998168889431442"/>
    <pageSetUpPr fitToPage="1"/>
  </sheetPr>
  <dimension ref="A1:N40"/>
  <sheetViews>
    <sheetView showGridLines="0" zoomScale="40" zoomScaleNormal="40" zoomScaleSheetLayoutView="40" workbookViewId="0">
      <selection activeCell="K7" sqref="K7"/>
    </sheetView>
  </sheetViews>
  <sheetFormatPr defaultColWidth="9.125" defaultRowHeight="20.25" x14ac:dyDescent="0.3"/>
  <cols>
    <col min="1" max="1" width="3.625" style="7" customWidth="1"/>
    <col min="2" max="12" width="34.625" style="7" customWidth="1"/>
    <col min="13" max="13" width="3.625" style="7" customWidth="1"/>
    <col min="14" max="16" width="9.125" style="7"/>
    <col min="17" max="17" width="15.375" style="7" customWidth="1"/>
    <col min="18" max="16384" width="9.125" style="7"/>
  </cols>
  <sheetData>
    <row r="1" spans="1:13" ht="22.5" customHeight="1" x14ac:dyDescent="0.3">
      <c r="A1" s="6"/>
      <c r="B1" s="298"/>
      <c r="C1" s="298"/>
      <c r="D1" s="298"/>
      <c r="E1" s="298"/>
      <c r="F1" s="298"/>
      <c r="G1" s="298"/>
      <c r="H1" s="298"/>
      <c r="I1" s="298"/>
      <c r="J1" s="298"/>
      <c r="K1" s="298"/>
      <c r="L1" s="298"/>
      <c r="M1" s="6"/>
    </row>
    <row r="2" spans="1:13" s="8" customFormat="1" ht="50.1" customHeight="1" x14ac:dyDescent="0.25">
      <c r="A2" s="285"/>
      <c r="B2" s="299" t="s">
        <v>114</v>
      </c>
      <c r="C2" s="299"/>
      <c r="D2" s="299"/>
      <c r="E2" s="299"/>
      <c r="F2" s="299"/>
      <c r="G2" s="299"/>
      <c r="H2" s="299"/>
      <c r="I2" s="299"/>
      <c r="J2" s="299"/>
      <c r="K2" s="299"/>
      <c r="L2" s="299"/>
    </row>
    <row r="3" spans="1:13" s="8" customFormat="1" ht="15" customHeight="1" x14ac:dyDescent="0.25">
      <c r="A3" s="285"/>
      <c r="G3" s="14"/>
      <c r="M3" s="250"/>
    </row>
    <row r="4" spans="1:13" s="8" customFormat="1" ht="30" customHeight="1" x14ac:dyDescent="0.3">
      <c r="A4" s="7"/>
      <c r="B4" s="345" t="s">
        <v>29</v>
      </c>
      <c r="C4" s="371" t="s">
        <v>249</v>
      </c>
      <c r="D4" s="315" t="s">
        <v>320</v>
      </c>
      <c r="E4" s="380" t="s">
        <v>254</v>
      </c>
      <c r="F4" s="382" t="s">
        <v>48</v>
      </c>
      <c r="G4" s="390" t="s">
        <v>61</v>
      </c>
      <c r="H4" s="326" t="s">
        <v>64</v>
      </c>
      <c r="I4" s="369" t="s">
        <v>78</v>
      </c>
      <c r="J4" s="386" t="s">
        <v>250</v>
      </c>
      <c r="K4" s="388" t="s">
        <v>251</v>
      </c>
      <c r="L4" s="353" t="s">
        <v>252</v>
      </c>
    </row>
    <row r="5" spans="1:13" s="8" customFormat="1" ht="30" customHeight="1" x14ac:dyDescent="0.3">
      <c r="A5" s="7"/>
      <c r="B5" s="346"/>
      <c r="C5" s="372"/>
      <c r="D5" s="317"/>
      <c r="E5" s="381"/>
      <c r="F5" s="383"/>
      <c r="G5" s="391"/>
      <c r="H5" s="392"/>
      <c r="I5" s="370"/>
      <c r="J5" s="387"/>
      <c r="K5" s="389"/>
      <c r="L5" s="356"/>
    </row>
    <row r="6" spans="1:13" s="8" customFormat="1" ht="30" customHeight="1" x14ac:dyDescent="0.3">
      <c r="A6" s="7"/>
      <c r="B6" s="375" t="s">
        <v>30</v>
      </c>
      <c r="C6" s="190"/>
      <c r="D6" s="193"/>
      <c r="E6" s="200"/>
      <c r="F6" s="197" t="str">
        <f>IFERROR(E6/D6,"")</f>
        <v/>
      </c>
      <c r="G6" s="193"/>
      <c r="H6" s="200"/>
      <c r="I6" s="197" t="str">
        <f>IFERROR(H6/G6,"")</f>
        <v/>
      </c>
      <c r="J6" s="193"/>
      <c r="K6" s="200"/>
      <c r="L6" s="197" t="str">
        <f>IFERROR(K6/J6,"")</f>
        <v/>
      </c>
    </row>
    <row r="7" spans="1:13" s="8" customFormat="1" ht="30" customHeight="1" x14ac:dyDescent="0.3">
      <c r="A7" s="7"/>
      <c r="B7" s="376"/>
      <c r="C7" s="191"/>
      <c r="D7" s="194"/>
      <c r="E7" s="201"/>
      <c r="F7" s="198" t="str">
        <f t="shared" ref="F7:F29" si="0">IFERROR(E7/D7,"")</f>
        <v/>
      </c>
      <c r="G7" s="203"/>
      <c r="H7" s="201"/>
      <c r="I7" s="198" t="str">
        <f t="shared" ref="I7:I29" si="1">IFERROR(H7/G7,"")</f>
        <v/>
      </c>
      <c r="J7" s="194"/>
      <c r="K7" s="201"/>
      <c r="L7" s="198" t="str">
        <f t="shared" ref="L7:L29" si="2">IFERROR(K7/J7,"")</f>
        <v/>
      </c>
    </row>
    <row r="8" spans="1:13" s="8" customFormat="1" ht="30" customHeight="1" x14ac:dyDescent="0.3">
      <c r="A8" s="7"/>
      <c r="B8" s="376"/>
      <c r="C8" s="191"/>
      <c r="D8" s="194"/>
      <c r="E8" s="201"/>
      <c r="F8" s="198" t="str">
        <f t="shared" si="0"/>
        <v/>
      </c>
      <c r="G8" s="194"/>
      <c r="H8" s="201"/>
      <c r="I8" s="198" t="str">
        <f t="shared" si="1"/>
        <v/>
      </c>
      <c r="J8" s="194"/>
      <c r="K8" s="201"/>
      <c r="L8" s="198" t="str">
        <f t="shared" si="2"/>
        <v/>
      </c>
    </row>
    <row r="9" spans="1:13" s="8" customFormat="1" ht="30" customHeight="1" x14ac:dyDescent="0.3">
      <c r="A9" s="7"/>
      <c r="B9" s="377"/>
      <c r="C9" s="192"/>
      <c r="D9" s="195"/>
      <c r="E9" s="202"/>
      <c r="F9" s="199" t="str">
        <f t="shared" si="0"/>
        <v/>
      </c>
      <c r="G9" s="195"/>
      <c r="H9" s="202"/>
      <c r="I9" s="199" t="str">
        <f t="shared" si="1"/>
        <v/>
      </c>
      <c r="J9" s="195"/>
      <c r="K9" s="202"/>
      <c r="L9" s="199" t="str">
        <f t="shared" si="2"/>
        <v/>
      </c>
    </row>
    <row r="10" spans="1:13" s="8" customFormat="1" ht="30" customHeight="1" x14ac:dyDescent="0.3">
      <c r="A10" s="7"/>
      <c r="B10" s="375" t="s">
        <v>253</v>
      </c>
      <c r="C10" s="190"/>
      <c r="D10" s="193"/>
      <c r="E10" s="200"/>
      <c r="F10" s="197" t="str">
        <f>IFERROR(E10/D10,"")</f>
        <v/>
      </c>
      <c r="G10" s="193"/>
      <c r="H10" s="200"/>
      <c r="I10" s="197" t="str">
        <f>IFERROR(H10/G10,"")</f>
        <v/>
      </c>
      <c r="J10" s="193"/>
      <c r="K10" s="200"/>
      <c r="L10" s="197" t="str">
        <f>IFERROR(K10/J10,"")</f>
        <v/>
      </c>
    </row>
    <row r="11" spans="1:13" s="8" customFormat="1" ht="30" customHeight="1" x14ac:dyDescent="0.3">
      <c r="A11" s="7"/>
      <c r="B11" s="376"/>
      <c r="C11" s="191"/>
      <c r="D11" s="194"/>
      <c r="E11" s="201"/>
      <c r="F11" s="198" t="str">
        <f t="shared" ref="F11:F13" si="3">IFERROR(E11/D11,"")</f>
        <v/>
      </c>
      <c r="G11" s="194"/>
      <c r="H11" s="201"/>
      <c r="I11" s="198" t="str">
        <f t="shared" ref="I11:I13" si="4">IFERROR(H11/G11,"")</f>
        <v/>
      </c>
      <c r="J11" s="194"/>
      <c r="K11" s="201"/>
      <c r="L11" s="198" t="str">
        <f t="shared" ref="L11:L13" si="5">IFERROR(K11/J11,"")</f>
        <v/>
      </c>
    </row>
    <row r="12" spans="1:13" s="8" customFormat="1" ht="30" customHeight="1" x14ac:dyDescent="0.3">
      <c r="A12" s="7"/>
      <c r="B12" s="376"/>
      <c r="C12" s="191"/>
      <c r="D12" s="194"/>
      <c r="E12" s="201"/>
      <c r="F12" s="198" t="str">
        <f t="shared" si="3"/>
        <v/>
      </c>
      <c r="G12" s="194"/>
      <c r="H12" s="201"/>
      <c r="I12" s="198" t="str">
        <f t="shared" si="4"/>
        <v/>
      </c>
      <c r="J12" s="194"/>
      <c r="K12" s="201"/>
      <c r="L12" s="198" t="str">
        <f t="shared" si="5"/>
        <v/>
      </c>
    </row>
    <row r="13" spans="1:13" s="8" customFormat="1" ht="30" customHeight="1" x14ac:dyDescent="0.3">
      <c r="A13" s="7"/>
      <c r="B13" s="377"/>
      <c r="C13" s="192"/>
      <c r="D13" s="195"/>
      <c r="E13" s="202"/>
      <c r="F13" s="199" t="str">
        <f t="shared" si="3"/>
        <v/>
      </c>
      <c r="G13" s="195"/>
      <c r="H13" s="202"/>
      <c r="I13" s="199" t="str">
        <f t="shared" si="4"/>
        <v/>
      </c>
      <c r="J13" s="195"/>
      <c r="K13" s="202"/>
      <c r="L13" s="199" t="str">
        <f t="shared" si="5"/>
        <v/>
      </c>
    </row>
    <row r="14" spans="1:13" s="8" customFormat="1" ht="30" customHeight="1" x14ac:dyDescent="0.3">
      <c r="A14" s="7"/>
      <c r="B14" s="375" t="s">
        <v>31</v>
      </c>
      <c r="C14" s="190"/>
      <c r="D14" s="193"/>
      <c r="E14" s="200"/>
      <c r="F14" s="197" t="str">
        <f>IFERROR(E14/D14,"")</f>
        <v/>
      </c>
      <c r="G14" s="193"/>
      <c r="H14" s="200"/>
      <c r="I14" s="197" t="str">
        <f>IFERROR(H14/G14,"")</f>
        <v/>
      </c>
      <c r="J14" s="193"/>
      <c r="K14" s="200"/>
      <c r="L14" s="197" t="str">
        <f>IFERROR(K14/J14,"")</f>
        <v/>
      </c>
    </row>
    <row r="15" spans="1:13" s="8" customFormat="1" ht="30" customHeight="1" x14ac:dyDescent="0.3">
      <c r="A15" s="7"/>
      <c r="B15" s="376"/>
      <c r="C15" s="191"/>
      <c r="D15" s="194"/>
      <c r="E15" s="201"/>
      <c r="F15" s="198" t="str">
        <f t="shared" si="0"/>
        <v/>
      </c>
      <c r="G15" s="194"/>
      <c r="H15" s="201"/>
      <c r="I15" s="198" t="str">
        <f t="shared" si="1"/>
        <v/>
      </c>
      <c r="J15" s="194"/>
      <c r="K15" s="201"/>
      <c r="L15" s="198" t="str">
        <f t="shared" si="2"/>
        <v/>
      </c>
    </row>
    <row r="16" spans="1:13" s="8" customFormat="1" ht="30" customHeight="1" x14ac:dyDescent="0.3">
      <c r="A16" s="7"/>
      <c r="B16" s="376"/>
      <c r="C16" s="191"/>
      <c r="D16" s="194"/>
      <c r="E16" s="201"/>
      <c r="F16" s="198" t="str">
        <f t="shared" si="0"/>
        <v/>
      </c>
      <c r="G16" s="194"/>
      <c r="H16" s="201"/>
      <c r="I16" s="198" t="str">
        <f t="shared" si="1"/>
        <v/>
      </c>
      <c r="J16" s="194"/>
      <c r="K16" s="201"/>
      <c r="L16" s="198" t="str">
        <f t="shared" si="2"/>
        <v/>
      </c>
    </row>
    <row r="17" spans="1:14" s="8" customFormat="1" ht="30" customHeight="1" x14ac:dyDescent="0.3">
      <c r="A17" s="7"/>
      <c r="B17" s="377"/>
      <c r="C17" s="192"/>
      <c r="D17" s="195"/>
      <c r="E17" s="202"/>
      <c r="F17" s="199" t="str">
        <f t="shared" si="0"/>
        <v/>
      </c>
      <c r="G17" s="195"/>
      <c r="H17" s="202"/>
      <c r="I17" s="199" t="str">
        <f t="shared" si="1"/>
        <v/>
      </c>
      <c r="J17" s="195"/>
      <c r="K17" s="202"/>
      <c r="L17" s="199" t="str">
        <f t="shared" si="2"/>
        <v/>
      </c>
    </row>
    <row r="18" spans="1:14" s="8" customFormat="1" ht="30" customHeight="1" x14ac:dyDescent="0.3">
      <c r="A18" s="7"/>
      <c r="B18" s="375" t="s">
        <v>108</v>
      </c>
      <c r="C18" s="190"/>
      <c r="D18" s="193"/>
      <c r="E18" s="200"/>
      <c r="F18" s="197" t="str">
        <f>IFERROR(E18/D18,"")</f>
        <v/>
      </c>
      <c r="G18" s="193"/>
      <c r="H18" s="200"/>
      <c r="I18" s="197" t="str">
        <f>IFERROR(H18/G18,"")</f>
        <v/>
      </c>
      <c r="J18" s="193"/>
      <c r="K18" s="200"/>
      <c r="L18" s="197" t="str">
        <f>IFERROR(K18/J18,"")</f>
        <v/>
      </c>
    </row>
    <row r="19" spans="1:14" s="8" customFormat="1" ht="30" customHeight="1" x14ac:dyDescent="0.3">
      <c r="A19" s="7"/>
      <c r="B19" s="376"/>
      <c r="C19" s="191"/>
      <c r="D19" s="194"/>
      <c r="E19" s="201"/>
      <c r="F19" s="198" t="str">
        <f t="shared" si="0"/>
        <v/>
      </c>
      <c r="G19" s="194"/>
      <c r="H19" s="201"/>
      <c r="I19" s="198" t="str">
        <f t="shared" si="1"/>
        <v/>
      </c>
      <c r="J19" s="194"/>
      <c r="K19" s="201"/>
      <c r="L19" s="198" t="str">
        <f t="shared" si="2"/>
        <v/>
      </c>
    </row>
    <row r="20" spans="1:14" s="8" customFormat="1" ht="30" customHeight="1" x14ac:dyDescent="0.3">
      <c r="A20" s="7"/>
      <c r="B20" s="376"/>
      <c r="C20" s="191"/>
      <c r="D20" s="194"/>
      <c r="E20" s="201"/>
      <c r="F20" s="198" t="str">
        <f t="shared" si="0"/>
        <v/>
      </c>
      <c r="G20" s="194"/>
      <c r="H20" s="201"/>
      <c r="I20" s="198" t="str">
        <f t="shared" si="1"/>
        <v/>
      </c>
      <c r="J20" s="194"/>
      <c r="K20" s="201"/>
      <c r="L20" s="198" t="str">
        <f t="shared" si="2"/>
        <v/>
      </c>
    </row>
    <row r="21" spans="1:14" s="8" customFormat="1" ht="30" customHeight="1" x14ac:dyDescent="0.3">
      <c r="A21" s="7"/>
      <c r="B21" s="377"/>
      <c r="C21" s="192"/>
      <c r="D21" s="195"/>
      <c r="E21" s="202"/>
      <c r="F21" s="199" t="str">
        <f t="shared" si="0"/>
        <v/>
      </c>
      <c r="G21" s="195"/>
      <c r="H21" s="202"/>
      <c r="I21" s="199" t="str">
        <f t="shared" si="1"/>
        <v/>
      </c>
      <c r="J21" s="195"/>
      <c r="K21" s="202"/>
      <c r="L21" s="199" t="str">
        <f t="shared" si="2"/>
        <v/>
      </c>
    </row>
    <row r="22" spans="1:14" s="8" customFormat="1" ht="30" customHeight="1" x14ac:dyDescent="0.3">
      <c r="A22" s="7"/>
      <c r="B22" s="375" t="s">
        <v>32</v>
      </c>
      <c r="C22" s="190"/>
      <c r="D22" s="193"/>
      <c r="E22" s="200"/>
      <c r="F22" s="197" t="str">
        <f>IFERROR(E22/D22,"")</f>
        <v/>
      </c>
      <c r="G22" s="193"/>
      <c r="H22" s="200"/>
      <c r="I22" s="197" t="str">
        <f>IFERROR(H22/G22,"")</f>
        <v/>
      </c>
      <c r="J22" s="193"/>
      <c r="K22" s="200"/>
      <c r="L22" s="197" t="str">
        <f>IFERROR(K22/J22,"")</f>
        <v/>
      </c>
    </row>
    <row r="23" spans="1:14" s="8" customFormat="1" ht="30" customHeight="1" x14ac:dyDescent="0.3">
      <c r="A23" s="7"/>
      <c r="B23" s="376"/>
      <c r="C23" s="191"/>
      <c r="D23" s="194"/>
      <c r="E23" s="201"/>
      <c r="F23" s="198" t="str">
        <f t="shared" si="0"/>
        <v/>
      </c>
      <c r="G23" s="194"/>
      <c r="H23" s="201"/>
      <c r="I23" s="198" t="str">
        <f t="shared" si="1"/>
        <v/>
      </c>
      <c r="J23" s="194"/>
      <c r="K23" s="201"/>
      <c r="L23" s="198" t="str">
        <f t="shared" si="2"/>
        <v/>
      </c>
    </row>
    <row r="24" spans="1:14" s="8" customFormat="1" ht="30" customHeight="1" x14ac:dyDescent="0.3">
      <c r="A24" s="7"/>
      <c r="B24" s="376"/>
      <c r="C24" s="191"/>
      <c r="D24" s="194"/>
      <c r="E24" s="201"/>
      <c r="F24" s="198" t="str">
        <f t="shared" si="0"/>
        <v/>
      </c>
      <c r="G24" s="194"/>
      <c r="H24" s="201"/>
      <c r="I24" s="198" t="str">
        <f t="shared" si="1"/>
        <v/>
      </c>
      <c r="J24" s="194"/>
      <c r="K24" s="201"/>
      <c r="L24" s="198" t="str">
        <f t="shared" si="2"/>
        <v/>
      </c>
    </row>
    <row r="25" spans="1:14" s="8" customFormat="1" ht="30" customHeight="1" x14ac:dyDescent="0.3">
      <c r="A25" s="7"/>
      <c r="B25" s="377"/>
      <c r="C25" s="192"/>
      <c r="D25" s="195"/>
      <c r="E25" s="202"/>
      <c r="F25" s="199" t="str">
        <f t="shared" si="0"/>
        <v/>
      </c>
      <c r="G25" s="195"/>
      <c r="H25" s="202"/>
      <c r="I25" s="199" t="str">
        <f t="shared" si="1"/>
        <v/>
      </c>
      <c r="J25" s="195"/>
      <c r="K25" s="202"/>
      <c r="L25" s="199" t="str">
        <f t="shared" si="2"/>
        <v/>
      </c>
    </row>
    <row r="26" spans="1:14" s="8" customFormat="1" ht="30" customHeight="1" x14ac:dyDescent="0.3">
      <c r="A26" s="7"/>
      <c r="B26" s="375" t="s">
        <v>33</v>
      </c>
      <c r="C26" s="190"/>
      <c r="D26" s="193"/>
      <c r="E26" s="200"/>
      <c r="F26" s="197" t="str">
        <f>IFERROR(E26/D26,"")</f>
        <v/>
      </c>
      <c r="G26" s="193"/>
      <c r="H26" s="200"/>
      <c r="I26" s="197" t="str">
        <f>IFERROR(H26/G26,"")</f>
        <v/>
      </c>
      <c r="J26" s="193"/>
      <c r="K26" s="200"/>
      <c r="L26" s="197" t="str">
        <f>IFERROR(K26/J26,"")</f>
        <v/>
      </c>
    </row>
    <row r="27" spans="1:14" s="8" customFormat="1" ht="30" customHeight="1" x14ac:dyDescent="0.3">
      <c r="A27" s="7"/>
      <c r="B27" s="376"/>
      <c r="C27" s="191"/>
      <c r="D27" s="194"/>
      <c r="E27" s="201"/>
      <c r="F27" s="198" t="str">
        <f t="shared" si="0"/>
        <v/>
      </c>
      <c r="G27" s="194"/>
      <c r="H27" s="201"/>
      <c r="I27" s="198" t="str">
        <f t="shared" si="1"/>
        <v/>
      </c>
      <c r="J27" s="194"/>
      <c r="K27" s="201"/>
      <c r="L27" s="198" t="str">
        <f t="shared" si="2"/>
        <v/>
      </c>
    </row>
    <row r="28" spans="1:14" s="8" customFormat="1" ht="30" customHeight="1" x14ac:dyDescent="0.3">
      <c r="A28" s="7"/>
      <c r="B28" s="376"/>
      <c r="C28" s="191"/>
      <c r="D28" s="194"/>
      <c r="E28" s="201"/>
      <c r="F28" s="198" t="str">
        <f t="shared" si="0"/>
        <v/>
      </c>
      <c r="G28" s="194"/>
      <c r="H28" s="201"/>
      <c r="I28" s="198" t="str">
        <f t="shared" si="1"/>
        <v/>
      </c>
      <c r="J28" s="194"/>
      <c r="K28" s="201"/>
      <c r="L28" s="198" t="str">
        <f t="shared" si="2"/>
        <v/>
      </c>
    </row>
    <row r="29" spans="1:14" s="8" customFormat="1" ht="30" customHeight="1" x14ac:dyDescent="0.3">
      <c r="A29" s="7"/>
      <c r="B29" s="377"/>
      <c r="C29" s="192"/>
      <c r="D29" s="195"/>
      <c r="E29" s="202"/>
      <c r="F29" s="199" t="str">
        <f t="shared" si="0"/>
        <v/>
      </c>
      <c r="G29" s="195"/>
      <c r="H29" s="202"/>
      <c r="I29" s="199" t="str">
        <f t="shared" si="1"/>
        <v/>
      </c>
      <c r="J29" s="195"/>
      <c r="K29" s="196"/>
      <c r="L29" s="204" t="str">
        <f t="shared" si="2"/>
        <v/>
      </c>
    </row>
    <row r="30" spans="1:14" s="8" customFormat="1" ht="15" customHeight="1" x14ac:dyDescent="0.3">
      <c r="A30" s="7"/>
    </row>
    <row r="31" spans="1:14" s="8" customFormat="1" ht="30" customHeight="1" x14ac:dyDescent="0.3">
      <c r="A31" s="7"/>
      <c r="B31" s="345" t="s">
        <v>318</v>
      </c>
      <c r="C31" s="378"/>
      <c r="D31" s="378"/>
      <c r="E31" s="378"/>
      <c r="F31" s="378"/>
      <c r="G31" s="378"/>
      <c r="H31" s="378"/>
      <c r="I31" s="378"/>
      <c r="J31" s="378"/>
      <c r="K31" s="378"/>
      <c r="L31" s="373"/>
      <c r="N31" s="251"/>
    </row>
    <row r="32" spans="1:14" s="8" customFormat="1" ht="30" customHeight="1" x14ac:dyDescent="0.3">
      <c r="A32" s="7"/>
      <c r="B32" s="346"/>
      <c r="C32" s="379"/>
      <c r="D32" s="379"/>
      <c r="E32" s="379"/>
      <c r="F32" s="379"/>
      <c r="G32" s="379"/>
      <c r="H32" s="379"/>
      <c r="I32" s="379"/>
      <c r="J32" s="379"/>
      <c r="K32" s="379"/>
      <c r="L32" s="374"/>
      <c r="N32" s="251"/>
    </row>
    <row r="33" spans="1:14" s="8" customFormat="1" ht="30" customHeight="1" x14ac:dyDescent="0.3">
      <c r="A33" s="7"/>
      <c r="B33" s="345" t="s">
        <v>319</v>
      </c>
      <c r="C33" s="373"/>
      <c r="D33" s="371" t="s">
        <v>249</v>
      </c>
      <c r="E33" s="315" t="s">
        <v>75</v>
      </c>
      <c r="F33" s="380" t="s">
        <v>76</v>
      </c>
      <c r="G33" s="382" t="s">
        <v>77</v>
      </c>
      <c r="H33" s="325" t="s">
        <v>61</v>
      </c>
      <c r="I33" s="384" t="s">
        <v>64</v>
      </c>
      <c r="J33" s="369" t="s">
        <v>78</v>
      </c>
      <c r="K33" s="351" t="s">
        <v>65</v>
      </c>
      <c r="L33" s="353"/>
      <c r="N33" s="250"/>
    </row>
    <row r="34" spans="1:14" s="8" customFormat="1" ht="30" customHeight="1" x14ac:dyDescent="0.3">
      <c r="A34" s="7"/>
      <c r="B34" s="346"/>
      <c r="C34" s="374"/>
      <c r="D34" s="372"/>
      <c r="E34" s="317"/>
      <c r="F34" s="381"/>
      <c r="G34" s="383"/>
      <c r="H34" s="328"/>
      <c r="I34" s="385"/>
      <c r="J34" s="370"/>
      <c r="K34" s="354"/>
      <c r="L34" s="356"/>
      <c r="N34" s="250"/>
    </row>
    <row r="35" spans="1:14" s="8" customFormat="1" ht="30" customHeight="1" x14ac:dyDescent="0.3">
      <c r="A35" s="7"/>
      <c r="B35" s="357" t="s">
        <v>70</v>
      </c>
      <c r="C35" s="358"/>
      <c r="D35" s="190"/>
      <c r="E35" s="193"/>
      <c r="F35" s="200"/>
      <c r="G35" s="197" t="str">
        <f>IFERROR(F35/E35,"")</f>
        <v/>
      </c>
      <c r="H35" s="193"/>
      <c r="I35" s="200"/>
      <c r="J35" s="197" t="str">
        <f>IFERROR(I35/H35,"")</f>
        <v/>
      </c>
      <c r="K35" s="365"/>
      <c r="L35" s="366"/>
      <c r="N35" s="250"/>
    </row>
    <row r="36" spans="1:14" s="8" customFormat="1" ht="30" customHeight="1" x14ac:dyDescent="0.3">
      <c r="A36" s="7"/>
      <c r="B36" s="359" t="s">
        <v>71</v>
      </c>
      <c r="C36" s="360"/>
      <c r="D36" s="191"/>
      <c r="E36" s="194"/>
      <c r="F36" s="201"/>
      <c r="G36" s="198" t="str">
        <f t="shared" ref="G36:G39" si="6">IFERROR(F36/E36,"")</f>
        <v/>
      </c>
      <c r="H36" s="194"/>
      <c r="I36" s="201"/>
      <c r="J36" s="198" t="str">
        <f t="shared" ref="J36:J39" si="7">IFERROR(I36/H36,"")</f>
        <v/>
      </c>
      <c r="K36" s="367"/>
      <c r="L36" s="368"/>
      <c r="N36" s="250"/>
    </row>
    <row r="37" spans="1:14" s="8" customFormat="1" ht="30" customHeight="1" x14ac:dyDescent="0.3">
      <c r="A37" s="7"/>
      <c r="B37" s="359" t="s">
        <v>72</v>
      </c>
      <c r="C37" s="360"/>
      <c r="D37" s="191"/>
      <c r="E37" s="194"/>
      <c r="F37" s="201"/>
      <c r="G37" s="198" t="str">
        <f t="shared" si="6"/>
        <v/>
      </c>
      <c r="H37" s="194"/>
      <c r="I37" s="201"/>
      <c r="J37" s="198" t="str">
        <f t="shared" si="7"/>
        <v/>
      </c>
      <c r="K37" s="367"/>
      <c r="L37" s="368"/>
      <c r="N37" s="250"/>
    </row>
    <row r="38" spans="1:14" s="8" customFormat="1" ht="30" customHeight="1" x14ac:dyDescent="0.3">
      <c r="A38" s="7"/>
      <c r="B38" s="359" t="s">
        <v>73</v>
      </c>
      <c r="C38" s="360"/>
      <c r="D38" s="191"/>
      <c r="E38" s="194"/>
      <c r="F38" s="201"/>
      <c r="G38" s="198" t="str">
        <f t="shared" si="6"/>
        <v/>
      </c>
      <c r="H38" s="194"/>
      <c r="I38" s="201"/>
      <c r="J38" s="198" t="str">
        <f t="shared" si="7"/>
        <v/>
      </c>
      <c r="K38" s="367"/>
      <c r="L38" s="368"/>
    </row>
    <row r="39" spans="1:14" s="8" customFormat="1" ht="30" customHeight="1" x14ac:dyDescent="0.3">
      <c r="A39" s="7"/>
      <c r="B39" s="361" t="s">
        <v>74</v>
      </c>
      <c r="C39" s="362"/>
      <c r="D39" s="192"/>
      <c r="E39" s="195"/>
      <c r="F39" s="202"/>
      <c r="G39" s="199" t="str">
        <f t="shared" si="6"/>
        <v/>
      </c>
      <c r="H39" s="195"/>
      <c r="I39" s="202"/>
      <c r="J39" s="199" t="str">
        <f t="shared" si="7"/>
        <v/>
      </c>
      <c r="K39" s="363"/>
      <c r="L39" s="364"/>
    </row>
    <row r="40" spans="1:14" x14ac:dyDescent="0.3">
      <c r="M40" s="8"/>
    </row>
  </sheetData>
  <sheetProtection algorithmName="SHA-512" hashValue="HzYzM61/iXT1G4JIYQN8BkcJMl56aOAMgeWtIOmmnRViQ+uXVVX4sTjg4m1Drgj0S5jT6IBfkmVCTEoNtYBhBw==" saltValue="UYVJY1b61KLf/zYlmJIkKQ==" spinCount="100000" sheet="1" selectLockedCells="1"/>
  <mergeCells count="40">
    <mergeCell ref="B1:L1"/>
    <mergeCell ref="A2:A3"/>
    <mergeCell ref="B2:L2"/>
    <mergeCell ref="B10:B13"/>
    <mergeCell ref="B4:B5"/>
    <mergeCell ref="C4:C5"/>
    <mergeCell ref="D4:D5"/>
    <mergeCell ref="E4:E5"/>
    <mergeCell ref="I4:I5"/>
    <mergeCell ref="J4:J5"/>
    <mergeCell ref="K4:K5"/>
    <mergeCell ref="L4:L5"/>
    <mergeCell ref="B6:B9"/>
    <mergeCell ref="F4:F5"/>
    <mergeCell ref="G4:G5"/>
    <mergeCell ref="H4:H5"/>
    <mergeCell ref="J33:J34"/>
    <mergeCell ref="D33:D34"/>
    <mergeCell ref="B33:C34"/>
    <mergeCell ref="B14:B17"/>
    <mergeCell ref="B18:B21"/>
    <mergeCell ref="B22:B25"/>
    <mergeCell ref="B26:B29"/>
    <mergeCell ref="B31:L32"/>
    <mergeCell ref="E33:E34"/>
    <mergeCell ref="F33:F34"/>
    <mergeCell ref="G33:G34"/>
    <mergeCell ref="H33:H34"/>
    <mergeCell ref="I33:I34"/>
    <mergeCell ref="K39:L39"/>
    <mergeCell ref="K33:L34"/>
    <mergeCell ref="K35:L35"/>
    <mergeCell ref="K36:L36"/>
    <mergeCell ref="K37:L37"/>
    <mergeCell ref="K38:L38"/>
    <mergeCell ref="B35:C35"/>
    <mergeCell ref="B36:C36"/>
    <mergeCell ref="B37:C37"/>
    <mergeCell ref="B38:C38"/>
    <mergeCell ref="B39:C39"/>
  </mergeCells>
  <dataValidations count="3">
    <dataValidation type="whole" errorStyle="information" operator="greaterThanOrEqual" allowBlank="1" showInputMessage="1" showErrorMessage="1" error="Tam sayı giriniz." sqref="J6:K28 G6:H28 D6:E28 H35:I39 E35:F39">
      <formula1>0</formula1>
    </dataValidation>
    <dataValidation type="date" errorStyle="information" operator="greaterThanOrEqual" allowBlank="1" showInputMessage="1" showErrorMessage="1" error="01.01.2025 formatında değer giriniz." sqref="C6:C29 D35:D39">
      <formula1>45658</formula1>
    </dataValidation>
    <dataValidation type="whole" operator="greaterThanOrEqual" allowBlank="1" showInputMessage="1" showErrorMessage="1" sqref="J29:K29 G29:H29 D29:E29">
      <formula1>0</formula1>
    </dataValidation>
  </dataValidations>
  <pageMargins left="0.23622047244094491" right="0.23622047244094491" top="0.35433070866141736" bottom="0.15748031496062992" header="0.31496062992125984" footer="0.11811023622047245"/>
  <pageSetup paperSize="9" scale="34"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ayfa10">
    <tabColor theme="4" tint="0.79998168889431442"/>
    <pageSetUpPr fitToPage="1"/>
  </sheetPr>
  <dimension ref="A1:M381"/>
  <sheetViews>
    <sheetView showGridLines="0" zoomScale="40" zoomScaleNormal="40" zoomScaleSheetLayoutView="40" workbookViewId="0">
      <selection activeCell="C6" sqref="C6"/>
    </sheetView>
  </sheetViews>
  <sheetFormatPr defaultColWidth="9.125" defaultRowHeight="20.25" x14ac:dyDescent="0.3"/>
  <cols>
    <col min="1" max="1" width="3.625" style="7" customWidth="1"/>
    <col min="2" max="12" width="34.625" style="7" customWidth="1"/>
    <col min="13" max="13" width="3.625" style="7" customWidth="1"/>
    <col min="14" max="16" width="9.125" style="7"/>
    <col min="17" max="17" width="15.375" style="7" customWidth="1"/>
    <col min="18" max="16384" width="9.125" style="7"/>
  </cols>
  <sheetData>
    <row r="1" spans="1:13" ht="22.5" customHeight="1" x14ac:dyDescent="0.3">
      <c r="A1" s="6"/>
      <c r="B1" s="298"/>
      <c r="C1" s="298"/>
      <c r="D1" s="298"/>
      <c r="E1" s="298"/>
      <c r="F1" s="298"/>
      <c r="G1" s="298"/>
      <c r="H1" s="298"/>
      <c r="I1" s="298"/>
      <c r="J1" s="298"/>
      <c r="K1" s="298"/>
      <c r="L1" s="298"/>
      <c r="M1" s="6"/>
    </row>
    <row r="2" spans="1:13" s="8" customFormat="1" ht="50.1" customHeight="1" x14ac:dyDescent="0.25">
      <c r="A2" s="285"/>
      <c r="B2" s="299" t="s">
        <v>79</v>
      </c>
      <c r="C2" s="299"/>
      <c r="D2" s="299"/>
      <c r="E2" s="299"/>
      <c r="F2" s="299"/>
      <c r="G2" s="299"/>
      <c r="H2" s="299"/>
      <c r="I2" s="299"/>
      <c r="J2" s="299"/>
      <c r="K2" s="299"/>
      <c r="L2" s="299"/>
    </row>
    <row r="3" spans="1:13" s="8" customFormat="1" ht="15" customHeight="1" x14ac:dyDescent="0.25">
      <c r="A3" s="285"/>
      <c r="M3" s="71"/>
    </row>
    <row r="4" spans="1:13" s="8" customFormat="1" ht="30" customHeight="1" x14ac:dyDescent="0.25">
      <c r="A4" s="285"/>
      <c r="B4" s="289" t="s">
        <v>27</v>
      </c>
      <c r="C4" s="347" t="s">
        <v>301</v>
      </c>
      <c r="D4" s="438" t="s">
        <v>86</v>
      </c>
      <c r="E4" s="439"/>
      <c r="F4" s="439"/>
      <c r="G4" s="439"/>
      <c r="H4" s="439"/>
      <c r="I4" s="439"/>
      <c r="J4" s="439"/>
      <c r="K4" s="439"/>
      <c r="L4" s="440"/>
    </row>
    <row r="5" spans="1:13" s="8" customFormat="1" ht="50.1" customHeight="1" x14ac:dyDescent="0.25">
      <c r="A5" s="285"/>
      <c r="B5" s="290"/>
      <c r="C5" s="348"/>
      <c r="D5" s="15" t="s">
        <v>80</v>
      </c>
      <c r="E5" s="15" t="s">
        <v>84</v>
      </c>
      <c r="F5" s="15" t="s">
        <v>81</v>
      </c>
      <c r="G5" s="15" t="s">
        <v>85</v>
      </c>
      <c r="H5" s="15" t="s">
        <v>87</v>
      </c>
      <c r="I5" s="15" t="s">
        <v>236</v>
      </c>
      <c r="J5" s="15" t="s">
        <v>135</v>
      </c>
      <c r="K5" s="15" t="s">
        <v>141</v>
      </c>
      <c r="L5" s="15" t="s">
        <v>19</v>
      </c>
    </row>
    <row r="6" spans="1:13" s="8" customFormat="1" ht="30" customHeight="1" x14ac:dyDescent="0.25">
      <c r="A6" s="285"/>
      <c r="B6" s="50" t="s">
        <v>16</v>
      </c>
      <c r="C6" s="21"/>
      <c r="D6" s="21"/>
      <c r="E6" s="22"/>
      <c r="F6" s="22"/>
      <c r="G6" s="22"/>
      <c r="H6" s="22"/>
      <c r="I6" s="22"/>
      <c r="J6" s="22"/>
      <c r="K6" s="22"/>
      <c r="L6" s="22"/>
    </row>
    <row r="7" spans="1:13" s="8" customFormat="1" ht="30" customHeight="1" x14ac:dyDescent="0.25">
      <c r="A7" s="285"/>
      <c r="B7" s="51" t="s">
        <v>5</v>
      </c>
      <c r="C7" s="23"/>
      <c r="D7" s="23"/>
      <c r="E7" s="24"/>
      <c r="F7" s="24"/>
      <c r="G7" s="24"/>
      <c r="H7" s="24"/>
      <c r="I7" s="24"/>
      <c r="J7" s="24"/>
      <c r="K7" s="24"/>
      <c r="L7" s="24"/>
    </row>
    <row r="8" spans="1:13" s="8" customFormat="1" ht="30" customHeight="1" x14ac:dyDescent="0.25">
      <c r="A8" s="285"/>
      <c r="B8" s="51" t="s">
        <v>6</v>
      </c>
      <c r="C8" s="23"/>
      <c r="D8" s="23"/>
      <c r="E8" s="24"/>
      <c r="F8" s="24"/>
      <c r="G8" s="24"/>
      <c r="H8" s="24"/>
      <c r="I8" s="24"/>
      <c r="J8" s="24"/>
      <c r="K8" s="24"/>
      <c r="L8" s="24"/>
    </row>
    <row r="9" spans="1:13" s="8" customFormat="1" ht="30" customHeight="1" x14ac:dyDescent="0.25">
      <c r="A9" s="285"/>
      <c r="B9" s="51" t="s">
        <v>7</v>
      </c>
      <c r="C9" s="23"/>
      <c r="D9" s="23"/>
      <c r="E9" s="24"/>
      <c r="F9" s="24"/>
      <c r="G9" s="24"/>
      <c r="H9" s="24"/>
      <c r="I9" s="24"/>
      <c r="J9" s="24"/>
      <c r="K9" s="24"/>
      <c r="L9" s="24"/>
    </row>
    <row r="10" spans="1:13" s="8" customFormat="1" ht="30" customHeight="1" x14ac:dyDescent="0.25">
      <c r="A10" s="285"/>
      <c r="B10" s="51" t="s">
        <v>8</v>
      </c>
      <c r="C10" s="23"/>
      <c r="D10" s="23"/>
      <c r="E10" s="24"/>
      <c r="F10" s="24"/>
      <c r="G10" s="24"/>
      <c r="H10" s="24"/>
      <c r="I10" s="24"/>
      <c r="J10" s="24"/>
      <c r="K10" s="24"/>
      <c r="L10" s="24"/>
    </row>
    <row r="11" spans="1:13" s="8" customFormat="1" ht="30" customHeight="1" x14ac:dyDescent="0.25">
      <c r="A11" s="285"/>
      <c r="B11" s="51" t="s">
        <v>9</v>
      </c>
      <c r="C11" s="23"/>
      <c r="D11" s="23"/>
      <c r="E11" s="24"/>
      <c r="F11" s="24"/>
      <c r="G11" s="24"/>
      <c r="H11" s="24"/>
      <c r="I11" s="24"/>
      <c r="J11" s="24"/>
      <c r="K11" s="24"/>
      <c r="L11" s="24"/>
    </row>
    <row r="12" spans="1:13" s="8" customFormat="1" ht="30" customHeight="1" x14ac:dyDescent="0.25">
      <c r="A12" s="285"/>
      <c r="B12" s="51" t="s">
        <v>10</v>
      </c>
      <c r="C12" s="23"/>
      <c r="D12" s="23"/>
      <c r="E12" s="24"/>
      <c r="F12" s="24"/>
      <c r="G12" s="24"/>
      <c r="H12" s="24"/>
      <c r="I12" s="24"/>
      <c r="J12" s="24"/>
      <c r="K12" s="24"/>
      <c r="L12" s="24"/>
    </row>
    <row r="13" spans="1:13" s="8" customFormat="1" ht="30" customHeight="1" x14ac:dyDescent="0.25">
      <c r="A13" s="285"/>
      <c r="B13" s="51" t="s">
        <v>11</v>
      </c>
      <c r="C13" s="23"/>
      <c r="D13" s="23"/>
      <c r="E13" s="24"/>
      <c r="F13" s="24"/>
      <c r="G13" s="24"/>
      <c r="H13" s="24"/>
      <c r="I13" s="24"/>
      <c r="J13" s="24"/>
      <c r="K13" s="24"/>
      <c r="L13" s="24"/>
    </row>
    <row r="14" spans="1:13" s="8" customFormat="1" ht="30" customHeight="1" x14ac:dyDescent="0.25">
      <c r="A14" s="285"/>
      <c r="B14" s="51" t="s">
        <v>12</v>
      </c>
      <c r="C14" s="23"/>
      <c r="D14" s="23"/>
      <c r="E14" s="24"/>
      <c r="F14" s="24"/>
      <c r="G14" s="24"/>
      <c r="H14" s="24"/>
      <c r="I14" s="24"/>
      <c r="J14" s="24"/>
      <c r="K14" s="24"/>
      <c r="L14" s="24"/>
    </row>
    <row r="15" spans="1:13" s="8" customFormat="1" ht="30" customHeight="1" x14ac:dyDescent="0.25">
      <c r="A15" s="285"/>
      <c r="B15" s="51" t="s">
        <v>13</v>
      </c>
      <c r="C15" s="23"/>
      <c r="D15" s="23"/>
      <c r="E15" s="24"/>
      <c r="F15" s="24"/>
      <c r="G15" s="24"/>
      <c r="H15" s="24"/>
      <c r="I15" s="24"/>
      <c r="J15" s="24"/>
      <c r="K15" s="24"/>
      <c r="L15" s="24"/>
    </row>
    <row r="16" spans="1:13" s="8" customFormat="1" ht="30" customHeight="1" x14ac:dyDescent="0.25">
      <c r="A16" s="285"/>
      <c r="B16" s="51" t="s">
        <v>14</v>
      </c>
      <c r="C16" s="23"/>
      <c r="D16" s="23"/>
      <c r="E16" s="24"/>
      <c r="F16" s="24"/>
      <c r="G16" s="24"/>
      <c r="H16" s="24"/>
      <c r="I16" s="24"/>
      <c r="J16" s="24"/>
      <c r="K16" s="24"/>
      <c r="L16" s="24"/>
    </row>
    <row r="17" spans="1:13" s="8" customFormat="1" ht="30" customHeight="1" x14ac:dyDescent="0.25">
      <c r="A17" s="285"/>
      <c r="B17" s="52" t="s">
        <v>15</v>
      </c>
      <c r="C17" s="25"/>
      <c r="D17" s="25"/>
      <c r="E17" s="26"/>
      <c r="F17" s="26"/>
      <c r="G17" s="26"/>
      <c r="H17" s="26"/>
      <c r="I17" s="26"/>
      <c r="J17" s="26"/>
      <c r="K17" s="26"/>
      <c r="L17" s="26"/>
    </row>
    <row r="18" spans="1:13" s="8" customFormat="1" ht="30" customHeight="1" x14ac:dyDescent="0.25">
      <c r="A18" s="285"/>
      <c r="B18" s="53" t="s">
        <v>1</v>
      </c>
      <c r="C18" s="55">
        <f t="shared" ref="C18:K18" si="0">SUM(C6:C17)</f>
        <v>0</v>
      </c>
      <c r="D18" s="55">
        <f t="shared" si="0"/>
        <v>0</v>
      </c>
      <c r="E18" s="55">
        <f t="shared" si="0"/>
        <v>0</v>
      </c>
      <c r="F18" s="55">
        <f t="shared" si="0"/>
        <v>0</v>
      </c>
      <c r="G18" s="55">
        <f t="shared" si="0"/>
        <v>0</v>
      </c>
      <c r="H18" s="55">
        <f t="shared" si="0"/>
        <v>0</v>
      </c>
      <c r="I18" s="55">
        <f t="shared" si="0"/>
        <v>0</v>
      </c>
      <c r="J18" s="55">
        <f t="shared" si="0"/>
        <v>0</v>
      </c>
      <c r="K18" s="55">
        <f t="shared" si="0"/>
        <v>0</v>
      </c>
      <c r="L18" s="55">
        <f t="shared" ref="L18" si="1">SUM(L6:L17)</f>
        <v>0</v>
      </c>
    </row>
    <row r="19" spans="1:13" s="8" customFormat="1" ht="15" customHeight="1" x14ac:dyDescent="0.25">
      <c r="A19" s="285"/>
      <c r="M19" s="71"/>
    </row>
    <row r="20" spans="1:13" s="8" customFormat="1" ht="50.1" customHeight="1" x14ac:dyDescent="0.3">
      <c r="A20" s="7"/>
      <c r="B20" s="299" t="s">
        <v>112</v>
      </c>
      <c r="C20" s="299"/>
      <c r="D20" s="299"/>
      <c r="E20" s="299"/>
      <c r="F20" s="299"/>
      <c r="G20" s="299"/>
      <c r="H20" s="299"/>
      <c r="I20" s="299"/>
      <c r="J20" s="299"/>
      <c r="K20" s="299"/>
      <c r="L20" s="299"/>
    </row>
    <row r="21" spans="1:13" ht="21" thickBot="1" x14ac:dyDescent="0.35">
      <c r="E21" s="255"/>
      <c r="F21" s="255"/>
    </row>
    <row r="22" spans="1:13" ht="30" customHeight="1" x14ac:dyDescent="0.3">
      <c r="B22" s="422" t="s">
        <v>333</v>
      </c>
      <c r="C22" s="425" t="s">
        <v>128</v>
      </c>
      <c r="D22" s="426"/>
      <c r="E22" s="427"/>
      <c r="F22" s="428"/>
      <c r="G22" s="429" t="s">
        <v>149</v>
      </c>
      <c r="H22" s="430"/>
      <c r="I22" s="431" t="s">
        <v>129</v>
      </c>
      <c r="J22" s="430"/>
      <c r="K22" s="431" t="s">
        <v>130</v>
      </c>
      <c r="L22" s="433"/>
    </row>
    <row r="23" spans="1:13" ht="30" customHeight="1" x14ac:dyDescent="0.3">
      <c r="B23" s="423"/>
      <c r="C23" s="393" t="s">
        <v>231</v>
      </c>
      <c r="D23" s="394"/>
      <c r="E23" s="418"/>
      <c r="F23" s="419"/>
      <c r="G23" s="409"/>
      <c r="H23" s="410"/>
      <c r="I23" s="409"/>
      <c r="J23" s="410"/>
      <c r="K23" s="409"/>
      <c r="L23" s="415"/>
    </row>
    <row r="24" spans="1:13" ht="30" customHeight="1" x14ac:dyDescent="0.3">
      <c r="B24" s="423"/>
      <c r="C24" s="393" t="s">
        <v>147</v>
      </c>
      <c r="D24" s="394"/>
      <c r="E24" s="418"/>
      <c r="F24" s="419"/>
      <c r="G24" s="411"/>
      <c r="H24" s="412"/>
      <c r="I24" s="411"/>
      <c r="J24" s="412"/>
      <c r="K24" s="411"/>
      <c r="L24" s="416"/>
    </row>
    <row r="25" spans="1:13" ht="30" customHeight="1" x14ac:dyDescent="0.3">
      <c r="B25" s="423"/>
      <c r="C25" s="393" t="s">
        <v>142</v>
      </c>
      <c r="D25" s="394"/>
      <c r="E25" s="256">
        <v>46026</v>
      </c>
      <c r="F25" s="257">
        <v>0</v>
      </c>
      <c r="G25" s="411"/>
      <c r="H25" s="412"/>
      <c r="I25" s="411"/>
      <c r="J25" s="412"/>
      <c r="K25" s="411"/>
      <c r="L25" s="416"/>
    </row>
    <row r="26" spans="1:13" ht="30" customHeight="1" x14ac:dyDescent="0.3">
      <c r="B26" s="423"/>
      <c r="C26" s="393" t="s">
        <v>324</v>
      </c>
      <c r="D26" s="394"/>
      <c r="E26" s="258" t="s">
        <v>148</v>
      </c>
      <c r="F26" s="259">
        <v>0</v>
      </c>
      <c r="G26" s="411"/>
      <c r="H26" s="412"/>
      <c r="I26" s="411"/>
      <c r="J26" s="412"/>
      <c r="K26" s="411"/>
      <c r="L26" s="416"/>
    </row>
    <row r="27" spans="1:13" ht="30" customHeight="1" x14ac:dyDescent="0.3">
      <c r="B27" s="423"/>
      <c r="C27" s="393" t="s">
        <v>325</v>
      </c>
      <c r="D27" s="394"/>
      <c r="E27" s="434">
        <v>0</v>
      </c>
      <c r="F27" s="435"/>
      <c r="G27" s="413"/>
      <c r="H27" s="414"/>
      <c r="I27" s="413"/>
      <c r="J27" s="414"/>
      <c r="K27" s="413"/>
      <c r="L27" s="417"/>
    </row>
    <row r="28" spans="1:13" ht="30" customHeight="1" x14ac:dyDescent="0.3">
      <c r="B28" s="423"/>
      <c r="C28" s="393" t="s">
        <v>143</v>
      </c>
      <c r="D28" s="394"/>
      <c r="E28" s="258" t="s">
        <v>232</v>
      </c>
      <c r="F28" s="259" t="s">
        <v>332</v>
      </c>
      <c r="G28" s="420" t="s">
        <v>150</v>
      </c>
      <c r="H28" s="432"/>
      <c r="I28" s="420" t="s">
        <v>151</v>
      </c>
      <c r="J28" s="432"/>
      <c r="K28" s="420" t="s">
        <v>152</v>
      </c>
      <c r="L28" s="421"/>
    </row>
    <row r="29" spans="1:13" ht="30" customHeight="1" x14ac:dyDescent="0.3">
      <c r="B29" s="423"/>
      <c r="C29" s="393" t="s">
        <v>144</v>
      </c>
      <c r="D29" s="394"/>
      <c r="E29" s="258" t="s">
        <v>232</v>
      </c>
      <c r="F29" s="259" t="s">
        <v>297</v>
      </c>
      <c r="G29" s="395"/>
      <c r="H29" s="396"/>
      <c r="I29" s="401"/>
      <c r="J29" s="401"/>
      <c r="K29" s="395"/>
      <c r="L29" s="404"/>
    </row>
    <row r="30" spans="1:13" ht="30" customHeight="1" x14ac:dyDescent="0.3">
      <c r="B30" s="423"/>
      <c r="C30" s="393" t="s">
        <v>153</v>
      </c>
      <c r="D30" s="394"/>
      <c r="E30" s="258" t="s">
        <v>232</v>
      </c>
      <c r="F30" s="259" t="s">
        <v>326</v>
      </c>
      <c r="G30" s="397"/>
      <c r="H30" s="398"/>
      <c r="I30" s="402"/>
      <c r="J30" s="402"/>
      <c r="K30" s="397"/>
      <c r="L30" s="405"/>
    </row>
    <row r="31" spans="1:13" ht="30" customHeight="1" x14ac:dyDescent="0.3">
      <c r="B31" s="423"/>
      <c r="C31" s="393" t="s">
        <v>131</v>
      </c>
      <c r="D31" s="394"/>
      <c r="E31" s="436">
        <v>0</v>
      </c>
      <c r="F31" s="437"/>
      <c r="G31" s="397"/>
      <c r="H31" s="398"/>
      <c r="I31" s="402"/>
      <c r="J31" s="402"/>
      <c r="K31" s="397"/>
      <c r="L31" s="405"/>
    </row>
    <row r="32" spans="1:13" ht="30" customHeight="1" x14ac:dyDescent="0.3">
      <c r="B32" s="423"/>
      <c r="C32" s="393" t="s">
        <v>145</v>
      </c>
      <c r="D32" s="394"/>
      <c r="E32" s="260">
        <v>0</v>
      </c>
      <c r="F32" s="261">
        <v>0</v>
      </c>
      <c r="G32" s="397"/>
      <c r="H32" s="398"/>
      <c r="I32" s="402"/>
      <c r="J32" s="402"/>
      <c r="K32" s="397"/>
      <c r="L32" s="405"/>
    </row>
    <row r="33" spans="2:12" ht="30" customHeight="1" thickBot="1" x14ac:dyDescent="0.35">
      <c r="B33" s="424"/>
      <c r="C33" s="407" t="s">
        <v>146</v>
      </c>
      <c r="D33" s="408"/>
      <c r="E33" s="262">
        <v>0</v>
      </c>
      <c r="F33" s="263">
        <v>0</v>
      </c>
      <c r="G33" s="399"/>
      <c r="H33" s="400"/>
      <c r="I33" s="403"/>
      <c r="J33" s="403"/>
      <c r="K33" s="399"/>
      <c r="L33" s="406"/>
    </row>
    <row r="34" spans="2:12" ht="30" customHeight="1" x14ac:dyDescent="0.3">
      <c r="B34" s="422" t="s">
        <v>336</v>
      </c>
      <c r="C34" s="425" t="s">
        <v>128</v>
      </c>
      <c r="D34" s="426"/>
      <c r="E34" s="427"/>
      <c r="F34" s="428"/>
      <c r="G34" s="429" t="s">
        <v>149</v>
      </c>
      <c r="H34" s="430"/>
      <c r="I34" s="431" t="s">
        <v>129</v>
      </c>
      <c r="J34" s="430"/>
      <c r="K34" s="431" t="s">
        <v>130</v>
      </c>
      <c r="L34" s="433"/>
    </row>
    <row r="35" spans="2:12" ht="30" customHeight="1" x14ac:dyDescent="0.3">
      <c r="B35" s="423"/>
      <c r="C35" s="393" t="s">
        <v>231</v>
      </c>
      <c r="D35" s="394"/>
      <c r="E35" s="418"/>
      <c r="F35" s="419"/>
      <c r="G35" s="409"/>
      <c r="H35" s="410"/>
      <c r="I35" s="409"/>
      <c r="J35" s="410"/>
      <c r="K35" s="409"/>
      <c r="L35" s="415"/>
    </row>
    <row r="36" spans="2:12" ht="30" customHeight="1" x14ac:dyDescent="0.3">
      <c r="B36" s="423"/>
      <c r="C36" s="393" t="s">
        <v>147</v>
      </c>
      <c r="D36" s="394"/>
      <c r="E36" s="418"/>
      <c r="F36" s="419"/>
      <c r="G36" s="411"/>
      <c r="H36" s="412"/>
      <c r="I36" s="411"/>
      <c r="J36" s="412"/>
      <c r="K36" s="411"/>
      <c r="L36" s="416"/>
    </row>
    <row r="37" spans="2:12" ht="30" customHeight="1" x14ac:dyDescent="0.3">
      <c r="B37" s="423"/>
      <c r="C37" s="393" t="s">
        <v>142</v>
      </c>
      <c r="D37" s="394"/>
      <c r="E37" s="256"/>
      <c r="F37" s="257"/>
      <c r="G37" s="411"/>
      <c r="H37" s="412"/>
      <c r="I37" s="411"/>
      <c r="J37" s="412"/>
      <c r="K37" s="411"/>
      <c r="L37" s="416"/>
    </row>
    <row r="38" spans="2:12" ht="30" customHeight="1" x14ac:dyDescent="0.3">
      <c r="B38" s="423"/>
      <c r="C38" s="393" t="s">
        <v>324</v>
      </c>
      <c r="D38" s="394"/>
      <c r="E38" s="258"/>
      <c r="F38" s="259"/>
      <c r="G38" s="411"/>
      <c r="H38" s="412"/>
      <c r="I38" s="411"/>
      <c r="J38" s="412"/>
      <c r="K38" s="411"/>
      <c r="L38" s="416"/>
    </row>
    <row r="39" spans="2:12" ht="30" customHeight="1" x14ac:dyDescent="0.3">
      <c r="B39" s="423"/>
      <c r="C39" s="393" t="s">
        <v>325</v>
      </c>
      <c r="D39" s="394"/>
      <c r="E39" s="434"/>
      <c r="F39" s="435"/>
      <c r="G39" s="413"/>
      <c r="H39" s="414"/>
      <c r="I39" s="413"/>
      <c r="J39" s="414"/>
      <c r="K39" s="413"/>
      <c r="L39" s="417"/>
    </row>
    <row r="40" spans="2:12" ht="30" customHeight="1" x14ac:dyDescent="0.3">
      <c r="B40" s="423"/>
      <c r="C40" s="393" t="s">
        <v>143</v>
      </c>
      <c r="D40" s="394"/>
      <c r="E40" s="258"/>
      <c r="F40" s="259"/>
      <c r="G40" s="420" t="s">
        <v>150</v>
      </c>
      <c r="H40" s="432"/>
      <c r="I40" s="420" t="s">
        <v>151</v>
      </c>
      <c r="J40" s="432"/>
      <c r="K40" s="420" t="s">
        <v>152</v>
      </c>
      <c r="L40" s="421"/>
    </row>
    <row r="41" spans="2:12" ht="30" customHeight="1" x14ac:dyDescent="0.3">
      <c r="B41" s="423"/>
      <c r="C41" s="393" t="s">
        <v>144</v>
      </c>
      <c r="D41" s="394"/>
      <c r="E41" s="258"/>
      <c r="F41" s="259"/>
      <c r="G41" s="395"/>
      <c r="H41" s="396"/>
      <c r="I41" s="401"/>
      <c r="J41" s="401"/>
      <c r="K41" s="395"/>
      <c r="L41" s="404"/>
    </row>
    <row r="42" spans="2:12" ht="30" customHeight="1" x14ac:dyDescent="0.3">
      <c r="B42" s="423"/>
      <c r="C42" s="393" t="s">
        <v>153</v>
      </c>
      <c r="D42" s="394"/>
      <c r="E42" s="258"/>
      <c r="F42" s="259"/>
      <c r="G42" s="397"/>
      <c r="H42" s="398"/>
      <c r="I42" s="402"/>
      <c r="J42" s="402"/>
      <c r="K42" s="397"/>
      <c r="L42" s="405"/>
    </row>
    <row r="43" spans="2:12" ht="30" customHeight="1" x14ac:dyDescent="0.3">
      <c r="B43" s="423"/>
      <c r="C43" s="393" t="s">
        <v>131</v>
      </c>
      <c r="D43" s="394"/>
      <c r="E43" s="436"/>
      <c r="F43" s="437"/>
      <c r="G43" s="397"/>
      <c r="H43" s="398"/>
      <c r="I43" s="402"/>
      <c r="J43" s="402"/>
      <c r="K43" s="397"/>
      <c r="L43" s="405"/>
    </row>
    <row r="44" spans="2:12" ht="30" customHeight="1" x14ac:dyDescent="0.3">
      <c r="B44" s="423"/>
      <c r="C44" s="393" t="s">
        <v>145</v>
      </c>
      <c r="D44" s="394"/>
      <c r="E44" s="260"/>
      <c r="F44" s="261"/>
      <c r="G44" s="397"/>
      <c r="H44" s="398"/>
      <c r="I44" s="402"/>
      <c r="J44" s="402"/>
      <c r="K44" s="397"/>
      <c r="L44" s="405"/>
    </row>
    <row r="45" spans="2:12" ht="30" customHeight="1" thickBot="1" x14ac:dyDescent="0.35">
      <c r="B45" s="424"/>
      <c r="C45" s="407" t="s">
        <v>146</v>
      </c>
      <c r="D45" s="408"/>
      <c r="E45" s="262"/>
      <c r="F45" s="263"/>
      <c r="G45" s="399"/>
      <c r="H45" s="400"/>
      <c r="I45" s="403"/>
      <c r="J45" s="403"/>
      <c r="K45" s="399"/>
      <c r="L45" s="406"/>
    </row>
    <row r="46" spans="2:12" ht="30" customHeight="1" x14ac:dyDescent="0.3">
      <c r="B46" s="422" t="s">
        <v>337</v>
      </c>
      <c r="C46" s="425" t="s">
        <v>128</v>
      </c>
      <c r="D46" s="426"/>
      <c r="E46" s="427"/>
      <c r="F46" s="428"/>
      <c r="G46" s="429" t="s">
        <v>149</v>
      </c>
      <c r="H46" s="430"/>
      <c r="I46" s="431" t="s">
        <v>129</v>
      </c>
      <c r="J46" s="430"/>
      <c r="K46" s="431" t="s">
        <v>130</v>
      </c>
      <c r="L46" s="433"/>
    </row>
    <row r="47" spans="2:12" ht="30" customHeight="1" x14ac:dyDescent="0.3">
      <c r="B47" s="423"/>
      <c r="C47" s="393" t="s">
        <v>231</v>
      </c>
      <c r="D47" s="394"/>
      <c r="E47" s="418"/>
      <c r="F47" s="419"/>
      <c r="G47" s="409"/>
      <c r="H47" s="410"/>
      <c r="I47" s="409"/>
      <c r="J47" s="410"/>
      <c r="K47" s="409"/>
      <c r="L47" s="415"/>
    </row>
    <row r="48" spans="2:12" ht="30" customHeight="1" x14ac:dyDescent="0.3">
      <c r="B48" s="423"/>
      <c r="C48" s="393" t="s">
        <v>147</v>
      </c>
      <c r="D48" s="394"/>
      <c r="E48" s="418"/>
      <c r="F48" s="419"/>
      <c r="G48" s="411"/>
      <c r="H48" s="412"/>
      <c r="I48" s="411"/>
      <c r="J48" s="412"/>
      <c r="K48" s="411"/>
      <c r="L48" s="416"/>
    </row>
    <row r="49" spans="2:12" ht="30" customHeight="1" x14ac:dyDescent="0.3">
      <c r="B49" s="423"/>
      <c r="C49" s="393" t="s">
        <v>142</v>
      </c>
      <c r="D49" s="394"/>
      <c r="E49" s="256"/>
      <c r="F49" s="257"/>
      <c r="G49" s="411"/>
      <c r="H49" s="412"/>
      <c r="I49" s="411"/>
      <c r="J49" s="412"/>
      <c r="K49" s="411"/>
      <c r="L49" s="416"/>
    </row>
    <row r="50" spans="2:12" ht="30" customHeight="1" x14ac:dyDescent="0.3">
      <c r="B50" s="423"/>
      <c r="C50" s="393" t="s">
        <v>324</v>
      </c>
      <c r="D50" s="394"/>
      <c r="E50" s="258"/>
      <c r="F50" s="259"/>
      <c r="G50" s="411"/>
      <c r="H50" s="412"/>
      <c r="I50" s="411"/>
      <c r="J50" s="412"/>
      <c r="K50" s="411"/>
      <c r="L50" s="416"/>
    </row>
    <row r="51" spans="2:12" ht="30" customHeight="1" x14ac:dyDescent="0.3">
      <c r="B51" s="423"/>
      <c r="C51" s="393" t="s">
        <v>325</v>
      </c>
      <c r="D51" s="394"/>
      <c r="E51" s="434"/>
      <c r="F51" s="435"/>
      <c r="G51" s="413"/>
      <c r="H51" s="414"/>
      <c r="I51" s="413"/>
      <c r="J51" s="414"/>
      <c r="K51" s="413"/>
      <c r="L51" s="417"/>
    </row>
    <row r="52" spans="2:12" ht="30" customHeight="1" x14ac:dyDescent="0.3">
      <c r="B52" s="423"/>
      <c r="C52" s="393" t="s">
        <v>143</v>
      </c>
      <c r="D52" s="394"/>
      <c r="E52" s="258"/>
      <c r="F52" s="259"/>
      <c r="G52" s="420" t="s">
        <v>150</v>
      </c>
      <c r="H52" s="432"/>
      <c r="I52" s="420" t="s">
        <v>151</v>
      </c>
      <c r="J52" s="432"/>
      <c r="K52" s="420" t="s">
        <v>152</v>
      </c>
      <c r="L52" s="421"/>
    </row>
    <row r="53" spans="2:12" ht="30" customHeight="1" x14ac:dyDescent="0.3">
      <c r="B53" s="423"/>
      <c r="C53" s="393" t="s">
        <v>144</v>
      </c>
      <c r="D53" s="394"/>
      <c r="E53" s="258"/>
      <c r="F53" s="259"/>
      <c r="G53" s="395"/>
      <c r="H53" s="396"/>
      <c r="I53" s="401"/>
      <c r="J53" s="401"/>
      <c r="K53" s="395"/>
      <c r="L53" s="404"/>
    </row>
    <row r="54" spans="2:12" ht="30" customHeight="1" x14ac:dyDescent="0.3">
      <c r="B54" s="423"/>
      <c r="C54" s="393" t="s">
        <v>153</v>
      </c>
      <c r="D54" s="394"/>
      <c r="E54" s="258"/>
      <c r="F54" s="259"/>
      <c r="G54" s="397"/>
      <c r="H54" s="398"/>
      <c r="I54" s="402"/>
      <c r="J54" s="402"/>
      <c r="K54" s="397"/>
      <c r="L54" s="405"/>
    </row>
    <row r="55" spans="2:12" ht="30" customHeight="1" x14ac:dyDescent="0.3">
      <c r="B55" s="423"/>
      <c r="C55" s="393" t="s">
        <v>131</v>
      </c>
      <c r="D55" s="394"/>
      <c r="E55" s="436"/>
      <c r="F55" s="437"/>
      <c r="G55" s="397"/>
      <c r="H55" s="398"/>
      <c r="I55" s="402"/>
      <c r="J55" s="402"/>
      <c r="K55" s="397"/>
      <c r="L55" s="405"/>
    </row>
    <row r="56" spans="2:12" ht="30" customHeight="1" x14ac:dyDescent="0.3">
      <c r="B56" s="423"/>
      <c r="C56" s="393" t="s">
        <v>145</v>
      </c>
      <c r="D56" s="394"/>
      <c r="E56" s="260"/>
      <c r="F56" s="261"/>
      <c r="G56" s="397"/>
      <c r="H56" s="398"/>
      <c r="I56" s="402"/>
      <c r="J56" s="402"/>
      <c r="K56" s="397"/>
      <c r="L56" s="405"/>
    </row>
    <row r="57" spans="2:12" ht="30" customHeight="1" thickBot="1" x14ac:dyDescent="0.35">
      <c r="B57" s="424"/>
      <c r="C57" s="407" t="s">
        <v>146</v>
      </c>
      <c r="D57" s="408"/>
      <c r="E57" s="262"/>
      <c r="F57" s="263"/>
      <c r="G57" s="399"/>
      <c r="H57" s="400"/>
      <c r="I57" s="403"/>
      <c r="J57" s="403"/>
      <c r="K57" s="399"/>
      <c r="L57" s="406"/>
    </row>
    <row r="58" spans="2:12" ht="30" customHeight="1" x14ac:dyDescent="0.3">
      <c r="B58" s="422" t="s">
        <v>338</v>
      </c>
      <c r="C58" s="425" t="s">
        <v>128</v>
      </c>
      <c r="D58" s="426"/>
      <c r="E58" s="427"/>
      <c r="F58" s="428"/>
      <c r="G58" s="429" t="s">
        <v>149</v>
      </c>
      <c r="H58" s="430"/>
      <c r="I58" s="431" t="s">
        <v>129</v>
      </c>
      <c r="J58" s="430"/>
      <c r="K58" s="431" t="s">
        <v>130</v>
      </c>
      <c r="L58" s="433"/>
    </row>
    <row r="59" spans="2:12" ht="30" customHeight="1" x14ac:dyDescent="0.3">
      <c r="B59" s="423"/>
      <c r="C59" s="393" t="s">
        <v>231</v>
      </c>
      <c r="D59" s="394"/>
      <c r="E59" s="418"/>
      <c r="F59" s="419"/>
      <c r="G59" s="409"/>
      <c r="H59" s="410"/>
      <c r="I59" s="409"/>
      <c r="J59" s="410"/>
      <c r="K59" s="409"/>
      <c r="L59" s="415"/>
    </row>
    <row r="60" spans="2:12" ht="30" customHeight="1" x14ac:dyDescent="0.3">
      <c r="B60" s="423"/>
      <c r="C60" s="393" t="s">
        <v>147</v>
      </c>
      <c r="D60" s="394"/>
      <c r="E60" s="418"/>
      <c r="F60" s="419"/>
      <c r="G60" s="411"/>
      <c r="H60" s="412"/>
      <c r="I60" s="411"/>
      <c r="J60" s="412"/>
      <c r="K60" s="411"/>
      <c r="L60" s="416"/>
    </row>
    <row r="61" spans="2:12" ht="30" customHeight="1" x14ac:dyDescent="0.3">
      <c r="B61" s="423"/>
      <c r="C61" s="393" t="s">
        <v>142</v>
      </c>
      <c r="D61" s="394"/>
      <c r="E61" s="256"/>
      <c r="F61" s="257"/>
      <c r="G61" s="411"/>
      <c r="H61" s="412"/>
      <c r="I61" s="411"/>
      <c r="J61" s="412"/>
      <c r="K61" s="411"/>
      <c r="L61" s="416"/>
    </row>
    <row r="62" spans="2:12" ht="30" customHeight="1" x14ac:dyDescent="0.3">
      <c r="B62" s="423"/>
      <c r="C62" s="393" t="s">
        <v>324</v>
      </c>
      <c r="D62" s="394"/>
      <c r="E62" s="258"/>
      <c r="F62" s="259"/>
      <c r="G62" s="411"/>
      <c r="H62" s="412"/>
      <c r="I62" s="411"/>
      <c r="J62" s="412"/>
      <c r="K62" s="411"/>
      <c r="L62" s="416"/>
    </row>
    <row r="63" spans="2:12" ht="30" customHeight="1" x14ac:dyDescent="0.3">
      <c r="B63" s="423"/>
      <c r="C63" s="393" t="s">
        <v>325</v>
      </c>
      <c r="D63" s="394"/>
      <c r="E63" s="434"/>
      <c r="F63" s="435"/>
      <c r="G63" s="413"/>
      <c r="H63" s="414"/>
      <c r="I63" s="413"/>
      <c r="J63" s="414"/>
      <c r="K63" s="413"/>
      <c r="L63" s="417"/>
    </row>
    <row r="64" spans="2:12" ht="30" customHeight="1" x14ac:dyDescent="0.3">
      <c r="B64" s="423"/>
      <c r="C64" s="393" t="s">
        <v>143</v>
      </c>
      <c r="D64" s="394"/>
      <c r="E64" s="258"/>
      <c r="F64" s="259"/>
      <c r="G64" s="420" t="s">
        <v>150</v>
      </c>
      <c r="H64" s="432"/>
      <c r="I64" s="420" t="s">
        <v>151</v>
      </c>
      <c r="J64" s="432"/>
      <c r="K64" s="420" t="s">
        <v>152</v>
      </c>
      <c r="L64" s="421"/>
    </row>
    <row r="65" spans="2:12" ht="30" customHeight="1" x14ac:dyDescent="0.3">
      <c r="B65" s="423"/>
      <c r="C65" s="393" t="s">
        <v>144</v>
      </c>
      <c r="D65" s="394"/>
      <c r="E65" s="258"/>
      <c r="F65" s="259"/>
      <c r="G65" s="395"/>
      <c r="H65" s="396"/>
      <c r="I65" s="401"/>
      <c r="J65" s="401"/>
      <c r="K65" s="395"/>
      <c r="L65" s="404"/>
    </row>
    <row r="66" spans="2:12" ht="30" customHeight="1" x14ac:dyDescent="0.3">
      <c r="B66" s="423"/>
      <c r="C66" s="393" t="s">
        <v>153</v>
      </c>
      <c r="D66" s="394"/>
      <c r="E66" s="258"/>
      <c r="F66" s="259"/>
      <c r="G66" s="397"/>
      <c r="H66" s="398"/>
      <c r="I66" s="402"/>
      <c r="J66" s="402"/>
      <c r="K66" s="397"/>
      <c r="L66" s="405"/>
    </row>
    <row r="67" spans="2:12" ht="30" customHeight="1" x14ac:dyDescent="0.3">
      <c r="B67" s="423"/>
      <c r="C67" s="393" t="s">
        <v>131</v>
      </c>
      <c r="D67" s="394"/>
      <c r="E67" s="436"/>
      <c r="F67" s="437"/>
      <c r="G67" s="397"/>
      <c r="H67" s="398"/>
      <c r="I67" s="402"/>
      <c r="J67" s="402"/>
      <c r="K67" s="397"/>
      <c r="L67" s="405"/>
    </row>
    <row r="68" spans="2:12" ht="30" customHeight="1" x14ac:dyDescent="0.3">
      <c r="B68" s="423"/>
      <c r="C68" s="393" t="s">
        <v>145</v>
      </c>
      <c r="D68" s="394"/>
      <c r="E68" s="260"/>
      <c r="F68" s="261"/>
      <c r="G68" s="397"/>
      <c r="H68" s="398"/>
      <c r="I68" s="402"/>
      <c r="J68" s="402"/>
      <c r="K68" s="397"/>
      <c r="L68" s="405"/>
    </row>
    <row r="69" spans="2:12" ht="30" customHeight="1" thickBot="1" x14ac:dyDescent="0.35">
      <c r="B69" s="424"/>
      <c r="C69" s="407" t="s">
        <v>146</v>
      </c>
      <c r="D69" s="408"/>
      <c r="E69" s="262"/>
      <c r="F69" s="263"/>
      <c r="G69" s="399"/>
      <c r="H69" s="400"/>
      <c r="I69" s="403"/>
      <c r="J69" s="403"/>
      <c r="K69" s="399"/>
      <c r="L69" s="406"/>
    </row>
    <row r="70" spans="2:12" ht="30" customHeight="1" x14ac:dyDescent="0.3">
      <c r="B70" s="422" t="s">
        <v>339</v>
      </c>
      <c r="C70" s="425" t="s">
        <v>128</v>
      </c>
      <c r="D70" s="426"/>
      <c r="E70" s="427"/>
      <c r="F70" s="428"/>
      <c r="G70" s="429" t="s">
        <v>149</v>
      </c>
      <c r="H70" s="430"/>
      <c r="I70" s="431" t="s">
        <v>129</v>
      </c>
      <c r="J70" s="430"/>
      <c r="K70" s="431" t="s">
        <v>130</v>
      </c>
      <c r="L70" s="433"/>
    </row>
    <row r="71" spans="2:12" ht="30" customHeight="1" x14ac:dyDescent="0.3">
      <c r="B71" s="423"/>
      <c r="C71" s="393" t="s">
        <v>231</v>
      </c>
      <c r="D71" s="394"/>
      <c r="E71" s="418"/>
      <c r="F71" s="419"/>
      <c r="G71" s="409"/>
      <c r="H71" s="410"/>
      <c r="I71" s="409"/>
      <c r="J71" s="410"/>
      <c r="K71" s="409"/>
      <c r="L71" s="415"/>
    </row>
    <row r="72" spans="2:12" ht="30" customHeight="1" x14ac:dyDescent="0.3">
      <c r="B72" s="423"/>
      <c r="C72" s="393" t="s">
        <v>147</v>
      </c>
      <c r="D72" s="394"/>
      <c r="E72" s="418"/>
      <c r="F72" s="419"/>
      <c r="G72" s="411"/>
      <c r="H72" s="412"/>
      <c r="I72" s="411"/>
      <c r="J72" s="412"/>
      <c r="K72" s="411"/>
      <c r="L72" s="416"/>
    </row>
    <row r="73" spans="2:12" ht="30" customHeight="1" x14ac:dyDescent="0.3">
      <c r="B73" s="423"/>
      <c r="C73" s="393" t="s">
        <v>142</v>
      </c>
      <c r="D73" s="394"/>
      <c r="E73" s="256"/>
      <c r="F73" s="257"/>
      <c r="G73" s="411"/>
      <c r="H73" s="412"/>
      <c r="I73" s="411"/>
      <c r="J73" s="412"/>
      <c r="K73" s="411"/>
      <c r="L73" s="416"/>
    </row>
    <row r="74" spans="2:12" ht="30" customHeight="1" x14ac:dyDescent="0.3">
      <c r="B74" s="423"/>
      <c r="C74" s="393" t="s">
        <v>324</v>
      </c>
      <c r="D74" s="394"/>
      <c r="E74" s="258"/>
      <c r="F74" s="259"/>
      <c r="G74" s="411"/>
      <c r="H74" s="412"/>
      <c r="I74" s="411"/>
      <c r="J74" s="412"/>
      <c r="K74" s="411"/>
      <c r="L74" s="416"/>
    </row>
    <row r="75" spans="2:12" ht="30" customHeight="1" x14ac:dyDescent="0.3">
      <c r="B75" s="423"/>
      <c r="C75" s="393" t="s">
        <v>325</v>
      </c>
      <c r="D75" s="394"/>
      <c r="E75" s="434"/>
      <c r="F75" s="435"/>
      <c r="G75" s="413"/>
      <c r="H75" s="414"/>
      <c r="I75" s="413"/>
      <c r="J75" s="414"/>
      <c r="K75" s="413"/>
      <c r="L75" s="417"/>
    </row>
    <row r="76" spans="2:12" ht="30" customHeight="1" x14ac:dyDescent="0.3">
      <c r="B76" s="423"/>
      <c r="C76" s="393" t="s">
        <v>143</v>
      </c>
      <c r="D76" s="394"/>
      <c r="E76" s="258"/>
      <c r="F76" s="259"/>
      <c r="G76" s="420" t="s">
        <v>150</v>
      </c>
      <c r="H76" s="432"/>
      <c r="I76" s="420" t="s">
        <v>151</v>
      </c>
      <c r="J76" s="432"/>
      <c r="K76" s="420" t="s">
        <v>152</v>
      </c>
      <c r="L76" s="421"/>
    </row>
    <row r="77" spans="2:12" ht="30" customHeight="1" x14ac:dyDescent="0.3">
      <c r="B77" s="423"/>
      <c r="C77" s="393" t="s">
        <v>144</v>
      </c>
      <c r="D77" s="394"/>
      <c r="E77" s="258"/>
      <c r="F77" s="259"/>
      <c r="G77" s="395"/>
      <c r="H77" s="396"/>
      <c r="I77" s="401"/>
      <c r="J77" s="401"/>
      <c r="K77" s="395"/>
      <c r="L77" s="404"/>
    </row>
    <row r="78" spans="2:12" ht="30" customHeight="1" x14ac:dyDescent="0.3">
      <c r="B78" s="423"/>
      <c r="C78" s="393" t="s">
        <v>153</v>
      </c>
      <c r="D78" s="394"/>
      <c r="E78" s="258"/>
      <c r="F78" s="259"/>
      <c r="G78" s="397"/>
      <c r="H78" s="398"/>
      <c r="I78" s="402"/>
      <c r="J78" s="402"/>
      <c r="K78" s="397"/>
      <c r="L78" s="405"/>
    </row>
    <row r="79" spans="2:12" ht="30" customHeight="1" x14ac:dyDescent="0.3">
      <c r="B79" s="423"/>
      <c r="C79" s="393" t="s">
        <v>131</v>
      </c>
      <c r="D79" s="394"/>
      <c r="E79" s="436"/>
      <c r="F79" s="437"/>
      <c r="G79" s="397"/>
      <c r="H79" s="398"/>
      <c r="I79" s="402"/>
      <c r="J79" s="402"/>
      <c r="K79" s="397"/>
      <c r="L79" s="405"/>
    </row>
    <row r="80" spans="2:12" ht="30" customHeight="1" x14ac:dyDescent="0.3">
      <c r="B80" s="423"/>
      <c r="C80" s="393" t="s">
        <v>145</v>
      </c>
      <c r="D80" s="394"/>
      <c r="E80" s="260"/>
      <c r="F80" s="261"/>
      <c r="G80" s="397"/>
      <c r="H80" s="398"/>
      <c r="I80" s="402"/>
      <c r="J80" s="402"/>
      <c r="K80" s="397"/>
      <c r="L80" s="405"/>
    </row>
    <row r="81" spans="2:12" ht="30" customHeight="1" thickBot="1" x14ac:dyDescent="0.35">
      <c r="B81" s="424"/>
      <c r="C81" s="407" t="s">
        <v>146</v>
      </c>
      <c r="D81" s="408"/>
      <c r="E81" s="262"/>
      <c r="F81" s="263"/>
      <c r="G81" s="399"/>
      <c r="H81" s="400"/>
      <c r="I81" s="403"/>
      <c r="J81" s="403"/>
      <c r="K81" s="399"/>
      <c r="L81" s="406"/>
    </row>
    <row r="82" spans="2:12" ht="30" customHeight="1" x14ac:dyDescent="0.3">
      <c r="B82" s="422" t="s">
        <v>340</v>
      </c>
      <c r="C82" s="425" t="s">
        <v>128</v>
      </c>
      <c r="D82" s="426"/>
      <c r="E82" s="427"/>
      <c r="F82" s="428"/>
      <c r="G82" s="429" t="s">
        <v>149</v>
      </c>
      <c r="H82" s="430"/>
      <c r="I82" s="431" t="s">
        <v>129</v>
      </c>
      <c r="J82" s="430"/>
      <c r="K82" s="431" t="s">
        <v>130</v>
      </c>
      <c r="L82" s="433"/>
    </row>
    <row r="83" spans="2:12" ht="30" customHeight="1" x14ac:dyDescent="0.3">
      <c r="B83" s="423"/>
      <c r="C83" s="393" t="s">
        <v>231</v>
      </c>
      <c r="D83" s="394"/>
      <c r="E83" s="418"/>
      <c r="F83" s="419"/>
      <c r="G83" s="409"/>
      <c r="H83" s="410"/>
      <c r="I83" s="409"/>
      <c r="J83" s="410"/>
      <c r="K83" s="409"/>
      <c r="L83" s="415"/>
    </row>
    <row r="84" spans="2:12" ht="30" customHeight="1" x14ac:dyDescent="0.3">
      <c r="B84" s="423"/>
      <c r="C84" s="393" t="s">
        <v>147</v>
      </c>
      <c r="D84" s="394"/>
      <c r="E84" s="418"/>
      <c r="F84" s="419"/>
      <c r="G84" s="411"/>
      <c r="H84" s="412"/>
      <c r="I84" s="411"/>
      <c r="J84" s="412"/>
      <c r="K84" s="411"/>
      <c r="L84" s="416"/>
    </row>
    <row r="85" spans="2:12" ht="30" customHeight="1" x14ac:dyDescent="0.3">
      <c r="B85" s="423"/>
      <c r="C85" s="393" t="s">
        <v>142</v>
      </c>
      <c r="D85" s="394"/>
      <c r="E85" s="256"/>
      <c r="F85" s="257"/>
      <c r="G85" s="411"/>
      <c r="H85" s="412"/>
      <c r="I85" s="411"/>
      <c r="J85" s="412"/>
      <c r="K85" s="411"/>
      <c r="L85" s="416"/>
    </row>
    <row r="86" spans="2:12" ht="30" customHeight="1" x14ac:dyDescent="0.3">
      <c r="B86" s="423"/>
      <c r="C86" s="393" t="s">
        <v>324</v>
      </c>
      <c r="D86" s="394"/>
      <c r="E86" s="258"/>
      <c r="F86" s="259"/>
      <c r="G86" s="411"/>
      <c r="H86" s="412"/>
      <c r="I86" s="411"/>
      <c r="J86" s="412"/>
      <c r="K86" s="411"/>
      <c r="L86" s="416"/>
    </row>
    <row r="87" spans="2:12" ht="30" customHeight="1" x14ac:dyDescent="0.3">
      <c r="B87" s="423"/>
      <c r="C87" s="393" t="s">
        <v>325</v>
      </c>
      <c r="D87" s="394"/>
      <c r="E87" s="434"/>
      <c r="F87" s="435"/>
      <c r="G87" s="413"/>
      <c r="H87" s="414"/>
      <c r="I87" s="413"/>
      <c r="J87" s="414"/>
      <c r="K87" s="413"/>
      <c r="L87" s="417"/>
    </row>
    <row r="88" spans="2:12" ht="30" customHeight="1" x14ac:dyDescent="0.3">
      <c r="B88" s="423"/>
      <c r="C88" s="393" t="s">
        <v>143</v>
      </c>
      <c r="D88" s="394"/>
      <c r="E88" s="258"/>
      <c r="F88" s="259"/>
      <c r="G88" s="420" t="s">
        <v>150</v>
      </c>
      <c r="H88" s="432"/>
      <c r="I88" s="420" t="s">
        <v>151</v>
      </c>
      <c r="J88" s="432"/>
      <c r="K88" s="420" t="s">
        <v>152</v>
      </c>
      <c r="L88" s="421"/>
    </row>
    <row r="89" spans="2:12" ht="30" customHeight="1" x14ac:dyDescent="0.3">
      <c r="B89" s="423"/>
      <c r="C89" s="393" t="s">
        <v>144</v>
      </c>
      <c r="D89" s="394"/>
      <c r="E89" s="258"/>
      <c r="F89" s="259"/>
      <c r="G89" s="395"/>
      <c r="H89" s="396"/>
      <c r="I89" s="401"/>
      <c r="J89" s="401"/>
      <c r="K89" s="395"/>
      <c r="L89" s="404"/>
    </row>
    <row r="90" spans="2:12" ht="30" customHeight="1" x14ac:dyDescent="0.3">
      <c r="B90" s="423"/>
      <c r="C90" s="393" t="s">
        <v>153</v>
      </c>
      <c r="D90" s="394"/>
      <c r="E90" s="258"/>
      <c r="F90" s="259"/>
      <c r="G90" s="397"/>
      <c r="H90" s="398"/>
      <c r="I90" s="402"/>
      <c r="J90" s="402"/>
      <c r="K90" s="397"/>
      <c r="L90" s="405"/>
    </row>
    <row r="91" spans="2:12" ht="30" customHeight="1" x14ac:dyDescent="0.3">
      <c r="B91" s="423"/>
      <c r="C91" s="393" t="s">
        <v>131</v>
      </c>
      <c r="D91" s="394"/>
      <c r="E91" s="436"/>
      <c r="F91" s="437"/>
      <c r="G91" s="397"/>
      <c r="H91" s="398"/>
      <c r="I91" s="402"/>
      <c r="J91" s="402"/>
      <c r="K91" s="397"/>
      <c r="L91" s="405"/>
    </row>
    <row r="92" spans="2:12" ht="30" customHeight="1" x14ac:dyDescent="0.3">
      <c r="B92" s="423"/>
      <c r="C92" s="393" t="s">
        <v>145</v>
      </c>
      <c r="D92" s="394"/>
      <c r="E92" s="260"/>
      <c r="F92" s="261"/>
      <c r="G92" s="397"/>
      <c r="H92" s="398"/>
      <c r="I92" s="402"/>
      <c r="J92" s="402"/>
      <c r="K92" s="397"/>
      <c r="L92" s="405"/>
    </row>
    <row r="93" spans="2:12" ht="30" customHeight="1" thickBot="1" x14ac:dyDescent="0.35">
      <c r="B93" s="424"/>
      <c r="C93" s="407" t="s">
        <v>146</v>
      </c>
      <c r="D93" s="408"/>
      <c r="E93" s="262"/>
      <c r="F93" s="263"/>
      <c r="G93" s="399"/>
      <c r="H93" s="400"/>
      <c r="I93" s="403"/>
      <c r="J93" s="403"/>
      <c r="K93" s="399"/>
      <c r="L93" s="406"/>
    </row>
    <row r="94" spans="2:12" ht="30" customHeight="1" x14ac:dyDescent="0.3">
      <c r="B94" s="422" t="s">
        <v>341</v>
      </c>
      <c r="C94" s="425" t="s">
        <v>128</v>
      </c>
      <c r="D94" s="426"/>
      <c r="E94" s="427"/>
      <c r="F94" s="428"/>
      <c r="G94" s="429" t="s">
        <v>149</v>
      </c>
      <c r="H94" s="430"/>
      <c r="I94" s="431" t="s">
        <v>129</v>
      </c>
      <c r="J94" s="430"/>
      <c r="K94" s="431" t="s">
        <v>130</v>
      </c>
      <c r="L94" s="433"/>
    </row>
    <row r="95" spans="2:12" ht="30" customHeight="1" x14ac:dyDescent="0.3">
      <c r="B95" s="423"/>
      <c r="C95" s="393" t="s">
        <v>231</v>
      </c>
      <c r="D95" s="394"/>
      <c r="E95" s="418"/>
      <c r="F95" s="419"/>
      <c r="G95" s="409"/>
      <c r="H95" s="410"/>
      <c r="I95" s="409"/>
      <c r="J95" s="410"/>
      <c r="K95" s="409"/>
      <c r="L95" s="415"/>
    </row>
    <row r="96" spans="2:12" ht="30" customHeight="1" x14ac:dyDescent="0.3">
      <c r="B96" s="423"/>
      <c r="C96" s="393" t="s">
        <v>147</v>
      </c>
      <c r="D96" s="394"/>
      <c r="E96" s="418"/>
      <c r="F96" s="419"/>
      <c r="G96" s="411"/>
      <c r="H96" s="412"/>
      <c r="I96" s="411"/>
      <c r="J96" s="412"/>
      <c r="K96" s="411"/>
      <c r="L96" s="416"/>
    </row>
    <row r="97" spans="2:12" ht="30" customHeight="1" x14ac:dyDescent="0.3">
      <c r="B97" s="423"/>
      <c r="C97" s="393" t="s">
        <v>142</v>
      </c>
      <c r="D97" s="394"/>
      <c r="E97" s="256"/>
      <c r="F97" s="257"/>
      <c r="G97" s="411"/>
      <c r="H97" s="412"/>
      <c r="I97" s="411"/>
      <c r="J97" s="412"/>
      <c r="K97" s="411"/>
      <c r="L97" s="416"/>
    </row>
    <row r="98" spans="2:12" ht="30" customHeight="1" x14ac:dyDescent="0.3">
      <c r="B98" s="423"/>
      <c r="C98" s="393" t="s">
        <v>324</v>
      </c>
      <c r="D98" s="394"/>
      <c r="E98" s="258"/>
      <c r="F98" s="259"/>
      <c r="G98" s="411"/>
      <c r="H98" s="412"/>
      <c r="I98" s="411"/>
      <c r="J98" s="412"/>
      <c r="K98" s="411"/>
      <c r="L98" s="416"/>
    </row>
    <row r="99" spans="2:12" ht="30" customHeight="1" x14ac:dyDescent="0.3">
      <c r="B99" s="423"/>
      <c r="C99" s="393" t="s">
        <v>325</v>
      </c>
      <c r="D99" s="394"/>
      <c r="E99" s="434"/>
      <c r="F99" s="435"/>
      <c r="G99" s="413"/>
      <c r="H99" s="414"/>
      <c r="I99" s="413"/>
      <c r="J99" s="414"/>
      <c r="K99" s="413"/>
      <c r="L99" s="417"/>
    </row>
    <row r="100" spans="2:12" ht="30" customHeight="1" x14ac:dyDescent="0.3">
      <c r="B100" s="423"/>
      <c r="C100" s="393" t="s">
        <v>143</v>
      </c>
      <c r="D100" s="394"/>
      <c r="E100" s="258"/>
      <c r="F100" s="259"/>
      <c r="G100" s="420" t="s">
        <v>150</v>
      </c>
      <c r="H100" s="432"/>
      <c r="I100" s="420" t="s">
        <v>151</v>
      </c>
      <c r="J100" s="432"/>
      <c r="K100" s="420" t="s">
        <v>152</v>
      </c>
      <c r="L100" s="421"/>
    </row>
    <row r="101" spans="2:12" ht="30" customHeight="1" x14ac:dyDescent="0.3">
      <c r="B101" s="423"/>
      <c r="C101" s="393" t="s">
        <v>144</v>
      </c>
      <c r="D101" s="394"/>
      <c r="E101" s="258"/>
      <c r="F101" s="259"/>
      <c r="G101" s="395"/>
      <c r="H101" s="396"/>
      <c r="I101" s="401"/>
      <c r="J101" s="401"/>
      <c r="K101" s="395"/>
      <c r="L101" s="404"/>
    </row>
    <row r="102" spans="2:12" ht="30" customHeight="1" x14ac:dyDescent="0.3">
      <c r="B102" s="423"/>
      <c r="C102" s="393" t="s">
        <v>153</v>
      </c>
      <c r="D102" s="394"/>
      <c r="E102" s="258"/>
      <c r="F102" s="259"/>
      <c r="G102" s="397"/>
      <c r="H102" s="398"/>
      <c r="I102" s="402"/>
      <c r="J102" s="402"/>
      <c r="K102" s="397"/>
      <c r="L102" s="405"/>
    </row>
    <row r="103" spans="2:12" ht="30" customHeight="1" x14ac:dyDescent="0.3">
      <c r="B103" s="423"/>
      <c r="C103" s="393" t="s">
        <v>131</v>
      </c>
      <c r="D103" s="394"/>
      <c r="E103" s="436"/>
      <c r="F103" s="437"/>
      <c r="G103" s="397"/>
      <c r="H103" s="398"/>
      <c r="I103" s="402"/>
      <c r="J103" s="402"/>
      <c r="K103" s="397"/>
      <c r="L103" s="405"/>
    </row>
    <row r="104" spans="2:12" ht="30" customHeight="1" x14ac:dyDescent="0.3">
      <c r="B104" s="423"/>
      <c r="C104" s="393" t="s">
        <v>145</v>
      </c>
      <c r="D104" s="394"/>
      <c r="E104" s="260"/>
      <c r="F104" s="261"/>
      <c r="G104" s="397"/>
      <c r="H104" s="398"/>
      <c r="I104" s="402"/>
      <c r="J104" s="402"/>
      <c r="K104" s="397"/>
      <c r="L104" s="405"/>
    </row>
    <row r="105" spans="2:12" ht="30" customHeight="1" thickBot="1" x14ac:dyDescent="0.35">
      <c r="B105" s="424"/>
      <c r="C105" s="407" t="s">
        <v>146</v>
      </c>
      <c r="D105" s="408"/>
      <c r="E105" s="262"/>
      <c r="F105" s="263"/>
      <c r="G105" s="399"/>
      <c r="H105" s="400"/>
      <c r="I105" s="403"/>
      <c r="J105" s="403"/>
      <c r="K105" s="399"/>
      <c r="L105" s="406"/>
    </row>
    <row r="106" spans="2:12" ht="30" customHeight="1" x14ac:dyDescent="0.3">
      <c r="B106" s="422" t="s">
        <v>342</v>
      </c>
      <c r="C106" s="425" t="s">
        <v>128</v>
      </c>
      <c r="D106" s="426"/>
      <c r="E106" s="427"/>
      <c r="F106" s="428"/>
      <c r="G106" s="429" t="s">
        <v>149</v>
      </c>
      <c r="H106" s="430"/>
      <c r="I106" s="431" t="s">
        <v>129</v>
      </c>
      <c r="J106" s="430"/>
      <c r="K106" s="431" t="s">
        <v>130</v>
      </c>
      <c r="L106" s="433"/>
    </row>
    <row r="107" spans="2:12" ht="30" customHeight="1" x14ac:dyDescent="0.3">
      <c r="B107" s="423"/>
      <c r="C107" s="393" t="s">
        <v>231</v>
      </c>
      <c r="D107" s="394"/>
      <c r="E107" s="418"/>
      <c r="F107" s="419"/>
      <c r="G107" s="409"/>
      <c r="H107" s="410"/>
      <c r="I107" s="409"/>
      <c r="J107" s="410"/>
      <c r="K107" s="409"/>
      <c r="L107" s="415"/>
    </row>
    <row r="108" spans="2:12" ht="30" customHeight="1" x14ac:dyDescent="0.3">
      <c r="B108" s="423"/>
      <c r="C108" s="393" t="s">
        <v>147</v>
      </c>
      <c r="D108" s="394"/>
      <c r="E108" s="418"/>
      <c r="F108" s="419"/>
      <c r="G108" s="411"/>
      <c r="H108" s="412"/>
      <c r="I108" s="411"/>
      <c r="J108" s="412"/>
      <c r="K108" s="411"/>
      <c r="L108" s="416"/>
    </row>
    <row r="109" spans="2:12" ht="30" customHeight="1" x14ac:dyDescent="0.3">
      <c r="B109" s="423"/>
      <c r="C109" s="393" t="s">
        <v>142</v>
      </c>
      <c r="D109" s="394"/>
      <c r="E109" s="256"/>
      <c r="F109" s="257"/>
      <c r="G109" s="411"/>
      <c r="H109" s="412"/>
      <c r="I109" s="411"/>
      <c r="J109" s="412"/>
      <c r="K109" s="411"/>
      <c r="L109" s="416"/>
    </row>
    <row r="110" spans="2:12" ht="30" customHeight="1" x14ac:dyDescent="0.3">
      <c r="B110" s="423"/>
      <c r="C110" s="393" t="s">
        <v>324</v>
      </c>
      <c r="D110" s="394"/>
      <c r="E110" s="258"/>
      <c r="F110" s="259"/>
      <c r="G110" s="411"/>
      <c r="H110" s="412"/>
      <c r="I110" s="411"/>
      <c r="J110" s="412"/>
      <c r="K110" s="411"/>
      <c r="L110" s="416"/>
    </row>
    <row r="111" spans="2:12" ht="30" customHeight="1" x14ac:dyDescent="0.3">
      <c r="B111" s="423"/>
      <c r="C111" s="393" t="s">
        <v>325</v>
      </c>
      <c r="D111" s="394"/>
      <c r="E111" s="434"/>
      <c r="F111" s="435"/>
      <c r="G111" s="413"/>
      <c r="H111" s="414"/>
      <c r="I111" s="413"/>
      <c r="J111" s="414"/>
      <c r="K111" s="413"/>
      <c r="L111" s="417"/>
    </row>
    <row r="112" spans="2:12" ht="30" customHeight="1" x14ac:dyDescent="0.3">
      <c r="B112" s="423"/>
      <c r="C112" s="393" t="s">
        <v>143</v>
      </c>
      <c r="D112" s="394"/>
      <c r="E112" s="258"/>
      <c r="F112" s="259"/>
      <c r="G112" s="420" t="s">
        <v>150</v>
      </c>
      <c r="H112" s="432"/>
      <c r="I112" s="420" t="s">
        <v>151</v>
      </c>
      <c r="J112" s="432"/>
      <c r="K112" s="420" t="s">
        <v>152</v>
      </c>
      <c r="L112" s="421"/>
    </row>
    <row r="113" spans="2:12" ht="30" customHeight="1" x14ac:dyDescent="0.3">
      <c r="B113" s="423"/>
      <c r="C113" s="393" t="s">
        <v>144</v>
      </c>
      <c r="D113" s="394"/>
      <c r="E113" s="258"/>
      <c r="F113" s="259"/>
      <c r="G113" s="395"/>
      <c r="H113" s="396"/>
      <c r="I113" s="401"/>
      <c r="J113" s="401"/>
      <c r="K113" s="395"/>
      <c r="L113" s="404"/>
    </row>
    <row r="114" spans="2:12" ht="30" customHeight="1" x14ac:dyDescent="0.3">
      <c r="B114" s="423"/>
      <c r="C114" s="393" t="s">
        <v>153</v>
      </c>
      <c r="D114" s="394"/>
      <c r="E114" s="258"/>
      <c r="F114" s="259"/>
      <c r="G114" s="397"/>
      <c r="H114" s="398"/>
      <c r="I114" s="402"/>
      <c r="J114" s="402"/>
      <c r="K114" s="397"/>
      <c r="L114" s="405"/>
    </row>
    <row r="115" spans="2:12" ht="30" customHeight="1" x14ac:dyDescent="0.3">
      <c r="B115" s="423"/>
      <c r="C115" s="393" t="s">
        <v>131</v>
      </c>
      <c r="D115" s="394"/>
      <c r="E115" s="436"/>
      <c r="F115" s="437"/>
      <c r="G115" s="397"/>
      <c r="H115" s="398"/>
      <c r="I115" s="402"/>
      <c r="J115" s="402"/>
      <c r="K115" s="397"/>
      <c r="L115" s="405"/>
    </row>
    <row r="116" spans="2:12" ht="30" customHeight="1" x14ac:dyDescent="0.3">
      <c r="B116" s="423"/>
      <c r="C116" s="393" t="s">
        <v>145</v>
      </c>
      <c r="D116" s="394"/>
      <c r="E116" s="260"/>
      <c r="F116" s="261"/>
      <c r="G116" s="397"/>
      <c r="H116" s="398"/>
      <c r="I116" s="402"/>
      <c r="J116" s="402"/>
      <c r="K116" s="397"/>
      <c r="L116" s="405"/>
    </row>
    <row r="117" spans="2:12" ht="30" customHeight="1" thickBot="1" x14ac:dyDescent="0.35">
      <c r="B117" s="424"/>
      <c r="C117" s="407" t="s">
        <v>146</v>
      </c>
      <c r="D117" s="408"/>
      <c r="E117" s="262"/>
      <c r="F117" s="263"/>
      <c r="G117" s="399"/>
      <c r="H117" s="400"/>
      <c r="I117" s="403"/>
      <c r="J117" s="403"/>
      <c r="K117" s="399"/>
      <c r="L117" s="406"/>
    </row>
    <row r="118" spans="2:12" ht="30" customHeight="1" x14ac:dyDescent="0.3">
      <c r="B118" s="422" t="s">
        <v>343</v>
      </c>
      <c r="C118" s="425" t="s">
        <v>128</v>
      </c>
      <c r="D118" s="426"/>
      <c r="E118" s="427"/>
      <c r="F118" s="428"/>
      <c r="G118" s="429" t="s">
        <v>149</v>
      </c>
      <c r="H118" s="430"/>
      <c r="I118" s="431" t="s">
        <v>129</v>
      </c>
      <c r="J118" s="430"/>
      <c r="K118" s="431" t="s">
        <v>130</v>
      </c>
      <c r="L118" s="433"/>
    </row>
    <row r="119" spans="2:12" ht="30" customHeight="1" x14ac:dyDescent="0.3">
      <c r="B119" s="423"/>
      <c r="C119" s="393" t="s">
        <v>231</v>
      </c>
      <c r="D119" s="394"/>
      <c r="E119" s="418"/>
      <c r="F119" s="419"/>
      <c r="G119" s="409"/>
      <c r="H119" s="410"/>
      <c r="I119" s="409"/>
      <c r="J119" s="410"/>
      <c r="K119" s="409"/>
      <c r="L119" s="415"/>
    </row>
    <row r="120" spans="2:12" ht="30" customHeight="1" x14ac:dyDescent="0.3">
      <c r="B120" s="423"/>
      <c r="C120" s="393" t="s">
        <v>147</v>
      </c>
      <c r="D120" s="394"/>
      <c r="E120" s="418"/>
      <c r="F120" s="419"/>
      <c r="G120" s="411"/>
      <c r="H120" s="412"/>
      <c r="I120" s="411"/>
      <c r="J120" s="412"/>
      <c r="K120" s="411"/>
      <c r="L120" s="416"/>
    </row>
    <row r="121" spans="2:12" ht="30" customHeight="1" x14ac:dyDescent="0.3">
      <c r="B121" s="423"/>
      <c r="C121" s="393" t="s">
        <v>142</v>
      </c>
      <c r="D121" s="394"/>
      <c r="E121" s="256"/>
      <c r="F121" s="257"/>
      <c r="G121" s="411"/>
      <c r="H121" s="412"/>
      <c r="I121" s="411"/>
      <c r="J121" s="412"/>
      <c r="K121" s="411"/>
      <c r="L121" s="416"/>
    </row>
    <row r="122" spans="2:12" ht="30" customHeight="1" x14ac:dyDescent="0.3">
      <c r="B122" s="423"/>
      <c r="C122" s="393" t="s">
        <v>324</v>
      </c>
      <c r="D122" s="394"/>
      <c r="E122" s="258"/>
      <c r="F122" s="259"/>
      <c r="G122" s="411"/>
      <c r="H122" s="412"/>
      <c r="I122" s="411"/>
      <c r="J122" s="412"/>
      <c r="K122" s="411"/>
      <c r="L122" s="416"/>
    </row>
    <row r="123" spans="2:12" ht="30" customHeight="1" x14ac:dyDescent="0.3">
      <c r="B123" s="423"/>
      <c r="C123" s="393" t="s">
        <v>325</v>
      </c>
      <c r="D123" s="394"/>
      <c r="E123" s="434"/>
      <c r="F123" s="435"/>
      <c r="G123" s="413"/>
      <c r="H123" s="414"/>
      <c r="I123" s="413"/>
      <c r="J123" s="414"/>
      <c r="K123" s="413"/>
      <c r="L123" s="417"/>
    </row>
    <row r="124" spans="2:12" ht="30" customHeight="1" x14ac:dyDescent="0.3">
      <c r="B124" s="423"/>
      <c r="C124" s="393" t="s">
        <v>143</v>
      </c>
      <c r="D124" s="394"/>
      <c r="E124" s="258"/>
      <c r="F124" s="259"/>
      <c r="G124" s="420" t="s">
        <v>150</v>
      </c>
      <c r="H124" s="432"/>
      <c r="I124" s="420" t="s">
        <v>151</v>
      </c>
      <c r="J124" s="432"/>
      <c r="K124" s="420" t="s">
        <v>152</v>
      </c>
      <c r="L124" s="421"/>
    </row>
    <row r="125" spans="2:12" ht="30" customHeight="1" x14ac:dyDescent="0.3">
      <c r="B125" s="423"/>
      <c r="C125" s="393" t="s">
        <v>144</v>
      </c>
      <c r="D125" s="394"/>
      <c r="E125" s="258"/>
      <c r="F125" s="259"/>
      <c r="G125" s="395"/>
      <c r="H125" s="396"/>
      <c r="I125" s="401"/>
      <c r="J125" s="401"/>
      <c r="K125" s="395"/>
      <c r="L125" s="404"/>
    </row>
    <row r="126" spans="2:12" ht="30" customHeight="1" x14ac:dyDescent="0.3">
      <c r="B126" s="423"/>
      <c r="C126" s="393" t="s">
        <v>153</v>
      </c>
      <c r="D126" s="394"/>
      <c r="E126" s="258"/>
      <c r="F126" s="259"/>
      <c r="G126" s="397"/>
      <c r="H126" s="398"/>
      <c r="I126" s="402"/>
      <c r="J126" s="402"/>
      <c r="K126" s="397"/>
      <c r="L126" s="405"/>
    </row>
    <row r="127" spans="2:12" ht="30" customHeight="1" x14ac:dyDescent="0.3">
      <c r="B127" s="423"/>
      <c r="C127" s="393" t="s">
        <v>131</v>
      </c>
      <c r="D127" s="394"/>
      <c r="E127" s="436"/>
      <c r="F127" s="437"/>
      <c r="G127" s="397"/>
      <c r="H127" s="398"/>
      <c r="I127" s="402"/>
      <c r="J127" s="402"/>
      <c r="K127" s="397"/>
      <c r="L127" s="405"/>
    </row>
    <row r="128" spans="2:12" ht="30" customHeight="1" x14ac:dyDescent="0.3">
      <c r="B128" s="423"/>
      <c r="C128" s="393" t="s">
        <v>145</v>
      </c>
      <c r="D128" s="394"/>
      <c r="E128" s="260"/>
      <c r="F128" s="261"/>
      <c r="G128" s="397"/>
      <c r="H128" s="398"/>
      <c r="I128" s="402"/>
      <c r="J128" s="402"/>
      <c r="K128" s="397"/>
      <c r="L128" s="405"/>
    </row>
    <row r="129" spans="2:12" ht="30" customHeight="1" thickBot="1" x14ac:dyDescent="0.35">
      <c r="B129" s="424"/>
      <c r="C129" s="407" t="s">
        <v>146</v>
      </c>
      <c r="D129" s="408"/>
      <c r="E129" s="262"/>
      <c r="F129" s="263"/>
      <c r="G129" s="399"/>
      <c r="H129" s="400"/>
      <c r="I129" s="403"/>
      <c r="J129" s="403"/>
      <c r="K129" s="399"/>
      <c r="L129" s="406"/>
    </row>
    <row r="130" spans="2:12" ht="30" customHeight="1" x14ac:dyDescent="0.3">
      <c r="B130" s="422" t="s">
        <v>344</v>
      </c>
      <c r="C130" s="425" t="s">
        <v>128</v>
      </c>
      <c r="D130" s="426"/>
      <c r="E130" s="427"/>
      <c r="F130" s="428"/>
      <c r="G130" s="429" t="s">
        <v>149</v>
      </c>
      <c r="H130" s="430"/>
      <c r="I130" s="431" t="s">
        <v>129</v>
      </c>
      <c r="J130" s="430"/>
      <c r="K130" s="431" t="s">
        <v>130</v>
      </c>
      <c r="L130" s="433"/>
    </row>
    <row r="131" spans="2:12" ht="30" customHeight="1" x14ac:dyDescent="0.3">
      <c r="B131" s="423"/>
      <c r="C131" s="393" t="s">
        <v>231</v>
      </c>
      <c r="D131" s="394"/>
      <c r="E131" s="418"/>
      <c r="F131" s="419"/>
      <c r="G131" s="409"/>
      <c r="H131" s="410"/>
      <c r="I131" s="409"/>
      <c r="J131" s="410"/>
      <c r="K131" s="409"/>
      <c r="L131" s="415"/>
    </row>
    <row r="132" spans="2:12" ht="30" customHeight="1" x14ac:dyDescent="0.3">
      <c r="B132" s="423"/>
      <c r="C132" s="393" t="s">
        <v>147</v>
      </c>
      <c r="D132" s="394"/>
      <c r="E132" s="418"/>
      <c r="F132" s="419"/>
      <c r="G132" s="411"/>
      <c r="H132" s="412"/>
      <c r="I132" s="411"/>
      <c r="J132" s="412"/>
      <c r="K132" s="411"/>
      <c r="L132" s="416"/>
    </row>
    <row r="133" spans="2:12" ht="30" customHeight="1" x14ac:dyDescent="0.3">
      <c r="B133" s="423"/>
      <c r="C133" s="393" t="s">
        <v>142</v>
      </c>
      <c r="D133" s="394"/>
      <c r="E133" s="256"/>
      <c r="F133" s="257"/>
      <c r="G133" s="411"/>
      <c r="H133" s="412"/>
      <c r="I133" s="411"/>
      <c r="J133" s="412"/>
      <c r="K133" s="411"/>
      <c r="L133" s="416"/>
    </row>
    <row r="134" spans="2:12" ht="30" customHeight="1" x14ac:dyDescent="0.3">
      <c r="B134" s="423"/>
      <c r="C134" s="393" t="s">
        <v>324</v>
      </c>
      <c r="D134" s="394"/>
      <c r="E134" s="258"/>
      <c r="F134" s="259"/>
      <c r="G134" s="411"/>
      <c r="H134" s="412"/>
      <c r="I134" s="411"/>
      <c r="J134" s="412"/>
      <c r="K134" s="411"/>
      <c r="L134" s="416"/>
    </row>
    <row r="135" spans="2:12" ht="30" customHeight="1" x14ac:dyDescent="0.3">
      <c r="B135" s="423"/>
      <c r="C135" s="393" t="s">
        <v>325</v>
      </c>
      <c r="D135" s="394"/>
      <c r="E135" s="434"/>
      <c r="F135" s="435"/>
      <c r="G135" s="413"/>
      <c r="H135" s="414"/>
      <c r="I135" s="413"/>
      <c r="J135" s="414"/>
      <c r="K135" s="413"/>
      <c r="L135" s="417"/>
    </row>
    <row r="136" spans="2:12" ht="30" customHeight="1" x14ac:dyDescent="0.3">
      <c r="B136" s="423"/>
      <c r="C136" s="393" t="s">
        <v>143</v>
      </c>
      <c r="D136" s="394"/>
      <c r="E136" s="258"/>
      <c r="F136" s="259"/>
      <c r="G136" s="420" t="s">
        <v>150</v>
      </c>
      <c r="H136" s="432"/>
      <c r="I136" s="420" t="s">
        <v>151</v>
      </c>
      <c r="J136" s="432"/>
      <c r="K136" s="420" t="s">
        <v>152</v>
      </c>
      <c r="L136" s="421"/>
    </row>
    <row r="137" spans="2:12" ht="30" customHeight="1" x14ac:dyDescent="0.3">
      <c r="B137" s="423"/>
      <c r="C137" s="393" t="s">
        <v>144</v>
      </c>
      <c r="D137" s="394"/>
      <c r="E137" s="258"/>
      <c r="F137" s="259"/>
      <c r="G137" s="395"/>
      <c r="H137" s="396"/>
      <c r="I137" s="401"/>
      <c r="J137" s="401"/>
      <c r="K137" s="395"/>
      <c r="L137" s="404"/>
    </row>
    <row r="138" spans="2:12" ht="30" customHeight="1" x14ac:dyDescent="0.3">
      <c r="B138" s="423"/>
      <c r="C138" s="393" t="s">
        <v>153</v>
      </c>
      <c r="D138" s="394"/>
      <c r="E138" s="258"/>
      <c r="F138" s="259"/>
      <c r="G138" s="397"/>
      <c r="H138" s="398"/>
      <c r="I138" s="402"/>
      <c r="J138" s="402"/>
      <c r="K138" s="397"/>
      <c r="L138" s="405"/>
    </row>
    <row r="139" spans="2:12" ht="30" customHeight="1" x14ac:dyDescent="0.3">
      <c r="B139" s="423"/>
      <c r="C139" s="393" t="s">
        <v>131</v>
      </c>
      <c r="D139" s="394"/>
      <c r="E139" s="436"/>
      <c r="F139" s="437"/>
      <c r="G139" s="397"/>
      <c r="H139" s="398"/>
      <c r="I139" s="402"/>
      <c r="J139" s="402"/>
      <c r="K139" s="397"/>
      <c r="L139" s="405"/>
    </row>
    <row r="140" spans="2:12" ht="30" customHeight="1" x14ac:dyDescent="0.3">
      <c r="B140" s="423"/>
      <c r="C140" s="393" t="s">
        <v>145</v>
      </c>
      <c r="D140" s="394"/>
      <c r="E140" s="260"/>
      <c r="F140" s="261"/>
      <c r="G140" s="397"/>
      <c r="H140" s="398"/>
      <c r="I140" s="402"/>
      <c r="J140" s="402"/>
      <c r="K140" s="397"/>
      <c r="L140" s="405"/>
    </row>
    <row r="141" spans="2:12" ht="30" customHeight="1" thickBot="1" x14ac:dyDescent="0.35">
      <c r="B141" s="424"/>
      <c r="C141" s="407" t="s">
        <v>146</v>
      </c>
      <c r="D141" s="408"/>
      <c r="E141" s="262"/>
      <c r="F141" s="263"/>
      <c r="G141" s="399"/>
      <c r="H141" s="400"/>
      <c r="I141" s="403"/>
      <c r="J141" s="403"/>
      <c r="K141" s="399"/>
      <c r="L141" s="406"/>
    </row>
    <row r="142" spans="2:12" ht="30" customHeight="1" x14ac:dyDescent="0.3">
      <c r="B142" s="422" t="s">
        <v>345</v>
      </c>
      <c r="C142" s="425" t="s">
        <v>128</v>
      </c>
      <c r="D142" s="426"/>
      <c r="E142" s="427"/>
      <c r="F142" s="428"/>
      <c r="G142" s="429" t="s">
        <v>149</v>
      </c>
      <c r="H142" s="430"/>
      <c r="I142" s="431" t="s">
        <v>129</v>
      </c>
      <c r="J142" s="430"/>
      <c r="K142" s="431" t="s">
        <v>130</v>
      </c>
      <c r="L142" s="433"/>
    </row>
    <row r="143" spans="2:12" ht="30" customHeight="1" x14ac:dyDescent="0.3">
      <c r="B143" s="423"/>
      <c r="C143" s="393" t="s">
        <v>231</v>
      </c>
      <c r="D143" s="394"/>
      <c r="E143" s="418"/>
      <c r="F143" s="419"/>
      <c r="G143" s="409"/>
      <c r="H143" s="410"/>
      <c r="I143" s="409"/>
      <c r="J143" s="410"/>
      <c r="K143" s="409"/>
      <c r="L143" s="415"/>
    </row>
    <row r="144" spans="2:12" ht="30" customHeight="1" x14ac:dyDescent="0.3">
      <c r="B144" s="423"/>
      <c r="C144" s="393" t="s">
        <v>147</v>
      </c>
      <c r="D144" s="394"/>
      <c r="E144" s="418"/>
      <c r="F144" s="419"/>
      <c r="G144" s="411"/>
      <c r="H144" s="412"/>
      <c r="I144" s="411"/>
      <c r="J144" s="412"/>
      <c r="K144" s="411"/>
      <c r="L144" s="416"/>
    </row>
    <row r="145" spans="2:12" ht="30" customHeight="1" x14ac:dyDescent="0.3">
      <c r="B145" s="423"/>
      <c r="C145" s="393" t="s">
        <v>142</v>
      </c>
      <c r="D145" s="394"/>
      <c r="E145" s="256"/>
      <c r="F145" s="257"/>
      <c r="G145" s="411"/>
      <c r="H145" s="412"/>
      <c r="I145" s="411"/>
      <c r="J145" s="412"/>
      <c r="K145" s="411"/>
      <c r="L145" s="416"/>
    </row>
    <row r="146" spans="2:12" ht="30" customHeight="1" x14ac:dyDescent="0.3">
      <c r="B146" s="423"/>
      <c r="C146" s="393" t="s">
        <v>324</v>
      </c>
      <c r="D146" s="394"/>
      <c r="E146" s="258"/>
      <c r="F146" s="259"/>
      <c r="G146" s="411"/>
      <c r="H146" s="412"/>
      <c r="I146" s="411"/>
      <c r="J146" s="412"/>
      <c r="K146" s="411"/>
      <c r="L146" s="416"/>
    </row>
    <row r="147" spans="2:12" ht="30" customHeight="1" x14ac:dyDescent="0.3">
      <c r="B147" s="423"/>
      <c r="C147" s="393" t="s">
        <v>325</v>
      </c>
      <c r="D147" s="394"/>
      <c r="E147" s="434"/>
      <c r="F147" s="435"/>
      <c r="G147" s="413"/>
      <c r="H147" s="414"/>
      <c r="I147" s="413"/>
      <c r="J147" s="414"/>
      <c r="K147" s="413"/>
      <c r="L147" s="417"/>
    </row>
    <row r="148" spans="2:12" ht="30" customHeight="1" x14ac:dyDescent="0.3">
      <c r="B148" s="423"/>
      <c r="C148" s="393" t="s">
        <v>143</v>
      </c>
      <c r="D148" s="394"/>
      <c r="E148" s="258"/>
      <c r="F148" s="259"/>
      <c r="G148" s="420" t="s">
        <v>150</v>
      </c>
      <c r="H148" s="432"/>
      <c r="I148" s="420" t="s">
        <v>151</v>
      </c>
      <c r="J148" s="432"/>
      <c r="K148" s="420" t="s">
        <v>152</v>
      </c>
      <c r="L148" s="421"/>
    </row>
    <row r="149" spans="2:12" ht="30" customHeight="1" x14ac:dyDescent="0.3">
      <c r="B149" s="423"/>
      <c r="C149" s="393" t="s">
        <v>144</v>
      </c>
      <c r="D149" s="394"/>
      <c r="E149" s="258"/>
      <c r="F149" s="259"/>
      <c r="G149" s="395"/>
      <c r="H149" s="396"/>
      <c r="I149" s="401"/>
      <c r="J149" s="401"/>
      <c r="K149" s="395"/>
      <c r="L149" s="404"/>
    </row>
    <row r="150" spans="2:12" ht="30" customHeight="1" x14ac:dyDescent="0.3">
      <c r="B150" s="423"/>
      <c r="C150" s="393" t="s">
        <v>153</v>
      </c>
      <c r="D150" s="394"/>
      <c r="E150" s="258"/>
      <c r="F150" s="259"/>
      <c r="G150" s="397"/>
      <c r="H150" s="398"/>
      <c r="I150" s="402"/>
      <c r="J150" s="402"/>
      <c r="K150" s="397"/>
      <c r="L150" s="405"/>
    </row>
    <row r="151" spans="2:12" ht="30" customHeight="1" x14ac:dyDescent="0.3">
      <c r="B151" s="423"/>
      <c r="C151" s="393" t="s">
        <v>131</v>
      </c>
      <c r="D151" s="394"/>
      <c r="E151" s="436"/>
      <c r="F151" s="437"/>
      <c r="G151" s="397"/>
      <c r="H151" s="398"/>
      <c r="I151" s="402"/>
      <c r="J151" s="402"/>
      <c r="K151" s="397"/>
      <c r="L151" s="405"/>
    </row>
    <row r="152" spans="2:12" ht="30" customHeight="1" x14ac:dyDescent="0.3">
      <c r="B152" s="423"/>
      <c r="C152" s="393" t="s">
        <v>145</v>
      </c>
      <c r="D152" s="394"/>
      <c r="E152" s="260"/>
      <c r="F152" s="261"/>
      <c r="G152" s="397"/>
      <c r="H152" s="398"/>
      <c r="I152" s="402"/>
      <c r="J152" s="402"/>
      <c r="K152" s="397"/>
      <c r="L152" s="405"/>
    </row>
    <row r="153" spans="2:12" ht="30" customHeight="1" thickBot="1" x14ac:dyDescent="0.35">
      <c r="B153" s="424"/>
      <c r="C153" s="407" t="s">
        <v>146</v>
      </c>
      <c r="D153" s="408"/>
      <c r="E153" s="262"/>
      <c r="F153" s="263"/>
      <c r="G153" s="399"/>
      <c r="H153" s="400"/>
      <c r="I153" s="403"/>
      <c r="J153" s="403"/>
      <c r="K153" s="399"/>
      <c r="L153" s="406"/>
    </row>
    <row r="154" spans="2:12" ht="30" customHeight="1" x14ac:dyDescent="0.3">
      <c r="B154" s="422" t="s">
        <v>346</v>
      </c>
      <c r="C154" s="425" t="s">
        <v>128</v>
      </c>
      <c r="D154" s="426"/>
      <c r="E154" s="427"/>
      <c r="F154" s="428"/>
      <c r="G154" s="429" t="s">
        <v>149</v>
      </c>
      <c r="H154" s="430"/>
      <c r="I154" s="431" t="s">
        <v>129</v>
      </c>
      <c r="J154" s="430"/>
      <c r="K154" s="431" t="s">
        <v>130</v>
      </c>
      <c r="L154" s="433"/>
    </row>
    <row r="155" spans="2:12" ht="30" customHeight="1" x14ac:dyDescent="0.3">
      <c r="B155" s="423"/>
      <c r="C155" s="393" t="s">
        <v>231</v>
      </c>
      <c r="D155" s="394"/>
      <c r="E155" s="418"/>
      <c r="F155" s="419"/>
      <c r="G155" s="409"/>
      <c r="H155" s="410"/>
      <c r="I155" s="409"/>
      <c r="J155" s="410"/>
      <c r="K155" s="409"/>
      <c r="L155" s="415"/>
    </row>
    <row r="156" spans="2:12" ht="30" customHeight="1" x14ac:dyDescent="0.3">
      <c r="B156" s="423"/>
      <c r="C156" s="393" t="s">
        <v>147</v>
      </c>
      <c r="D156" s="394"/>
      <c r="E156" s="418"/>
      <c r="F156" s="419"/>
      <c r="G156" s="411"/>
      <c r="H156" s="412"/>
      <c r="I156" s="411"/>
      <c r="J156" s="412"/>
      <c r="K156" s="411"/>
      <c r="L156" s="416"/>
    </row>
    <row r="157" spans="2:12" ht="30" customHeight="1" x14ac:dyDescent="0.3">
      <c r="B157" s="423"/>
      <c r="C157" s="393" t="s">
        <v>142</v>
      </c>
      <c r="D157" s="394"/>
      <c r="E157" s="256"/>
      <c r="F157" s="257"/>
      <c r="G157" s="411"/>
      <c r="H157" s="412"/>
      <c r="I157" s="411"/>
      <c r="J157" s="412"/>
      <c r="K157" s="411"/>
      <c r="L157" s="416"/>
    </row>
    <row r="158" spans="2:12" ht="30" customHeight="1" x14ac:dyDescent="0.3">
      <c r="B158" s="423"/>
      <c r="C158" s="393" t="s">
        <v>324</v>
      </c>
      <c r="D158" s="394"/>
      <c r="E158" s="258"/>
      <c r="F158" s="259"/>
      <c r="G158" s="411"/>
      <c r="H158" s="412"/>
      <c r="I158" s="411"/>
      <c r="J158" s="412"/>
      <c r="K158" s="411"/>
      <c r="L158" s="416"/>
    </row>
    <row r="159" spans="2:12" ht="30" customHeight="1" x14ac:dyDescent="0.3">
      <c r="B159" s="423"/>
      <c r="C159" s="393" t="s">
        <v>325</v>
      </c>
      <c r="D159" s="394"/>
      <c r="E159" s="434"/>
      <c r="F159" s="435"/>
      <c r="G159" s="413"/>
      <c r="H159" s="414"/>
      <c r="I159" s="413"/>
      <c r="J159" s="414"/>
      <c r="K159" s="413"/>
      <c r="L159" s="417"/>
    </row>
    <row r="160" spans="2:12" ht="30" customHeight="1" x14ac:dyDescent="0.3">
      <c r="B160" s="423"/>
      <c r="C160" s="393" t="s">
        <v>143</v>
      </c>
      <c r="D160" s="394"/>
      <c r="E160" s="258"/>
      <c r="F160" s="259"/>
      <c r="G160" s="420" t="s">
        <v>150</v>
      </c>
      <c r="H160" s="432"/>
      <c r="I160" s="420" t="s">
        <v>151</v>
      </c>
      <c r="J160" s="432"/>
      <c r="K160" s="420" t="s">
        <v>152</v>
      </c>
      <c r="L160" s="421"/>
    </row>
    <row r="161" spans="2:12" ht="30" customHeight="1" x14ac:dyDescent="0.3">
      <c r="B161" s="423"/>
      <c r="C161" s="393" t="s">
        <v>144</v>
      </c>
      <c r="D161" s="394"/>
      <c r="E161" s="258"/>
      <c r="F161" s="259"/>
      <c r="G161" s="395"/>
      <c r="H161" s="396"/>
      <c r="I161" s="401"/>
      <c r="J161" s="401"/>
      <c r="K161" s="395"/>
      <c r="L161" s="404"/>
    </row>
    <row r="162" spans="2:12" ht="30" customHeight="1" x14ac:dyDescent="0.3">
      <c r="B162" s="423"/>
      <c r="C162" s="393" t="s">
        <v>153</v>
      </c>
      <c r="D162" s="394"/>
      <c r="E162" s="258"/>
      <c r="F162" s="259"/>
      <c r="G162" s="397"/>
      <c r="H162" s="398"/>
      <c r="I162" s="402"/>
      <c r="J162" s="402"/>
      <c r="K162" s="397"/>
      <c r="L162" s="405"/>
    </row>
    <row r="163" spans="2:12" ht="30" customHeight="1" x14ac:dyDescent="0.3">
      <c r="B163" s="423"/>
      <c r="C163" s="393" t="s">
        <v>131</v>
      </c>
      <c r="D163" s="394"/>
      <c r="E163" s="436"/>
      <c r="F163" s="437"/>
      <c r="G163" s="397"/>
      <c r="H163" s="398"/>
      <c r="I163" s="402"/>
      <c r="J163" s="402"/>
      <c r="K163" s="397"/>
      <c r="L163" s="405"/>
    </row>
    <row r="164" spans="2:12" ht="30" customHeight="1" x14ac:dyDescent="0.3">
      <c r="B164" s="423"/>
      <c r="C164" s="393" t="s">
        <v>145</v>
      </c>
      <c r="D164" s="394"/>
      <c r="E164" s="260"/>
      <c r="F164" s="261"/>
      <c r="G164" s="397"/>
      <c r="H164" s="398"/>
      <c r="I164" s="402"/>
      <c r="J164" s="402"/>
      <c r="K164" s="397"/>
      <c r="L164" s="405"/>
    </row>
    <row r="165" spans="2:12" ht="30" customHeight="1" thickBot="1" x14ac:dyDescent="0.35">
      <c r="B165" s="424"/>
      <c r="C165" s="407" t="s">
        <v>146</v>
      </c>
      <c r="D165" s="408"/>
      <c r="E165" s="262"/>
      <c r="F165" s="263"/>
      <c r="G165" s="399"/>
      <c r="H165" s="400"/>
      <c r="I165" s="403"/>
      <c r="J165" s="403"/>
      <c r="K165" s="399"/>
      <c r="L165" s="406"/>
    </row>
    <row r="166" spans="2:12" ht="30" customHeight="1" x14ac:dyDescent="0.3">
      <c r="B166" s="422" t="s">
        <v>347</v>
      </c>
      <c r="C166" s="425" t="s">
        <v>128</v>
      </c>
      <c r="D166" s="426"/>
      <c r="E166" s="427"/>
      <c r="F166" s="428"/>
      <c r="G166" s="429" t="s">
        <v>149</v>
      </c>
      <c r="H166" s="430"/>
      <c r="I166" s="431" t="s">
        <v>129</v>
      </c>
      <c r="J166" s="430"/>
      <c r="K166" s="431" t="s">
        <v>130</v>
      </c>
      <c r="L166" s="433"/>
    </row>
    <row r="167" spans="2:12" ht="30" customHeight="1" x14ac:dyDescent="0.3">
      <c r="B167" s="423"/>
      <c r="C167" s="393" t="s">
        <v>231</v>
      </c>
      <c r="D167" s="394"/>
      <c r="E167" s="418"/>
      <c r="F167" s="419"/>
      <c r="G167" s="409"/>
      <c r="H167" s="410"/>
      <c r="I167" s="409"/>
      <c r="J167" s="410"/>
      <c r="K167" s="409"/>
      <c r="L167" s="415"/>
    </row>
    <row r="168" spans="2:12" ht="30" customHeight="1" x14ac:dyDescent="0.3">
      <c r="B168" s="423"/>
      <c r="C168" s="393" t="s">
        <v>147</v>
      </c>
      <c r="D168" s="394"/>
      <c r="E168" s="418"/>
      <c r="F168" s="419"/>
      <c r="G168" s="411"/>
      <c r="H168" s="412"/>
      <c r="I168" s="411"/>
      <c r="J168" s="412"/>
      <c r="K168" s="411"/>
      <c r="L168" s="416"/>
    </row>
    <row r="169" spans="2:12" ht="30" customHeight="1" x14ac:dyDescent="0.3">
      <c r="B169" s="423"/>
      <c r="C169" s="393" t="s">
        <v>142</v>
      </c>
      <c r="D169" s="394"/>
      <c r="E169" s="256"/>
      <c r="F169" s="257"/>
      <c r="G169" s="411"/>
      <c r="H169" s="412"/>
      <c r="I169" s="411"/>
      <c r="J169" s="412"/>
      <c r="K169" s="411"/>
      <c r="L169" s="416"/>
    </row>
    <row r="170" spans="2:12" ht="30" customHeight="1" x14ac:dyDescent="0.3">
      <c r="B170" s="423"/>
      <c r="C170" s="393" t="s">
        <v>324</v>
      </c>
      <c r="D170" s="394"/>
      <c r="E170" s="258"/>
      <c r="F170" s="259"/>
      <c r="G170" s="411"/>
      <c r="H170" s="412"/>
      <c r="I170" s="411"/>
      <c r="J170" s="412"/>
      <c r="K170" s="411"/>
      <c r="L170" s="416"/>
    </row>
    <row r="171" spans="2:12" ht="30" customHeight="1" x14ac:dyDescent="0.3">
      <c r="B171" s="423"/>
      <c r="C171" s="393" t="s">
        <v>325</v>
      </c>
      <c r="D171" s="394"/>
      <c r="E171" s="434"/>
      <c r="F171" s="435"/>
      <c r="G171" s="413"/>
      <c r="H171" s="414"/>
      <c r="I171" s="413"/>
      <c r="J171" s="414"/>
      <c r="K171" s="413"/>
      <c r="L171" s="417"/>
    </row>
    <row r="172" spans="2:12" ht="30" customHeight="1" x14ac:dyDescent="0.3">
      <c r="B172" s="423"/>
      <c r="C172" s="393" t="s">
        <v>143</v>
      </c>
      <c r="D172" s="394"/>
      <c r="E172" s="258"/>
      <c r="F172" s="259"/>
      <c r="G172" s="420" t="s">
        <v>150</v>
      </c>
      <c r="H172" s="432"/>
      <c r="I172" s="420" t="s">
        <v>151</v>
      </c>
      <c r="J172" s="432"/>
      <c r="K172" s="420" t="s">
        <v>152</v>
      </c>
      <c r="L172" s="421"/>
    </row>
    <row r="173" spans="2:12" ht="30" customHeight="1" x14ac:dyDescent="0.3">
      <c r="B173" s="423"/>
      <c r="C173" s="393" t="s">
        <v>144</v>
      </c>
      <c r="D173" s="394"/>
      <c r="E173" s="258"/>
      <c r="F173" s="259"/>
      <c r="G173" s="395"/>
      <c r="H173" s="396"/>
      <c r="I173" s="401"/>
      <c r="J173" s="401"/>
      <c r="K173" s="395"/>
      <c r="L173" s="404"/>
    </row>
    <row r="174" spans="2:12" ht="30" customHeight="1" x14ac:dyDescent="0.3">
      <c r="B174" s="423"/>
      <c r="C174" s="393" t="s">
        <v>153</v>
      </c>
      <c r="D174" s="394"/>
      <c r="E174" s="258"/>
      <c r="F174" s="259"/>
      <c r="G174" s="397"/>
      <c r="H174" s="398"/>
      <c r="I174" s="402"/>
      <c r="J174" s="402"/>
      <c r="K174" s="397"/>
      <c r="L174" s="405"/>
    </row>
    <row r="175" spans="2:12" ht="30" customHeight="1" x14ac:dyDescent="0.3">
      <c r="B175" s="423"/>
      <c r="C175" s="393" t="s">
        <v>131</v>
      </c>
      <c r="D175" s="394"/>
      <c r="E175" s="436"/>
      <c r="F175" s="437"/>
      <c r="G175" s="397"/>
      <c r="H175" s="398"/>
      <c r="I175" s="402"/>
      <c r="J175" s="402"/>
      <c r="K175" s="397"/>
      <c r="L175" s="405"/>
    </row>
    <row r="176" spans="2:12" ht="30" customHeight="1" x14ac:dyDescent="0.3">
      <c r="B176" s="423"/>
      <c r="C176" s="393" t="s">
        <v>145</v>
      </c>
      <c r="D176" s="394"/>
      <c r="E176" s="260"/>
      <c r="F176" s="261"/>
      <c r="G176" s="397"/>
      <c r="H176" s="398"/>
      <c r="I176" s="402"/>
      <c r="J176" s="402"/>
      <c r="K176" s="397"/>
      <c r="L176" s="405"/>
    </row>
    <row r="177" spans="2:12" ht="30" customHeight="1" thickBot="1" x14ac:dyDescent="0.35">
      <c r="B177" s="424"/>
      <c r="C177" s="407" t="s">
        <v>146</v>
      </c>
      <c r="D177" s="408"/>
      <c r="E177" s="262"/>
      <c r="F177" s="263"/>
      <c r="G177" s="399"/>
      <c r="H177" s="400"/>
      <c r="I177" s="403"/>
      <c r="J177" s="403"/>
      <c r="K177" s="399"/>
      <c r="L177" s="406"/>
    </row>
    <row r="178" spans="2:12" ht="30" customHeight="1" x14ac:dyDescent="0.3">
      <c r="B178" s="422" t="s">
        <v>348</v>
      </c>
      <c r="C178" s="425" t="s">
        <v>128</v>
      </c>
      <c r="D178" s="426"/>
      <c r="E178" s="427"/>
      <c r="F178" s="428"/>
      <c r="G178" s="429" t="s">
        <v>149</v>
      </c>
      <c r="H178" s="430"/>
      <c r="I178" s="431" t="s">
        <v>129</v>
      </c>
      <c r="J178" s="430"/>
      <c r="K178" s="431" t="s">
        <v>130</v>
      </c>
      <c r="L178" s="433"/>
    </row>
    <row r="179" spans="2:12" ht="30" customHeight="1" x14ac:dyDescent="0.3">
      <c r="B179" s="423"/>
      <c r="C179" s="393" t="s">
        <v>231</v>
      </c>
      <c r="D179" s="394"/>
      <c r="E179" s="418"/>
      <c r="F179" s="419"/>
      <c r="G179" s="409"/>
      <c r="H179" s="410"/>
      <c r="I179" s="409"/>
      <c r="J179" s="410"/>
      <c r="K179" s="409"/>
      <c r="L179" s="415"/>
    </row>
    <row r="180" spans="2:12" ht="30" customHeight="1" x14ac:dyDescent="0.3">
      <c r="B180" s="423"/>
      <c r="C180" s="393" t="s">
        <v>147</v>
      </c>
      <c r="D180" s="394"/>
      <c r="E180" s="418"/>
      <c r="F180" s="419"/>
      <c r="G180" s="411"/>
      <c r="H180" s="412"/>
      <c r="I180" s="411"/>
      <c r="J180" s="412"/>
      <c r="K180" s="411"/>
      <c r="L180" s="416"/>
    </row>
    <row r="181" spans="2:12" ht="30" customHeight="1" x14ac:dyDescent="0.3">
      <c r="B181" s="423"/>
      <c r="C181" s="393" t="s">
        <v>142</v>
      </c>
      <c r="D181" s="394"/>
      <c r="E181" s="256"/>
      <c r="F181" s="257"/>
      <c r="G181" s="411"/>
      <c r="H181" s="412"/>
      <c r="I181" s="411"/>
      <c r="J181" s="412"/>
      <c r="K181" s="411"/>
      <c r="L181" s="416"/>
    </row>
    <row r="182" spans="2:12" ht="30" customHeight="1" x14ac:dyDescent="0.3">
      <c r="B182" s="423"/>
      <c r="C182" s="393" t="s">
        <v>324</v>
      </c>
      <c r="D182" s="394"/>
      <c r="E182" s="258"/>
      <c r="F182" s="259"/>
      <c r="G182" s="411"/>
      <c r="H182" s="412"/>
      <c r="I182" s="411"/>
      <c r="J182" s="412"/>
      <c r="K182" s="411"/>
      <c r="L182" s="416"/>
    </row>
    <row r="183" spans="2:12" ht="30" customHeight="1" x14ac:dyDescent="0.3">
      <c r="B183" s="423"/>
      <c r="C183" s="393" t="s">
        <v>325</v>
      </c>
      <c r="D183" s="394"/>
      <c r="E183" s="434"/>
      <c r="F183" s="435"/>
      <c r="G183" s="413"/>
      <c r="H183" s="414"/>
      <c r="I183" s="413"/>
      <c r="J183" s="414"/>
      <c r="K183" s="413"/>
      <c r="L183" s="417"/>
    </row>
    <row r="184" spans="2:12" ht="30" customHeight="1" x14ac:dyDescent="0.3">
      <c r="B184" s="423"/>
      <c r="C184" s="393" t="s">
        <v>143</v>
      </c>
      <c r="D184" s="394"/>
      <c r="E184" s="258"/>
      <c r="F184" s="259"/>
      <c r="G184" s="420" t="s">
        <v>150</v>
      </c>
      <c r="H184" s="432"/>
      <c r="I184" s="420" t="s">
        <v>151</v>
      </c>
      <c r="J184" s="432"/>
      <c r="K184" s="420" t="s">
        <v>152</v>
      </c>
      <c r="L184" s="421"/>
    </row>
    <row r="185" spans="2:12" ht="30" customHeight="1" x14ac:dyDescent="0.3">
      <c r="B185" s="423"/>
      <c r="C185" s="393" t="s">
        <v>144</v>
      </c>
      <c r="D185" s="394"/>
      <c r="E185" s="258"/>
      <c r="F185" s="259"/>
      <c r="G185" s="395"/>
      <c r="H185" s="396"/>
      <c r="I185" s="401"/>
      <c r="J185" s="401"/>
      <c r="K185" s="395"/>
      <c r="L185" s="404"/>
    </row>
    <row r="186" spans="2:12" ht="30" customHeight="1" x14ac:dyDescent="0.3">
      <c r="B186" s="423"/>
      <c r="C186" s="393" t="s">
        <v>153</v>
      </c>
      <c r="D186" s="394"/>
      <c r="E186" s="258"/>
      <c r="F186" s="259"/>
      <c r="G186" s="397"/>
      <c r="H186" s="398"/>
      <c r="I186" s="402"/>
      <c r="J186" s="402"/>
      <c r="K186" s="397"/>
      <c r="L186" s="405"/>
    </row>
    <row r="187" spans="2:12" ht="30" customHeight="1" x14ac:dyDescent="0.3">
      <c r="B187" s="423"/>
      <c r="C187" s="393" t="s">
        <v>131</v>
      </c>
      <c r="D187" s="394"/>
      <c r="E187" s="436"/>
      <c r="F187" s="437"/>
      <c r="G187" s="397"/>
      <c r="H187" s="398"/>
      <c r="I187" s="402"/>
      <c r="J187" s="402"/>
      <c r="K187" s="397"/>
      <c r="L187" s="405"/>
    </row>
    <row r="188" spans="2:12" ht="30" customHeight="1" x14ac:dyDescent="0.3">
      <c r="B188" s="423"/>
      <c r="C188" s="393" t="s">
        <v>145</v>
      </c>
      <c r="D188" s="394"/>
      <c r="E188" s="260"/>
      <c r="F188" s="261"/>
      <c r="G188" s="397"/>
      <c r="H188" s="398"/>
      <c r="I188" s="402"/>
      <c r="J188" s="402"/>
      <c r="K188" s="397"/>
      <c r="L188" s="405"/>
    </row>
    <row r="189" spans="2:12" ht="30" customHeight="1" thickBot="1" x14ac:dyDescent="0.35">
      <c r="B189" s="424"/>
      <c r="C189" s="407" t="s">
        <v>146</v>
      </c>
      <c r="D189" s="408"/>
      <c r="E189" s="262"/>
      <c r="F189" s="263"/>
      <c r="G189" s="399"/>
      <c r="H189" s="400"/>
      <c r="I189" s="403"/>
      <c r="J189" s="403"/>
      <c r="K189" s="399"/>
      <c r="L189" s="406"/>
    </row>
    <row r="190" spans="2:12" ht="30" customHeight="1" x14ac:dyDescent="0.3">
      <c r="B190" s="422" t="s">
        <v>349</v>
      </c>
      <c r="C190" s="425" t="s">
        <v>128</v>
      </c>
      <c r="D190" s="426"/>
      <c r="E190" s="427"/>
      <c r="F190" s="428"/>
      <c r="G190" s="429" t="s">
        <v>149</v>
      </c>
      <c r="H190" s="430"/>
      <c r="I190" s="431" t="s">
        <v>129</v>
      </c>
      <c r="J190" s="430"/>
      <c r="K190" s="431" t="s">
        <v>130</v>
      </c>
      <c r="L190" s="433"/>
    </row>
    <row r="191" spans="2:12" ht="30" customHeight="1" x14ac:dyDescent="0.3">
      <c r="B191" s="423"/>
      <c r="C191" s="393" t="s">
        <v>231</v>
      </c>
      <c r="D191" s="394"/>
      <c r="E191" s="418"/>
      <c r="F191" s="419"/>
      <c r="G191" s="409"/>
      <c r="H191" s="410"/>
      <c r="I191" s="409"/>
      <c r="J191" s="410"/>
      <c r="K191" s="409"/>
      <c r="L191" s="415"/>
    </row>
    <row r="192" spans="2:12" ht="30" customHeight="1" x14ac:dyDescent="0.3">
      <c r="B192" s="423"/>
      <c r="C192" s="393" t="s">
        <v>147</v>
      </c>
      <c r="D192" s="394"/>
      <c r="E192" s="418"/>
      <c r="F192" s="419"/>
      <c r="G192" s="411"/>
      <c r="H192" s="412"/>
      <c r="I192" s="411"/>
      <c r="J192" s="412"/>
      <c r="K192" s="411"/>
      <c r="L192" s="416"/>
    </row>
    <row r="193" spans="2:12" ht="30" customHeight="1" x14ac:dyDescent="0.3">
      <c r="B193" s="423"/>
      <c r="C193" s="393" t="s">
        <v>142</v>
      </c>
      <c r="D193" s="394"/>
      <c r="E193" s="256"/>
      <c r="F193" s="257"/>
      <c r="G193" s="411"/>
      <c r="H193" s="412"/>
      <c r="I193" s="411"/>
      <c r="J193" s="412"/>
      <c r="K193" s="411"/>
      <c r="L193" s="416"/>
    </row>
    <row r="194" spans="2:12" ht="30" customHeight="1" x14ac:dyDescent="0.3">
      <c r="B194" s="423"/>
      <c r="C194" s="393" t="s">
        <v>324</v>
      </c>
      <c r="D194" s="394"/>
      <c r="E194" s="258"/>
      <c r="F194" s="259"/>
      <c r="G194" s="411"/>
      <c r="H194" s="412"/>
      <c r="I194" s="411"/>
      <c r="J194" s="412"/>
      <c r="K194" s="411"/>
      <c r="L194" s="416"/>
    </row>
    <row r="195" spans="2:12" ht="30" customHeight="1" x14ac:dyDescent="0.3">
      <c r="B195" s="423"/>
      <c r="C195" s="393" t="s">
        <v>325</v>
      </c>
      <c r="D195" s="394"/>
      <c r="E195" s="434"/>
      <c r="F195" s="435"/>
      <c r="G195" s="413"/>
      <c r="H195" s="414"/>
      <c r="I195" s="413"/>
      <c r="J195" s="414"/>
      <c r="K195" s="413"/>
      <c r="L195" s="417"/>
    </row>
    <row r="196" spans="2:12" ht="30" customHeight="1" x14ac:dyDescent="0.3">
      <c r="B196" s="423"/>
      <c r="C196" s="393" t="s">
        <v>143</v>
      </c>
      <c r="D196" s="394"/>
      <c r="E196" s="258"/>
      <c r="F196" s="259"/>
      <c r="G196" s="420" t="s">
        <v>150</v>
      </c>
      <c r="H196" s="432"/>
      <c r="I196" s="420" t="s">
        <v>151</v>
      </c>
      <c r="J196" s="432"/>
      <c r="K196" s="420" t="s">
        <v>152</v>
      </c>
      <c r="L196" s="421"/>
    </row>
    <row r="197" spans="2:12" ht="30" customHeight="1" x14ac:dyDescent="0.3">
      <c r="B197" s="423"/>
      <c r="C197" s="393" t="s">
        <v>144</v>
      </c>
      <c r="D197" s="394"/>
      <c r="E197" s="258"/>
      <c r="F197" s="259"/>
      <c r="G197" s="395"/>
      <c r="H197" s="396"/>
      <c r="I197" s="401"/>
      <c r="J197" s="401"/>
      <c r="K197" s="395"/>
      <c r="L197" s="404"/>
    </row>
    <row r="198" spans="2:12" ht="30" customHeight="1" x14ac:dyDescent="0.3">
      <c r="B198" s="423"/>
      <c r="C198" s="393" t="s">
        <v>153</v>
      </c>
      <c r="D198" s="394"/>
      <c r="E198" s="258"/>
      <c r="F198" s="259"/>
      <c r="G198" s="397"/>
      <c r="H198" s="398"/>
      <c r="I198" s="402"/>
      <c r="J198" s="402"/>
      <c r="K198" s="397"/>
      <c r="L198" s="405"/>
    </row>
    <row r="199" spans="2:12" ht="30" customHeight="1" x14ac:dyDescent="0.3">
      <c r="B199" s="423"/>
      <c r="C199" s="393" t="s">
        <v>131</v>
      </c>
      <c r="D199" s="394"/>
      <c r="E199" s="436"/>
      <c r="F199" s="437"/>
      <c r="G199" s="397"/>
      <c r="H199" s="398"/>
      <c r="I199" s="402"/>
      <c r="J199" s="402"/>
      <c r="K199" s="397"/>
      <c r="L199" s="405"/>
    </row>
    <row r="200" spans="2:12" ht="30" customHeight="1" x14ac:dyDescent="0.3">
      <c r="B200" s="423"/>
      <c r="C200" s="393" t="s">
        <v>145</v>
      </c>
      <c r="D200" s="394"/>
      <c r="E200" s="260"/>
      <c r="F200" s="261"/>
      <c r="G200" s="397"/>
      <c r="H200" s="398"/>
      <c r="I200" s="402"/>
      <c r="J200" s="402"/>
      <c r="K200" s="397"/>
      <c r="L200" s="405"/>
    </row>
    <row r="201" spans="2:12" ht="30" customHeight="1" thickBot="1" x14ac:dyDescent="0.35">
      <c r="B201" s="424"/>
      <c r="C201" s="407" t="s">
        <v>146</v>
      </c>
      <c r="D201" s="408"/>
      <c r="E201" s="262"/>
      <c r="F201" s="263"/>
      <c r="G201" s="399"/>
      <c r="H201" s="400"/>
      <c r="I201" s="403"/>
      <c r="J201" s="403"/>
      <c r="K201" s="399"/>
      <c r="L201" s="406"/>
    </row>
    <row r="202" spans="2:12" ht="30" customHeight="1" x14ac:dyDescent="0.3">
      <c r="B202" s="422" t="s">
        <v>350</v>
      </c>
      <c r="C202" s="425" t="s">
        <v>128</v>
      </c>
      <c r="D202" s="426"/>
      <c r="E202" s="427"/>
      <c r="F202" s="428"/>
      <c r="G202" s="429" t="s">
        <v>149</v>
      </c>
      <c r="H202" s="430"/>
      <c r="I202" s="431" t="s">
        <v>129</v>
      </c>
      <c r="J202" s="430"/>
      <c r="K202" s="431" t="s">
        <v>130</v>
      </c>
      <c r="L202" s="433"/>
    </row>
    <row r="203" spans="2:12" ht="30" customHeight="1" x14ac:dyDescent="0.3">
      <c r="B203" s="423"/>
      <c r="C203" s="393" t="s">
        <v>231</v>
      </c>
      <c r="D203" s="394"/>
      <c r="E203" s="418"/>
      <c r="F203" s="419"/>
      <c r="G203" s="409"/>
      <c r="H203" s="410"/>
      <c r="I203" s="409"/>
      <c r="J203" s="410"/>
      <c r="K203" s="409"/>
      <c r="L203" s="415"/>
    </row>
    <row r="204" spans="2:12" ht="30" customHeight="1" x14ac:dyDescent="0.3">
      <c r="B204" s="423"/>
      <c r="C204" s="393" t="s">
        <v>147</v>
      </c>
      <c r="D204" s="394"/>
      <c r="E204" s="418"/>
      <c r="F204" s="419"/>
      <c r="G204" s="411"/>
      <c r="H204" s="412"/>
      <c r="I204" s="411"/>
      <c r="J204" s="412"/>
      <c r="K204" s="411"/>
      <c r="L204" s="416"/>
    </row>
    <row r="205" spans="2:12" ht="30" customHeight="1" x14ac:dyDescent="0.3">
      <c r="B205" s="423"/>
      <c r="C205" s="393" t="s">
        <v>142</v>
      </c>
      <c r="D205" s="394"/>
      <c r="E205" s="256"/>
      <c r="F205" s="257"/>
      <c r="G205" s="411"/>
      <c r="H205" s="412"/>
      <c r="I205" s="411"/>
      <c r="J205" s="412"/>
      <c r="K205" s="411"/>
      <c r="L205" s="416"/>
    </row>
    <row r="206" spans="2:12" ht="30" customHeight="1" x14ac:dyDescent="0.3">
      <c r="B206" s="423"/>
      <c r="C206" s="393" t="s">
        <v>324</v>
      </c>
      <c r="D206" s="394"/>
      <c r="E206" s="258"/>
      <c r="F206" s="259"/>
      <c r="G206" s="411"/>
      <c r="H206" s="412"/>
      <c r="I206" s="411"/>
      <c r="J206" s="412"/>
      <c r="K206" s="411"/>
      <c r="L206" s="416"/>
    </row>
    <row r="207" spans="2:12" ht="30" customHeight="1" x14ac:dyDescent="0.3">
      <c r="B207" s="423"/>
      <c r="C207" s="393" t="s">
        <v>325</v>
      </c>
      <c r="D207" s="394"/>
      <c r="E207" s="434"/>
      <c r="F207" s="435"/>
      <c r="G207" s="413"/>
      <c r="H207" s="414"/>
      <c r="I207" s="413"/>
      <c r="J207" s="414"/>
      <c r="K207" s="413"/>
      <c r="L207" s="417"/>
    </row>
    <row r="208" spans="2:12" ht="30" customHeight="1" x14ac:dyDescent="0.3">
      <c r="B208" s="423"/>
      <c r="C208" s="393" t="s">
        <v>143</v>
      </c>
      <c r="D208" s="394"/>
      <c r="E208" s="258"/>
      <c r="F208" s="259"/>
      <c r="G208" s="420" t="s">
        <v>150</v>
      </c>
      <c r="H208" s="432"/>
      <c r="I208" s="420" t="s">
        <v>151</v>
      </c>
      <c r="J208" s="432"/>
      <c r="K208" s="420" t="s">
        <v>152</v>
      </c>
      <c r="L208" s="421"/>
    </row>
    <row r="209" spans="2:12" ht="30" customHeight="1" x14ac:dyDescent="0.3">
      <c r="B209" s="423"/>
      <c r="C209" s="393" t="s">
        <v>144</v>
      </c>
      <c r="D209" s="394"/>
      <c r="E209" s="258"/>
      <c r="F209" s="259"/>
      <c r="G209" s="395"/>
      <c r="H209" s="396"/>
      <c r="I209" s="401"/>
      <c r="J209" s="401"/>
      <c r="K209" s="395"/>
      <c r="L209" s="404"/>
    </row>
    <row r="210" spans="2:12" ht="30" customHeight="1" x14ac:dyDescent="0.3">
      <c r="B210" s="423"/>
      <c r="C210" s="393" t="s">
        <v>153</v>
      </c>
      <c r="D210" s="394"/>
      <c r="E210" s="258"/>
      <c r="F210" s="259"/>
      <c r="G210" s="397"/>
      <c r="H210" s="398"/>
      <c r="I210" s="402"/>
      <c r="J210" s="402"/>
      <c r="K210" s="397"/>
      <c r="L210" s="405"/>
    </row>
    <row r="211" spans="2:12" ht="30" customHeight="1" x14ac:dyDescent="0.3">
      <c r="B211" s="423"/>
      <c r="C211" s="393" t="s">
        <v>131</v>
      </c>
      <c r="D211" s="394"/>
      <c r="E211" s="436"/>
      <c r="F211" s="437"/>
      <c r="G211" s="397"/>
      <c r="H211" s="398"/>
      <c r="I211" s="402"/>
      <c r="J211" s="402"/>
      <c r="K211" s="397"/>
      <c r="L211" s="405"/>
    </row>
    <row r="212" spans="2:12" ht="30" customHeight="1" x14ac:dyDescent="0.3">
      <c r="B212" s="423"/>
      <c r="C212" s="393" t="s">
        <v>145</v>
      </c>
      <c r="D212" s="394"/>
      <c r="E212" s="260"/>
      <c r="F212" s="261"/>
      <c r="G212" s="397"/>
      <c r="H212" s="398"/>
      <c r="I212" s="402"/>
      <c r="J212" s="402"/>
      <c r="K212" s="397"/>
      <c r="L212" s="405"/>
    </row>
    <row r="213" spans="2:12" ht="30" customHeight="1" thickBot="1" x14ac:dyDescent="0.35">
      <c r="B213" s="424"/>
      <c r="C213" s="407" t="s">
        <v>146</v>
      </c>
      <c r="D213" s="408"/>
      <c r="E213" s="262"/>
      <c r="F213" s="263"/>
      <c r="G213" s="399"/>
      <c r="H213" s="400"/>
      <c r="I213" s="403"/>
      <c r="J213" s="403"/>
      <c r="K213" s="399"/>
      <c r="L213" s="406"/>
    </row>
    <row r="214" spans="2:12" ht="30" customHeight="1" x14ac:dyDescent="0.3">
      <c r="B214" s="422" t="s">
        <v>351</v>
      </c>
      <c r="C214" s="425" t="s">
        <v>128</v>
      </c>
      <c r="D214" s="426"/>
      <c r="E214" s="427"/>
      <c r="F214" s="428"/>
      <c r="G214" s="429" t="s">
        <v>149</v>
      </c>
      <c r="H214" s="430"/>
      <c r="I214" s="431" t="s">
        <v>129</v>
      </c>
      <c r="J214" s="430"/>
      <c r="K214" s="431" t="s">
        <v>130</v>
      </c>
      <c r="L214" s="433"/>
    </row>
    <row r="215" spans="2:12" ht="30" customHeight="1" x14ac:dyDescent="0.3">
      <c r="B215" s="423"/>
      <c r="C215" s="393" t="s">
        <v>231</v>
      </c>
      <c r="D215" s="394"/>
      <c r="E215" s="418"/>
      <c r="F215" s="419"/>
      <c r="G215" s="409"/>
      <c r="H215" s="410"/>
      <c r="I215" s="409"/>
      <c r="J215" s="410"/>
      <c r="K215" s="409"/>
      <c r="L215" s="415"/>
    </row>
    <row r="216" spans="2:12" ht="30" customHeight="1" x14ac:dyDescent="0.3">
      <c r="B216" s="423"/>
      <c r="C216" s="393" t="s">
        <v>147</v>
      </c>
      <c r="D216" s="394"/>
      <c r="E216" s="418"/>
      <c r="F216" s="419"/>
      <c r="G216" s="411"/>
      <c r="H216" s="412"/>
      <c r="I216" s="411"/>
      <c r="J216" s="412"/>
      <c r="K216" s="411"/>
      <c r="L216" s="416"/>
    </row>
    <row r="217" spans="2:12" ht="30" customHeight="1" x14ac:dyDescent="0.3">
      <c r="B217" s="423"/>
      <c r="C217" s="393" t="s">
        <v>142</v>
      </c>
      <c r="D217" s="394"/>
      <c r="E217" s="256"/>
      <c r="F217" s="257"/>
      <c r="G217" s="411"/>
      <c r="H217" s="412"/>
      <c r="I217" s="411"/>
      <c r="J217" s="412"/>
      <c r="K217" s="411"/>
      <c r="L217" s="416"/>
    </row>
    <row r="218" spans="2:12" ht="30" customHeight="1" x14ac:dyDescent="0.3">
      <c r="B218" s="423"/>
      <c r="C218" s="393" t="s">
        <v>324</v>
      </c>
      <c r="D218" s="394"/>
      <c r="E218" s="258"/>
      <c r="F218" s="259"/>
      <c r="G218" s="411"/>
      <c r="H218" s="412"/>
      <c r="I218" s="411"/>
      <c r="J218" s="412"/>
      <c r="K218" s="411"/>
      <c r="L218" s="416"/>
    </row>
    <row r="219" spans="2:12" ht="30" customHeight="1" x14ac:dyDescent="0.3">
      <c r="B219" s="423"/>
      <c r="C219" s="393" t="s">
        <v>325</v>
      </c>
      <c r="D219" s="394"/>
      <c r="E219" s="434"/>
      <c r="F219" s="435"/>
      <c r="G219" s="413"/>
      <c r="H219" s="414"/>
      <c r="I219" s="413"/>
      <c r="J219" s="414"/>
      <c r="K219" s="413"/>
      <c r="L219" s="417"/>
    </row>
    <row r="220" spans="2:12" ht="30" customHeight="1" x14ac:dyDescent="0.3">
      <c r="B220" s="423"/>
      <c r="C220" s="393" t="s">
        <v>143</v>
      </c>
      <c r="D220" s="394"/>
      <c r="E220" s="258"/>
      <c r="F220" s="259"/>
      <c r="G220" s="420" t="s">
        <v>150</v>
      </c>
      <c r="H220" s="432"/>
      <c r="I220" s="420" t="s">
        <v>151</v>
      </c>
      <c r="J220" s="432"/>
      <c r="K220" s="420" t="s">
        <v>152</v>
      </c>
      <c r="L220" s="421"/>
    </row>
    <row r="221" spans="2:12" ht="30" customHeight="1" x14ac:dyDescent="0.3">
      <c r="B221" s="423"/>
      <c r="C221" s="393" t="s">
        <v>144</v>
      </c>
      <c r="D221" s="394"/>
      <c r="E221" s="258"/>
      <c r="F221" s="259"/>
      <c r="G221" s="395"/>
      <c r="H221" s="396"/>
      <c r="I221" s="401"/>
      <c r="J221" s="401"/>
      <c r="K221" s="395"/>
      <c r="L221" s="404"/>
    </row>
    <row r="222" spans="2:12" ht="30" customHeight="1" x14ac:dyDescent="0.3">
      <c r="B222" s="423"/>
      <c r="C222" s="393" t="s">
        <v>153</v>
      </c>
      <c r="D222" s="394"/>
      <c r="E222" s="258"/>
      <c r="F222" s="259"/>
      <c r="G222" s="397"/>
      <c r="H222" s="398"/>
      <c r="I222" s="402"/>
      <c r="J222" s="402"/>
      <c r="K222" s="397"/>
      <c r="L222" s="405"/>
    </row>
    <row r="223" spans="2:12" ht="30" customHeight="1" x14ac:dyDescent="0.3">
      <c r="B223" s="423"/>
      <c r="C223" s="393" t="s">
        <v>131</v>
      </c>
      <c r="D223" s="394"/>
      <c r="E223" s="436"/>
      <c r="F223" s="437"/>
      <c r="G223" s="397"/>
      <c r="H223" s="398"/>
      <c r="I223" s="402"/>
      <c r="J223" s="402"/>
      <c r="K223" s="397"/>
      <c r="L223" s="405"/>
    </row>
    <row r="224" spans="2:12" ht="30" customHeight="1" x14ac:dyDescent="0.3">
      <c r="B224" s="423"/>
      <c r="C224" s="393" t="s">
        <v>145</v>
      </c>
      <c r="D224" s="394"/>
      <c r="E224" s="260"/>
      <c r="F224" s="261"/>
      <c r="G224" s="397"/>
      <c r="H224" s="398"/>
      <c r="I224" s="402"/>
      <c r="J224" s="402"/>
      <c r="K224" s="397"/>
      <c r="L224" s="405"/>
    </row>
    <row r="225" spans="2:12" ht="30" customHeight="1" thickBot="1" x14ac:dyDescent="0.35">
      <c r="B225" s="424"/>
      <c r="C225" s="407" t="s">
        <v>146</v>
      </c>
      <c r="D225" s="408"/>
      <c r="E225" s="262"/>
      <c r="F225" s="263"/>
      <c r="G225" s="399"/>
      <c r="H225" s="400"/>
      <c r="I225" s="403"/>
      <c r="J225" s="403"/>
      <c r="K225" s="399"/>
      <c r="L225" s="406"/>
    </row>
    <row r="226" spans="2:12" ht="30" customHeight="1" x14ac:dyDescent="0.3">
      <c r="B226" s="422" t="s">
        <v>352</v>
      </c>
      <c r="C226" s="425" t="s">
        <v>128</v>
      </c>
      <c r="D226" s="426"/>
      <c r="E226" s="427"/>
      <c r="F226" s="428"/>
      <c r="G226" s="429" t="s">
        <v>149</v>
      </c>
      <c r="H226" s="430"/>
      <c r="I226" s="431" t="s">
        <v>129</v>
      </c>
      <c r="J226" s="430"/>
      <c r="K226" s="431" t="s">
        <v>130</v>
      </c>
      <c r="L226" s="433"/>
    </row>
    <row r="227" spans="2:12" ht="30" customHeight="1" x14ac:dyDescent="0.3">
      <c r="B227" s="423"/>
      <c r="C227" s="393" t="s">
        <v>231</v>
      </c>
      <c r="D227" s="394"/>
      <c r="E227" s="418"/>
      <c r="F227" s="419"/>
      <c r="G227" s="409"/>
      <c r="H227" s="410"/>
      <c r="I227" s="409"/>
      <c r="J227" s="410"/>
      <c r="K227" s="409"/>
      <c r="L227" s="415"/>
    </row>
    <row r="228" spans="2:12" ht="30" customHeight="1" x14ac:dyDescent="0.3">
      <c r="B228" s="423"/>
      <c r="C228" s="393" t="s">
        <v>147</v>
      </c>
      <c r="D228" s="394"/>
      <c r="E228" s="418"/>
      <c r="F228" s="419"/>
      <c r="G228" s="411"/>
      <c r="H228" s="412"/>
      <c r="I228" s="411"/>
      <c r="J228" s="412"/>
      <c r="K228" s="411"/>
      <c r="L228" s="416"/>
    </row>
    <row r="229" spans="2:12" ht="30" customHeight="1" x14ac:dyDescent="0.3">
      <c r="B229" s="423"/>
      <c r="C229" s="393" t="s">
        <v>142</v>
      </c>
      <c r="D229" s="394"/>
      <c r="E229" s="256"/>
      <c r="F229" s="257"/>
      <c r="G229" s="411"/>
      <c r="H229" s="412"/>
      <c r="I229" s="411"/>
      <c r="J229" s="412"/>
      <c r="K229" s="411"/>
      <c r="L229" s="416"/>
    </row>
    <row r="230" spans="2:12" ht="30" customHeight="1" x14ac:dyDescent="0.3">
      <c r="B230" s="423"/>
      <c r="C230" s="393" t="s">
        <v>324</v>
      </c>
      <c r="D230" s="394"/>
      <c r="E230" s="258"/>
      <c r="F230" s="259"/>
      <c r="G230" s="411"/>
      <c r="H230" s="412"/>
      <c r="I230" s="411"/>
      <c r="J230" s="412"/>
      <c r="K230" s="411"/>
      <c r="L230" s="416"/>
    </row>
    <row r="231" spans="2:12" ht="30" customHeight="1" x14ac:dyDescent="0.3">
      <c r="B231" s="423"/>
      <c r="C231" s="393" t="s">
        <v>325</v>
      </c>
      <c r="D231" s="394"/>
      <c r="E231" s="434"/>
      <c r="F231" s="435"/>
      <c r="G231" s="413"/>
      <c r="H231" s="414"/>
      <c r="I231" s="413"/>
      <c r="J231" s="414"/>
      <c r="K231" s="413"/>
      <c r="L231" s="417"/>
    </row>
    <row r="232" spans="2:12" ht="30" customHeight="1" x14ac:dyDescent="0.3">
      <c r="B232" s="423"/>
      <c r="C232" s="393" t="s">
        <v>143</v>
      </c>
      <c r="D232" s="394"/>
      <c r="E232" s="258"/>
      <c r="F232" s="259"/>
      <c r="G232" s="420" t="s">
        <v>150</v>
      </c>
      <c r="H232" s="432"/>
      <c r="I232" s="420" t="s">
        <v>151</v>
      </c>
      <c r="J232" s="432"/>
      <c r="K232" s="420" t="s">
        <v>152</v>
      </c>
      <c r="L232" s="421"/>
    </row>
    <row r="233" spans="2:12" ht="30" customHeight="1" x14ac:dyDescent="0.3">
      <c r="B233" s="423"/>
      <c r="C233" s="393" t="s">
        <v>144</v>
      </c>
      <c r="D233" s="394"/>
      <c r="E233" s="258"/>
      <c r="F233" s="259"/>
      <c r="G233" s="395"/>
      <c r="H233" s="396"/>
      <c r="I233" s="401"/>
      <c r="J233" s="401"/>
      <c r="K233" s="395"/>
      <c r="L233" s="404"/>
    </row>
    <row r="234" spans="2:12" ht="30" customHeight="1" x14ac:dyDescent="0.3">
      <c r="B234" s="423"/>
      <c r="C234" s="393" t="s">
        <v>153</v>
      </c>
      <c r="D234" s="394"/>
      <c r="E234" s="258"/>
      <c r="F234" s="259"/>
      <c r="G234" s="397"/>
      <c r="H234" s="398"/>
      <c r="I234" s="402"/>
      <c r="J234" s="402"/>
      <c r="K234" s="397"/>
      <c r="L234" s="405"/>
    </row>
    <row r="235" spans="2:12" ht="30" customHeight="1" x14ac:dyDescent="0.3">
      <c r="B235" s="423"/>
      <c r="C235" s="393" t="s">
        <v>131</v>
      </c>
      <c r="D235" s="394"/>
      <c r="E235" s="436"/>
      <c r="F235" s="437"/>
      <c r="G235" s="397"/>
      <c r="H235" s="398"/>
      <c r="I235" s="402"/>
      <c r="J235" s="402"/>
      <c r="K235" s="397"/>
      <c r="L235" s="405"/>
    </row>
    <row r="236" spans="2:12" ht="30" customHeight="1" x14ac:dyDescent="0.3">
      <c r="B236" s="423"/>
      <c r="C236" s="393" t="s">
        <v>145</v>
      </c>
      <c r="D236" s="394"/>
      <c r="E236" s="260"/>
      <c r="F236" s="261"/>
      <c r="G236" s="397"/>
      <c r="H236" s="398"/>
      <c r="I236" s="402"/>
      <c r="J236" s="402"/>
      <c r="K236" s="397"/>
      <c r="L236" s="405"/>
    </row>
    <row r="237" spans="2:12" ht="30" customHeight="1" thickBot="1" x14ac:dyDescent="0.35">
      <c r="B237" s="424"/>
      <c r="C237" s="407" t="s">
        <v>146</v>
      </c>
      <c r="D237" s="408"/>
      <c r="E237" s="262"/>
      <c r="F237" s="263"/>
      <c r="G237" s="399"/>
      <c r="H237" s="400"/>
      <c r="I237" s="403"/>
      <c r="J237" s="403"/>
      <c r="K237" s="399"/>
      <c r="L237" s="406"/>
    </row>
    <row r="238" spans="2:12" ht="30" customHeight="1" x14ac:dyDescent="0.3">
      <c r="B238" s="422" t="s">
        <v>353</v>
      </c>
      <c r="C238" s="425" t="s">
        <v>128</v>
      </c>
      <c r="D238" s="426"/>
      <c r="E238" s="427"/>
      <c r="F238" s="428"/>
      <c r="G238" s="429" t="s">
        <v>149</v>
      </c>
      <c r="H238" s="430"/>
      <c r="I238" s="431" t="s">
        <v>129</v>
      </c>
      <c r="J238" s="430"/>
      <c r="K238" s="431" t="s">
        <v>130</v>
      </c>
      <c r="L238" s="433"/>
    </row>
    <row r="239" spans="2:12" ht="30" customHeight="1" x14ac:dyDescent="0.3">
      <c r="B239" s="423"/>
      <c r="C239" s="393" t="s">
        <v>231</v>
      </c>
      <c r="D239" s="394"/>
      <c r="E239" s="418"/>
      <c r="F239" s="419"/>
      <c r="G239" s="409"/>
      <c r="H239" s="410"/>
      <c r="I239" s="409"/>
      <c r="J239" s="410"/>
      <c r="K239" s="409"/>
      <c r="L239" s="415"/>
    </row>
    <row r="240" spans="2:12" ht="30" customHeight="1" x14ac:dyDescent="0.3">
      <c r="B240" s="423"/>
      <c r="C240" s="393" t="s">
        <v>147</v>
      </c>
      <c r="D240" s="394"/>
      <c r="E240" s="418"/>
      <c r="F240" s="419"/>
      <c r="G240" s="411"/>
      <c r="H240" s="412"/>
      <c r="I240" s="411"/>
      <c r="J240" s="412"/>
      <c r="K240" s="411"/>
      <c r="L240" s="416"/>
    </row>
    <row r="241" spans="2:12" ht="30" customHeight="1" x14ac:dyDescent="0.3">
      <c r="B241" s="423"/>
      <c r="C241" s="393" t="s">
        <v>142</v>
      </c>
      <c r="D241" s="394"/>
      <c r="E241" s="256"/>
      <c r="F241" s="257"/>
      <c r="G241" s="411"/>
      <c r="H241" s="412"/>
      <c r="I241" s="411"/>
      <c r="J241" s="412"/>
      <c r="K241" s="411"/>
      <c r="L241" s="416"/>
    </row>
    <row r="242" spans="2:12" ht="30" customHeight="1" x14ac:dyDescent="0.3">
      <c r="B242" s="423"/>
      <c r="C242" s="393" t="s">
        <v>324</v>
      </c>
      <c r="D242" s="394"/>
      <c r="E242" s="258"/>
      <c r="F242" s="259"/>
      <c r="G242" s="411"/>
      <c r="H242" s="412"/>
      <c r="I242" s="411"/>
      <c r="J242" s="412"/>
      <c r="K242" s="411"/>
      <c r="L242" s="416"/>
    </row>
    <row r="243" spans="2:12" ht="30" customHeight="1" x14ac:dyDescent="0.3">
      <c r="B243" s="423"/>
      <c r="C243" s="393" t="s">
        <v>325</v>
      </c>
      <c r="D243" s="394"/>
      <c r="E243" s="434"/>
      <c r="F243" s="435"/>
      <c r="G243" s="413"/>
      <c r="H243" s="414"/>
      <c r="I243" s="413"/>
      <c r="J243" s="414"/>
      <c r="K243" s="413"/>
      <c r="L243" s="417"/>
    </row>
    <row r="244" spans="2:12" ht="30" customHeight="1" x14ac:dyDescent="0.3">
      <c r="B244" s="423"/>
      <c r="C244" s="393" t="s">
        <v>143</v>
      </c>
      <c r="D244" s="394"/>
      <c r="E244" s="258"/>
      <c r="F244" s="259"/>
      <c r="G244" s="420" t="s">
        <v>150</v>
      </c>
      <c r="H244" s="432"/>
      <c r="I244" s="420" t="s">
        <v>151</v>
      </c>
      <c r="J244" s="432"/>
      <c r="K244" s="420" t="s">
        <v>152</v>
      </c>
      <c r="L244" s="421"/>
    </row>
    <row r="245" spans="2:12" ht="30" customHeight="1" x14ac:dyDescent="0.3">
      <c r="B245" s="423"/>
      <c r="C245" s="393" t="s">
        <v>144</v>
      </c>
      <c r="D245" s="394"/>
      <c r="E245" s="258"/>
      <c r="F245" s="259"/>
      <c r="G245" s="395"/>
      <c r="H245" s="396"/>
      <c r="I245" s="401"/>
      <c r="J245" s="401"/>
      <c r="K245" s="395"/>
      <c r="L245" s="404"/>
    </row>
    <row r="246" spans="2:12" ht="30" customHeight="1" x14ac:dyDescent="0.3">
      <c r="B246" s="423"/>
      <c r="C246" s="393" t="s">
        <v>153</v>
      </c>
      <c r="D246" s="394"/>
      <c r="E246" s="258"/>
      <c r="F246" s="259"/>
      <c r="G246" s="397"/>
      <c r="H246" s="398"/>
      <c r="I246" s="402"/>
      <c r="J246" s="402"/>
      <c r="K246" s="397"/>
      <c r="L246" s="405"/>
    </row>
    <row r="247" spans="2:12" ht="30" customHeight="1" x14ac:dyDescent="0.3">
      <c r="B247" s="423"/>
      <c r="C247" s="393" t="s">
        <v>131</v>
      </c>
      <c r="D247" s="394"/>
      <c r="E247" s="436"/>
      <c r="F247" s="437"/>
      <c r="G247" s="397"/>
      <c r="H247" s="398"/>
      <c r="I247" s="402"/>
      <c r="J247" s="402"/>
      <c r="K247" s="397"/>
      <c r="L247" s="405"/>
    </row>
    <row r="248" spans="2:12" ht="30" customHeight="1" x14ac:dyDescent="0.3">
      <c r="B248" s="423"/>
      <c r="C248" s="393" t="s">
        <v>145</v>
      </c>
      <c r="D248" s="394"/>
      <c r="E248" s="260"/>
      <c r="F248" s="261"/>
      <c r="G248" s="397"/>
      <c r="H248" s="398"/>
      <c r="I248" s="402"/>
      <c r="J248" s="402"/>
      <c r="K248" s="397"/>
      <c r="L248" s="405"/>
    </row>
    <row r="249" spans="2:12" ht="30" customHeight="1" thickBot="1" x14ac:dyDescent="0.35">
      <c r="B249" s="424"/>
      <c r="C249" s="407" t="s">
        <v>146</v>
      </c>
      <c r="D249" s="408"/>
      <c r="E249" s="262"/>
      <c r="F249" s="263"/>
      <c r="G249" s="399"/>
      <c r="H249" s="400"/>
      <c r="I249" s="403"/>
      <c r="J249" s="403"/>
      <c r="K249" s="399"/>
      <c r="L249" s="406"/>
    </row>
    <row r="250" spans="2:12" ht="30" customHeight="1" x14ac:dyDescent="0.3">
      <c r="B250" s="422" t="s">
        <v>354</v>
      </c>
      <c r="C250" s="425" t="s">
        <v>128</v>
      </c>
      <c r="D250" s="426"/>
      <c r="E250" s="427"/>
      <c r="F250" s="428"/>
      <c r="G250" s="429" t="s">
        <v>149</v>
      </c>
      <c r="H250" s="430"/>
      <c r="I250" s="431" t="s">
        <v>129</v>
      </c>
      <c r="J250" s="430"/>
      <c r="K250" s="431" t="s">
        <v>130</v>
      </c>
      <c r="L250" s="433"/>
    </row>
    <row r="251" spans="2:12" ht="30" customHeight="1" x14ac:dyDescent="0.3">
      <c r="B251" s="423"/>
      <c r="C251" s="393" t="s">
        <v>231</v>
      </c>
      <c r="D251" s="394"/>
      <c r="E251" s="418"/>
      <c r="F251" s="419"/>
      <c r="G251" s="409"/>
      <c r="H251" s="410"/>
      <c r="I251" s="409"/>
      <c r="J251" s="410"/>
      <c r="K251" s="409"/>
      <c r="L251" s="415"/>
    </row>
    <row r="252" spans="2:12" ht="30" customHeight="1" x14ac:dyDescent="0.3">
      <c r="B252" s="423"/>
      <c r="C252" s="393" t="s">
        <v>147</v>
      </c>
      <c r="D252" s="394"/>
      <c r="E252" s="418"/>
      <c r="F252" s="419"/>
      <c r="G252" s="411"/>
      <c r="H252" s="412"/>
      <c r="I252" s="411"/>
      <c r="J252" s="412"/>
      <c r="K252" s="411"/>
      <c r="L252" s="416"/>
    </row>
    <row r="253" spans="2:12" ht="30" customHeight="1" x14ac:dyDescent="0.3">
      <c r="B253" s="423"/>
      <c r="C253" s="393" t="s">
        <v>142</v>
      </c>
      <c r="D253" s="394"/>
      <c r="E253" s="256"/>
      <c r="F253" s="257"/>
      <c r="G253" s="411"/>
      <c r="H253" s="412"/>
      <c r="I253" s="411"/>
      <c r="J253" s="412"/>
      <c r="K253" s="411"/>
      <c r="L253" s="416"/>
    </row>
    <row r="254" spans="2:12" ht="30" customHeight="1" x14ac:dyDescent="0.3">
      <c r="B254" s="423"/>
      <c r="C254" s="393" t="s">
        <v>324</v>
      </c>
      <c r="D254" s="394"/>
      <c r="E254" s="258"/>
      <c r="F254" s="259"/>
      <c r="G254" s="411"/>
      <c r="H254" s="412"/>
      <c r="I254" s="411"/>
      <c r="J254" s="412"/>
      <c r="K254" s="411"/>
      <c r="L254" s="416"/>
    </row>
    <row r="255" spans="2:12" ht="30" customHeight="1" x14ac:dyDescent="0.3">
      <c r="B255" s="423"/>
      <c r="C255" s="393" t="s">
        <v>325</v>
      </c>
      <c r="D255" s="394"/>
      <c r="E255" s="434"/>
      <c r="F255" s="435"/>
      <c r="G255" s="413"/>
      <c r="H255" s="414"/>
      <c r="I255" s="413"/>
      <c r="J255" s="414"/>
      <c r="K255" s="413"/>
      <c r="L255" s="417"/>
    </row>
    <row r="256" spans="2:12" ht="30" customHeight="1" x14ac:dyDescent="0.3">
      <c r="B256" s="423"/>
      <c r="C256" s="393" t="s">
        <v>143</v>
      </c>
      <c r="D256" s="394"/>
      <c r="E256" s="258"/>
      <c r="F256" s="259"/>
      <c r="G256" s="420" t="s">
        <v>150</v>
      </c>
      <c r="H256" s="432"/>
      <c r="I256" s="420" t="s">
        <v>151</v>
      </c>
      <c r="J256" s="432"/>
      <c r="K256" s="420" t="s">
        <v>152</v>
      </c>
      <c r="L256" s="421"/>
    </row>
    <row r="257" spans="2:12" ht="30" customHeight="1" x14ac:dyDescent="0.3">
      <c r="B257" s="423"/>
      <c r="C257" s="393" t="s">
        <v>144</v>
      </c>
      <c r="D257" s="394"/>
      <c r="E257" s="258"/>
      <c r="F257" s="259"/>
      <c r="G257" s="395"/>
      <c r="H257" s="396"/>
      <c r="I257" s="401"/>
      <c r="J257" s="401"/>
      <c r="K257" s="395"/>
      <c r="L257" s="404"/>
    </row>
    <row r="258" spans="2:12" ht="30" customHeight="1" x14ac:dyDescent="0.3">
      <c r="B258" s="423"/>
      <c r="C258" s="393" t="s">
        <v>153</v>
      </c>
      <c r="D258" s="394"/>
      <c r="E258" s="258"/>
      <c r="F258" s="259"/>
      <c r="G258" s="397"/>
      <c r="H258" s="398"/>
      <c r="I258" s="402"/>
      <c r="J258" s="402"/>
      <c r="K258" s="397"/>
      <c r="L258" s="405"/>
    </row>
    <row r="259" spans="2:12" ht="30" customHeight="1" x14ac:dyDescent="0.3">
      <c r="B259" s="423"/>
      <c r="C259" s="393" t="s">
        <v>131</v>
      </c>
      <c r="D259" s="394"/>
      <c r="E259" s="436"/>
      <c r="F259" s="437"/>
      <c r="G259" s="397"/>
      <c r="H259" s="398"/>
      <c r="I259" s="402"/>
      <c r="J259" s="402"/>
      <c r="K259" s="397"/>
      <c r="L259" s="405"/>
    </row>
    <row r="260" spans="2:12" ht="30" customHeight="1" x14ac:dyDescent="0.3">
      <c r="B260" s="423"/>
      <c r="C260" s="393" t="s">
        <v>145</v>
      </c>
      <c r="D260" s="394"/>
      <c r="E260" s="260"/>
      <c r="F260" s="261"/>
      <c r="G260" s="397"/>
      <c r="H260" s="398"/>
      <c r="I260" s="402"/>
      <c r="J260" s="402"/>
      <c r="K260" s="397"/>
      <c r="L260" s="405"/>
    </row>
    <row r="261" spans="2:12" ht="30" customHeight="1" thickBot="1" x14ac:dyDescent="0.35">
      <c r="B261" s="424"/>
      <c r="C261" s="407" t="s">
        <v>146</v>
      </c>
      <c r="D261" s="408"/>
      <c r="E261" s="262"/>
      <c r="F261" s="263"/>
      <c r="G261" s="399"/>
      <c r="H261" s="400"/>
      <c r="I261" s="403"/>
      <c r="J261" s="403"/>
      <c r="K261" s="399"/>
      <c r="L261" s="406"/>
    </row>
    <row r="262" spans="2:12" ht="30" customHeight="1" x14ac:dyDescent="0.3">
      <c r="B262" s="422" t="s">
        <v>355</v>
      </c>
      <c r="C262" s="425" t="s">
        <v>128</v>
      </c>
      <c r="D262" s="426"/>
      <c r="E262" s="427"/>
      <c r="F262" s="428"/>
      <c r="G262" s="429" t="s">
        <v>149</v>
      </c>
      <c r="H262" s="430"/>
      <c r="I262" s="431" t="s">
        <v>129</v>
      </c>
      <c r="J262" s="430"/>
      <c r="K262" s="431" t="s">
        <v>130</v>
      </c>
      <c r="L262" s="433"/>
    </row>
    <row r="263" spans="2:12" ht="30" customHeight="1" x14ac:dyDescent="0.3">
      <c r="B263" s="423"/>
      <c r="C263" s="393" t="s">
        <v>231</v>
      </c>
      <c r="D263" s="394"/>
      <c r="E263" s="418"/>
      <c r="F263" s="419"/>
      <c r="G263" s="409"/>
      <c r="H263" s="410"/>
      <c r="I263" s="409"/>
      <c r="J263" s="410"/>
      <c r="K263" s="409"/>
      <c r="L263" s="415"/>
    </row>
    <row r="264" spans="2:12" ht="30" customHeight="1" x14ac:dyDescent="0.3">
      <c r="B264" s="423"/>
      <c r="C264" s="393" t="s">
        <v>147</v>
      </c>
      <c r="D264" s="394"/>
      <c r="E264" s="418"/>
      <c r="F264" s="419"/>
      <c r="G264" s="411"/>
      <c r="H264" s="412"/>
      <c r="I264" s="411"/>
      <c r="J264" s="412"/>
      <c r="K264" s="411"/>
      <c r="L264" s="416"/>
    </row>
    <row r="265" spans="2:12" ht="30" customHeight="1" x14ac:dyDescent="0.3">
      <c r="B265" s="423"/>
      <c r="C265" s="393" t="s">
        <v>142</v>
      </c>
      <c r="D265" s="394"/>
      <c r="E265" s="256"/>
      <c r="F265" s="257"/>
      <c r="G265" s="411"/>
      <c r="H265" s="412"/>
      <c r="I265" s="411"/>
      <c r="J265" s="412"/>
      <c r="K265" s="411"/>
      <c r="L265" s="416"/>
    </row>
    <row r="266" spans="2:12" ht="30" customHeight="1" x14ac:dyDescent="0.3">
      <c r="B266" s="423"/>
      <c r="C266" s="393" t="s">
        <v>324</v>
      </c>
      <c r="D266" s="394"/>
      <c r="E266" s="258"/>
      <c r="F266" s="259"/>
      <c r="G266" s="411"/>
      <c r="H266" s="412"/>
      <c r="I266" s="411"/>
      <c r="J266" s="412"/>
      <c r="K266" s="411"/>
      <c r="L266" s="416"/>
    </row>
    <row r="267" spans="2:12" ht="30" customHeight="1" x14ac:dyDescent="0.3">
      <c r="B267" s="423"/>
      <c r="C267" s="393" t="s">
        <v>325</v>
      </c>
      <c r="D267" s="394"/>
      <c r="E267" s="434"/>
      <c r="F267" s="435"/>
      <c r="G267" s="413"/>
      <c r="H267" s="414"/>
      <c r="I267" s="413"/>
      <c r="J267" s="414"/>
      <c r="K267" s="413"/>
      <c r="L267" s="417"/>
    </row>
    <row r="268" spans="2:12" ht="30" customHeight="1" x14ac:dyDescent="0.3">
      <c r="B268" s="423"/>
      <c r="C268" s="393" t="s">
        <v>143</v>
      </c>
      <c r="D268" s="394"/>
      <c r="E268" s="258"/>
      <c r="F268" s="259"/>
      <c r="G268" s="420" t="s">
        <v>150</v>
      </c>
      <c r="H268" s="432"/>
      <c r="I268" s="420" t="s">
        <v>151</v>
      </c>
      <c r="J268" s="432"/>
      <c r="K268" s="420" t="s">
        <v>152</v>
      </c>
      <c r="L268" s="421"/>
    </row>
    <row r="269" spans="2:12" ht="30" customHeight="1" x14ac:dyDescent="0.3">
      <c r="B269" s="423"/>
      <c r="C269" s="393" t="s">
        <v>144</v>
      </c>
      <c r="D269" s="394"/>
      <c r="E269" s="258"/>
      <c r="F269" s="259"/>
      <c r="G269" s="395"/>
      <c r="H269" s="396"/>
      <c r="I269" s="401"/>
      <c r="J269" s="401"/>
      <c r="K269" s="395"/>
      <c r="L269" s="404"/>
    </row>
    <row r="270" spans="2:12" ht="30" customHeight="1" x14ac:dyDescent="0.3">
      <c r="B270" s="423"/>
      <c r="C270" s="393" t="s">
        <v>153</v>
      </c>
      <c r="D270" s="394"/>
      <c r="E270" s="258"/>
      <c r="F270" s="259"/>
      <c r="G270" s="397"/>
      <c r="H270" s="398"/>
      <c r="I270" s="402"/>
      <c r="J270" s="402"/>
      <c r="K270" s="397"/>
      <c r="L270" s="405"/>
    </row>
    <row r="271" spans="2:12" ht="30" customHeight="1" x14ac:dyDescent="0.3">
      <c r="B271" s="423"/>
      <c r="C271" s="393" t="s">
        <v>131</v>
      </c>
      <c r="D271" s="394"/>
      <c r="E271" s="436"/>
      <c r="F271" s="437"/>
      <c r="G271" s="397"/>
      <c r="H271" s="398"/>
      <c r="I271" s="402"/>
      <c r="J271" s="402"/>
      <c r="K271" s="397"/>
      <c r="L271" s="405"/>
    </row>
    <row r="272" spans="2:12" ht="30" customHeight="1" x14ac:dyDescent="0.3">
      <c r="B272" s="423"/>
      <c r="C272" s="393" t="s">
        <v>145</v>
      </c>
      <c r="D272" s="394"/>
      <c r="E272" s="260"/>
      <c r="F272" s="261"/>
      <c r="G272" s="397"/>
      <c r="H272" s="398"/>
      <c r="I272" s="402"/>
      <c r="J272" s="402"/>
      <c r="K272" s="397"/>
      <c r="L272" s="405"/>
    </row>
    <row r="273" spans="2:12" ht="30" customHeight="1" thickBot="1" x14ac:dyDescent="0.35">
      <c r="B273" s="424"/>
      <c r="C273" s="407" t="s">
        <v>146</v>
      </c>
      <c r="D273" s="408"/>
      <c r="E273" s="262"/>
      <c r="F273" s="263"/>
      <c r="G273" s="399"/>
      <c r="H273" s="400"/>
      <c r="I273" s="403"/>
      <c r="J273" s="403"/>
      <c r="K273" s="399"/>
      <c r="L273" s="406"/>
    </row>
    <row r="274" spans="2:12" ht="30" customHeight="1" x14ac:dyDescent="0.3">
      <c r="B274" s="422" t="s">
        <v>356</v>
      </c>
      <c r="C274" s="425" t="s">
        <v>128</v>
      </c>
      <c r="D274" s="426"/>
      <c r="E274" s="427"/>
      <c r="F274" s="428"/>
      <c r="G274" s="429" t="s">
        <v>149</v>
      </c>
      <c r="H274" s="430"/>
      <c r="I274" s="431" t="s">
        <v>129</v>
      </c>
      <c r="J274" s="430"/>
      <c r="K274" s="431" t="s">
        <v>130</v>
      </c>
      <c r="L274" s="433"/>
    </row>
    <row r="275" spans="2:12" ht="30" customHeight="1" x14ac:dyDescent="0.3">
      <c r="B275" s="423"/>
      <c r="C275" s="393" t="s">
        <v>231</v>
      </c>
      <c r="D275" s="394"/>
      <c r="E275" s="418"/>
      <c r="F275" s="419"/>
      <c r="G275" s="409"/>
      <c r="H275" s="410"/>
      <c r="I275" s="409"/>
      <c r="J275" s="410"/>
      <c r="K275" s="409"/>
      <c r="L275" s="415"/>
    </row>
    <row r="276" spans="2:12" ht="30" customHeight="1" x14ac:dyDescent="0.3">
      <c r="B276" s="423"/>
      <c r="C276" s="393" t="s">
        <v>147</v>
      </c>
      <c r="D276" s="394"/>
      <c r="E276" s="418"/>
      <c r="F276" s="419"/>
      <c r="G276" s="411"/>
      <c r="H276" s="412"/>
      <c r="I276" s="411"/>
      <c r="J276" s="412"/>
      <c r="K276" s="411"/>
      <c r="L276" s="416"/>
    </row>
    <row r="277" spans="2:12" ht="30" customHeight="1" x14ac:dyDescent="0.3">
      <c r="B277" s="423"/>
      <c r="C277" s="393" t="s">
        <v>142</v>
      </c>
      <c r="D277" s="394"/>
      <c r="E277" s="256"/>
      <c r="F277" s="257"/>
      <c r="G277" s="411"/>
      <c r="H277" s="412"/>
      <c r="I277" s="411"/>
      <c r="J277" s="412"/>
      <c r="K277" s="411"/>
      <c r="L277" s="416"/>
    </row>
    <row r="278" spans="2:12" ht="30" customHeight="1" x14ac:dyDescent="0.3">
      <c r="B278" s="423"/>
      <c r="C278" s="393" t="s">
        <v>324</v>
      </c>
      <c r="D278" s="394"/>
      <c r="E278" s="258"/>
      <c r="F278" s="259"/>
      <c r="G278" s="411"/>
      <c r="H278" s="412"/>
      <c r="I278" s="411"/>
      <c r="J278" s="412"/>
      <c r="K278" s="411"/>
      <c r="L278" s="416"/>
    </row>
    <row r="279" spans="2:12" ht="30" customHeight="1" x14ac:dyDescent="0.3">
      <c r="B279" s="423"/>
      <c r="C279" s="393" t="s">
        <v>325</v>
      </c>
      <c r="D279" s="394"/>
      <c r="E279" s="434"/>
      <c r="F279" s="435"/>
      <c r="G279" s="413"/>
      <c r="H279" s="414"/>
      <c r="I279" s="413"/>
      <c r="J279" s="414"/>
      <c r="K279" s="413"/>
      <c r="L279" s="417"/>
    </row>
    <row r="280" spans="2:12" ht="30" customHeight="1" x14ac:dyDescent="0.3">
      <c r="B280" s="423"/>
      <c r="C280" s="393" t="s">
        <v>143</v>
      </c>
      <c r="D280" s="394"/>
      <c r="E280" s="258"/>
      <c r="F280" s="259"/>
      <c r="G280" s="420" t="s">
        <v>150</v>
      </c>
      <c r="H280" s="432"/>
      <c r="I280" s="420" t="s">
        <v>151</v>
      </c>
      <c r="J280" s="432"/>
      <c r="K280" s="420" t="s">
        <v>152</v>
      </c>
      <c r="L280" s="421"/>
    </row>
    <row r="281" spans="2:12" ht="30" customHeight="1" x14ac:dyDescent="0.3">
      <c r="B281" s="423"/>
      <c r="C281" s="393" t="s">
        <v>144</v>
      </c>
      <c r="D281" s="394"/>
      <c r="E281" s="258"/>
      <c r="F281" s="259"/>
      <c r="G281" s="395"/>
      <c r="H281" s="396"/>
      <c r="I281" s="401"/>
      <c r="J281" s="401"/>
      <c r="K281" s="395"/>
      <c r="L281" s="404"/>
    </row>
    <row r="282" spans="2:12" ht="30" customHeight="1" x14ac:dyDescent="0.3">
      <c r="B282" s="423"/>
      <c r="C282" s="393" t="s">
        <v>153</v>
      </c>
      <c r="D282" s="394"/>
      <c r="E282" s="258"/>
      <c r="F282" s="259"/>
      <c r="G282" s="397"/>
      <c r="H282" s="398"/>
      <c r="I282" s="402"/>
      <c r="J282" s="402"/>
      <c r="K282" s="397"/>
      <c r="L282" s="405"/>
    </row>
    <row r="283" spans="2:12" ht="30" customHeight="1" x14ac:dyDescent="0.3">
      <c r="B283" s="423"/>
      <c r="C283" s="393" t="s">
        <v>131</v>
      </c>
      <c r="D283" s="394"/>
      <c r="E283" s="436"/>
      <c r="F283" s="437"/>
      <c r="G283" s="397"/>
      <c r="H283" s="398"/>
      <c r="I283" s="402"/>
      <c r="J283" s="402"/>
      <c r="K283" s="397"/>
      <c r="L283" s="405"/>
    </row>
    <row r="284" spans="2:12" ht="30" customHeight="1" x14ac:dyDescent="0.3">
      <c r="B284" s="423"/>
      <c r="C284" s="393" t="s">
        <v>145</v>
      </c>
      <c r="D284" s="394"/>
      <c r="E284" s="260"/>
      <c r="F284" s="261"/>
      <c r="G284" s="397"/>
      <c r="H284" s="398"/>
      <c r="I284" s="402"/>
      <c r="J284" s="402"/>
      <c r="K284" s="397"/>
      <c r="L284" s="405"/>
    </row>
    <row r="285" spans="2:12" ht="30" customHeight="1" thickBot="1" x14ac:dyDescent="0.35">
      <c r="B285" s="424"/>
      <c r="C285" s="407" t="s">
        <v>146</v>
      </c>
      <c r="D285" s="408"/>
      <c r="E285" s="262"/>
      <c r="F285" s="263"/>
      <c r="G285" s="399"/>
      <c r="H285" s="400"/>
      <c r="I285" s="403"/>
      <c r="J285" s="403"/>
      <c r="K285" s="399"/>
      <c r="L285" s="406"/>
    </row>
    <row r="286" spans="2:12" ht="30" customHeight="1" x14ac:dyDescent="0.3">
      <c r="B286" s="422" t="s">
        <v>357</v>
      </c>
      <c r="C286" s="425" t="s">
        <v>128</v>
      </c>
      <c r="D286" s="426"/>
      <c r="E286" s="427"/>
      <c r="F286" s="428"/>
      <c r="G286" s="429" t="s">
        <v>149</v>
      </c>
      <c r="H286" s="430"/>
      <c r="I286" s="431" t="s">
        <v>129</v>
      </c>
      <c r="J286" s="430"/>
      <c r="K286" s="431" t="s">
        <v>130</v>
      </c>
      <c r="L286" s="433"/>
    </row>
    <row r="287" spans="2:12" ht="30" customHeight="1" x14ac:dyDescent="0.3">
      <c r="B287" s="423"/>
      <c r="C287" s="393" t="s">
        <v>231</v>
      </c>
      <c r="D287" s="394"/>
      <c r="E287" s="418"/>
      <c r="F287" s="419"/>
      <c r="G287" s="409"/>
      <c r="H287" s="410"/>
      <c r="I287" s="409"/>
      <c r="J287" s="410"/>
      <c r="K287" s="409"/>
      <c r="L287" s="415"/>
    </row>
    <row r="288" spans="2:12" ht="30" customHeight="1" x14ac:dyDescent="0.3">
      <c r="B288" s="423"/>
      <c r="C288" s="393" t="s">
        <v>147</v>
      </c>
      <c r="D288" s="394"/>
      <c r="E288" s="418"/>
      <c r="F288" s="419"/>
      <c r="G288" s="411"/>
      <c r="H288" s="412"/>
      <c r="I288" s="411"/>
      <c r="J288" s="412"/>
      <c r="K288" s="411"/>
      <c r="L288" s="416"/>
    </row>
    <row r="289" spans="2:12" ht="30" customHeight="1" x14ac:dyDescent="0.3">
      <c r="B289" s="423"/>
      <c r="C289" s="393" t="s">
        <v>142</v>
      </c>
      <c r="D289" s="394"/>
      <c r="E289" s="256"/>
      <c r="F289" s="257"/>
      <c r="G289" s="411"/>
      <c r="H289" s="412"/>
      <c r="I289" s="411"/>
      <c r="J289" s="412"/>
      <c r="K289" s="411"/>
      <c r="L289" s="416"/>
    </row>
    <row r="290" spans="2:12" ht="30" customHeight="1" x14ac:dyDescent="0.3">
      <c r="B290" s="423"/>
      <c r="C290" s="393" t="s">
        <v>324</v>
      </c>
      <c r="D290" s="394"/>
      <c r="E290" s="258"/>
      <c r="F290" s="259"/>
      <c r="G290" s="411"/>
      <c r="H290" s="412"/>
      <c r="I290" s="411"/>
      <c r="J290" s="412"/>
      <c r="K290" s="411"/>
      <c r="L290" s="416"/>
    </row>
    <row r="291" spans="2:12" ht="30" customHeight="1" x14ac:dyDescent="0.3">
      <c r="B291" s="423"/>
      <c r="C291" s="393" t="s">
        <v>325</v>
      </c>
      <c r="D291" s="394"/>
      <c r="E291" s="434"/>
      <c r="F291" s="435"/>
      <c r="G291" s="413"/>
      <c r="H291" s="414"/>
      <c r="I291" s="413"/>
      <c r="J291" s="414"/>
      <c r="K291" s="413"/>
      <c r="L291" s="417"/>
    </row>
    <row r="292" spans="2:12" ht="30" customHeight="1" x14ac:dyDescent="0.3">
      <c r="B292" s="423"/>
      <c r="C292" s="393" t="s">
        <v>143</v>
      </c>
      <c r="D292" s="394"/>
      <c r="E292" s="258"/>
      <c r="F292" s="259"/>
      <c r="G292" s="420" t="s">
        <v>150</v>
      </c>
      <c r="H292" s="432"/>
      <c r="I292" s="420" t="s">
        <v>151</v>
      </c>
      <c r="J292" s="432"/>
      <c r="K292" s="420" t="s">
        <v>152</v>
      </c>
      <c r="L292" s="421"/>
    </row>
    <row r="293" spans="2:12" ht="30" customHeight="1" x14ac:dyDescent="0.3">
      <c r="B293" s="423"/>
      <c r="C293" s="393" t="s">
        <v>144</v>
      </c>
      <c r="D293" s="394"/>
      <c r="E293" s="258"/>
      <c r="F293" s="259"/>
      <c r="G293" s="395"/>
      <c r="H293" s="396"/>
      <c r="I293" s="401"/>
      <c r="J293" s="401"/>
      <c r="K293" s="395"/>
      <c r="L293" s="404"/>
    </row>
    <row r="294" spans="2:12" ht="30" customHeight="1" x14ac:dyDescent="0.3">
      <c r="B294" s="423"/>
      <c r="C294" s="393" t="s">
        <v>153</v>
      </c>
      <c r="D294" s="394"/>
      <c r="E294" s="258"/>
      <c r="F294" s="259"/>
      <c r="G294" s="397"/>
      <c r="H294" s="398"/>
      <c r="I294" s="402"/>
      <c r="J294" s="402"/>
      <c r="K294" s="397"/>
      <c r="L294" s="405"/>
    </row>
    <row r="295" spans="2:12" ht="30" customHeight="1" x14ac:dyDescent="0.3">
      <c r="B295" s="423"/>
      <c r="C295" s="393" t="s">
        <v>131</v>
      </c>
      <c r="D295" s="394"/>
      <c r="E295" s="436"/>
      <c r="F295" s="437"/>
      <c r="G295" s="397"/>
      <c r="H295" s="398"/>
      <c r="I295" s="402"/>
      <c r="J295" s="402"/>
      <c r="K295" s="397"/>
      <c r="L295" s="405"/>
    </row>
    <row r="296" spans="2:12" ht="30" customHeight="1" x14ac:dyDescent="0.3">
      <c r="B296" s="423"/>
      <c r="C296" s="393" t="s">
        <v>145</v>
      </c>
      <c r="D296" s="394"/>
      <c r="E296" s="260"/>
      <c r="F296" s="261"/>
      <c r="G296" s="397"/>
      <c r="H296" s="398"/>
      <c r="I296" s="402"/>
      <c r="J296" s="402"/>
      <c r="K296" s="397"/>
      <c r="L296" s="405"/>
    </row>
    <row r="297" spans="2:12" ht="30" customHeight="1" thickBot="1" x14ac:dyDescent="0.35">
      <c r="B297" s="424"/>
      <c r="C297" s="407" t="s">
        <v>146</v>
      </c>
      <c r="D297" s="408"/>
      <c r="E297" s="262"/>
      <c r="F297" s="263"/>
      <c r="G297" s="399"/>
      <c r="H297" s="400"/>
      <c r="I297" s="403"/>
      <c r="J297" s="403"/>
      <c r="K297" s="399"/>
      <c r="L297" s="406"/>
    </row>
    <row r="298" spans="2:12" ht="30" customHeight="1" x14ac:dyDescent="0.3">
      <c r="B298" s="422" t="s">
        <v>358</v>
      </c>
      <c r="C298" s="425" t="s">
        <v>128</v>
      </c>
      <c r="D298" s="426"/>
      <c r="E298" s="427"/>
      <c r="F298" s="428"/>
      <c r="G298" s="429" t="s">
        <v>149</v>
      </c>
      <c r="H298" s="430"/>
      <c r="I298" s="431" t="s">
        <v>129</v>
      </c>
      <c r="J298" s="430"/>
      <c r="K298" s="431" t="s">
        <v>130</v>
      </c>
      <c r="L298" s="433"/>
    </row>
    <row r="299" spans="2:12" ht="30" customHeight="1" x14ac:dyDescent="0.3">
      <c r="B299" s="423"/>
      <c r="C299" s="393" t="s">
        <v>231</v>
      </c>
      <c r="D299" s="394"/>
      <c r="E299" s="418"/>
      <c r="F299" s="419"/>
      <c r="G299" s="409"/>
      <c r="H299" s="410"/>
      <c r="I299" s="409"/>
      <c r="J299" s="410"/>
      <c r="K299" s="409"/>
      <c r="L299" s="415"/>
    </row>
    <row r="300" spans="2:12" ht="30" customHeight="1" x14ac:dyDescent="0.3">
      <c r="B300" s="423"/>
      <c r="C300" s="393" t="s">
        <v>147</v>
      </c>
      <c r="D300" s="394"/>
      <c r="E300" s="418"/>
      <c r="F300" s="419"/>
      <c r="G300" s="411"/>
      <c r="H300" s="412"/>
      <c r="I300" s="411"/>
      <c r="J300" s="412"/>
      <c r="K300" s="411"/>
      <c r="L300" s="416"/>
    </row>
    <row r="301" spans="2:12" ht="30" customHeight="1" x14ac:dyDescent="0.3">
      <c r="B301" s="423"/>
      <c r="C301" s="393" t="s">
        <v>142</v>
      </c>
      <c r="D301" s="394"/>
      <c r="E301" s="256"/>
      <c r="F301" s="257"/>
      <c r="G301" s="411"/>
      <c r="H301" s="412"/>
      <c r="I301" s="411"/>
      <c r="J301" s="412"/>
      <c r="K301" s="411"/>
      <c r="L301" s="416"/>
    </row>
    <row r="302" spans="2:12" ht="30" customHeight="1" x14ac:dyDescent="0.3">
      <c r="B302" s="423"/>
      <c r="C302" s="393" t="s">
        <v>324</v>
      </c>
      <c r="D302" s="394"/>
      <c r="E302" s="258"/>
      <c r="F302" s="259"/>
      <c r="G302" s="411"/>
      <c r="H302" s="412"/>
      <c r="I302" s="411"/>
      <c r="J302" s="412"/>
      <c r="K302" s="411"/>
      <c r="L302" s="416"/>
    </row>
    <row r="303" spans="2:12" ht="30" customHeight="1" x14ac:dyDescent="0.3">
      <c r="B303" s="423"/>
      <c r="C303" s="393" t="s">
        <v>325</v>
      </c>
      <c r="D303" s="394"/>
      <c r="E303" s="434"/>
      <c r="F303" s="435"/>
      <c r="G303" s="413"/>
      <c r="H303" s="414"/>
      <c r="I303" s="413"/>
      <c r="J303" s="414"/>
      <c r="K303" s="413"/>
      <c r="L303" s="417"/>
    </row>
    <row r="304" spans="2:12" ht="30" customHeight="1" x14ac:dyDescent="0.3">
      <c r="B304" s="423"/>
      <c r="C304" s="393" t="s">
        <v>143</v>
      </c>
      <c r="D304" s="394"/>
      <c r="E304" s="258"/>
      <c r="F304" s="259"/>
      <c r="G304" s="420" t="s">
        <v>150</v>
      </c>
      <c r="H304" s="432"/>
      <c r="I304" s="420" t="s">
        <v>151</v>
      </c>
      <c r="J304" s="432"/>
      <c r="K304" s="420" t="s">
        <v>152</v>
      </c>
      <c r="L304" s="421"/>
    </row>
    <row r="305" spans="2:12" ht="30" customHeight="1" x14ac:dyDescent="0.3">
      <c r="B305" s="423"/>
      <c r="C305" s="393" t="s">
        <v>144</v>
      </c>
      <c r="D305" s="394"/>
      <c r="E305" s="258"/>
      <c r="F305" s="259"/>
      <c r="G305" s="395"/>
      <c r="H305" s="396"/>
      <c r="I305" s="401"/>
      <c r="J305" s="401"/>
      <c r="K305" s="395"/>
      <c r="L305" s="404"/>
    </row>
    <row r="306" spans="2:12" ht="30" customHeight="1" x14ac:dyDescent="0.3">
      <c r="B306" s="423"/>
      <c r="C306" s="393" t="s">
        <v>153</v>
      </c>
      <c r="D306" s="394"/>
      <c r="E306" s="258"/>
      <c r="F306" s="259"/>
      <c r="G306" s="397"/>
      <c r="H306" s="398"/>
      <c r="I306" s="402"/>
      <c r="J306" s="402"/>
      <c r="K306" s="397"/>
      <c r="L306" s="405"/>
    </row>
    <row r="307" spans="2:12" ht="30" customHeight="1" x14ac:dyDescent="0.3">
      <c r="B307" s="423"/>
      <c r="C307" s="393" t="s">
        <v>131</v>
      </c>
      <c r="D307" s="394"/>
      <c r="E307" s="436"/>
      <c r="F307" s="437"/>
      <c r="G307" s="397"/>
      <c r="H307" s="398"/>
      <c r="I307" s="402"/>
      <c r="J307" s="402"/>
      <c r="K307" s="397"/>
      <c r="L307" s="405"/>
    </row>
    <row r="308" spans="2:12" ht="30" customHeight="1" x14ac:dyDescent="0.3">
      <c r="B308" s="423"/>
      <c r="C308" s="393" t="s">
        <v>145</v>
      </c>
      <c r="D308" s="394"/>
      <c r="E308" s="260"/>
      <c r="F308" s="261"/>
      <c r="G308" s="397"/>
      <c r="H308" s="398"/>
      <c r="I308" s="402"/>
      <c r="J308" s="402"/>
      <c r="K308" s="397"/>
      <c r="L308" s="405"/>
    </row>
    <row r="309" spans="2:12" ht="30" customHeight="1" thickBot="1" x14ac:dyDescent="0.35">
      <c r="B309" s="424"/>
      <c r="C309" s="407" t="s">
        <v>146</v>
      </c>
      <c r="D309" s="408"/>
      <c r="E309" s="262"/>
      <c r="F309" s="263"/>
      <c r="G309" s="399"/>
      <c r="H309" s="400"/>
      <c r="I309" s="403"/>
      <c r="J309" s="403"/>
      <c r="K309" s="399"/>
      <c r="L309" s="406"/>
    </row>
    <row r="310" spans="2:12" ht="30" customHeight="1" x14ac:dyDescent="0.3">
      <c r="B310" s="422" t="s">
        <v>359</v>
      </c>
      <c r="C310" s="425" t="s">
        <v>128</v>
      </c>
      <c r="D310" s="426"/>
      <c r="E310" s="427"/>
      <c r="F310" s="428"/>
      <c r="G310" s="429" t="s">
        <v>149</v>
      </c>
      <c r="H310" s="430"/>
      <c r="I310" s="431" t="s">
        <v>129</v>
      </c>
      <c r="J310" s="430"/>
      <c r="K310" s="431" t="s">
        <v>130</v>
      </c>
      <c r="L310" s="433"/>
    </row>
    <row r="311" spans="2:12" ht="30" customHeight="1" x14ac:dyDescent="0.3">
      <c r="B311" s="423"/>
      <c r="C311" s="393" t="s">
        <v>231</v>
      </c>
      <c r="D311" s="394"/>
      <c r="E311" s="418"/>
      <c r="F311" s="419"/>
      <c r="G311" s="409"/>
      <c r="H311" s="410"/>
      <c r="I311" s="409"/>
      <c r="J311" s="410"/>
      <c r="K311" s="409"/>
      <c r="L311" s="415"/>
    </row>
    <row r="312" spans="2:12" ht="30" customHeight="1" x14ac:dyDescent="0.3">
      <c r="B312" s="423"/>
      <c r="C312" s="393" t="s">
        <v>147</v>
      </c>
      <c r="D312" s="394"/>
      <c r="E312" s="418"/>
      <c r="F312" s="419"/>
      <c r="G312" s="411"/>
      <c r="H312" s="412"/>
      <c r="I312" s="411"/>
      <c r="J312" s="412"/>
      <c r="K312" s="411"/>
      <c r="L312" s="416"/>
    </row>
    <row r="313" spans="2:12" ht="30" customHeight="1" x14ac:dyDescent="0.3">
      <c r="B313" s="423"/>
      <c r="C313" s="393" t="s">
        <v>142</v>
      </c>
      <c r="D313" s="394"/>
      <c r="E313" s="256"/>
      <c r="F313" s="257"/>
      <c r="G313" s="411"/>
      <c r="H313" s="412"/>
      <c r="I313" s="411"/>
      <c r="J313" s="412"/>
      <c r="K313" s="411"/>
      <c r="L313" s="416"/>
    </row>
    <row r="314" spans="2:12" ht="30" customHeight="1" x14ac:dyDescent="0.3">
      <c r="B314" s="423"/>
      <c r="C314" s="393" t="s">
        <v>324</v>
      </c>
      <c r="D314" s="394"/>
      <c r="E314" s="258"/>
      <c r="F314" s="259"/>
      <c r="G314" s="411"/>
      <c r="H314" s="412"/>
      <c r="I314" s="411"/>
      <c r="J314" s="412"/>
      <c r="K314" s="411"/>
      <c r="L314" s="416"/>
    </row>
    <row r="315" spans="2:12" ht="30" customHeight="1" x14ac:dyDescent="0.3">
      <c r="B315" s="423"/>
      <c r="C315" s="393" t="s">
        <v>325</v>
      </c>
      <c r="D315" s="394"/>
      <c r="E315" s="434"/>
      <c r="F315" s="435"/>
      <c r="G315" s="413"/>
      <c r="H315" s="414"/>
      <c r="I315" s="413"/>
      <c r="J315" s="414"/>
      <c r="K315" s="413"/>
      <c r="L315" s="417"/>
    </row>
    <row r="316" spans="2:12" ht="30" customHeight="1" x14ac:dyDescent="0.3">
      <c r="B316" s="423"/>
      <c r="C316" s="393" t="s">
        <v>143</v>
      </c>
      <c r="D316" s="394"/>
      <c r="E316" s="258"/>
      <c r="F316" s="259"/>
      <c r="G316" s="420" t="s">
        <v>150</v>
      </c>
      <c r="H316" s="432"/>
      <c r="I316" s="420" t="s">
        <v>151</v>
      </c>
      <c r="J316" s="432"/>
      <c r="K316" s="420" t="s">
        <v>152</v>
      </c>
      <c r="L316" s="421"/>
    </row>
    <row r="317" spans="2:12" ht="30" customHeight="1" x14ac:dyDescent="0.3">
      <c r="B317" s="423"/>
      <c r="C317" s="393" t="s">
        <v>144</v>
      </c>
      <c r="D317" s="394"/>
      <c r="E317" s="258"/>
      <c r="F317" s="259"/>
      <c r="G317" s="395"/>
      <c r="H317" s="396"/>
      <c r="I317" s="401"/>
      <c r="J317" s="401"/>
      <c r="K317" s="395"/>
      <c r="L317" s="404"/>
    </row>
    <row r="318" spans="2:12" ht="30" customHeight="1" x14ac:dyDescent="0.3">
      <c r="B318" s="423"/>
      <c r="C318" s="393" t="s">
        <v>153</v>
      </c>
      <c r="D318" s="394"/>
      <c r="E318" s="258"/>
      <c r="F318" s="259"/>
      <c r="G318" s="397"/>
      <c r="H318" s="398"/>
      <c r="I318" s="402"/>
      <c r="J318" s="402"/>
      <c r="K318" s="397"/>
      <c r="L318" s="405"/>
    </row>
    <row r="319" spans="2:12" ht="30" customHeight="1" x14ac:dyDescent="0.3">
      <c r="B319" s="423"/>
      <c r="C319" s="393" t="s">
        <v>131</v>
      </c>
      <c r="D319" s="394"/>
      <c r="E319" s="436"/>
      <c r="F319" s="437"/>
      <c r="G319" s="397"/>
      <c r="H319" s="398"/>
      <c r="I319" s="402"/>
      <c r="J319" s="402"/>
      <c r="K319" s="397"/>
      <c r="L319" s="405"/>
    </row>
    <row r="320" spans="2:12" ht="30" customHeight="1" x14ac:dyDescent="0.3">
      <c r="B320" s="423"/>
      <c r="C320" s="393" t="s">
        <v>145</v>
      </c>
      <c r="D320" s="394"/>
      <c r="E320" s="260"/>
      <c r="F320" s="261"/>
      <c r="G320" s="397"/>
      <c r="H320" s="398"/>
      <c r="I320" s="402"/>
      <c r="J320" s="402"/>
      <c r="K320" s="397"/>
      <c r="L320" s="405"/>
    </row>
    <row r="321" spans="2:12" ht="30" customHeight="1" thickBot="1" x14ac:dyDescent="0.35">
      <c r="B321" s="424"/>
      <c r="C321" s="407" t="s">
        <v>146</v>
      </c>
      <c r="D321" s="408"/>
      <c r="E321" s="262"/>
      <c r="F321" s="263"/>
      <c r="G321" s="399"/>
      <c r="H321" s="400"/>
      <c r="I321" s="403"/>
      <c r="J321" s="403"/>
      <c r="K321" s="399"/>
      <c r="L321" s="406"/>
    </row>
    <row r="322" spans="2:12" ht="30" customHeight="1" x14ac:dyDescent="0.3">
      <c r="B322" s="422" t="s">
        <v>360</v>
      </c>
      <c r="C322" s="425" t="s">
        <v>128</v>
      </c>
      <c r="D322" s="426"/>
      <c r="E322" s="427"/>
      <c r="F322" s="428"/>
      <c r="G322" s="429" t="s">
        <v>149</v>
      </c>
      <c r="H322" s="430"/>
      <c r="I322" s="431" t="s">
        <v>129</v>
      </c>
      <c r="J322" s="430"/>
      <c r="K322" s="431" t="s">
        <v>130</v>
      </c>
      <c r="L322" s="433"/>
    </row>
    <row r="323" spans="2:12" ht="30" customHeight="1" x14ac:dyDescent="0.3">
      <c r="B323" s="423"/>
      <c r="C323" s="393" t="s">
        <v>231</v>
      </c>
      <c r="D323" s="394"/>
      <c r="E323" s="418"/>
      <c r="F323" s="419"/>
      <c r="G323" s="409"/>
      <c r="H323" s="410"/>
      <c r="I323" s="409"/>
      <c r="J323" s="410"/>
      <c r="K323" s="409"/>
      <c r="L323" s="415"/>
    </row>
    <row r="324" spans="2:12" ht="30" customHeight="1" x14ac:dyDescent="0.3">
      <c r="B324" s="423"/>
      <c r="C324" s="393" t="s">
        <v>147</v>
      </c>
      <c r="D324" s="394"/>
      <c r="E324" s="418"/>
      <c r="F324" s="419"/>
      <c r="G324" s="411"/>
      <c r="H324" s="412"/>
      <c r="I324" s="411"/>
      <c r="J324" s="412"/>
      <c r="K324" s="411"/>
      <c r="L324" s="416"/>
    </row>
    <row r="325" spans="2:12" ht="30" customHeight="1" x14ac:dyDescent="0.3">
      <c r="B325" s="423"/>
      <c r="C325" s="393" t="s">
        <v>142</v>
      </c>
      <c r="D325" s="394"/>
      <c r="E325" s="256"/>
      <c r="F325" s="271"/>
      <c r="G325" s="411"/>
      <c r="H325" s="412"/>
      <c r="I325" s="411"/>
      <c r="J325" s="412"/>
      <c r="K325" s="411"/>
      <c r="L325" s="416"/>
    </row>
    <row r="326" spans="2:12" ht="30" customHeight="1" x14ac:dyDescent="0.3">
      <c r="B326" s="423"/>
      <c r="C326" s="393" t="s">
        <v>324</v>
      </c>
      <c r="D326" s="394"/>
      <c r="E326" s="258"/>
      <c r="F326" s="259"/>
      <c r="G326" s="411"/>
      <c r="H326" s="412"/>
      <c r="I326" s="411"/>
      <c r="J326" s="412"/>
      <c r="K326" s="411"/>
      <c r="L326" s="416"/>
    </row>
    <row r="327" spans="2:12" ht="30" customHeight="1" x14ac:dyDescent="0.3">
      <c r="B327" s="423"/>
      <c r="C327" s="393" t="s">
        <v>325</v>
      </c>
      <c r="D327" s="394"/>
      <c r="E327" s="434"/>
      <c r="F327" s="435"/>
      <c r="G327" s="413"/>
      <c r="H327" s="414"/>
      <c r="I327" s="413"/>
      <c r="J327" s="414"/>
      <c r="K327" s="413"/>
      <c r="L327" s="417"/>
    </row>
    <row r="328" spans="2:12" ht="30" customHeight="1" x14ac:dyDescent="0.3">
      <c r="B328" s="423"/>
      <c r="C328" s="393" t="s">
        <v>143</v>
      </c>
      <c r="D328" s="394"/>
      <c r="E328" s="258"/>
      <c r="F328" s="259"/>
      <c r="G328" s="420" t="s">
        <v>150</v>
      </c>
      <c r="H328" s="432"/>
      <c r="I328" s="420" t="s">
        <v>151</v>
      </c>
      <c r="J328" s="432"/>
      <c r="K328" s="420" t="s">
        <v>152</v>
      </c>
      <c r="L328" s="421"/>
    </row>
    <row r="329" spans="2:12" ht="30" customHeight="1" x14ac:dyDescent="0.3">
      <c r="B329" s="423"/>
      <c r="C329" s="393" t="s">
        <v>144</v>
      </c>
      <c r="D329" s="394"/>
      <c r="E329" s="258"/>
      <c r="F329" s="259"/>
      <c r="G329" s="395"/>
      <c r="H329" s="396"/>
      <c r="I329" s="401"/>
      <c r="J329" s="401"/>
      <c r="K329" s="395"/>
      <c r="L329" s="404"/>
    </row>
    <row r="330" spans="2:12" ht="30" customHeight="1" x14ac:dyDescent="0.3">
      <c r="B330" s="423"/>
      <c r="C330" s="393" t="s">
        <v>153</v>
      </c>
      <c r="D330" s="394"/>
      <c r="E330" s="258"/>
      <c r="F330" s="259"/>
      <c r="G330" s="397"/>
      <c r="H330" s="398"/>
      <c r="I330" s="402"/>
      <c r="J330" s="402"/>
      <c r="K330" s="397"/>
      <c r="L330" s="405"/>
    </row>
    <row r="331" spans="2:12" ht="30" customHeight="1" x14ac:dyDescent="0.3">
      <c r="B331" s="423"/>
      <c r="C331" s="393" t="s">
        <v>131</v>
      </c>
      <c r="D331" s="394"/>
      <c r="E331" s="436"/>
      <c r="F331" s="437"/>
      <c r="G331" s="397"/>
      <c r="H331" s="398"/>
      <c r="I331" s="402"/>
      <c r="J331" s="402"/>
      <c r="K331" s="397"/>
      <c r="L331" s="405"/>
    </row>
    <row r="332" spans="2:12" ht="30" customHeight="1" x14ac:dyDescent="0.3">
      <c r="B332" s="423"/>
      <c r="C332" s="393" t="s">
        <v>145</v>
      </c>
      <c r="D332" s="394"/>
      <c r="E332" s="260"/>
      <c r="F332" s="270"/>
      <c r="G332" s="397"/>
      <c r="H332" s="398"/>
      <c r="I332" s="402"/>
      <c r="J332" s="402"/>
      <c r="K332" s="397"/>
      <c r="L332" s="405"/>
    </row>
    <row r="333" spans="2:12" ht="30" customHeight="1" thickBot="1" x14ac:dyDescent="0.35">
      <c r="B333" s="424"/>
      <c r="C333" s="407" t="s">
        <v>146</v>
      </c>
      <c r="D333" s="408"/>
      <c r="E333" s="262"/>
      <c r="F333" s="263"/>
      <c r="G333" s="399"/>
      <c r="H333" s="400"/>
      <c r="I333" s="403"/>
      <c r="J333" s="403"/>
      <c r="K333" s="399"/>
      <c r="L333" s="406"/>
    </row>
    <row r="334" spans="2:12" ht="30" customHeight="1" x14ac:dyDescent="0.3">
      <c r="B334" s="422" t="s">
        <v>361</v>
      </c>
      <c r="C334" s="425" t="s">
        <v>128</v>
      </c>
      <c r="D334" s="426"/>
      <c r="E334" s="427"/>
      <c r="F334" s="428"/>
      <c r="G334" s="429" t="s">
        <v>149</v>
      </c>
      <c r="H334" s="430"/>
      <c r="I334" s="431" t="s">
        <v>129</v>
      </c>
      <c r="J334" s="430"/>
      <c r="K334" s="431" t="s">
        <v>130</v>
      </c>
      <c r="L334" s="433"/>
    </row>
    <row r="335" spans="2:12" ht="30" customHeight="1" x14ac:dyDescent="0.3">
      <c r="B335" s="423"/>
      <c r="C335" s="393" t="s">
        <v>231</v>
      </c>
      <c r="D335" s="394"/>
      <c r="E335" s="418"/>
      <c r="F335" s="419"/>
      <c r="G335" s="409"/>
      <c r="H335" s="410"/>
      <c r="I335" s="409"/>
      <c r="J335" s="410"/>
      <c r="K335" s="409"/>
      <c r="L335" s="415"/>
    </row>
    <row r="336" spans="2:12" ht="30" customHeight="1" x14ac:dyDescent="0.3">
      <c r="B336" s="423"/>
      <c r="C336" s="393" t="s">
        <v>147</v>
      </c>
      <c r="D336" s="394"/>
      <c r="E336" s="418"/>
      <c r="F336" s="419"/>
      <c r="G336" s="411"/>
      <c r="H336" s="412"/>
      <c r="I336" s="411"/>
      <c r="J336" s="412"/>
      <c r="K336" s="411"/>
      <c r="L336" s="416"/>
    </row>
    <row r="337" spans="2:12" ht="30" customHeight="1" x14ac:dyDescent="0.3">
      <c r="B337" s="423"/>
      <c r="C337" s="393" t="s">
        <v>142</v>
      </c>
      <c r="D337" s="394"/>
      <c r="E337" s="256"/>
      <c r="F337" s="271"/>
      <c r="G337" s="411"/>
      <c r="H337" s="412"/>
      <c r="I337" s="411"/>
      <c r="J337" s="412"/>
      <c r="K337" s="411"/>
      <c r="L337" s="416"/>
    </row>
    <row r="338" spans="2:12" ht="30" customHeight="1" x14ac:dyDescent="0.3">
      <c r="B338" s="423"/>
      <c r="C338" s="393" t="s">
        <v>324</v>
      </c>
      <c r="D338" s="394"/>
      <c r="E338" s="258"/>
      <c r="F338" s="259"/>
      <c r="G338" s="411"/>
      <c r="H338" s="412"/>
      <c r="I338" s="411"/>
      <c r="J338" s="412"/>
      <c r="K338" s="411"/>
      <c r="L338" s="416"/>
    </row>
    <row r="339" spans="2:12" ht="30" customHeight="1" x14ac:dyDescent="0.3">
      <c r="B339" s="423"/>
      <c r="C339" s="393" t="s">
        <v>325</v>
      </c>
      <c r="D339" s="394"/>
      <c r="E339" s="434"/>
      <c r="F339" s="435"/>
      <c r="G339" s="413"/>
      <c r="H339" s="414"/>
      <c r="I339" s="413"/>
      <c r="J339" s="414"/>
      <c r="K339" s="413"/>
      <c r="L339" s="417"/>
    </row>
    <row r="340" spans="2:12" ht="30" customHeight="1" x14ac:dyDescent="0.3">
      <c r="B340" s="423"/>
      <c r="C340" s="393" t="s">
        <v>143</v>
      </c>
      <c r="D340" s="394"/>
      <c r="E340" s="258"/>
      <c r="F340" s="259"/>
      <c r="G340" s="420" t="s">
        <v>150</v>
      </c>
      <c r="H340" s="432"/>
      <c r="I340" s="420" t="s">
        <v>151</v>
      </c>
      <c r="J340" s="432"/>
      <c r="K340" s="420" t="s">
        <v>152</v>
      </c>
      <c r="L340" s="421"/>
    </row>
    <row r="341" spans="2:12" ht="30" customHeight="1" x14ac:dyDescent="0.3">
      <c r="B341" s="423"/>
      <c r="C341" s="393" t="s">
        <v>144</v>
      </c>
      <c r="D341" s="394"/>
      <c r="E341" s="258"/>
      <c r="F341" s="259"/>
      <c r="G341" s="395"/>
      <c r="H341" s="396"/>
      <c r="I341" s="401"/>
      <c r="J341" s="401"/>
      <c r="K341" s="395"/>
      <c r="L341" s="404"/>
    </row>
    <row r="342" spans="2:12" ht="30" customHeight="1" x14ac:dyDescent="0.3">
      <c r="B342" s="423"/>
      <c r="C342" s="393" t="s">
        <v>153</v>
      </c>
      <c r="D342" s="394"/>
      <c r="E342" s="258"/>
      <c r="F342" s="259"/>
      <c r="G342" s="397"/>
      <c r="H342" s="398"/>
      <c r="I342" s="402"/>
      <c r="J342" s="402"/>
      <c r="K342" s="397"/>
      <c r="L342" s="405"/>
    </row>
    <row r="343" spans="2:12" ht="30" customHeight="1" x14ac:dyDescent="0.3">
      <c r="B343" s="423"/>
      <c r="C343" s="393" t="s">
        <v>131</v>
      </c>
      <c r="D343" s="394"/>
      <c r="E343" s="436"/>
      <c r="F343" s="437"/>
      <c r="G343" s="397"/>
      <c r="H343" s="398"/>
      <c r="I343" s="402"/>
      <c r="J343" s="402"/>
      <c r="K343" s="397"/>
      <c r="L343" s="405"/>
    </row>
    <row r="344" spans="2:12" ht="30" customHeight="1" x14ac:dyDescent="0.3">
      <c r="B344" s="423"/>
      <c r="C344" s="393" t="s">
        <v>145</v>
      </c>
      <c r="D344" s="394"/>
      <c r="E344" s="260"/>
      <c r="F344" s="270"/>
      <c r="G344" s="397"/>
      <c r="H344" s="398"/>
      <c r="I344" s="402"/>
      <c r="J344" s="402"/>
      <c r="K344" s="397"/>
      <c r="L344" s="405"/>
    </row>
    <row r="345" spans="2:12" ht="30" customHeight="1" thickBot="1" x14ac:dyDescent="0.35">
      <c r="B345" s="424"/>
      <c r="C345" s="407" t="s">
        <v>146</v>
      </c>
      <c r="D345" s="408"/>
      <c r="E345" s="262"/>
      <c r="F345" s="263"/>
      <c r="G345" s="399"/>
      <c r="H345" s="400"/>
      <c r="I345" s="403"/>
      <c r="J345" s="403"/>
      <c r="K345" s="399"/>
      <c r="L345" s="406"/>
    </row>
    <row r="346" spans="2:12" ht="30" customHeight="1" x14ac:dyDescent="0.3">
      <c r="B346" s="422" t="s">
        <v>362</v>
      </c>
      <c r="C346" s="425" t="s">
        <v>128</v>
      </c>
      <c r="D346" s="426"/>
      <c r="E346" s="427"/>
      <c r="F346" s="428"/>
      <c r="G346" s="429" t="s">
        <v>149</v>
      </c>
      <c r="H346" s="430"/>
      <c r="I346" s="431" t="s">
        <v>129</v>
      </c>
      <c r="J346" s="430"/>
      <c r="K346" s="431" t="s">
        <v>130</v>
      </c>
      <c r="L346" s="433"/>
    </row>
    <row r="347" spans="2:12" ht="30" customHeight="1" x14ac:dyDescent="0.3">
      <c r="B347" s="423"/>
      <c r="C347" s="393" t="s">
        <v>231</v>
      </c>
      <c r="D347" s="394"/>
      <c r="E347" s="418"/>
      <c r="F347" s="419"/>
      <c r="G347" s="409"/>
      <c r="H347" s="410"/>
      <c r="I347" s="409"/>
      <c r="J347" s="410"/>
      <c r="K347" s="409"/>
      <c r="L347" s="415"/>
    </row>
    <row r="348" spans="2:12" ht="30" customHeight="1" x14ac:dyDescent="0.3">
      <c r="B348" s="423"/>
      <c r="C348" s="393" t="s">
        <v>147</v>
      </c>
      <c r="D348" s="394"/>
      <c r="E348" s="418"/>
      <c r="F348" s="419"/>
      <c r="G348" s="411"/>
      <c r="H348" s="412"/>
      <c r="I348" s="411"/>
      <c r="J348" s="412"/>
      <c r="K348" s="411"/>
      <c r="L348" s="416"/>
    </row>
    <row r="349" spans="2:12" ht="30" customHeight="1" x14ac:dyDescent="0.3">
      <c r="B349" s="423"/>
      <c r="C349" s="393" t="s">
        <v>142</v>
      </c>
      <c r="D349" s="394"/>
      <c r="E349" s="256"/>
      <c r="F349" s="271"/>
      <c r="G349" s="411"/>
      <c r="H349" s="412"/>
      <c r="I349" s="411"/>
      <c r="J349" s="412"/>
      <c r="K349" s="411"/>
      <c r="L349" s="416"/>
    </row>
    <row r="350" spans="2:12" ht="30" customHeight="1" x14ac:dyDescent="0.3">
      <c r="B350" s="423"/>
      <c r="C350" s="393" t="s">
        <v>324</v>
      </c>
      <c r="D350" s="394"/>
      <c r="E350" s="258"/>
      <c r="F350" s="259"/>
      <c r="G350" s="411"/>
      <c r="H350" s="412"/>
      <c r="I350" s="411"/>
      <c r="J350" s="412"/>
      <c r="K350" s="411"/>
      <c r="L350" s="416"/>
    </row>
    <row r="351" spans="2:12" ht="30" customHeight="1" x14ac:dyDescent="0.3">
      <c r="B351" s="423"/>
      <c r="C351" s="393" t="s">
        <v>325</v>
      </c>
      <c r="D351" s="394"/>
      <c r="E351" s="434"/>
      <c r="F351" s="435"/>
      <c r="G351" s="413"/>
      <c r="H351" s="414"/>
      <c r="I351" s="413"/>
      <c r="J351" s="414"/>
      <c r="K351" s="413"/>
      <c r="L351" s="417"/>
    </row>
    <row r="352" spans="2:12" ht="30" customHeight="1" x14ac:dyDescent="0.3">
      <c r="B352" s="423"/>
      <c r="C352" s="393" t="s">
        <v>143</v>
      </c>
      <c r="D352" s="394"/>
      <c r="E352" s="258"/>
      <c r="F352" s="259"/>
      <c r="G352" s="420" t="s">
        <v>150</v>
      </c>
      <c r="H352" s="432"/>
      <c r="I352" s="420" t="s">
        <v>151</v>
      </c>
      <c r="J352" s="432"/>
      <c r="K352" s="420" t="s">
        <v>152</v>
      </c>
      <c r="L352" s="421"/>
    </row>
    <row r="353" spans="2:12" ht="30" customHeight="1" x14ac:dyDescent="0.3">
      <c r="B353" s="423"/>
      <c r="C353" s="393" t="s">
        <v>144</v>
      </c>
      <c r="D353" s="394"/>
      <c r="E353" s="258"/>
      <c r="F353" s="259"/>
      <c r="G353" s="395"/>
      <c r="H353" s="396"/>
      <c r="I353" s="401"/>
      <c r="J353" s="401"/>
      <c r="K353" s="395"/>
      <c r="L353" s="404"/>
    </row>
    <row r="354" spans="2:12" ht="30" customHeight="1" x14ac:dyDescent="0.3">
      <c r="B354" s="423"/>
      <c r="C354" s="393" t="s">
        <v>153</v>
      </c>
      <c r="D354" s="394"/>
      <c r="E354" s="258"/>
      <c r="F354" s="259"/>
      <c r="G354" s="397"/>
      <c r="H354" s="398"/>
      <c r="I354" s="402"/>
      <c r="J354" s="402"/>
      <c r="K354" s="397"/>
      <c r="L354" s="405"/>
    </row>
    <row r="355" spans="2:12" ht="30" customHeight="1" x14ac:dyDescent="0.3">
      <c r="B355" s="423"/>
      <c r="C355" s="393" t="s">
        <v>131</v>
      </c>
      <c r="D355" s="394"/>
      <c r="E355" s="436"/>
      <c r="F355" s="437"/>
      <c r="G355" s="397"/>
      <c r="H355" s="398"/>
      <c r="I355" s="402"/>
      <c r="J355" s="402"/>
      <c r="K355" s="397"/>
      <c r="L355" s="405"/>
    </row>
    <row r="356" spans="2:12" ht="30" customHeight="1" x14ac:dyDescent="0.3">
      <c r="B356" s="423"/>
      <c r="C356" s="393" t="s">
        <v>145</v>
      </c>
      <c r="D356" s="394"/>
      <c r="E356" s="260"/>
      <c r="F356" s="270"/>
      <c r="G356" s="397"/>
      <c r="H356" s="398"/>
      <c r="I356" s="402"/>
      <c r="J356" s="402"/>
      <c r="K356" s="397"/>
      <c r="L356" s="405"/>
    </row>
    <row r="357" spans="2:12" ht="30" customHeight="1" thickBot="1" x14ac:dyDescent="0.35">
      <c r="B357" s="424"/>
      <c r="C357" s="407" t="s">
        <v>146</v>
      </c>
      <c r="D357" s="408"/>
      <c r="E357" s="262"/>
      <c r="F357" s="263"/>
      <c r="G357" s="399"/>
      <c r="H357" s="400"/>
      <c r="I357" s="403"/>
      <c r="J357" s="403"/>
      <c r="K357" s="399"/>
      <c r="L357" s="406"/>
    </row>
    <row r="358" spans="2:12" ht="30" customHeight="1" x14ac:dyDescent="0.3">
      <c r="B358" s="422" t="s">
        <v>363</v>
      </c>
      <c r="C358" s="425" t="s">
        <v>128</v>
      </c>
      <c r="D358" s="426"/>
      <c r="E358" s="427"/>
      <c r="F358" s="428"/>
      <c r="G358" s="429" t="s">
        <v>149</v>
      </c>
      <c r="H358" s="430"/>
      <c r="I358" s="431" t="s">
        <v>129</v>
      </c>
      <c r="J358" s="430"/>
      <c r="K358" s="431" t="s">
        <v>130</v>
      </c>
      <c r="L358" s="433"/>
    </row>
    <row r="359" spans="2:12" ht="30" customHeight="1" x14ac:dyDescent="0.3">
      <c r="B359" s="423"/>
      <c r="C359" s="393" t="s">
        <v>231</v>
      </c>
      <c r="D359" s="394"/>
      <c r="E359" s="418"/>
      <c r="F359" s="419"/>
      <c r="G359" s="409"/>
      <c r="H359" s="410"/>
      <c r="I359" s="409"/>
      <c r="J359" s="410"/>
      <c r="K359" s="409"/>
      <c r="L359" s="415"/>
    </row>
    <row r="360" spans="2:12" ht="30" customHeight="1" x14ac:dyDescent="0.3">
      <c r="B360" s="423"/>
      <c r="C360" s="393" t="s">
        <v>147</v>
      </c>
      <c r="D360" s="394"/>
      <c r="E360" s="418"/>
      <c r="F360" s="419"/>
      <c r="G360" s="411"/>
      <c r="H360" s="412"/>
      <c r="I360" s="411"/>
      <c r="J360" s="412"/>
      <c r="K360" s="411"/>
      <c r="L360" s="416"/>
    </row>
    <row r="361" spans="2:12" ht="30" customHeight="1" x14ac:dyDescent="0.3">
      <c r="B361" s="423"/>
      <c r="C361" s="393" t="s">
        <v>142</v>
      </c>
      <c r="D361" s="394"/>
      <c r="E361" s="256"/>
      <c r="F361" s="271"/>
      <c r="G361" s="411"/>
      <c r="H361" s="412"/>
      <c r="I361" s="411"/>
      <c r="J361" s="412"/>
      <c r="K361" s="411"/>
      <c r="L361" s="416"/>
    </row>
    <row r="362" spans="2:12" ht="30" customHeight="1" x14ac:dyDescent="0.3">
      <c r="B362" s="423"/>
      <c r="C362" s="393" t="s">
        <v>324</v>
      </c>
      <c r="D362" s="394"/>
      <c r="E362" s="258"/>
      <c r="F362" s="259"/>
      <c r="G362" s="411"/>
      <c r="H362" s="412"/>
      <c r="I362" s="411"/>
      <c r="J362" s="412"/>
      <c r="K362" s="411"/>
      <c r="L362" s="416"/>
    </row>
    <row r="363" spans="2:12" ht="30" customHeight="1" x14ac:dyDescent="0.3">
      <c r="B363" s="423"/>
      <c r="C363" s="393" t="s">
        <v>325</v>
      </c>
      <c r="D363" s="394"/>
      <c r="E363" s="434"/>
      <c r="F363" s="435"/>
      <c r="G363" s="413"/>
      <c r="H363" s="414"/>
      <c r="I363" s="413"/>
      <c r="J363" s="414"/>
      <c r="K363" s="413"/>
      <c r="L363" s="417"/>
    </row>
    <row r="364" spans="2:12" ht="30" customHeight="1" x14ac:dyDescent="0.3">
      <c r="B364" s="423"/>
      <c r="C364" s="393" t="s">
        <v>143</v>
      </c>
      <c r="D364" s="394"/>
      <c r="E364" s="258"/>
      <c r="F364" s="259"/>
      <c r="G364" s="420" t="s">
        <v>150</v>
      </c>
      <c r="H364" s="432"/>
      <c r="I364" s="420" t="s">
        <v>151</v>
      </c>
      <c r="J364" s="432"/>
      <c r="K364" s="420" t="s">
        <v>152</v>
      </c>
      <c r="L364" s="421"/>
    </row>
    <row r="365" spans="2:12" ht="30" customHeight="1" x14ac:dyDescent="0.3">
      <c r="B365" s="423"/>
      <c r="C365" s="393" t="s">
        <v>144</v>
      </c>
      <c r="D365" s="394"/>
      <c r="E365" s="258"/>
      <c r="F365" s="259"/>
      <c r="G365" s="395"/>
      <c r="H365" s="396"/>
      <c r="I365" s="401"/>
      <c r="J365" s="401"/>
      <c r="K365" s="395"/>
      <c r="L365" s="404"/>
    </row>
    <row r="366" spans="2:12" ht="30" customHeight="1" x14ac:dyDescent="0.3">
      <c r="B366" s="423"/>
      <c r="C366" s="393" t="s">
        <v>153</v>
      </c>
      <c r="D366" s="394"/>
      <c r="E366" s="258"/>
      <c r="F366" s="259"/>
      <c r="G366" s="397"/>
      <c r="H366" s="398"/>
      <c r="I366" s="402"/>
      <c r="J366" s="402"/>
      <c r="K366" s="397"/>
      <c r="L366" s="405"/>
    </row>
    <row r="367" spans="2:12" ht="30" customHeight="1" x14ac:dyDescent="0.3">
      <c r="B367" s="423"/>
      <c r="C367" s="393" t="s">
        <v>131</v>
      </c>
      <c r="D367" s="394"/>
      <c r="E367" s="436"/>
      <c r="F367" s="437"/>
      <c r="G367" s="397"/>
      <c r="H367" s="398"/>
      <c r="I367" s="402"/>
      <c r="J367" s="402"/>
      <c r="K367" s="397"/>
      <c r="L367" s="405"/>
    </row>
    <row r="368" spans="2:12" ht="30" customHeight="1" x14ac:dyDescent="0.3">
      <c r="B368" s="423"/>
      <c r="C368" s="393" t="s">
        <v>145</v>
      </c>
      <c r="D368" s="394"/>
      <c r="E368" s="260"/>
      <c r="F368" s="270"/>
      <c r="G368" s="397"/>
      <c r="H368" s="398"/>
      <c r="I368" s="402"/>
      <c r="J368" s="402"/>
      <c r="K368" s="397"/>
      <c r="L368" s="405"/>
    </row>
    <row r="369" spans="2:12" ht="30" customHeight="1" thickBot="1" x14ac:dyDescent="0.35">
      <c r="B369" s="424"/>
      <c r="C369" s="407" t="s">
        <v>146</v>
      </c>
      <c r="D369" s="408"/>
      <c r="E369" s="262"/>
      <c r="F369" s="263"/>
      <c r="G369" s="399"/>
      <c r="H369" s="400"/>
      <c r="I369" s="403"/>
      <c r="J369" s="403"/>
      <c r="K369" s="399"/>
      <c r="L369" s="406"/>
    </row>
    <row r="370" spans="2:12" ht="30" customHeight="1" x14ac:dyDescent="0.3">
      <c r="B370" s="422" t="s">
        <v>364</v>
      </c>
      <c r="C370" s="425" t="s">
        <v>128</v>
      </c>
      <c r="D370" s="426"/>
      <c r="E370" s="427"/>
      <c r="F370" s="428"/>
      <c r="G370" s="429" t="s">
        <v>149</v>
      </c>
      <c r="H370" s="430"/>
      <c r="I370" s="431" t="s">
        <v>129</v>
      </c>
      <c r="J370" s="430"/>
      <c r="K370" s="431" t="s">
        <v>130</v>
      </c>
      <c r="L370" s="433"/>
    </row>
    <row r="371" spans="2:12" ht="30" customHeight="1" x14ac:dyDescent="0.3">
      <c r="B371" s="423"/>
      <c r="C371" s="393" t="s">
        <v>231</v>
      </c>
      <c r="D371" s="394"/>
      <c r="E371" s="418"/>
      <c r="F371" s="419"/>
      <c r="G371" s="409"/>
      <c r="H371" s="410"/>
      <c r="I371" s="409"/>
      <c r="J371" s="410"/>
      <c r="K371" s="409"/>
      <c r="L371" s="415"/>
    </row>
    <row r="372" spans="2:12" ht="30" customHeight="1" x14ac:dyDescent="0.3">
      <c r="B372" s="423"/>
      <c r="C372" s="393" t="s">
        <v>147</v>
      </c>
      <c r="D372" s="394"/>
      <c r="E372" s="418"/>
      <c r="F372" s="419"/>
      <c r="G372" s="411"/>
      <c r="H372" s="412"/>
      <c r="I372" s="411"/>
      <c r="J372" s="412"/>
      <c r="K372" s="411"/>
      <c r="L372" s="416"/>
    </row>
    <row r="373" spans="2:12" ht="30" customHeight="1" x14ac:dyDescent="0.3">
      <c r="B373" s="423"/>
      <c r="C373" s="393" t="s">
        <v>142</v>
      </c>
      <c r="D373" s="394"/>
      <c r="E373" s="256"/>
      <c r="F373" s="271"/>
      <c r="G373" s="411"/>
      <c r="H373" s="412"/>
      <c r="I373" s="411"/>
      <c r="J373" s="412"/>
      <c r="K373" s="411"/>
      <c r="L373" s="416"/>
    </row>
    <row r="374" spans="2:12" ht="30" customHeight="1" x14ac:dyDescent="0.3">
      <c r="B374" s="423"/>
      <c r="C374" s="393" t="s">
        <v>324</v>
      </c>
      <c r="D374" s="394"/>
      <c r="E374" s="258"/>
      <c r="F374" s="259"/>
      <c r="G374" s="411"/>
      <c r="H374" s="412"/>
      <c r="I374" s="411"/>
      <c r="J374" s="412"/>
      <c r="K374" s="411"/>
      <c r="L374" s="416"/>
    </row>
    <row r="375" spans="2:12" ht="30" customHeight="1" x14ac:dyDescent="0.3">
      <c r="B375" s="423"/>
      <c r="C375" s="393" t="s">
        <v>325</v>
      </c>
      <c r="D375" s="394"/>
      <c r="E375" s="434"/>
      <c r="F375" s="435"/>
      <c r="G375" s="413"/>
      <c r="H375" s="414"/>
      <c r="I375" s="413"/>
      <c r="J375" s="414"/>
      <c r="K375" s="413"/>
      <c r="L375" s="417"/>
    </row>
    <row r="376" spans="2:12" ht="30" customHeight="1" x14ac:dyDescent="0.3">
      <c r="B376" s="423"/>
      <c r="C376" s="393" t="s">
        <v>143</v>
      </c>
      <c r="D376" s="394"/>
      <c r="E376" s="258"/>
      <c r="F376" s="259"/>
      <c r="G376" s="420" t="s">
        <v>150</v>
      </c>
      <c r="H376" s="432"/>
      <c r="I376" s="420" t="s">
        <v>151</v>
      </c>
      <c r="J376" s="432"/>
      <c r="K376" s="420" t="s">
        <v>152</v>
      </c>
      <c r="L376" s="421"/>
    </row>
    <row r="377" spans="2:12" ht="30" customHeight="1" x14ac:dyDescent="0.3">
      <c r="B377" s="423"/>
      <c r="C377" s="393" t="s">
        <v>144</v>
      </c>
      <c r="D377" s="394"/>
      <c r="E377" s="258"/>
      <c r="F377" s="259"/>
      <c r="G377" s="395"/>
      <c r="H377" s="396"/>
      <c r="I377" s="401"/>
      <c r="J377" s="401"/>
      <c r="K377" s="395"/>
      <c r="L377" s="404"/>
    </row>
    <row r="378" spans="2:12" ht="30" customHeight="1" x14ac:dyDescent="0.3">
      <c r="B378" s="423"/>
      <c r="C378" s="393" t="s">
        <v>153</v>
      </c>
      <c r="D378" s="394"/>
      <c r="E378" s="258"/>
      <c r="F378" s="259"/>
      <c r="G378" s="397"/>
      <c r="H378" s="398"/>
      <c r="I378" s="402"/>
      <c r="J378" s="402"/>
      <c r="K378" s="397"/>
      <c r="L378" s="405"/>
    </row>
    <row r="379" spans="2:12" ht="30" customHeight="1" x14ac:dyDescent="0.3">
      <c r="B379" s="423"/>
      <c r="C379" s="393" t="s">
        <v>131</v>
      </c>
      <c r="D379" s="394"/>
      <c r="E379" s="436"/>
      <c r="F379" s="437"/>
      <c r="G379" s="397"/>
      <c r="H379" s="398"/>
      <c r="I379" s="402"/>
      <c r="J379" s="402"/>
      <c r="K379" s="397"/>
      <c r="L379" s="405"/>
    </row>
    <row r="380" spans="2:12" ht="30" customHeight="1" x14ac:dyDescent="0.3">
      <c r="B380" s="423"/>
      <c r="C380" s="393" t="s">
        <v>145</v>
      </c>
      <c r="D380" s="394"/>
      <c r="E380" s="260"/>
      <c r="F380" s="270"/>
      <c r="G380" s="397"/>
      <c r="H380" s="398"/>
      <c r="I380" s="402"/>
      <c r="J380" s="402"/>
      <c r="K380" s="397"/>
      <c r="L380" s="405"/>
    </row>
    <row r="381" spans="2:12" ht="30" customHeight="1" thickBot="1" x14ac:dyDescent="0.35">
      <c r="B381" s="424"/>
      <c r="C381" s="407" t="s">
        <v>146</v>
      </c>
      <c r="D381" s="408"/>
      <c r="E381" s="262"/>
      <c r="F381" s="263"/>
      <c r="G381" s="399"/>
      <c r="H381" s="400"/>
      <c r="I381" s="403"/>
      <c r="J381" s="403"/>
      <c r="K381" s="399"/>
      <c r="L381" s="406"/>
    </row>
  </sheetData>
  <sheetProtection algorithmName="SHA-512" hashValue="V2OH+R+Hv28T4s5Q88e33BJ67RPBA9ZOayQXxs9mggfQ+m1qwEfg3okWzWi43/P2DTx4yQWdaPnt84sBDMIpWw==" saltValue="NfrYMmoibBkxo1YjKUg5ww==" spinCount="100000" sheet="1" selectLockedCells="1"/>
  <mergeCells count="907">
    <mergeCell ref="B370:B381"/>
    <mergeCell ref="C370:D370"/>
    <mergeCell ref="E370:F370"/>
    <mergeCell ref="G370:H370"/>
    <mergeCell ref="I370:J370"/>
    <mergeCell ref="K370:L370"/>
    <mergeCell ref="C371:D371"/>
    <mergeCell ref="E371:F371"/>
    <mergeCell ref="G371:H375"/>
    <mergeCell ref="I371:J375"/>
    <mergeCell ref="K371:L375"/>
    <mergeCell ref="C372:D372"/>
    <mergeCell ref="E372:F372"/>
    <mergeCell ref="C373:D373"/>
    <mergeCell ref="C374:D374"/>
    <mergeCell ref="C375:D375"/>
    <mergeCell ref="E375:F375"/>
    <mergeCell ref="C376:D376"/>
    <mergeCell ref="G376:H376"/>
    <mergeCell ref="I376:J376"/>
    <mergeCell ref="K376:L376"/>
    <mergeCell ref="C377:D377"/>
    <mergeCell ref="G377:H381"/>
    <mergeCell ref="I377:J381"/>
    <mergeCell ref="K377:L381"/>
    <mergeCell ref="C378:D378"/>
    <mergeCell ref="C379:D379"/>
    <mergeCell ref="E379:F379"/>
    <mergeCell ref="C380:D380"/>
    <mergeCell ref="C381:D381"/>
    <mergeCell ref="K353:L357"/>
    <mergeCell ref="C354:D354"/>
    <mergeCell ref="C355:D355"/>
    <mergeCell ref="E355:F355"/>
    <mergeCell ref="C356:D356"/>
    <mergeCell ref="C357:D357"/>
    <mergeCell ref="G364:H364"/>
    <mergeCell ref="I364:J364"/>
    <mergeCell ref="K364:L364"/>
    <mergeCell ref="C365:D365"/>
    <mergeCell ref="G365:H369"/>
    <mergeCell ref="I365:J369"/>
    <mergeCell ref="K365:L369"/>
    <mergeCell ref="C366:D366"/>
    <mergeCell ref="C367:D367"/>
    <mergeCell ref="E367:F367"/>
    <mergeCell ref="C368:D368"/>
    <mergeCell ref="C369:D369"/>
    <mergeCell ref="B358:B369"/>
    <mergeCell ref="C358:D358"/>
    <mergeCell ref="E358:F358"/>
    <mergeCell ref="G358:H358"/>
    <mergeCell ref="I358:J358"/>
    <mergeCell ref="K358:L358"/>
    <mergeCell ref="C359:D359"/>
    <mergeCell ref="E359:F359"/>
    <mergeCell ref="G359:H363"/>
    <mergeCell ref="I359:J363"/>
    <mergeCell ref="K359:L363"/>
    <mergeCell ref="C360:D360"/>
    <mergeCell ref="E360:F360"/>
    <mergeCell ref="C361:D361"/>
    <mergeCell ref="C362:D362"/>
    <mergeCell ref="C363:D363"/>
    <mergeCell ref="E363:F363"/>
    <mergeCell ref="C364:D364"/>
    <mergeCell ref="B346:B357"/>
    <mergeCell ref="C346:D346"/>
    <mergeCell ref="E346:F346"/>
    <mergeCell ref="G346:H346"/>
    <mergeCell ref="I346:J346"/>
    <mergeCell ref="K346:L346"/>
    <mergeCell ref="C347:D347"/>
    <mergeCell ref="E347:F347"/>
    <mergeCell ref="G347:H351"/>
    <mergeCell ref="I347:J351"/>
    <mergeCell ref="K347:L351"/>
    <mergeCell ref="C348:D348"/>
    <mergeCell ref="E348:F348"/>
    <mergeCell ref="C349:D349"/>
    <mergeCell ref="C350:D350"/>
    <mergeCell ref="C351:D351"/>
    <mergeCell ref="E351:F351"/>
    <mergeCell ref="C352:D352"/>
    <mergeCell ref="G352:H352"/>
    <mergeCell ref="I352:J352"/>
    <mergeCell ref="K352:L352"/>
    <mergeCell ref="C353:D353"/>
    <mergeCell ref="G353:H357"/>
    <mergeCell ref="I353:J357"/>
    <mergeCell ref="G340:H340"/>
    <mergeCell ref="I340:J340"/>
    <mergeCell ref="K340:L340"/>
    <mergeCell ref="C341:D341"/>
    <mergeCell ref="G341:H345"/>
    <mergeCell ref="I341:J345"/>
    <mergeCell ref="K341:L345"/>
    <mergeCell ref="C342:D342"/>
    <mergeCell ref="C343:D343"/>
    <mergeCell ref="E343:F343"/>
    <mergeCell ref="C344:D344"/>
    <mergeCell ref="C345:D345"/>
    <mergeCell ref="K329:L333"/>
    <mergeCell ref="C330:D330"/>
    <mergeCell ref="C331:D331"/>
    <mergeCell ref="E331:F331"/>
    <mergeCell ref="C332:D332"/>
    <mergeCell ref="C333:D333"/>
    <mergeCell ref="B334:B345"/>
    <mergeCell ref="C334:D334"/>
    <mergeCell ref="E334:F334"/>
    <mergeCell ref="G334:H334"/>
    <mergeCell ref="I334:J334"/>
    <mergeCell ref="K334:L334"/>
    <mergeCell ref="C335:D335"/>
    <mergeCell ref="E335:F335"/>
    <mergeCell ref="G335:H339"/>
    <mergeCell ref="I335:J339"/>
    <mergeCell ref="K335:L339"/>
    <mergeCell ref="C336:D336"/>
    <mergeCell ref="E336:F336"/>
    <mergeCell ref="C337:D337"/>
    <mergeCell ref="C338:D338"/>
    <mergeCell ref="C339:D339"/>
    <mergeCell ref="E339:F339"/>
    <mergeCell ref="C340:D340"/>
    <mergeCell ref="B322:B333"/>
    <mergeCell ref="C322:D322"/>
    <mergeCell ref="E322:F322"/>
    <mergeCell ref="G322:H322"/>
    <mergeCell ref="I322:J322"/>
    <mergeCell ref="K322:L322"/>
    <mergeCell ref="C323:D323"/>
    <mergeCell ref="E323:F323"/>
    <mergeCell ref="G323:H327"/>
    <mergeCell ref="I323:J327"/>
    <mergeCell ref="K323:L327"/>
    <mergeCell ref="C324:D324"/>
    <mergeCell ref="E324:F324"/>
    <mergeCell ref="C325:D325"/>
    <mergeCell ref="C326:D326"/>
    <mergeCell ref="C327:D327"/>
    <mergeCell ref="E327:F327"/>
    <mergeCell ref="C328:D328"/>
    <mergeCell ref="G328:H328"/>
    <mergeCell ref="I328:J328"/>
    <mergeCell ref="K328:L328"/>
    <mergeCell ref="C329:D329"/>
    <mergeCell ref="G329:H333"/>
    <mergeCell ref="I329:J333"/>
    <mergeCell ref="E259:F259"/>
    <mergeCell ref="E271:F271"/>
    <mergeCell ref="E283:F283"/>
    <mergeCell ref="E295:F295"/>
    <mergeCell ref="E307:F307"/>
    <mergeCell ref="E319:F319"/>
    <mergeCell ref="E187:F187"/>
    <mergeCell ref="E199:F199"/>
    <mergeCell ref="E211:F211"/>
    <mergeCell ref="E223:F223"/>
    <mergeCell ref="E235:F235"/>
    <mergeCell ref="E247:F247"/>
    <mergeCell ref="E195:F195"/>
    <mergeCell ref="E207:F207"/>
    <mergeCell ref="E219:F219"/>
    <mergeCell ref="E231:F231"/>
    <mergeCell ref="E243:F243"/>
    <mergeCell ref="E255:F255"/>
    <mergeCell ref="E267:F267"/>
    <mergeCell ref="E279:F279"/>
    <mergeCell ref="E291:F291"/>
    <mergeCell ref="E303:F303"/>
    <mergeCell ref="E315:F315"/>
    <mergeCell ref="E67:F67"/>
    <mergeCell ref="E79:F79"/>
    <mergeCell ref="E91:F91"/>
    <mergeCell ref="E103:F103"/>
    <mergeCell ref="E115:F115"/>
    <mergeCell ref="E127:F127"/>
    <mergeCell ref="E139:F139"/>
    <mergeCell ref="E151:F151"/>
    <mergeCell ref="E163:F163"/>
    <mergeCell ref="E75:F75"/>
    <mergeCell ref="E87:F87"/>
    <mergeCell ref="E99:F99"/>
    <mergeCell ref="E111:F111"/>
    <mergeCell ref="E123:F123"/>
    <mergeCell ref="E135:F135"/>
    <mergeCell ref="E147:F147"/>
    <mergeCell ref="E159:F159"/>
    <mergeCell ref="A2:A19"/>
    <mergeCell ref="B1:L1"/>
    <mergeCell ref="B20:L20"/>
    <mergeCell ref="B2:L2"/>
    <mergeCell ref="B4:B5"/>
    <mergeCell ref="C4:C5"/>
    <mergeCell ref="D4:L4"/>
    <mergeCell ref="B22:B33"/>
    <mergeCell ref="G22:H22"/>
    <mergeCell ref="G28:H28"/>
    <mergeCell ref="C32:D32"/>
    <mergeCell ref="C22:D22"/>
    <mergeCell ref="C23:D23"/>
    <mergeCell ref="C24:D24"/>
    <mergeCell ref="C25:D25"/>
    <mergeCell ref="C26:D26"/>
    <mergeCell ref="C27:D27"/>
    <mergeCell ref="C28:D28"/>
    <mergeCell ref="C29:D29"/>
    <mergeCell ref="C31:D31"/>
    <mergeCell ref="C33:D33"/>
    <mergeCell ref="C30:D30"/>
    <mergeCell ref="G23:H27"/>
    <mergeCell ref="E22:F22"/>
    <mergeCell ref="B34:B45"/>
    <mergeCell ref="C34:D34"/>
    <mergeCell ref="G34:H34"/>
    <mergeCell ref="C35:D35"/>
    <mergeCell ref="C36:D36"/>
    <mergeCell ref="C37:D37"/>
    <mergeCell ref="C38:D38"/>
    <mergeCell ref="C39:D39"/>
    <mergeCell ref="C40:D40"/>
    <mergeCell ref="G40:H40"/>
    <mergeCell ref="C45:D45"/>
    <mergeCell ref="C41:D41"/>
    <mergeCell ref="C42:D42"/>
    <mergeCell ref="C43:D43"/>
    <mergeCell ref="C44:D44"/>
    <mergeCell ref="E43:F43"/>
    <mergeCell ref="E39:F39"/>
    <mergeCell ref="E23:F23"/>
    <mergeCell ref="E24:F24"/>
    <mergeCell ref="I23:J27"/>
    <mergeCell ref="K23:L27"/>
    <mergeCell ref="I22:J22"/>
    <mergeCell ref="K22:L22"/>
    <mergeCell ref="G29:H33"/>
    <mergeCell ref="I28:J28"/>
    <mergeCell ref="I29:J33"/>
    <mergeCell ref="K28:L28"/>
    <mergeCell ref="K29:L33"/>
    <mergeCell ref="E31:F31"/>
    <mergeCell ref="E27:F27"/>
    <mergeCell ref="I40:J40"/>
    <mergeCell ref="K40:L40"/>
    <mergeCell ref="G41:H45"/>
    <mergeCell ref="I41:J45"/>
    <mergeCell ref="K41:L45"/>
    <mergeCell ref="K34:L34"/>
    <mergeCell ref="E35:F35"/>
    <mergeCell ref="G35:H39"/>
    <mergeCell ref="I35:J39"/>
    <mergeCell ref="K35:L39"/>
    <mergeCell ref="E36:F36"/>
    <mergeCell ref="E34:F34"/>
    <mergeCell ref="I34:J34"/>
    <mergeCell ref="C48:D48"/>
    <mergeCell ref="E48:F48"/>
    <mergeCell ref="C49:D49"/>
    <mergeCell ref="B46:B57"/>
    <mergeCell ref="C46:D46"/>
    <mergeCell ref="E46:F46"/>
    <mergeCell ref="G46:H46"/>
    <mergeCell ref="I46:J46"/>
    <mergeCell ref="I52:J52"/>
    <mergeCell ref="C55:D55"/>
    <mergeCell ref="C56:D56"/>
    <mergeCell ref="C57:D57"/>
    <mergeCell ref="C52:D52"/>
    <mergeCell ref="G52:H52"/>
    <mergeCell ref="C53:D53"/>
    <mergeCell ref="C54:D54"/>
    <mergeCell ref="C50:D50"/>
    <mergeCell ref="C51:D51"/>
    <mergeCell ref="C47:D47"/>
    <mergeCell ref="E55:F55"/>
    <mergeCell ref="E51:F51"/>
    <mergeCell ref="K52:L52"/>
    <mergeCell ref="G53:H57"/>
    <mergeCell ref="I53:J57"/>
    <mergeCell ref="K53:L57"/>
    <mergeCell ref="K46:L46"/>
    <mergeCell ref="E47:F47"/>
    <mergeCell ref="G47:H51"/>
    <mergeCell ref="I47:J51"/>
    <mergeCell ref="K47:L51"/>
    <mergeCell ref="K58:L58"/>
    <mergeCell ref="C59:D59"/>
    <mergeCell ref="E59:F59"/>
    <mergeCell ref="G59:H63"/>
    <mergeCell ref="I59:J63"/>
    <mergeCell ref="K59:L63"/>
    <mergeCell ref="C60:D60"/>
    <mergeCell ref="E60:F60"/>
    <mergeCell ref="C61:D61"/>
    <mergeCell ref="C62:D62"/>
    <mergeCell ref="C63:D63"/>
    <mergeCell ref="C58:D58"/>
    <mergeCell ref="E58:F58"/>
    <mergeCell ref="G58:H58"/>
    <mergeCell ref="I58:J58"/>
    <mergeCell ref="E63:F63"/>
    <mergeCell ref="B70:B81"/>
    <mergeCell ref="C70:D70"/>
    <mergeCell ref="E70:F70"/>
    <mergeCell ref="G70:H70"/>
    <mergeCell ref="I70:J70"/>
    <mergeCell ref="C76:D76"/>
    <mergeCell ref="G76:H76"/>
    <mergeCell ref="I76:J76"/>
    <mergeCell ref="K64:L64"/>
    <mergeCell ref="C65:D65"/>
    <mergeCell ref="G65:H69"/>
    <mergeCell ref="I65:J69"/>
    <mergeCell ref="K65:L69"/>
    <mergeCell ref="C66:D66"/>
    <mergeCell ref="C67:D67"/>
    <mergeCell ref="C68:D68"/>
    <mergeCell ref="C69:D69"/>
    <mergeCell ref="B58:B69"/>
    <mergeCell ref="C64:D64"/>
    <mergeCell ref="G64:H64"/>
    <mergeCell ref="I64:J64"/>
    <mergeCell ref="K70:L70"/>
    <mergeCell ref="C71:D71"/>
    <mergeCell ref="E71:F71"/>
    <mergeCell ref="G71:H75"/>
    <mergeCell ref="I71:J75"/>
    <mergeCell ref="K71:L75"/>
    <mergeCell ref="C72:D72"/>
    <mergeCell ref="E72:F72"/>
    <mergeCell ref="C73:D73"/>
    <mergeCell ref="C74:D74"/>
    <mergeCell ref="C75:D75"/>
    <mergeCell ref="K76:L76"/>
    <mergeCell ref="C77:D77"/>
    <mergeCell ref="G77:H81"/>
    <mergeCell ref="I77:J81"/>
    <mergeCell ref="K77:L81"/>
    <mergeCell ref="C78:D78"/>
    <mergeCell ref="C79:D79"/>
    <mergeCell ref="C80:D80"/>
    <mergeCell ref="C81:D81"/>
    <mergeCell ref="K82:L82"/>
    <mergeCell ref="C82:D82"/>
    <mergeCell ref="E82:F82"/>
    <mergeCell ref="G82:H82"/>
    <mergeCell ref="I82:J82"/>
    <mergeCell ref="C83:D83"/>
    <mergeCell ref="E83:F83"/>
    <mergeCell ref="G83:H87"/>
    <mergeCell ref="I83:J87"/>
    <mergeCell ref="K83:L87"/>
    <mergeCell ref="C84:D84"/>
    <mergeCell ref="E84:F84"/>
    <mergeCell ref="C85:D85"/>
    <mergeCell ref="C86:D86"/>
    <mergeCell ref="C87:D87"/>
    <mergeCell ref="B94:B105"/>
    <mergeCell ref="C94:D94"/>
    <mergeCell ref="E94:F94"/>
    <mergeCell ref="G94:H94"/>
    <mergeCell ref="I94:J94"/>
    <mergeCell ref="C100:D100"/>
    <mergeCell ref="G100:H100"/>
    <mergeCell ref="I100:J100"/>
    <mergeCell ref="K88:L88"/>
    <mergeCell ref="C89:D89"/>
    <mergeCell ref="G89:H93"/>
    <mergeCell ref="I89:J93"/>
    <mergeCell ref="K89:L93"/>
    <mergeCell ref="C90:D90"/>
    <mergeCell ref="C91:D91"/>
    <mergeCell ref="C92:D92"/>
    <mergeCell ref="C93:D93"/>
    <mergeCell ref="B82:B93"/>
    <mergeCell ref="C88:D88"/>
    <mergeCell ref="G88:H88"/>
    <mergeCell ref="I88:J88"/>
    <mergeCell ref="K94:L94"/>
    <mergeCell ref="C95:D95"/>
    <mergeCell ref="E95:F95"/>
    <mergeCell ref="G95:H99"/>
    <mergeCell ref="I95:J99"/>
    <mergeCell ref="K95:L99"/>
    <mergeCell ref="C96:D96"/>
    <mergeCell ref="E96:F96"/>
    <mergeCell ref="C97:D97"/>
    <mergeCell ref="C98:D98"/>
    <mergeCell ref="C99:D99"/>
    <mergeCell ref="K100:L100"/>
    <mergeCell ref="C101:D101"/>
    <mergeCell ref="G101:H105"/>
    <mergeCell ref="I101:J105"/>
    <mergeCell ref="K101:L105"/>
    <mergeCell ref="C102:D102"/>
    <mergeCell ref="C103:D103"/>
    <mergeCell ref="C104:D104"/>
    <mergeCell ref="C105:D105"/>
    <mergeCell ref="K106:L106"/>
    <mergeCell ref="C106:D106"/>
    <mergeCell ref="E106:F106"/>
    <mergeCell ref="G106:H106"/>
    <mergeCell ref="I106:J106"/>
    <mergeCell ref="C107:D107"/>
    <mergeCell ref="E107:F107"/>
    <mergeCell ref="G107:H111"/>
    <mergeCell ref="I107:J111"/>
    <mergeCell ref="K107:L111"/>
    <mergeCell ref="C108:D108"/>
    <mergeCell ref="E108:F108"/>
    <mergeCell ref="C109:D109"/>
    <mergeCell ref="C110:D110"/>
    <mergeCell ref="C111:D111"/>
    <mergeCell ref="B118:B129"/>
    <mergeCell ref="C118:D118"/>
    <mergeCell ref="E118:F118"/>
    <mergeCell ref="G118:H118"/>
    <mergeCell ref="I118:J118"/>
    <mergeCell ref="C124:D124"/>
    <mergeCell ref="G124:H124"/>
    <mergeCell ref="I124:J124"/>
    <mergeCell ref="K112:L112"/>
    <mergeCell ref="C113:D113"/>
    <mergeCell ref="G113:H117"/>
    <mergeCell ref="I113:J117"/>
    <mergeCell ref="K113:L117"/>
    <mergeCell ref="C114:D114"/>
    <mergeCell ref="C115:D115"/>
    <mergeCell ref="C116:D116"/>
    <mergeCell ref="C117:D117"/>
    <mergeCell ref="B106:B117"/>
    <mergeCell ref="C112:D112"/>
    <mergeCell ref="G112:H112"/>
    <mergeCell ref="I112:J112"/>
    <mergeCell ref="K118:L118"/>
    <mergeCell ref="C119:D119"/>
    <mergeCell ref="E119:F119"/>
    <mergeCell ref="G119:H123"/>
    <mergeCell ref="I119:J123"/>
    <mergeCell ref="K119:L123"/>
    <mergeCell ref="C120:D120"/>
    <mergeCell ref="E120:F120"/>
    <mergeCell ref="C121:D121"/>
    <mergeCell ref="C122:D122"/>
    <mergeCell ref="C123:D123"/>
    <mergeCell ref="K124:L124"/>
    <mergeCell ref="C125:D125"/>
    <mergeCell ref="G125:H129"/>
    <mergeCell ref="I125:J129"/>
    <mergeCell ref="K125:L129"/>
    <mergeCell ref="C126:D126"/>
    <mergeCell ref="C127:D127"/>
    <mergeCell ref="C128:D128"/>
    <mergeCell ref="C129:D129"/>
    <mergeCell ref="K130:L130"/>
    <mergeCell ref="C130:D130"/>
    <mergeCell ref="E130:F130"/>
    <mergeCell ref="G130:H130"/>
    <mergeCell ref="I130:J130"/>
    <mergeCell ref="C131:D131"/>
    <mergeCell ref="E131:F131"/>
    <mergeCell ref="G131:H135"/>
    <mergeCell ref="I131:J135"/>
    <mergeCell ref="K131:L135"/>
    <mergeCell ref="C132:D132"/>
    <mergeCell ref="E132:F132"/>
    <mergeCell ref="C133:D133"/>
    <mergeCell ref="C134:D134"/>
    <mergeCell ref="C135:D135"/>
    <mergeCell ref="B142:B153"/>
    <mergeCell ref="C142:D142"/>
    <mergeCell ref="E142:F142"/>
    <mergeCell ref="G142:H142"/>
    <mergeCell ref="I142:J142"/>
    <mergeCell ref="C148:D148"/>
    <mergeCell ref="G148:H148"/>
    <mergeCell ref="I148:J148"/>
    <mergeCell ref="K136:L136"/>
    <mergeCell ref="C137:D137"/>
    <mergeCell ref="G137:H141"/>
    <mergeCell ref="I137:J141"/>
    <mergeCell ref="K137:L141"/>
    <mergeCell ref="C138:D138"/>
    <mergeCell ref="C139:D139"/>
    <mergeCell ref="C140:D140"/>
    <mergeCell ref="C141:D141"/>
    <mergeCell ref="B130:B141"/>
    <mergeCell ref="C136:D136"/>
    <mergeCell ref="G136:H136"/>
    <mergeCell ref="I136:J136"/>
    <mergeCell ref="K142:L142"/>
    <mergeCell ref="C143:D143"/>
    <mergeCell ref="E143:F143"/>
    <mergeCell ref="G143:H147"/>
    <mergeCell ref="I143:J147"/>
    <mergeCell ref="K143:L147"/>
    <mergeCell ref="C144:D144"/>
    <mergeCell ref="E144:F144"/>
    <mergeCell ref="C145:D145"/>
    <mergeCell ref="C146:D146"/>
    <mergeCell ref="C147:D147"/>
    <mergeCell ref="K148:L148"/>
    <mergeCell ref="C149:D149"/>
    <mergeCell ref="G149:H153"/>
    <mergeCell ref="I149:J153"/>
    <mergeCell ref="K149:L153"/>
    <mergeCell ref="C150:D150"/>
    <mergeCell ref="C151:D151"/>
    <mergeCell ref="C152:D152"/>
    <mergeCell ref="C153:D153"/>
    <mergeCell ref="K154:L154"/>
    <mergeCell ref="C154:D154"/>
    <mergeCell ref="E154:F154"/>
    <mergeCell ref="G154:H154"/>
    <mergeCell ref="I154:J154"/>
    <mergeCell ref="C155:D155"/>
    <mergeCell ref="E155:F155"/>
    <mergeCell ref="G155:H159"/>
    <mergeCell ref="I155:J159"/>
    <mergeCell ref="K155:L159"/>
    <mergeCell ref="C156:D156"/>
    <mergeCell ref="E156:F156"/>
    <mergeCell ref="C157:D157"/>
    <mergeCell ref="C158:D158"/>
    <mergeCell ref="C159:D159"/>
    <mergeCell ref="B166:B177"/>
    <mergeCell ref="C166:D166"/>
    <mergeCell ref="E166:F166"/>
    <mergeCell ref="G166:H166"/>
    <mergeCell ref="I166:J166"/>
    <mergeCell ref="C172:D172"/>
    <mergeCell ref="G172:H172"/>
    <mergeCell ref="I172:J172"/>
    <mergeCell ref="K160:L160"/>
    <mergeCell ref="C161:D161"/>
    <mergeCell ref="G161:H165"/>
    <mergeCell ref="I161:J165"/>
    <mergeCell ref="K161:L165"/>
    <mergeCell ref="C162:D162"/>
    <mergeCell ref="C163:D163"/>
    <mergeCell ref="C164:D164"/>
    <mergeCell ref="C165:D165"/>
    <mergeCell ref="B154:B165"/>
    <mergeCell ref="C160:D160"/>
    <mergeCell ref="G160:H160"/>
    <mergeCell ref="I160:J160"/>
    <mergeCell ref="K166:L166"/>
    <mergeCell ref="C167:D167"/>
    <mergeCell ref="E167:F167"/>
    <mergeCell ref="G167:H171"/>
    <mergeCell ref="I167:J171"/>
    <mergeCell ref="K167:L171"/>
    <mergeCell ref="C168:D168"/>
    <mergeCell ref="E168:F168"/>
    <mergeCell ref="C169:D169"/>
    <mergeCell ref="C170:D170"/>
    <mergeCell ref="C171:D171"/>
    <mergeCell ref="K172:L172"/>
    <mergeCell ref="E171:F171"/>
    <mergeCell ref="C173:D173"/>
    <mergeCell ref="G173:H177"/>
    <mergeCell ref="I173:J177"/>
    <mergeCell ref="K173:L177"/>
    <mergeCell ref="C174:D174"/>
    <mergeCell ref="C175:D175"/>
    <mergeCell ref="C176:D176"/>
    <mergeCell ref="C177:D177"/>
    <mergeCell ref="K178:L178"/>
    <mergeCell ref="C178:D178"/>
    <mergeCell ref="E178:F178"/>
    <mergeCell ref="G178:H178"/>
    <mergeCell ref="I178:J178"/>
    <mergeCell ref="E175:F175"/>
    <mergeCell ref="C179:D179"/>
    <mergeCell ref="E179:F179"/>
    <mergeCell ref="G179:H183"/>
    <mergeCell ref="I179:J183"/>
    <mergeCell ref="K179:L183"/>
    <mergeCell ref="C180:D180"/>
    <mergeCell ref="E180:F180"/>
    <mergeCell ref="C181:D181"/>
    <mergeCell ref="C182:D182"/>
    <mergeCell ref="C183:D183"/>
    <mergeCell ref="E183:F183"/>
    <mergeCell ref="B190:B201"/>
    <mergeCell ref="C190:D190"/>
    <mergeCell ref="E190:F190"/>
    <mergeCell ref="G190:H190"/>
    <mergeCell ref="I190:J190"/>
    <mergeCell ref="C196:D196"/>
    <mergeCell ref="G196:H196"/>
    <mergeCell ref="I196:J196"/>
    <mergeCell ref="K184:L184"/>
    <mergeCell ref="C185:D185"/>
    <mergeCell ref="G185:H189"/>
    <mergeCell ref="I185:J189"/>
    <mergeCell ref="K185:L189"/>
    <mergeCell ref="C186:D186"/>
    <mergeCell ref="C187:D187"/>
    <mergeCell ref="C188:D188"/>
    <mergeCell ref="C189:D189"/>
    <mergeCell ref="B178:B189"/>
    <mergeCell ref="C184:D184"/>
    <mergeCell ref="G184:H184"/>
    <mergeCell ref="I184:J184"/>
    <mergeCell ref="K190:L190"/>
    <mergeCell ref="C191:D191"/>
    <mergeCell ref="E191:F191"/>
    <mergeCell ref="G191:H195"/>
    <mergeCell ref="I191:J195"/>
    <mergeCell ref="K191:L195"/>
    <mergeCell ref="C192:D192"/>
    <mergeCell ref="E192:F192"/>
    <mergeCell ref="C193:D193"/>
    <mergeCell ref="C194:D194"/>
    <mergeCell ref="C195:D195"/>
    <mergeCell ref="K196:L196"/>
    <mergeCell ref="C197:D197"/>
    <mergeCell ref="G197:H201"/>
    <mergeCell ref="I197:J201"/>
    <mergeCell ref="K197:L201"/>
    <mergeCell ref="C198:D198"/>
    <mergeCell ref="C199:D199"/>
    <mergeCell ref="C200:D200"/>
    <mergeCell ref="C201:D201"/>
    <mergeCell ref="K202:L202"/>
    <mergeCell ref="C202:D202"/>
    <mergeCell ref="E202:F202"/>
    <mergeCell ref="G202:H202"/>
    <mergeCell ref="I202:J202"/>
    <mergeCell ref="C203:D203"/>
    <mergeCell ref="E203:F203"/>
    <mergeCell ref="G203:H207"/>
    <mergeCell ref="I203:J207"/>
    <mergeCell ref="K203:L207"/>
    <mergeCell ref="C204:D204"/>
    <mergeCell ref="E204:F204"/>
    <mergeCell ref="C205:D205"/>
    <mergeCell ref="C206:D206"/>
    <mergeCell ref="C207:D207"/>
    <mergeCell ref="B214:B225"/>
    <mergeCell ref="C214:D214"/>
    <mergeCell ref="E214:F214"/>
    <mergeCell ref="G214:H214"/>
    <mergeCell ref="I214:J214"/>
    <mergeCell ref="C220:D220"/>
    <mergeCell ref="G220:H220"/>
    <mergeCell ref="I220:J220"/>
    <mergeCell ref="K208:L208"/>
    <mergeCell ref="C209:D209"/>
    <mergeCell ref="G209:H213"/>
    <mergeCell ref="I209:J213"/>
    <mergeCell ref="K209:L213"/>
    <mergeCell ref="C210:D210"/>
    <mergeCell ref="C211:D211"/>
    <mergeCell ref="C212:D212"/>
    <mergeCell ref="C213:D213"/>
    <mergeCell ref="B202:B213"/>
    <mergeCell ref="C208:D208"/>
    <mergeCell ref="G208:H208"/>
    <mergeCell ref="I208:J208"/>
    <mergeCell ref="K214:L214"/>
    <mergeCell ref="C215:D215"/>
    <mergeCell ref="E215:F215"/>
    <mergeCell ref="G215:H219"/>
    <mergeCell ref="I215:J219"/>
    <mergeCell ref="K215:L219"/>
    <mergeCell ref="C216:D216"/>
    <mergeCell ref="E216:F216"/>
    <mergeCell ref="C217:D217"/>
    <mergeCell ref="C218:D218"/>
    <mergeCell ref="C219:D219"/>
    <mergeCell ref="K220:L220"/>
    <mergeCell ref="C221:D221"/>
    <mergeCell ref="G221:H225"/>
    <mergeCell ref="I221:J225"/>
    <mergeCell ref="K221:L225"/>
    <mergeCell ref="C222:D222"/>
    <mergeCell ref="C223:D223"/>
    <mergeCell ref="C224:D224"/>
    <mergeCell ref="C225:D225"/>
    <mergeCell ref="K226:L226"/>
    <mergeCell ref="C226:D226"/>
    <mergeCell ref="E226:F226"/>
    <mergeCell ref="G226:H226"/>
    <mergeCell ref="I226:J226"/>
    <mergeCell ref="C227:D227"/>
    <mergeCell ref="E227:F227"/>
    <mergeCell ref="G227:H231"/>
    <mergeCell ref="I227:J231"/>
    <mergeCell ref="K227:L231"/>
    <mergeCell ref="C228:D228"/>
    <mergeCell ref="E228:F228"/>
    <mergeCell ref="C229:D229"/>
    <mergeCell ref="C230:D230"/>
    <mergeCell ref="C231:D231"/>
    <mergeCell ref="B238:B249"/>
    <mergeCell ref="C238:D238"/>
    <mergeCell ref="E238:F238"/>
    <mergeCell ref="G238:H238"/>
    <mergeCell ref="I238:J238"/>
    <mergeCell ref="C244:D244"/>
    <mergeCell ref="G244:H244"/>
    <mergeCell ref="I244:J244"/>
    <mergeCell ref="K232:L232"/>
    <mergeCell ref="C233:D233"/>
    <mergeCell ref="G233:H237"/>
    <mergeCell ref="I233:J237"/>
    <mergeCell ref="K233:L237"/>
    <mergeCell ref="C234:D234"/>
    <mergeCell ref="C235:D235"/>
    <mergeCell ref="C236:D236"/>
    <mergeCell ref="C237:D237"/>
    <mergeCell ref="B226:B237"/>
    <mergeCell ref="C232:D232"/>
    <mergeCell ref="G232:H232"/>
    <mergeCell ref="I232:J232"/>
    <mergeCell ref="K238:L238"/>
    <mergeCell ref="C239:D239"/>
    <mergeCell ref="E239:F239"/>
    <mergeCell ref="G239:H243"/>
    <mergeCell ref="I239:J243"/>
    <mergeCell ref="K239:L243"/>
    <mergeCell ref="C240:D240"/>
    <mergeCell ref="E240:F240"/>
    <mergeCell ref="C241:D241"/>
    <mergeCell ref="C242:D242"/>
    <mergeCell ref="C243:D243"/>
    <mergeCell ref="K244:L244"/>
    <mergeCell ref="C245:D245"/>
    <mergeCell ref="G245:H249"/>
    <mergeCell ref="I245:J249"/>
    <mergeCell ref="K245:L249"/>
    <mergeCell ref="C246:D246"/>
    <mergeCell ref="C247:D247"/>
    <mergeCell ref="C248:D248"/>
    <mergeCell ref="C249:D249"/>
    <mergeCell ref="K250:L250"/>
    <mergeCell ref="C250:D250"/>
    <mergeCell ref="E250:F250"/>
    <mergeCell ref="G250:H250"/>
    <mergeCell ref="I250:J250"/>
    <mergeCell ref="C251:D251"/>
    <mergeCell ref="E251:F251"/>
    <mergeCell ref="G251:H255"/>
    <mergeCell ref="I251:J255"/>
    <mergeCell ref="K251:L255"/>
    <mergeCell ref="C252:D252"/>
    <mergeCell ref="E252:F252"/>
    <mergeCell ref="C253:D253"/>
    <mergeCell ref="C254:D254"/>
    <mergeCell ref="C255:D255"/>
    <mergeCell ref="B262:B273"/>
    <mergeCell ref="C262:D262"/>
    <mergeCell ref="E262:F262"/>
    <mergeCell ref="G262:H262"/>
    <mergeCell ref="I262:J262"/>
    <mergeCell ref="C268:D268"/>
    <mergeCell ref="G268:H268"/>
    <mergeCell ref="I268:J268"/>
    <mergeCell ref="K256:L256"/>
    <mergeCell ref="C257:D257"/>
    <mergeCell ref="G257:H261"/>
    <mergeCell ref="I257:J261"/>
    <mergeCell ref="K257:L261"/>
    <mergeCell ref="C258:D258"/>
    <mergeCell ref="C259:D259"/>
    <mergeCell ref="C260:D260"/>
    <mergeCell ref="C261:D261"/>
    <mergeCell ref="B250:B261"/>
    <mergeCell ref="C256:D256"/>
    <mergeCell ref="G256:H256"/>
    <mergeCell ref="I256:J256"/>
    <mergeCell ref="K262:L262"/>
    <mergeCell ref="C263:D263"/>
    <mergeCell ref="E263:F263"/>
    <mergeCell ref="G263:H267"/>
    <mergeCell ref="I263:J267"/>
    <mergeCell ref="K263:L267"/>
    <mergeCell ref="C264:D264"/>
    <mergeCell ref="E264:F264"/>
    <mergeCell ref="C265:D265"/>
    <mergeCell ref="C266:D266"/>
    <mergeCell ref="C267:D267"/>
    <mergeCell ref="K268:L268"/>
    <mergeCell ref="C269:D269"/>
    <mergeCell ref="G269:H273"/>
    <mergeCell ref="I269:J273"/>
    <mergeCell ref="K269:L273"/>
    <mergeCell ref="C270:D270"/>
    <mergeCell ref="C271:D271"/>
    <mergeCell ref="C272:D272"/>
    <mergeCell ref="C273:D273"/>
    <mergeCell ref="K274:L274"/>
    <mergeCell ref="C274:D274"/>
    <mergeCell ref="E274:F274"/>
    <mergeCell ref="G274:H274"/>
    <mergeCell ref="I274:J274"/>
    <mergeCell ref="C275:D275"/>
    <mergeCell ref="E275:F275"/>
    <mergeCell ref="G275:H279"/>
    <mergeCell ref="I275:J279"/>
    <mergeCell ref="K275:L279"/>
    <mergeCell ref="C276:D276"/>
    <mergeCell ref="E276:F276"/>
    <mergeCell ref="C277:D277"/>
    <mergeCell ref="C278:D278"/>
    <mergeCell ref="C279:D279"/>
    <mergeCell ref="B286:B297"/>
    <mergeCell ref="C286:D286"/>
    <mergeCell ref="E286:F286"/>
    <mergeCell ref="G286:H286"/>
    <mergeCell ref="I286:J286"/>
    <mergeCell ref="C292:D292"/>
    <mergeCell ref="G292:H292"/>
    <mergeCell ref="I292:J292"/>
    <mergeCell ref="K280:L280"/>
    <mergeCell ref="C281:D281"/>
    <mergeCell ref="G281:H285"/>
    <mergeCell ref="I281:J285"/>
    <mergeCell ref="K281:L285"/>
    <mergeCell ref="C282:D282"/>
    <mergeCell ref="C283:D283"/>
    <mergeCell ref="C284:D284"/>
    <mergeCell ref="C285:D285"/>
    <mergeCell ref="B274:B285"/>
    <mergeCell ref="C280:D280"/>
    <mergeCell ref="G280:H280"/>
    <mergeCell ref="I280:J280"/>
    <mergeCell ref="K286:L286"/>
    <mergeCell ref="C287:D287"/>
    <mergeCell ref="E287:F287"/>
    <mergeCell ref="G287:H291"/>
    <mergeCell ref="I287:J291"/>
    <mergeCell ref="K287:L291"/>
    <mergeCell ref="C288:D288"/>
    <mergeCell ref="E288:F288"/>
    <mergeCell ref="C289:D289"/>
    <mergeCell ref="C290:D290"/>
    <mergeCell ref="C291:D291"/>
    <mergeCell ref="K292:L292"/>
    <mergeCell ref="C293:D293"/>
    <mergeCell ref="G293:H297"/>
    <mergeCell ref="I293:J297"/>
    <mergeCell ref="K293:L297"/>
    <mergeCell ref="C294:D294"/>
    <mergeCell ref="C295:D295"/>
    <mergeCell ref="C296:D296"/>
    <mergeCell ref="C297:D297"/>
    <mergeCell ref="K298:L298"/>
    <mergeCell ref="C298:D298"/>
    <mergeCell ref="E298:F298"/>
    <mergeCell ref="G298:H298"/>
    <mergeCell ref="I298:J298"/>
    <mergeCell ref="C299:D299"/>
    <mergeCell ref="E299:F299"/>
    <mergeCell ref="G299:H303"/>
    <mergeCell ref="I299:J303"/>
    <mergeCell ref="K299:L303"/>
    <mergeCell ref="C300:D300"/>
    <mergeCell ref="E300:F300"/>
    <mergeCell ref="C301:D301"/>
    <mergeCell ref="C302:D302"/>
    <mergeCell ref="C303:D303"/>
    <mergeCell ref="B310:B321"/>
    <mergeCell ref="C310:D310"/>
    <mergeCell ref="E310:F310"/>
    <mergeCell ref="G310:H310"/>
    <mergeCell ref="I310:J310"/>
    <mergeCell ref="C316:D316"/>
    <mergeCell ref="G316:H316"/>
    <mergeCell ref="I316:J316"/>
    <mergeCell ref="K304:L304"/>
    <mergeCell ref="C305:D305"/>
    <mergeCell ref="G305:H309"/>
    <mergeCell ref="I305:J309"/>
    <mergeCell ref="K305:L309"/>
    <mergeCell ref="C306:D306"/>
    <mergeCell ref="C307:D307"/>
    <mergeCell ref="C308:D308"/>
    <mergeCell ref="C309:D309"/>
    <mergeCell ref="B298:B309"/>
    <mergeCell ref="C304:D304"/>
    <mergeCell ref="G304:H304"/>
    <mergeCell ref="I304:J304"/>
    <mergeCell ref="K310:L310"/>
    <mergeCell ref="C311:D311"/>
    <mergeCell ref="E311:F311"/>
    <mergeCell ref="C317:D317"/>
    <mergeCell ref="G317:H321"/>
    <mergeCell ref="I317:J321"/>
    <mergeCell ref="K317:L321"/>
    <mergeCell ref="C318:D318"/>
    <mergeCell ref="C319:D319"/>
    <mergeCell ref="C320:D320"/>
    <mergeCell ref="C321:D321"/>
    <mergeCell ref="G311:H315"/>
    <mergeCell ref="I311:J315"/>
    <mergeCell ref="K311:L315"/>
    <mergeCell ref="C312:D312"/>
    <mergeCell ref="E312:F312"/>
    <mergeCell ref="C313:D313"/>
    <mergeCell ref="C314:D314"/>
    <mergeCell ref="C315:D315"/>
    <mergeCell ref="K316:L316"/>
  </mergeCells>
  <dataValidations count="7">
    <dataValidation type="whole" operator="greaterThanOrEqual" allowBlank="1" showInputMessage="1" showErrorMessage="1" sqref="F32:F33 E31:E33 F296:F297 E295:E297 F308:F309 E307:E309 F44:F45 E43:E45 F56:F57 E55:E57 F68:F69 E67:E69 F80:F81 E79:E81 F92:F93 E91:E93 F104:F105 E103:E105 F116:F117 E115:E117 F260:F261 E259:E261 F128:F129 E127:E129 F140:F141 E139:E141 F152:F153 E151:E153 F164:F165 E163:E165 F176:F177 E175:E177 F188:F189 E187:E189 F200:F201 E199:E201 F212:F213 E211:E213 F224:F225 E223:E225 F236:F237 E235:E237 F248:F249 E247:E249 F272:F273 E271:E273 F284:F285 E283:E285 F320:F321 E319:E321 F332:F333 E331:E333 F344:F345 E343:E345 F356:F357 E355:E357 F368:F369 E367:E369 F380:F381 E379:E381">
      <formula1>0</formula1>
    </dataValidation>
    <dataValidation type="date" operator="greaterThan" allowBlank="1" showInputMessage="1" showErrorMessage="1" sqref="E265 E25 E277 E157 E205 E289 E121 E37 E241 E49 E253 E61 E133 E301 E181 E73 E217 E85 E229 E97 E169 E145 E193 E109 E313 E325 E337 E349 E361 E373">
      <formula1>45292</formula1>
    </dataValidation>
    <dataValidation type="time" operator="greaterThanOrEqual" allowBlank="1" showInputMessage="1" showErrorMessage="1" sqref="F277:F278 E279 F301:F302 F25:F26 E27 F37:F38 E39 F49:F50 E51 F61:F62 E303 E63 F73:F74 E75 F85:F86 E87 F97:F98 E99 F289:F290 E291 F109:F110 E111 F121:F122 E123 F133:F134 E135 F145:F146 E147 F157:F158 E159 F169:F170 E171 F181:F182 E183 F193:F194 E195 F205:F206 E207 F217:F218 E219 F229:F230 E231 F241:F242 E243 F253:F254 E255 F265:F266 E267 F313:F314 E315 F325:F326 E327 F337:F338 E339 F349:F350 E351 F361:F362 E363 F373:F374 E375">
      <formula1>0</formula1>
    </dataValidation>
    <dataValidation type="list" allowBlank="1" showInputMessage="1" showErrorMessage="1" sqref="E28:E30 E26 E292:E294 E278 E304:E306 E290 E40:E42 E38 E52:E54 E50 E64:E66 E62 E76:E78 E302 E88:E90 E74 E100:E102 E86 E112:E114 E98 E256:E258 E242 E124:E126 E110 E136:E138 E122 E148:E150 E134 E160:E162 E146 E172:E174 E158 E184:E186 E170 E196:E198 E182 E208:E210 E194 E220:E222 E206 E232:E234 E218 E244:E246 E230 E268:E270 E254 E280:E282 E266 E316:E318 E314 E328:E330 E326 E340:E342 E338 E352:E354 E350 E364:E366 E362 E376:E378 E374">
      <formula1>"Evet,Hayır"</formula1>
    </dataValidation>
    <dataValidation type="list" allowBlank="1" showInputMessage="1" showErrorMessage="1" sqref="F28 F172 F280 F292 F220 F304 F136 F40 F256 F52 F268 F64 F148 F76 F196 F88 F232 F100 F244 F112 F184 F160 F208 F124 F316 F328 F340 F352 F364 F376">
      <formula1>"İç Destek, İtfaiye,Polis, AFAD,Belediye, TENMAK, Diğer"</formula1>
    </dataValidation>
    <dataValidation type="list" allowBlank="1" showInputMessage="1" showErrorMessage="1" sqref="F293 F29 F305 F41 F53 F65 F77 F89 F101 F113 F257 F125 F137 F149 F161 F173 F185 F197 F209 F221 F233 F245 F269 F281 F317 F329 F341 F353 F365 F377">
      <formula1>"Kırmızı Kod,Turuncu Kod, Pembe Kod,Gri Kod, Siyah Kod, Mor Kod,Sarı Kod,Turkuaz Kod,Beyaz Kod,Mavi Kod"</formula1>
    </dataValidation>
    <dataValidation type="list" allowBlank="1" showInputMessage="1" showErrorMessage="1" sqref="B22:B381">
      <formula1>"2026-01,2026-02,2026-03,2026-04,2026-05,2026-06,2026-07,2026-08,2026-09,2026-10,2026-11,2026-12,2026-13,2026-14,2026-15,2026-16,2026-17,2026-18,2026-19,2026-20,2026-21,2026-22,2026-23,2026-24,2026-25,2026-26,2026-27,2026-28,2026-29,2026-30"</formula1>
    </dataValidation>
  </dataValidations>
  <pageMargins left="0.23622047244094491" right="0.23622047244094491" top="0.35433070866141736" bottom="0.15748031496062992" header="0.31496062992125984" footer="0.11811023622047245"/>
  <pageSetup paperSize="9" scale="34" fitToHeight="0" orientation="landscape" r:id="rId1"/>
  <rowBreaks count="1" manualBreakCount="1">
    <brk id="1" min="1" max="11" man="1"/>
  </rowBreaks>
  <extLst>
    <ext xmlns:x14="http://schemas.microsoft.com/office/spreadsheetml/2009/9/main" uri="{CCE6A557-97BC-4b89-ADB6-D9C93CAAB3DF}">
      <x14:dataValidations xmlns:xm="http://schemas.microsoft.com/office/excel/2006/main" count="2">
        <x14:dataValidation type="list" allowBlank="1" showInputMessage="1" showErrorMessage="1">
          <x14:formula1>
            <xm:f>Sayfa1!$A$3:$A$20</xm:f>
          </x14:formula1>
          <xm:sqref>E22 E286 E34 E46 E58 E298 E70 E82 E94 E274 E106 E118 E130 E142 E154 E166 E178 E190 E202 E214 E226 E238 E250 E262 E310 E322 E334 E346 E358 E370</xm:sqref>
        </x14:dataValidation>
        <x14:dataValidation type="list" allowBlank="1" showInputMessage="1" showErrorMessage="1">
          <x14:formula1>
            <xm:f>Sayfa1!$B$3:$B$14</xm:f>
          </x14:formula1>
          <xm:sqref>E23:F23 E287:F287 E35:F35 E47:F47 E59:F59 E299:F299 E71:F71 E83:F83 E95:F95 E275:F275 E107:F107 E119:F119 E131:F131 E143:F143 E155:F155 E167:F167 E179:F179 E191:F191 E203:F203 E215:F215 E227:F227 E239:F239 E251:F251 E263:F263 E311:F311 E323:F323 E335:F335 E347:F347 E359:F359 E371:F371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ayfa12">
    <tabColor theme="4" tint="0.79998168889431442"/>
    <pageSetUpPr fitToPage="1"/>
  </sheetPr>
  <dimension ref="A1:M749"/>
  <sheetViews>
    <sheetView showGridLines="0" tabSelected="1" zoomScale="50" zoomScaleNormal="50" zoomScaleSheetLayoutView="40" workbookViewId="0">
      <selection activeCell="F45" sqref="F45"/>
    </sheetView>
  </sheetViews>
  <sheetFormatPr defaultColWidth="9.125" defaultRowHeight="20.25" x14ac:dyDescent="0.3"/>
  <cols>
    <col min="1" max="1" width="3.625" style="7" customWidth="1"/>
    <col min="2" max="3" width="34.625" style="103" customWidth="1"/>
    <col min="4" max="5" width="34.625" style="104" customWidth="1"/>
    <col min="6" max="6" width="34.625" style="103" customWidth="1"/>
    <col min="7" max="7" width="34.625" style="107" customWidth="1"/>
    <col min="8" max="10" width="34.625" style="103" customWidth="1"/>
    <col min="11" max="12" width="34.625" style="108" customWidth="1"/>
    <col min="13" max="13" width="3.625" style="7" customWidth="1"/>
    <col min="14" max="16" width="9.125" style="7"/>
    <col min="17" max="17" width="15.375" style="7" customWidth="1"/>
    <col min="18" max="16384" width="9.125" style="7"/>
  </cols>
  <sheetData>
    <row r="1" spans="1:13" ht="22.5" customHeight="1" x14ac:dyDescent="0.3">
      <c r="A1" s="6"/>
      <c r="B1" s="298"/>
      <c r="C1" s="298"/>
      <c r="D1" s="298"/>
      <c r="E1" s="298"/>
      <c r="F1" s="298"/>
      <c r="G1" s="298"/>
      <c r="H1" s="298"/>
      <c r="I1" s="298"/>
      <c r="J1" s="298"/>
      <c r="K1" s="298"/>
      <c r="L1" s="298"/>
      <c r="M1" s="6"/>
    </row>
    <row r="2" spans="1:13" s="8" customFormat="1" ht="50.1" customHeight="1" x14ac:dyDescent="0.25">
      <c r="A2" s="285"/>
      <c r="B2" s="299" t="s">
        <v>154</v>
      </c>
      <c r="C2" s="299"/>
      <c r="D2" s="299"/>
      <c r="E2" s="299"/>
      <c r="F2" s="299"/>
      <c r="G2" s="299"/>
      <c r="H2" s="299"/>
      <c r="I2" s="299"/>
      <c r="J2" s="299"/>
      <c r="K2" s="299"/>
      <c r="L2" s="299"/>
    </row>
    <row r="3" spans="1:13" s="8" customFormat="1" ht="15" customHeight="1" x14ac:dyDescent="0.25">
      <c r="A3" s="285"/>
      <c r="M3" s="71"/>
    </row>
    <row r="4" spans="1:13" s="8" customFormat="1" ht="30" customHeight="1" x14ac:dyDescent="0.25">
      <c r="A4" s="285"/>
      <c r="B4" s="289" t="s">
        <v>27</v>
      </c>
      <c r="C4" s="347" t="s">
        <v>99</v>
      </c>
      <c r="D4" s="347" t="s">
        <v>100</v>
      </c>
      <c r="E4" s="347" t="s">
        <v>228</v>
      </c>
      <c r="F4" s="347" t="s">
        <v>227</v>
      </c>
      <c r="G4" s="347" t="s">
        <v>48</v>
      </c>
      <c r="H4" s="347" t="s">
        <v>218</v>
      </c>
      <c r="I4" s="347" t="s">
        <v>217</v>
      </c>
      <c r="J4" s="347" t="s">
        <v>62</v>
      </c>
      <c r="K4" s="347" t="s">
        <v>63</v>
      </c>
      <c r="L4" s="347" t="s">
        <v>94</v>
      </c>
    </row>
    <row r="5" spans="1:13" s="8" customFormat="1" ht="30" customHeight="1" x14ac:dyDescent="0.25">
      <c r="A5" s="285"/>
      <c r="B5" s="290"/>
      <c r="C5" s="348"/>
      <c r="D5" s="348"/>
      <c r="E5" s="348"/>
      <c r="F5" s="348"/>
      <c r="G5" s="348"/>
      <c r="H5" s="348"/>
      <c r="I5" s="348"/>
      <c r="J5" s="348"/>
      <c r="K5" s="348"/>
      <c r="L5" s="348"/>
    </row>
    <row r="6" spans="1:13" s="8" customFormat="1" ht="30" customHeight="1" x14ac:dyDescent="0.25">
      <c r="A6" s="285"/>
      <c r="B6" s="50" t="s">
        <v>16</v>
      </c>
      <c r="C6" s="21">
        <v>1</v>
      </c>
      <c r="D6" s="21">
        <v>0</v>
      </c>
      <c r="E6" s="21">
        <v>13</v>
      </c>
      <c r="F6" s="21">
        <v>13</v>
      </c>
      <c r="G6" s="3">
        <f t="shared" ref="G6:G17" si="0">IFERROR(F6/E6,"")</f>
        <v>1</v>
      </c>
      <c r="H6" s="21">
        <v>0</v>
      </c>
      <c r="I6" s="21">
        <v>1</v>
      </c>
      <c r="J6" s="21">
        <v>6</v>
      </c>
      <c r="K6" s="21">
        <v>0</v>
      </c>
      <c r="L6" s="4">
        <f>IFERROR(K6/J6,"")</f>
        <v>0</v>
      </c>
    </row>
    <row r="7" spans="1:13" s="8" customFormat="1" ht="30" customHeight="1" x14ac:dyDescent="0.25">
      <c r="A7" s="285"/>
      <c r="B7" s="51" t="s">
        <v>5</v>
      </c>
      <c r="C7" s="23"/>
      <c r="D7" s="23"/>
      <c r="E7" s="23"/>
      <c r="F7" s="23"/>
      <c r="G7" s="4" t="str">
        <f t="shared" si="0"/>
        <v/>
      </c>
      <c r="H7" s="23"/>
      <c r="I7" s="23"/>
      <c r="J7" s="23"/>
      <c r="K7" s="23"/>
      <c r="L7" s="4" t="str">
        <f t="shared" ref="L7:L12" si="1">IFERROR(K7/J7,"")</f>
        <v/>
      </c>
    </row>
    <row r="8" spans="1:13" s="8" customFormat="1" ht="30" customHeight="1" x14ac:dyDescent="0.25">
      <c r="A8" s="285"/>
      <c r="B8" s="51" t="s">
        <v>6</v>
      </c>
      <c r="C8" s="23"/>
      <c r="D8" s="23"/>
      <c r="E8" s="23"/>
      <c r="F8" s="23"/>
      <c r="G8" s="4" t="str">
        <f t="shared" si="0"/>
        <v/>
      </c>
      <c r="H8" s="23"/>
      <c r="I8" s="23"/>
      <c r="J8" s="23"/>
      <c r="K8" s="23"/>
      <c r="L8" s="4" t="str">
        <f t="shared" si="1"/>
        <v/>
      </c>
    </row>
    <row r="9" spans="1:13" s="8" customFormat="1" ht="30" customHeight="1" x14ac:dyDescent="0.25">
      <c r="A9" s="285"/>
      <c r="B9" s="51" t="s">
        <v>7</v>
      </c>
      <c r="C9" s="23"/>
      <c r="D9" s="23"/>
      <c r="E9" s="23"/>
      <c r="F9" s="23"/>
      <c r="G9" s="4" t="str">
        <f t="shared" si="0"/>
        <v/>
      </c>
      <c r="H9" s="23"/>
      <c r="I9" s="23"/>
      <c r="J9" s="23"/>
      <c r="K9" s="23"/>
      <c r="L9" s="4" t="str">
        <f t="shared" si="1"/>
        <v/>
      </c>
    </row>
    <row r="10" spans="1:13" s="8" customFormat="1" ht="30" customHeight="1" x14ac:dyDescent="0.25">
      <c r="A10" s="285"/>
      <c r="B10" s="51" t="s">
        <v>8</v>
      </c>
      <c r="C10" s="23"/>
      <c r="D10" s="23"/>
      <c r="E10" s="23"/>
      <c r="F10" s="23"/>
      <c r="G10" s="4" t="str">
        <f t="shared" si="0"/>
        <v/>
      </c>
      <c r="H10" s="23"/>
      <c r="I10" s="23"/>
      <c r="J10" s="23"/>
      <c r="K10" s="23"/>
      <c r="L10" s="4" t="str">
        <f t="shared" si="1"/>
        <v/>
      </c>
    </row>
    <row r="11" spans="1:13" s="8" customFormat="1" ht="30" customHeight="1" x14ac:dyDescent="0.25">
      <c r="A11" s="285"/>
      <c r="B11" s="51" t="s">
        <v>9</v>
      </c>
      <c r="C11" s="23"/>
      <c r="D11" s="23"/>
      <c r="E11" s="23"/>
      <c r="F11" s="23"/>
      <c r="G11" s="4" t="str">
        <f t="shared" si="0"/>
        <v/>
      </c>
      <c r="H11" s="23"/>
      <c r="I11" s="23"/>
      <c r="J11" s="23"/>
      <c r="K11" s="23"/>
      <c r="L11" s="4" t="str">
        <f t="shared" si="1"/>
        <v/>
      </c>
    </row>
    <row r="12" spans="1:13" s="8" customFormat="1" ht="30" customHeight="1" x14ac:dyDescent="0.25">
      <c r="A12" s="285"/>
      <c r="B12" s="51" t="s">
        <v>10</v>
      </c>
      <c r="C12" s="23"/>
      <c r="D12" s="23"/>
      <c r="E12" s="23"/>
      <c r="F12" s="23"/>
      <c r="G12" s="4" t="str">
        <f t="shared" si="0"/>
        <v/>
      </c>
      <c r="H12" s="23"/>
      <c r="I12" s="23"/>
      <c r="J12" s="23"/>
      <c r="K12" s="23"/>
      <c r="L12" s="4" t="str">
        <f t="shared" si="1"/>
        <v/>
      </c>
    </row>
    <row r="13" spans="1:13" s="8" customFormat="1" ht="30" customHeight="1" x14ac:dyDescent="0.25">
      <c r="A13" s="285"/>
      <c r="B13" s="51" t="s">
        <v>11</v>
      </c>
      <c r="C13" s="23"/>
      <c r="D13" s="23"/>
      <c r="E13" s="23"/>
      <c r="F13" s="23"/>
      <c r="G13" s="4" t="str">
        <f t="shared" si="0"/>
        <v/>
      </c>
      <c r="H13" s="23"/>
      <c r="I13" s="23"/>
      <c r="J13" s="23"/>
      <c r="K13" s="23"/>
      <c r="L13" s="4" t="str">
        <f>IFERROR(K14/J13,"")</f>
        <v/>
      </c>
    </row>
    <row r="14" spans="1:13" s="8" customFormat="1" ht="30" customHeight="1" x14ac:dyDescent="0.25">
      <c r="A14" s="285"/>
      <c r="B14" s="51" t="s">
        <v>12</v>
      </c>
      <c r="C14" s="23"/>
      <c r="D14" s="23"/>
      <c r="E14" s="23"/>
      <c r="F14" s="23"/>
      <c r="G14" s="4" t="str">
        <f t="shared" si="0"/>
        <v/>
      </c>
      <c r="H14" s="23"/>
      <c r="I14" s="23"/>
      <c r="J14" s="23"/>
      <c r="K14" s="23"/>
      <c r="L14" s="4" t="str">
        <f>IFERROR(K15/J14,"")</f>
        <v/>
      </c>
    </row>
    <row r="15" spans="1:13" s="8" customFormat="1" ht="30" customHeight="1" x14ac:dyDescent="0.25">
      <c r="A15" s="285"/>
      <c r="B15" s="51" t="s">
        <v>13</v>
      </c>
      <c r="C15" s="23"/>
      <c r="D15" s="23"/>
      <c r="E15" s="23"/>
      <c r="F15" s="23"/>
      <c r="G15" s="4" t="str">
        <f t="shared" si="0"/>
        <v/>
      </c>
      <c r="H15" s="23"/>
      <c r="I15" s="23"/>
      <c r="J15" s="23"/>
      <c r="K15" s="23"/>
      <c r="L15" s="4" t="str">
        <f t="shared" ref="L15:L16" si="2">IFERROR(K16/J15,"")</f>
        <v/>
      </c>
    </row>
    <row r="16" spans="1:13" s="8" customFormat="1" ht="30" customHeight="1" x14ac:dyDescent="0.25">
      <c r="A16" s="285"/>
      <c r="B16" s="51" t="s">
        <v>14</v>
      </c>
      <c r="C16" s="23"/>
      <c r="D16" s="23"/>
      <c r="E16" s="23"/>
      <c r="F16" s="23"/>
      <c r="G16" s="4" t="str">
        <f t="shared" si="0"/>
        <v/>
      </c>
      <c r="H16" s="23"/>
      <c r="I16" s="23"/>
      <c r="J16" s="23"/>
      <c r="K16" s="23"/>
      <c r="L16" s="4" t="str">
        <f t="shared" si="2"/>
        <v/>
      </c>
    </row>
    <row r="17" spans="1:13" s="8" customFormat="1" ht="30" customHeight="1" x14ac:dyDescent="0.25">
      <c r="A17" s="285"/>
      <c r="B17" s="52" t="s">
        <v>15</v>
      </c>
      <c r="C17" s="25"/>
      <c r="D17" s="25"/>
      <c r="E17" s="25"/>
      <c r="F17" s="25"/>
      <c r="G17" s="5" t="str">
        <f t="shared" si="0"/>
        <v/>
      </c>
      <c r="H17" s="25"/>
      <c r="I17" s="25"/>
      <c r="J17" s="25"/>
      <c r="K17" s="23"/>
      <c r="L17" s="4" t="str">
        <f t="shared" ref="L17" si="3">IFERROR(K17/J17,"")</f>
        <v/>
      </c>
    </row>
    <row r="18" spans="1:13" s="8" customFormat="1" ht="30" customHeight="1" x14ac:dyDescent="0.25">
      <c r="A18" s="285"/>
      <c r="B18" s="53" t="s">
        <v>104</v>
      </c>
      <c r="C18" s="70">
        <f>SUM(C6:C17)</f>
        <v>1</v>
      </c>
      <c r="D18" s="70">
        <f t="shared" ref="D18" si="4">SUM(D6:D17)</f>
        <v>0</v>
      </c>
      <c r="E18" s="55">
        <f>IFERROR(AVERAGE(E6:E17),"0")</f>
        <v>13</v>
      </c>
      <c r="F18" s="55">
        <f>IFERROR(AVERAGE(F6:F17),"0")</f>
        <v>13</v>
      </c>
      <c r="G18" s="56">
        <f>IFERROR(F18/E18,"0")</f>
        <v>1</v>
      </c>
      <c r="H18" s="55">
        <f>IFERROR(AVERAGE(H6:H17),"0")</f>
        <v>0</v>
      </c>
      <c r="I18" s="55">
        <f>IFERROR(AVERAGE(I6:I17),"0")</f>
        <v>1</v>
      </c>
      <c r="J18" s="55">
        <f>SUM(J6:J17)</f>
        <v>6</v>
      </c>
      <c r="K18" s="55">
        <f>SUM(K6:K17)</f>
        <v>0</v>
      </c>
      <c r="L18" s="56">
        <f>IFERROR(K18/J18,"0")</f>
        <v>0</v>
      </c>
    </row>
    <row r="19" spans="1:13" s="8" customFormat="1" ht="15" customHeight="1" x14ac:dyDescent="0.25">
      <c r="A19" s="285"/>
      <c r="M19" s="71"/>
    </row>
    <row r="20" spans="1:13" s="8" customFormat="1" ht="30" customHeight="1" x14ac:dyDescent="0.25">
      <c r="A20" s="285"/>
      <c r="B20" s="345" t="s">
        <v>27</v>
      </c>
      <c r="C20" s="445" t="s">
        <v>224</v>
      </c>
      <c r="D20" s="446"/>
      <c r="E20" s="446"/>
      <c r="F20" s="446"/>
      <c r="G20" s="446"/>
      <c r="H20" s="446"/>
      <c r="I20" s="446"/>
      <c r="J20" s="446"/>
      <c r="K20" s="446"/>
      <c r="L20" s="447"/>
    </row>
    <row r="21" spans="1:13" s="8" customFormat="1" ht="30" customHeight="1" x14ac:dyDescent="0.25">
      <c r="A21" s="285"/>
      <c r="B21" s="448"/>
      <c r="C21" s="347" t="s">
        <v>51</v>
      </c>
      <c r="D21" s="347" t="s">
        <v>54</v>
      </c>
      <c r="E21" s="347" t="s">
        <v>57</v>
      </c>
      <c r="F21" s="347" t="s">
        <v>50</v>
      </c>
      <c r="G21" s="347" t="s">
        <v>49</v>
      </c>
      <c r="H21" s="347" t="s">
        <v>55</v>
      </c>
      <c r="I21" s="347" t="s">
        <v>56</v>
      </c>
      <c r="J21" s="347" t="s">
        <v>53</v>
      </c>
      <c r="K21" s="347" t="s">
        <v>52</v>
      </c>
      <c r="L21" s="347" t="s">
        <v>19</v>
      </c>
    </row>
    <row r="22" spans="1:13" s="8" customFormat="1" ht="30" customHeight="1" x14ac:dyDescent="0.25">
      <c r="A22" s="285"/>
      <c r="B22" s="346"/>
      <c r="C22" s="348"/>
      <c r="D22" s="348"/>
      <c r="E22" s="348"/>
      <c r="F22" s="348"/>
      <c r="G22" s="348"/>
      <c r="H22" s="348"/>
      <c r="I22" s="348"/>
      <c r="J22" s="348"/>
      <c r="K22" s="348"/>
      <c r="L22" s="348"/>
    </row>
    <row r="23" spans="1:13" s="8" customFormat="1" ht="30" customHeight="1" x14ac:dyDescent="0.25">
      <c r="A23" s="285"/>
      <c r="B23" s="50" t="s">
        <v>16</v>
      </c>
      <c r="C23" s="47">
        <f>COUNTIFS($C$40:$C$749,"&gt;="&amp;"01.01.2025",$C$40:$C$749,"&lt;="&amp;"31.01.2025",$F$40:$F$749,C$21)</f>
        <v>0</v>
      </c>
      <c r="D23" s="47">
        <v>1</v>
      </c>
      <c r="E23" s="47">
        <f t="shared" ref="E23:L23" si="5">COUNTIFS($C$40:$C$749,"&gt;="&amp;"01.01.2025",$C$40:$C$749,"&lt;="&amp;"31.01.2025",$F$40:$F$749,E$21)</f>
        <v>0</v>
      </c>
      <c r="F23" s="47">
        <f t="shared" si="5"/>
        <v>0</v>
      </c>
      <c r="G23" s="47">
        <v>1</v>
      </c>
      <c r="H23" s="47">
        <f t="shared" si="5"/>
        <v>0</v>
      </c>
      <c r="I23" s="47">
        <f t="shared" si="5"/>
        <v>0</v>
      </c>
      <c r="J23" s="47">
        <f t="shared" si="5"/>
        <v>0</v>
      </c>
      <c r="K23" s="47">
        <v>1</v>
      </c>
      <c r="L23" s="47">
        <v>1</v>
      </c>
    </row>
    <row r="24" spans="1:13" s="8" customFormat="1" ht="30" customHeight="1" x14ac:dyDescent="0.25">
      <c r="A24" s="285"/>
      <c r="B24" s="51" t="s">
        <v>5</v>
      </c>
      <c r="C24" s="48">
        <f>COUNTIFS($C$40:$C$749,"&gt;="&amp;"01.02.2025",$C$40:$C$749,"&lt;="&amp;"28.02.2025",$F$40:$F$749,C$21)</f>
        <v>0</v>
      </c>
      <c r="D24" s="48">
        <f t="shared" ref="D24:L24" si="6">COUNTIFS($C$40:$C$749,"&gt;="&amp;"01.02.2025",$C$40:$C$749,"&lt;="&amp;"28.02.2025",$F$40:$F$749,D$21)</f>
        <v>0</v>
      </c>
      <c r="E24" s="48">
        <f t="shared" si="6"/>
        <v>0</v>
      </c>
      <c r="F24" s="48">
        <f t="shared" si="6"/>
        <v>0</v>
      </c>
      <c r="G24" s="48">
        <f t="shared" si="6"/>
        <v>0</v>
      </c>
      <c r="H24" s="48">
        <f t="shared" si="6"/>
        <v>0</v>
      </c>
      <c r="I24" s="48">
        <f t="shared" si="6"/>
        <v>0</v>
      </c>
      <c r="J24" s="48">
        <f t="shared" si="6"/>
        <v>0</v>
      </c>
      <c r="K24" s="48">
        <f t="shared" si="6"/>
        <v>0</v>
      </c>
      <c r="L24" s="48">
        <f t="shared" si="6"/>
        <v>0</v>
      </c>
    </row>
    <row r="25" spans="1:13" s="8" customFormat="1" ht="30" customHeight="1" x14ac:dyDescent="0.25">
      <c r="A25" s="285"/>
      <c r="B25" s="51" t="s">
        <v>6</v>
      </c>
      <c r="C25" s="48">
        <f>COUNTIFS($C$40:$C$749,"&gt;="&amp;"01.03.2025",$C$40:$C$749,"&lt;="&amp;"31.03.2025",$F$40:$F$749,C$21)</f>
        <v>0</v>
      </c>
      <c r="D25" s="48">
        <f t="shared" ref="D25:L25" si="7">COUNTIFS($C$40:$C$749,"&gt;="&amp;"01.03.2025",$C$40:$C$749,"&lt;="&amp;"31.03.2025",$F$40:$F$749,D$21)</f>
        <v>0</v>
      </c>
      <c r="E25" s="48">
        <f t="shared" si="7"/>
        <v>0</v>
      </c>
      <c r="F25" s="48">
        <f t="shared" si="7"/>
        <v>0</v>
      </c>
      <c r="G25" s="48">
        <f t="shared" si="7"/>
        <v>0</v>
      </c>
      <c r="H25" s="48">
        <f t="shared" si="7"/>
        <v>0</v>
      </c>
      <c r="I25" s="48">
        <f t="shared" si="7"/>
        <v>0</v>
      </c>
      <c r="J25" s="48">
        <f t="shared" si="7"/>
        <v>0</v>
      </c>
      <c r="K25" s="48">
        <f t="shared" si="7"/>
        <v>0</v>
      </c>
      <c r="L25" s="48">
        <f t="shared" si="7"/>
        <v>0</v>
      </c>
    </row>
    <row r="26" spans="1:13" s="8" customFormat="1" ht="30" customHeight="1" x14ac:dyDescent="0.25">
      <c r="A26" s="285"/>
      <c r="B26" s="51" t="s">
        <v>7</v>
      </c>
      <c r="C26" s="48">
        <f>COUNTIFS($C$40:$C$749,"&gt;="&amp;"01.04.2025",$C$40:$C$749,"&lt;="&amp;"30.04.2025",$F$40:$F$749,C$21)</f>
        <v>0</v>
      </c>
      <c r="D26" s="48">
        <f t="shared" ref="D26:L26" si="8">COUNTIFS($C$40:$C$749,"&gt;="&amp;"01.04.2025",$C$40:$C$749,"&lt;="&amp;"30.04.2025",$F$40:$F$749,D$21)</f>
        <v>0</v>
      </c>
      <c r="E26" s="48">
        <f t="shared" si="8"/>
        <v>0</v>
      </c>
      <c r="F26" s="48">
        <f t="shared" si="8"/>
        <v>0</v>
      </c>
      <c r="G26" s="48">
        <f t="shared" si="8"/>
        <v>0</v>
      </c>
      <c r="H26" s="48">
        <f t="shared" si="8"/>
        <v>0</v>
      </c>
      <c r="I26" s="48">
        <f t="shared" si="8"/>
        <v>0</v>
      </c>
      <c r="J26" s="48">
        <f t="shared" si="8"/>
        <v>0</v>
      </c>
      <c r="K26" s="48">
        <f t="shared" si="8"/>
        <v>0</v>
      </c>
      <c r="L26" s="48">
        <f t="shared" si="8"/>
        <v>0</v>
      </c>
    </row>
    <row r="27" spans="1:13" s="8" customFormat="1" ht="30" customHeight="1" x14ac:dyDescent="0.25">
      <c r="A27" s="285"/>
      <c r="B27" s="51" t="s">
        <v>8</v>
      </c>
      <c r="C27" s="48">
        <f>COUNTIFS($C$40:$C$749,"&gt;="&amp;"01.05.2025",$C$40:$C$749,"&lt;="&amp;"31.05.2025",$F$40:$F$749,C$21)</f>
        <v>0</v>
      </c>
      <c r="D27" s="48">
        <f t="shared" ref="D27:L27" si="9">COUNTIFS($C$40:$C$749,"&gt;="&amp;"01.05.2025",$C$40:$C$749,"&lt;="&amp;"31.05.2025",$F$40:$F$749,D$21)</f>
        <v>0</v>
      </c>
      <c r="E27" s="48">
        <f t="shared" si="9"/>
        <v>0</v>
      </c>
      <c r="F27" s="48">
        <f t="shared" si="9"/>
        <v>0</v>
      </c>
      <c r="G27" s="48">
        <f t="shared" si="9"/>
        <v>0</v>
      </c>
      <c r="H27" s="48">
        <f t="shared" si="9"/>
        <v>0</v>
      </c>
      <c r="I27" s="48">
        <f t="shared" si="9"/>
        <v>0</v>
      </c>
      <c r="J27" s="48">
        <f t="shared" si="9"/>
        <v>0</v>
      </c>
      <c r="K27" s="48">
        <f t="shared" si="9"/>
        <v>0</v>
      </c>
      <c r="L27" s="48">
        <f t="shared" si="9"/>
        <v>0</v>
      </c>
    </row>
    <row r="28" spans="1:13" s="8" customFormat="1" ht="30" customHeight="1" x14ac:dyDescent="0.25">
      <c r="A28" s="285"/>
      <c r="B28" s="51" t="s">
        <v>9</v>
      </c>
      <c r="C28" s="48">
        <f>COUNTIFS($C$40:$C$749,"&gt;="&amp;"01.06.2025",$C$40:$C$749,"&lt;="&amp;"30.06.2025",$F$40:$F$749,C$21)</f>
        <v>0</v>
      </c>
      <c r="D28" s="48">
        <f t="shared" ref="D28:L28" si="10">COUNTIFS($C$40:$C$749,"&gt;="&amp;"01.06.2025",$C$40:$C$749,"&lt;="&amp;"30.06.2025",$F$40:$F$749,D$21)</f>
        <v>0</v>
      </c>
      <c r="E28" s="48">
        <f t="shared" si="10"/>
        <v>0</v>
      </c>
      <c r="F28" s="48">
        <f t="shared" si="10"/>
        <v>0</v>
      </c>
      <c r="G28" s="48">
        <f t="shared" si="10"/>
        <v>0</v>
      </c>
      <c r="H28" s="48">
        <f t="shared" si="10"/>
        <v>0</v>
      </c>
      <c r="I28" s="48">
        <f t="shared" si="10"/>
        <v>0</v>
      </c>
      <c r="J28" s="48">
        <f t="shared" si="10"/>
        <v>0</v>
      </c>
      <c r="K28" s="48">
        <f t="shared" si="10"/>
        <v>0</v>
      </c>
      <c r="L28" s="48">
        <f t="shared" si="10"/>
        <v>0</v>
      </c>
    </row>
    <row r="29" spans="1:13" s="8" customFormat="1" ht="30" customHeight="1" x14ac:dyDescent="0.25">
      <c r="A29" s="285"/>
      <c r="B29" s="51" t="s">
        <v>10</v>
      </c>
      <c r="C29" s="48">
        <f>COUNTIFS($C$40:$C$749,"&gt;="&amp;"01.07.2025",$C$40:$C$749,"&lt;="&amp;"31.07.2025",$F$40:$F$749,C$21)</f>
        <v>0</v>
      </c>
      <c r="D29" s="48">
        <f t="shared" ref="D29:L29" si="11">COUNTIFS($C$40:$C$749,"&gt;="&amp;"01.07.2025",$C$40:$C$749,"&lt;="&amp;"31.07.2025",$F$40:$F$749,D$21)</f>
        <v>0</v>
      </c>
      <c r="E29" s="48">
        <f t="shared" si="11"/>
        <v>0</v>
      </c>
      <c r="F29" s="48">
        <f t="shared" si="11"/>
        <v>0</v>
      </c>
      <c r="G29" s="48">
        <f t="shared" si="11"/>
        <v>0</v>
      </c>
      <c r="H29" s="48">
        <f t="shared" si="11"/>
        <v>0</v>
      </c>
      <c r="I29" s="48">
        <f t="shared" si="11"/>
        <v>0</v>
      </c>
      <c r="J29" s="48">
        <f t="shared" si="11"/>
        <v>0</v>
      </c>
      <c r="K29" s="48">
        <f t="shared" si="11"/>
        <v>0</v>
      </c>
      <c r="L29" s="48">
        <f t="shared" si="11"/>
        <v>0</v>
      </c>
    </row>
    <row r="30" spans="1:13" s="8" customFormat="1" ht="30" customHeight="1" x14ac:dyDescent="0.25">
      <c r="A30" s="285"/>
      <c r="B30" s="51" t="s">
        <v>11</v>
      </c>
      <c r="C30" s="48">
        <f>COUNTIFS($C$40:$C$749,"&gt;="&amp;"01.08.2025",$C$40:$C$749,"&lt;="&amp;"31.08.2025",$F$40:$F$749,C$21)</f>
        <v>0</v>
      </c>
      <c r="D30" s="48">
        <f t="shared" ref="D30:L30" si="12">COUNTIFS($C$40:$C$749,"&gt;="&amp;"01.08.2025",$C$40:$C$749,"&lt;="&amp;"31.08.2025",$F$40:$F$749,D$21)</f>
        <v>0</v>
      </c>
      <c r="E30" s="48">
        <f t="shared" si="12"/>
        <v>0</v>
      </c>
      <c r="F30" s="48">
        <f t="shared" si="12"/>
        <v>0</v>
      </c>
      <c r="G30" s="48">
        <f t="shared" si="12"/>
        <v>0</v>
      </c>
      <c r="H30" s="48">
        <f t="shared" si="12"/>
        <v>0</v>
      </c>
      <c r="I30" s="48">
        <f t="shared" si="12"/>
        <v>0</v>
      </c>
      <c r="J30" s="48">
        <f t="shared" si="12"/>
        <v>0</v>
      </c>
      <c r="K30" s="48">
        <f t="shared" si="12"/>
        <v>0</v>
      </c>
      <c r="L30" s="48">
        <f t="shared" si="12"/>
        <v>0</v>
      </c>
    </row>
    <row r="31" spans="1:13" s="8" customFormat="1" ht="30" customHeight="1" x14ac:dyDescent="0.25">
      <c r="A31" s="285"/>
      <c r="B31" s="51" t="s">
        <v>12</v>
      </c>
      <c r="C31" s="48">
        <f>COUNTIFS($C$40:$C$749,"&gt;="&amp;"01.09.2025",$C$40:$C$749,"&lt;="&amp;"30.09.2025",$F$40:$F$749,C$21)</f>
        <v>0</v>
      </c>
      <c r="D31" s="48">
        <f t="shared" ref="D31:L31" si="13">COUNTIFS($C$40:$C$749,"&gt;="&amp;"01.09.2025",$C$40:$C$749,"&lt;="&amp;"30.09.2025",$F$40:$F$749,D$21)</f>
        <v>0</v>
      </c>
      <c r="E31" s="48">
        <f t="shared" si="13"/>
        <v>0</v>
      </c>
      <c r="F31" s="48">
        <f t="shared" si="13"/>
        <v>0</v>
      </c>
      <c r="G31" s="48">
        <f t="shared" si="13"/>
        <v>0</v>
      </c>
      <c r="H31" s="48">
        <f t="shared" si="13"/>
        <v>0</v>
      </c>
      <c r="I31" s="48">
        <f t="shared" si="13"/>
        <v>0</v>
      </c>
      <c r="J31" s="48">
        <f t="shared" si="13"/>
        <v>0</v>
      </c>
      <c r="K31" s="48">
        <f t="shared" si="13"/>
        <v>0</v>
      </c>
      <c r="L31" s="48">
        <f t="shared" si="13"/>
        <v>0</v>
      </c>
    </row>
    <row r="32" spans="1:13" s="8" customFormat="1" ht="30" customHeight="1" x14ac:dyDescent="0.25">
      <c r="A32" s="285"/>
      <c r="B32" s="51" t="s">
        <v>13</v>
      </c>
      <c r="C32" s="48">
        <f>COUNTIFS($C$40:$C$749,"&gt;="&amp;"01.10.2025",$C$40:$C$749,"&lt;="&amp;"31.10.2025",$F$40:$F$749,C$21)</f>
        <v>0</v>
      </c>
      <c r="D32" s="48">
        <f t="shared" ref="D32:L32" si="14">COUNTIFS($C$40:$C$749,"&gt;="&amp;"01.10.2025",$C$40:$C$749,"&lt;="&amp;"31.10.2025",$F$40:$F$749,D$21)</f>
        <v>0</v>
      </c>
      <c r="E32" s="48">
        <f t="shared" si="14"/>
        <v>0</v>
      </c>
      <c r="F32" s="48">
        <f t="shared" si="14"/>
        <v>0</v>
      </c>
      <c r="G32" s="48">
        <f t="shared" si="14"/>
        <v>0</v>
      </c>
      <c r="H32" s="48">
        <f t="shared" si="14"/>
        <v>0</v>
      </c>
      <c r="I32" s="48">
        <f t="shared" si="14"/>
        <v>0</v>
      </c>
      <c r="J32" s="48">
        <f t="shared" si="14"/>
        <v>0</v>
      </c>
      <c r="K32" s="48">
        <f t="shared" si="14"/>
        <v>0</v>
      </c>
      <c r="L32" s="48">
        <f t="shared" si="14"/>
        <v>0</v>
      </c>
    </row>
    <row r="33" spans="1:13" s="8" customFormat="1" ht="30" customHeight="1" x14ac:dyDescent="0.25">
      <c r="A33" s="285"/>
      <c r="B33" s="51" t="s">
        <v>14</v>
      </c>
      <c r="C33" s="48">
        <f>COUNTIFS($C$40:$C$749,"&gt;="&amp;"01.11.2025",$C$40:$C$749,"&lt;="&amp;"30.11.2025",$F$40:$F$749,C$21)</f>
        <v>0</v>
      </c>
      <c r="D33" s="48">
        <f t="shared" ref="D33:L33" si="15">COUNTIFS($C$40:$C$749,"&gt;="&amp;"01.11.2025",$C$40:$C$749,"&lt;="&amp;"30.11.2025",$F$40:$F$749,D$21)</f>
        <v>0</v>
      </c>
      <c r="E33" s="48">
        <f t="shared" si="15"/>
        <v>0</v>
      </c>
      <c r="F33" s="48">
        <f t="shared" si="15"/>
        <v>0</v>
      </c>
      <c r="G33" s="48">
        <f t="shared" si="15"/>
        <v>0</v>
      </c>
      <c r="H33" s="48">
        <f t="shared" si="15"/>
        <v>0</v>
      </c>
      <c r="I33" s="48">
        <f t="shared" si="15"/>
        <v>0</v>
      </c>
      <c r="J33" s="48">
        <f t="shared" si="15"/>
        <v>0</v>
      </c>
      <c r="K33" s="48">
        <f t="shared" si="15"/>
        <v>0</v>
      </c>
      <c r="L33" s="48">
        <f t="shared" si="15"/>
        <v>0</v>
      </c>
    </row>
    <row r="34" spans="1:13" s="8" customFormat="1" ht="30" customHeight="1" x14ac:dyDescent="0.25">
      <c r="A34" s="285"/>
      <c r="B34" s="52" t="s">
        <v>15</v>
      </c>
      <c r="C34" s="49">
        <f>COUNTIFS($C$40:$C$749,"&gt;="&amp;"01.12.2025",$C$40:$C$749,"&lt;="&amp;"31.12.2025",$F$40:$F$749,C$21)</f>
        <v>0</v>
      </c>
      <c r="D34" s="49">
        <f t="shared" ref="D34:L34" si="16">COUNTIFS($C$40:$C$749,"&gt;="&amp;"01.12.2025",$C$40:$C$749,"&lt;="&amp;"31.12.2025",$F$40:$F$749,D$21)</f>
        <v>0</v>
      </c>
      <c r="E34" s="49">
        <f t="shared" si="16"/>
        <v>0</v>
      </c>
      <c r="F34" s="49">
        <f t="shared" si="16"/>
        <v>0</v>
      </c>
      <c r="G34" s="49">
        <f t="shared" si="16"/>
        <v>0</v>
      </c>
      <c r="H34" s="49">
        <f t="shared" si="16"/>
        <v>0</v>
      </c>
      <c r="I34" s="49">
        <f t="shared" si="16"/>
        <v>0</v>
      </c>
      <c r="J34" s="49">
        <f t="shared" si="16"/>
        <v>0</v>
      </c>
      <c r="K34" s="49">
        <f t="shared" si="16"/>
        <v>0</v>
      </c>
      <c r="L34" s="49">
        <f t="shared" si="16"/>
        <v>0</v>
      </c>
    </row>
    <row r="35" spans="1:13" s="8" customFormat="1" ht="30" customHeight="1" x14ac:dyDescent="0.25">
      <c r="A35" s="285"/>
      <c r="B35" s="53" t="s">
        <v>1</v>
      </c>
      <c r="C35" s="55">
        <f t="shared" ref="C35:L35" si="17">SUM(C23:C34)</f>
        <v>0</v>
      </c>
      <c r="D35" s="55">
        <f t="shared" si="17"/>
        <v>1</v>
      </c>
      <c r="E35" s="55">
        <f t="shared" si="17"/>
        <v>0</v>
      </c>
      <c r="F35" s="55">
        <f t="shared" si="17"/>
        <v>0</v>
      </c>
      <c r="G35" s="55">
        <f t="shared" si="17"/>
        <v>1</v>
      </c>
      <c r="H35" s="55">
        <f t="shared" si="17"/>
        <v>0</v>
      </c>
      <c r="I35" s="55">
        <f t="shared" si="17"/>
        <v>0</v>
      </c>
      <c r="J35" s="55">
        <f t="shared" si="17"/>
        <v>0</v>
      </c>
      <c r="K35" s="55">
        <f t="shared" si="17"/>
        <v>1</v>
      </c>
      <c r="L35" s="55">
        <f t="shared" si="17"/>
        <v>1</v>
      </c>
    </row>
    <row r="36" spans="1:13" s="8" customFormat="1" ht="15" customHeight="1" x14ac:dyDescent="0.25">
      <c r="A36" s="285"/>
      <c r="M36" s="71"/>
    </row>
    <row r="37" spans="1:13" s="8" customFormat="1" ht="50.1" customHeight="1" x14ac:dyDescent="0.3">
      <c r="A37" s="7"/>
      <c r="B37" s="299" t="s">
        <v>155</v>
      </c>
      <c r="C37" s="299"/>
      <c r="D37" s="299"/>
      <c r="E37" s="299"/>
      <c r="F37" s="299"/>
      <c r="G37" s="299"/>
      <c r="H37" s="299"/>
      <c r="I37" s="299"/>
      <c r="J37" s="299"/>
      <c r="K37" s="299"/>
      <c r="L37" s="299"/>
    </row>
    <row r="38" spans="1:13" s="8" customFormat="1" ht="15" customHeight="1" x14ac:dyDescent="0.3">
      <c r="A38" s="7"/>
      <c r="M38" s="75"/>
    </row>
    <row r="39" spans="1:13" ht="60" customHeight="1" x14ac:dyDescent="0.3">
      <c r="B39" s="97" t="s">
        <v>156</v>
      </c>
      <c r="C39" s="97" t="s">
        <v>157</v>
      </c>
      <c r="D39" s="449" t="s">
        <v>158</v>
      </c>
      <c r="E39" s="450"/>
      <c r="F39" s="97" t="s">
        <v>370</v>
      </c>
      <c r="G39" s="97" t="s">
        <v>159</v>
      </c>
      <c r="H39" s="97" t="s">
        <v>160</v>
      </c>
      <c r="I39" s="98" t="s">
        <v>161</v>
      </c>
      <c r="J39" s="98" t="s">
        <v>162</v>
      </c>
      <c r="K39" s="449" t="s">
        <v>163</v>
      </c>
      <c r="L39" s="450"/>
    </row>
    <row r="40" spans="1:13" ht="120" customHeight="1" x14ac:dyDescent="0.3">
      <c r="B40" s="109" t="s">
        <v>333</v>
      </c>
      <c r="C40" s="110">
        <v>46050</v>
      </c>
      <c r="D40" s="441" t="s">
        <v>371</v>
      </c>
      <c r="E40" s="442"/>
      <c r="F40" s="111" t="s">
        <v>51</v>
      </c>
      <c r="G40" s="109" t="s">
        <v>372</v>
      </c>
      <c r="H40" s="112" t="s">
        <v>373</v>
      </c>
      <c r="I40" s="110">
        <v>46081</v>
      </c>
      <c r="J40" s="110"/>
      <c r="K40" s="443" t="s">
        <v>374</v>
      </c>
      <c r="L40" s="444"/>
    </row>
    <row r="41" spans="1:13" ht="120" customHeight="1" x14ac:dyDescent="0.3">
      <c r="B41" s="109" t="s">
        <v>333</v>
      </c>
      <c r="C41" s="110">
        <v>46050</v>
      </c>
      <c r="D41" s="441" t="s">
        <v>375</v>
      </c>
      <c r="E41" s="442"/>
      <c r="F41" s="111" t="s">
        <v>49</v>
      </c>
      <c r="G41" s="267" t="s">
        <v>376</v>
      </c>
      <c r="H41" s="112" t="s">
        <v>377</v>
      </c>
      <c r="I41" s="110">
        <v>46081</v>
      </c>
      <c r="J41" s="110"/>
      <c r="K41" s="443" t="s">
        <v>378</v>
      </c>
      <c r="L41" s="444"/>
    </row>
    <row r="42" spans="1:13" ht="120" customHeight="1" x14ac:dyDescent="0.3">
      <c r="B42" s="109" t="s">
        <v>333</v>
      </c>
      <c r="C42" s="110">
        <v>46050</v>
      </c>
      <c r="D42" s="441" t="s">
        <v>379</v>
      </c>
      <c r="E42" s="442"/>
      <c r="F42" s="111" t="s">
        <v>55</v>
      </c>
      <c r="G42" s="109" t="s">
        <v>380</v>
      </c>
      <c r="H42" s="112" t="s">
        <v>377</v>
      </c>
      <c r="I42" s="110">
        <v>46081</v>
      </c>
      <c r="J42" s="110"/>
      <c r="K42" s="443" t="s">
        <v>381</v>
      </c>
      <c r="L42" s="444"/>
    </row>
    <row r="43" spans="1:13" ht="120" customHeight="1" x14ac:dyDescent="0.3">
      <c r="B43" s="109" t="s">
        <v>333</v>
      </c>
      <c r="C43" s="110">
        <v>46050</v>
      </c>
      <c r="D43" s="441" t="s">
        <v>382</v>
      </c>
      <c r="E43" s="442"/>
      <c r="F43" s="111" t="s">
        <v>55</v>
      </c>
      <c r="G43" s="109" t="s">
        <v>380</v>
      </c>
      <c r="H43" s="112" t="s">
        <v>377</v>
      </c>
      <c r="I43" s="110">
        <v>46081</v>
      </c>
      <c r="J43" s="110"/>
      <c r="K43" s="443" t="s">
        <v>383</v>
      </c>
      <c r="L43" s="444"/>
    </row>
    <row r="44" spans="1:13" ht="120" customHeight="1" x14ac:dyDescent="0.3">
      <c r="B44" s="109" t="s">
        <v>333</v>
      </c>
      <c r="C44" s="110">
        <v>46050</v>
      </c>
      <c r="D44" s="441" t="s">
        <v>384</v>
      </c>
      <c r="E44" s="442"/>
      <c r="F44" s="111" t="s">
        <v>19</v>
      </c>
      <c r="G44" s="267" t="s">
        <v>385</v>
      </c>
      <c r="H44" s="112" t="s">
        <v>373</v>
      </c>
      <c r="I44" s="110">
        <v>46081</v>
      </c>
      <c r="J44" s="110"/>
      <c r="K44" s="443" t="s">
        <v>386</v>
      </c>
      <c r="L44" s="444"/>
    </row>
    <row r="45" spans="1:13" ht="120" customHeight="1" x14ac:dyDescent="0.3">
      <c r="B45" s="109" t="s">
        <v>333</v>
      </c>
      <c r="C45" s="110">
        <v>46050</v>
      </c>
      <c r="D45" s="441" t="s">
        <v>387</v>
      </c>
      <c r="E45" s="442"/>
      <c r="F45" s="111" t="s">
        <v>52</v>
      </c>
      <c r="G45" s="267" t="s">
        <v>388</v>
      </c>
      <c r="H45" s="112" t="s">
        <v>377</v>
      </c>
      <c r="I45" s="110">
        <v>46112</v>
      </c>
      <c r="J45" s="110"/>
      <c r="K45" s="443" t="s">
        <v>389</v>
      </c>
      <c r="L45" s="444"/>
    </row>
    <row r="46" spans="1:13" ht="120" customHeight="1" x14ac:dyDescent="0.3">
      <c r="B46" s="109"/>
      <c r="C46" s="110"/>
      <c r="D46" s="441"/>
      <c r="E46" s="442"/>
      <c r="F46" s="111"/>
      <c r="G46" s="109"/>
      <c r="H46" s="112"/>
      <c r="I46" s="110"/>
      <c r="J46" s="110"/>
      <c r="K46" s="443"/>
      <c r="L46" s="444"/>
    </row>
    <row r="47" spans="1:13" ht="120" customHeight="1" x14ac:dyDescent="0.3">
      <c r="B47" s="109"/>
      <c r="C47" s="110"/>
      <c r="D47" s="441"/>
      <c r="E47" s="442"/>
      <c r="F47" s="111"/>
      <c r="G47" s="109"/>
      <c r="H47" s="112"/>
      <c r="I47" s="110"/>
      <c r="J47" s="110"/>
      <c r="K47" s="443"/>
      <c r="L47" s="444"/>
    </row>
    <row r="48" spans="1:13" ht="120" customHeight="1" x14ac:dyDescent="0.3">
      <c r="B48" s="109"/>
      <c r="C48" s="110"/>
      <c r="D48" s="441"/>
      <c r="E48" s="442"/>
      <c r="F48" s="111"/>
      <c r="G48" s="109"/>
      <c r="H48" s="112"/>
      <c r="I48" s="110"/>
      <c r="J48" s="110"/>
      <c r="K48" s="443"/>
      <c r="L48" s="444"/>
    </row>
    <row r="49" spans="2:12" ht="120" customHeight="1" x14ac:dyDescent="0.3">
      <c r="B49" s="109"/>
      <c r="C49" s="110"/>
      <c r="D49" s="441"/>
      <c r="E49" s="442"/>
      <c r="F49" s="111"/>
      <c r="G49" s="109"/>
      <c r="H49" s="112"/>
      <c r="I49" s="110"/>
      <c r="J49" s="110"/>
      <c r="K49" s="443"/>
      <c r="L49" s="444"/>
    </row>
    <row r="50" spans="2:12" ht="120" customHeight="1" x14ac:dyDescent="0.3">
      <c r="B50" s="109"/>
      <c r="C50" s="110"/>
      <c r="D50" s="441"/>
      <c r="E50" s="442"/>
      <c r="F50" s="111"/>
      <c r="G50" s="109"/>
      <c r="H50" s="112"/>
      <c r="I50" s="110"/>
      <c r="J50" s="110"/>
      <c r="K50" s="443"/>
      <c r="L50" s="444"/>
    </row>
    <row r="51" spans="2:12" ht="120" customHeight="1" x14ac:dyDescent="0.3">
      <c r="B51" s="109"/>
      <c r="C51" s="110"/>
      <c r="D51" s="441"/>
      <c r="E51" s="442"/>
      <c r="F51" s="111"/>
      <c r="G51" s="109"/>
      <c r="H51" s="112"/>
      <c r="I51" s="110"/>
      <c r="J51" s="110"/>
      <c r="K51" s="443"/>
      <c r="L51" s="444"/>
    </row>
    <row r="52" spans="2:12" ht="120" customHeight="1" x14ac:dyDescent="0.3">
      <c r="B52" s="109"/>
      <c r="C52" s="110"/>
      <c r="D52" s="441"/>
      <c r="E52" s="442"/>
      <c r="F52" s="111"/>
      <c r="G52" s="109"/>
      <c r="H52" s="112"/>
      <c r="I52" s="110"/>
      <c r="J52" s="110"/>
      <c r="K52" s="443"/>
      <c r="L52" s="444"/>
    </row>
    <row r="53" spans="2:12" ht="120" customHeight="1" x14ac:dyDescent="0.3">
      <c r="B53" s="109"/>
      <c r="C53" s="110"/>
      <c r="D53" s="441"/>
      <c r="E53" s="442"/>
      <c r="F53" s="111"/>
      <c r="G53" s="109"/>
      <c r="H53" s="112"/>
      <c r="I53" s="110"/>
      <c r="J53" s="110"/>
      <c r="K53" s="443"/>
      <c r="L53" s="444"/>
    </row>
    <row r="54" spans="2:12" ht="120" customHeight="1" x14ac:dyDescent="0.3">
      <c r="B54" s="109"/>
      <c r="C54" s="110"/>
      <c r="D54" s="441"/>
      <c r="E54" s="442"/>
      <c r="F54" s="111"/>
      <c r="G54" s="109"/>
      <c r="H54" s="112"/>
      <c r="I54" s="110"/>
      <c r="J54" s="110"/>
      <c r="K54" s="443"/>
      <c r="L54" s="444"/>
    </row>
    <row r="55" spans="2:12" ht="120" customHeight="1" x14ac:dyDescent="0.3">
      <c r="B55" s="109"/>
      <c r="C55" s="110"/>
      <c r="D55" s="441"/>
      <c r="E55" s="442"/>
      <c r="F55" s="111"/>
      <c r="G55" s="109"/>
      <c r="H55" s="112"/>
      <c r="I55" s="110"/>
      <c r="J55" s="110"/>
      <c r="K55" s="443"/>
      <c r="L55" s="444"/>
    </row>
    <row r="56" spans="2:12" ht="120" customHeight="1" x14ac:dyDescent="0.3">
      <c r="B56" s="109"/>
      <c r="C56" s="110"/>
      <c r="D56" s="441"/>
      <c r="E56" s="442"/>
      <c r="F56" s="111"/>
      <c r="G56" s="109"/>
      <c r="H56" s="112"/>
      <c r="I56" s="110"/>
      <c r="J56" s="110"/>
      <c r="K56" s="443"/>
      <c r="L56" s="444"/>
    </row>
    <row r="57" spans="2:12" ht="120" customHeight="1" x14ac:dyDescent="0.3">
      <c r="B57" s="109"/>
      <c r="C57" s="110"/>
      <c r="D57" s="441"/>
      <c r="E57" s="442"/>
      <c r="F57" s="111"/>
      <c r="G57" s="109"/>
      <c r="H57" s="112"/>
      <c r="I57" s="110"/>
      <c r="J57" s="110"/>
      <c r="K57" s="443"/>
      <c r="L57" s="444"/>
    </row>
    <row r="58" spans="2:12" ht="120" customHeight="1" x14ac:dyDescent="0.3">
      <c r="B58" s="109"/>
      <c r="C58" s="110"/>
      <c r="D58" s="441"/>
      <c r="E58" s="442"/>
      <c r="F58" s="111"/>
      <c r="G58" s="109"/>
      <c r="H58" s="112"/>
      <c r="I58" s="110"/>
      <c r="J58" s="110"/>
      <c r="K58" s="443"/>
      <c r="L58" s="444"/>
    </row>
    <row r="59" spans="2:12" ht="120" customHeight="1" x14ac:dyDescent="0.3">
      <c r="B59" s="109"/>
      <c r="C59" s="110"/>
      <c r="D59" s="441"/>
      <c r="E59" s="442"/>
      <c r="F59" s="111"/>
      <c r="G59" s="109"/>
      <c r="H59" s="112"/>
      <c r="I59" s="110"/>
      <c r="J59" s="110"/>
      <c r="K59" s="443"/>
      <c r="L59" s="444"/>
    </row>
    <row r="60" spans="2:12" ht="120" customHeight="1" x14ac:dyDescent="0.3">
      <c r="B60" s="109"/>
      <c r="C60" s="110"/>
      <c r="D60" s="441"/>
      <c r="E60" s="442"/>
      <c r="F60" s="111"/>
      <c r="G60" s="109"/>
      <c r="H60" s="112"/>
      <c r="I60" s="110"/>
      <c r="J60" s="110"/>
      <c r="K60" s="443"/>
      <c r="L60" s="444"/>
    </row>
    <row r="61" spans="2:12" ht="120" customHeight="1" x14ac:dyDescent="0.3">
      <c r="B61" s="109"/>
      <c r="C61" s="110"/>
      <c r="D61" s="441"/>
      <c r="E61" s="442"/>
      <c r="F61" s="111"/>
      <c r="G61" s="109"/>
      <c r="H61" s="112"/>
      <c r="I61" s="110"/>
      <c r="J61" s="110"/>
      <c r="K61" s="443"/>
      <c r="L61" s="444"/>
    </row>
    <row r="62" spans="2:12" ht="120" customHeight="1" x14ac:dyDescent="0.3">
      <c r="B62" s="109"/>
      <c r="C62" s="110"/>
      <c r="D62" s="441"/>
      <c r="E62" s="442"/>
      <c r="F62" s="111"/>
      <c r="G62" s="109"/>
      <c r="H62" s="112"/>
      <c r="I62" s="110"/>
      <c r="J62" s="110"/>
      <c r="K62" s="443"/>
      <c r="L62" s="444"/>
    </row>
    <row r="63" spans="2:12" ht="120" customHeight="1" x14ac:dyDescent="0.3">
      <c r="B63" s="109"/>
      <c r="C63" s="110"/>
      <c r="D63" s="441"/>
      <c r="E63" s="442"/>
      <c r="F63" s="111"/>
      <c r="G63" s="109"/>
      <c r="H63" s="112"/>
      <c r="I63" s="110"/>
      <c r="J63" s="110"/>
      <c r="K63" s="443"/>
      <c r="L63" s="444"/>
    </row>
    <row r="64" spans="2:12" ht="120" customHeight="1" x14ac:dyDescent="0.3">
      <c r="B64" s="109"/>
      <c r="C64" s="110"/>
      <c r="D64" s="441"/>
      <c r="E64" s="442"/>
      <c r="F64" s="111"/>
      <c r="G64" s="109"/>
      <c r="H64" s="112"/>
      <c r="I64" s="110"/>
      <c r="J64" s="110"/>
      <c r="K64" s="443"/>
      <c r="L64" s="444"/>
    </row>
    <row r="65" spans="2:12" ht="120" customHeight="1" x14ac:dyDescent="0.3">
      <c r="B65" s="109"/>
      <c r="C65" s="110"/>
      <c r="D65" s="441"/>
      <c r="E65" s="442"/>
      <c r="F65" s="111"/>
      <c r="G65" s="109"/>
      <c r="H65" s="112"/>
      <c r="I65" s="110"/>
      <c r="J65" s="110"/>
      <c r="K65" s="443"/>
      <c r="L65" s="444"/>
    </row>
    <row r="66" spans="2:12" ht="120" customHeight="1" x14ac:dyDescent="0.3">
      <c r="B66" s="109"/>
      <c r="C66" s="110"/>
      <c r="D66" s="441"/>
      <c r="E66" s="442"/>
      <c r="F66" s="111"/>
      <c r="G66" s="109"/>
      <c r="H66" s="112"/>
      <c r="I66" s="110"/>
      <c r="J66" s="110"/>
      <c r="K66" s="443"/>
      <c r="L66" s="444"/>
    </row>
    <row r="67" spans="2:12" ht="120" customHeight="1" x14ac:dyDescent="0.3">
      <c r="B67" s="109"/>
      <c r="C67" s="110"/>
      <c r="D67" s="441"/>
      <c r="E67" s="442"/>
      <c r="F67" s="111"/>
      <c r="G67" s="109"/>
      <c r="H67" s="112"/>
      <c r="I67" s="110"/>
      <c r="J67" s="110"/>
      <c r="K67" s="443"/>
      <c r="L67" s="444"/>
    </row>
    <row r="68" spans="2:12" ht="120" customHeight="1" x14ac:dyDescent="0.3">
      <c r="B68" s="109"/>
      <c r="C68" s="110"/>
      <c r="D68" s="441"/>
      <c r="E68" s="442"/>
      <c r="F68" s="111"/>
      <c r="G68" s="109"/>
      <c r="H68" s="112"/>
      <c r="I68" s="110"/>
      <c r="J68" s="110"/>
      <c r="K68" s="443"/>
      <c r="L68" s="444"/>
    </row>
    <row r="69" spans="2:12" ht="120" customHeight="1" x14ac:dyDescent="0.3">
      <c r="B69" s="109"/>
      <c r="C69" s="110"/>
      <c r="D69" s="441"/>
      <c r="E69" s="442"/>
      <c r="F69" s="111"/>
      <c r="G69" s="109"/>
      <c r="H69" s="112"/>
      <c r="I69" s="110"/>
      <c r="J69" s="110"/>
      <c r="K69" s="443"/>
      <c r="L69" s="444"/>
    </row>
    <row r="70" spans="2:12" ht="120" customHeight="1" x14ac:dyDescent="0.3">
      <c r="B70" s="109"/>
      <c r="C70" s="110"/>
      <c r="D70" s="441"/>
      <c r="E70" s="442"/>
      <c r="F70" s="111"/>
      <c r="G70" s="109"/>
      <c r="H70" s="112"/>
      <c r="I70" s="110"/>
      <c r="J70" s="110"/>
      <c r="K70" s="443"/>
      <c r="L70" s="444"/>
    </row>
    <row r="71" spans="2:12" ht="120" customHeight="1" x14ac:dyDescent="0.3">
      <c r="B71" s="109"/>
      <c r="C71" s="110"/>
      <c r="D71" s="441"/>
      <c r="E71" s="442"/>
      <c r="F71" s="111"/>
      <c r="G71" s="109"/>
      <c r="H71" s="112"/>
      <c r="I71" s="110"/>
      <c r="J71" s="110"/>
      <c r="K71" s="443"/>
      <c r="L71" s="444"/>
    </row>
    <row r="72" spans="2:12" ht="120" customHeight="1" x14ac:dyDescent="0.3">
      <c r="B72" s="109"/>
      <c r="C72" s="110"/>
      <c r="D72" s="441"/>
      <c r="E72" s="442"/>
      <c r="F72" s="111"/>
      <c r="G72" s="109"/>
      <c r="H72" s="112"/>
      <c r="I72" s="110"/>
      <c r="J72" s="110"/>
      <c r="K72" s="443"/>
      <c r="L72" s="444"/>
    </row>
    <row r="73" spans="2:12" ht="120" customHeight="1" x14ac:dyDescent="0.3">
      <c r="B73" s="109"/>
      <c r="C73" s="110"/>
      <c r="D73" s="441"/>
      <c r="E73" s="442"/>
      <c r="F73" s="111"/>
      <c r="G73" s="109"/>
      <c r="H73" s="112"/>
      <c r="I73" s="110"/>
      <c r="J73" s="110"/>
      <c r="K73" s="443"/>
      <c r="L73" s="444"/>
    </row>
    <row r="74" spans="2:12" ht="120" customHeight="1" x14ac:dyDescent="0.3">
      <c r="B74" s="109"/>
      <c r="C74" s="110"/>
      <c r="D74" s="441"/>
      <c r="E74" s="442"/>
      <c r="F74" s="111"/>
      <c r="G74" s="109"/>
      <c r="H74" s="112"/>
      <c r="I74" s="110"/>
      <c r="J74" s="110"/>
      <c r="K74" s="443"/>
      <c r="L74" s="444"/>
    </row>
    <row r="75" spans="2:12" ht="120" customHeight="1" x14ac:dyDescent="0.3">
      <c r="B75" s="109"/>
      <c r="C75" s="110"/>
      <c r="D75" s="441"/>
      <c r="E75" s="442"/>
      <c r="F75" s="111"/>
      <c r="G75" s="109"/>
      <c r="H75" s="112"/>
      <c r="I75" s="110"/>
      <c r="J75" s="110"/>
      <c r="K75" s="443"/>
      <c r="L75" s="444"/>
    </row>
    <row r="76" spans="2:12" ht="120" customHeight="1" x14ac:dyDescent="0.3">
      <c r="B76" s="109"/>
      <c r="C76" s="110"/>
      <c r="D76" s="441"/>
      <c r="E76" s="442"/>
      <c r="F76" s="111"/>
      <c r="G76" s="109"/>
      <c r="H76" s="112"/>
      <c r="I76" s="110"/>
      <c r="J76" s="110"/>
      <c r="K76" s="443"/>
      <c r="L76" s="444"/>
    </row>
    <row r="77" spans="2:12" ht="120" customHeight="1" x14ac:dyDescent="0.3">
      <c r="B77" s="109"/>
      <c r="C77" s="110"/>
      <c r="D77" s="441"/>
      <c r="E77" s="442"/>
      <c r="F77" s="111"/>
      <c r="G77" s="109"/>
      <c r="H77" s="112"/>
      <c r="I77" s="110"/>
      <c r="J77" s="110"/>
      <c r="K77" s="443"/>
      <c r="L77" s="444"/>
    </row>
    <row r="78" spans="2:12" ht="120" customHeight="1" x14ac:dyDescent="0.3">
      <c r="B78" s="109"/>
      <c r="C78" s="110"/>
      <c r="D78" s="441"/>
      <c r="E78" s="442"/>
      <c r="F78" s="111"/>
      <c r="G78" s="109"/>
      <c r="H78" s="112"/>
      <c r="I78" s="110"/>
      <c r="J78" s="110"/>
      <c r="K78" s="443"/>
      <c r="L78" s="444"/>
    </row>
    <row r="79" spans="2:12" ht="120" customHeight="1" x14ac:dyDescent="0.3">
      <c r="B79" s="109"/>
      <c r="C79" s="110"/>
      <c r="D79" s="441"/>
      <c r="E79" s="442"/>
      <c r="F79" s="111"/>
      <c r="G79" s="109"/>
      <c r="H79" s="112"/>
      <c r="I79" s="110"/>
      <c r="J79" s="110"/>
      <c r="K79" s="443"/>
      <c r="L79" s="444"/>
    </row>
    <row r="80" spans="2:12" ht="120" customHeight="1" x14ac:dyDescent="0.3">
      <c r="B80" s="109"/>
      <c r="C80" s="110"/>
      <c r="D80" s="441"/>
      <c r="E80" s="442"/>
      <c r="F80" s="111"/>
      <c r="G80" s="109"/>
      <c r="H80" s="112"/>
      <c r="I80" s="110"/>
      <c r="J80" s="110"/>
      <c r="K80" s="443"/>
      <c r="L80" s="444"/>
    </row>
    <row r="81" spans="2:12" ht="120" customHeight="1" x14ac:dyDescent="0.3">
      <c r="B81" s="109"/>
      <c r="C81" s="110"/>
      <c r="D81" s="441"/>
      <c r="E81" s="442"/>
      <c r="F81" s="111"/>
      <c r="G81" s="109"/>
      <c r="H81" s="112"/>
      <c r="I81" s="110"/>
      <c r="J81" s="110"/>
      <c r="K81" s="443"/>
      <c r="L81" s="444"/>
    </row>
    <row r="82" spans="2:12" ht="120" customHeight="1" x14ac:dyDescent="0.3">
      <c r="B82" s="109"/>
      <c r="C82" s="110"/>
      <c r="D82" s="441"/>
      <c r="E82" s="442"/>
      <c r="F82" s="111"/>
      <c r="G82" s="109"/>
      <c r="H82" s="112"/>
      <c r="I82" s="110"/>
      <c r="J82" s="110"/>
      <c r="K82" s="443"/>
      <c r="L82" s="444"/>
    </row>
    <row r="83" spans="2:12" ht="120" customHeight="1" x14ac:dyDescent="0.3">
      <c r="B83" s="109"/>
      <c r="C83" s="110"/>
      <c r="D83" s="441"/>
      <c r="E83" s="442"/>
      <c r="F83" s="111"/>
      <c r="G83" s="109"/>
      <c r="H83" s="112"/>
      <c r="I83" s="110"/>
      <c r="J83" s="110"/>
      <c r="K83" s="443"/>
      <c r="L83" s="444"/>
    </row>
    <row r="84" spans="2:12" ht="120" customHeight="1" x14ac:dyDescent="0.3">
      <c r="B84" s="109"/>
      <c r="C84" s="110"/>
      <c r="D84" s="441"/>
      <c r="E84" s="442"/>
      <c r="F84" s="111"/>
      <c r="G84" s="109"/>
      <c r="H84" s="112"/>
      <c r="I84" s="110"/>
      <c r="J84" s="110"/>
      <c r="K84" s="443"/>
      <c r="L84" s="444"/>
    </row>
    <row r="85" spans="2:12" ht="120" customHeight="1" x14ac:dyDescent="0.3">
      <c r="B85" s="109"/>
      <c r="C85" s="110"/>
      <c r="D85" s="441"/>
      <c r="E85" s="442"/>
      <c r="F85" s="111"/>
      <c r="G85" s="109"/>
      <c r="H85" s="112"/>
      <c r="I85" s="110"/>
      <c r="J85" s="110"/>
      <c r="K85" s="443"/>
      <c r="L85" s="444"/>
    </row>
    <row r="86" spans="2:12" ht="120" customHeight="1" x14ac:dyDescent="0.3">
      <c r="B86" s="109"/>
      <c r="C86" s="110"/>
      <c r="D86" s="441"/>
      <c r="E86" s="442"/>
      <c r="F86" s="111"/>
      <c r="G86" s="109"/>
      <c r="H86" s="112"/>
      <c r="I86" s="110"/>
      <c r="J86" s="110"/>
      <c r="K86" s="443"/>
      <c r="L86" s="444"/>
    </row>
    <row r="87" spans="2:12" ht="120" customHeight="1" x14ac:dyDescent="0.3">
      <c r="B87" s="109"/>
      <c r="C87" s="110"/>
      <c r="D87" s="441"/>
      <c r="E87" s="442"/>
      <c r="F87" s="111"/>
      <c r="G87" s="109"/>
      <c r="H87" s="112"/>
      <c r="I87" s="110"/>
      <c r="J87" s="110"/>
      <c r="K87" s="443"/>
      <c r="L87" s="444"/>
    </row>
    <row r="88" spans="2:12" ht="120" customHeight="1" x14ac:dyDescent="0.3">
      <c r="B88" s="109"/>
      <c r="C88" s="110"/>
      <c r="D88" s="441"/>
      <c r="E88" s="442"/>
      <c r="F88" s="111"/>
      <c r="G88" s="109"/>
      <c r="H88" s="112"/>
      <c r="I88" s="110"/>
      <c r="J88" s="110"/>
      <c r="K88" s="443"/>
      <c r="L88" s="444"/>
    </row>
    <row r="89" spans="2:12" ht="120" customHeight="1" x14ac:dyDescent="0.3">
      <c r="B89" s="109"/>
      <c r="C89" s="110"/>
      <c r="D89" s="441"/>
      <c r="E89" s="442"/>
      <c r="F89" s="111"/>
      <c r="G89" s="109"/>
      <c r="H89" s="112"/>
      <c r="I89" s="110"/>
      <c r="J89" s="110"/>
      <c r="K89" s="443"/>
      <c r="L89" s="444"/>
    </row>
    <row r="90" spans="2:12" ht="120" customHeight="1" x14ac:dyDescent="0.3">
      <c r="B90" s="109"/>
      <c r="C90" s="110"/>
      <c r="D90" s="441"/>
      <c r="E90" s="442"/>
      <c r="F90" s="111"/>
      <c r="G90" s="109"/>
      <c r="H90" s="112"/>
      <c r="I90" s="110"/>
      <c r="J90" s="110"/>
      <c r="K90" s="443"/>
      <c r="L90" s="444"/>
    </row>
    <row r="91" spans="2:12" ht="120" customHeight="1" x14ac:dyDescent="0.3">
      <c r="B91" s="109"/>
      <c r="C91" s="110"/>
      <c r="D91" s="441"/>
      <c r="E91" s="442"/>
      <c r="F91" s="111"/>
      <c r="G91" s="109"/>
      <c r="H91" s="112"/>
      <c r="I91" s="110"/>
      <c r="J91" s="110"/>
      <c r="K91" s="443"/>
      <c r="L91" s="444"/>
    </row>
    <row r="92" spans="2:12" ht="120" customHeight="1" x14ac:dyDescent="0.3">
      <c r="B92" s="109"/>
      <c r="C92" s="110"/>
      <c r="D92" s="441"/>
      <c r="E92" s="442"/>
      <c r="F92" s="111"/>
      <c r="G92" s="109"/>
      <c r="H92" s="112"/>
      <c r="I92" s="110"/>
      <c r="J92" s="110"/>
      <c r="K92" s="443"/>
      <c r="L92" s="444"/>
    </row>
    <row r="93" spans="2:12" ht="120" customHeight="1" x14ac:dyDescent="0.3">
      <c r="B93" s="109"/>
      <c r="C93" s="110"/>
      <c r="D93" s="441"/>
      <c r="E93" s="442"/>
      <c r="F93" s="111"/>
      <c r="G93" s="109"/>
      <c r="H93" s="112"/>
      <c r="I93" s="110"/>
      <c r="J93" s="110"/>
      <c r="K93" s="443"/>
      <c r="L93" s="444"/>
    </row>
    <row r="94" spans="2:12" ht="120" customHeight="1" x14ac:dyDescent="0.3">
      <c r="B94" s="109"/>
      <c r="C94" s="110"/>
      <c r="D94" s="441"/>
      <c r="E94" s="442"/>
      <c r="F94" s="111"/>
      <c r="G94" s="109"/>
      <c r="H94" s="112"/>
      <c r="I94" s="110"/>
      <c r="J94" s="110"/>
      <c r="K94" s="443"/>
      <c r="L94" s="444"/>
    </row>
    <row r="95" spans="2:12" ht="120" customHeight="1" x14ac:dyDescent="0.3">
      <c r="B95" s="109"/>
      <c r="C95" s="110"/>
      <c r="D95" s="441"/>
      <c r="E95" s="442"/>
      <c r="F95" s="111"/>
      <c r="G95" s="109"/>
      <c r="H95" s="112"/>
      <c r="I95" s="110"/>
      <c r="J95" s="110"/>
      <c r="K95" s="443"/>
      <c r="L95" s="444"/>
    </row>
    <row r="96" spans="2:12" ht="120" customHeight="1" x14ac:dyDescent="0.3">
      <c r="B96" s="109"/>
      <c r="C96" s="110"/>
      <c r="D96" s="441"/>
      <c r="E96" s="442"/>
      <c r="F96" s="111"/>
      <c r="G96" s="109"/>
      <c r="H96" s="112"/>
      <c r="I96" s="110"/>
      <c r="J96" s="110"/>
      <c r="K96" s="443"/>
      <c r="L96" s="444"/>
    </row>
    <row r="97" spans="2:12" ht="120" customHeight="1" x14ac:dyDescent="0.3">
      <c r="B97" s="109"/>
      <c r="C97" s="110"/>
      <c r="D97" s="441"/>
      <c r="E97" s="442"/>
      <c r="F97" s="111"/>
      <c r="G97" s="109"/>
      <c r="H97" s="112"/>
      <c r="I97" s="110"/>
      <c r="J97" s="110"/>
      <c r="K97" s="443"/>
      <c r="L97" s="444"/>
    </row>
    <row r="98" spans="2:12" ht="120" customHeight="1" x14ac:dyDescent="0.3">
      <c r="B98" s="109"/>
      <c r="C98" s="110"/>
      <c r="D98" s="441"/>
      <c r="E98" s="442"/>
      <c r="F98" s="111"/>
      <c r="G98" s="109"/>
      <c r="H98" s="112"/>
      <c r="I98" s="110"/>
      <c r="J98" s="110"/>
      <c r="K98" s="443"/>
      <c r="L98" s="444"/>
    </row>
    <row r="99" spans="2:12" ht="120" customHeight="1" x14ac:dyDescent="0.3">
      <c r="B99" s="109"/>
      <c r="C99" s="110"/>
      <c r="D99" s="441"/>
      <c r="E99" s="442"/>
      <c r="F99" s="111"/>
      <c r="G99" s="109"/>
      <c r="H99" s="112"/>
      <c r="I99" s="110"/>
      <c r="J99" s="110"/>
      <c r="K99" s="443"/>
      <c r="L99" s="444"/>
    </row>
    <row r="100" spans="2:12" ht="120" customHeight="1" x14ac:dyDescent="0.3">
      <c r="B100" s="109"/>
      <c r="C100" s="110"/>
      <c r="D100" s="441"/>
      <c r="E100" s="442"/>
      <c r="F100" s="111"/>
      <c r="G100" s="109"/>
      <c r="H100" s="112"/>
      <c r="I100" s="110"/>
      <c r="J100" s="110"/>
      <c r="K100" s="443"/>
      <c r="L100" s="444"/>
    </row>
    <row r="101" spans="2:12" ht="120" customHeight="1" x14ac:dyDescent="0.3">
      <c r="B101" s="109"/>
      <c r="C101" s="110"/>
      <c r="D101" s="441"/>
      <c r="E101" s="442"/>
      <c r="F101" s="111"/>
      <c r="G101" s="109"/>
      <c r="H101" s="112"/>
      <c r="I101" s="110"/>
      <c r="J101" s="110"/>
      <c r="K101" s="443"/>
      <c r="L101" s="444"/>
    </row>
    <row r="102" spans="2:12" ht="120" customHeight="1" x14ac:dyDescent="0.3">
      <c r="B102" s="109"/>
      <c r="C102" s="110"/>
      <c r="D102" s="441"/>
      <c r="E102" s="442"/>
      <c r="F102" s="111"/>
      <c r="G102" s="109"/>
      <c r="H102" s="112"/>
      <c r="I102" s="110"/>
      <c r="J102" s="110"/>
      <c r="K102" s="443"/>
      <c r="L102" s="444"/>
    </row>
    <row r="103" spans="2:12" ht="120" customHeight="1" x14ac:dyDescent="0.3">
      <c r="B103" s="109"/>
      <c r="C103" s="110"/>
      <c r="D103" s="441"/>
      <c r="E103" s="442"/>
      <c r="F103" s="111"/>
      <c r="G103" s="109"/>
      <c r="H103" s="112"/>
      <c r="I103" s="110"/>
      <c r="J103" s="110"/>
      <c r="K103" s="443"/>
      <c r="L103" s="444"/>
    </row>
    <row r="104" spans="2:12" ht="120" customHeight="1" x14ac:dyDescent="0.3">
      <c r="B104" s="109"/>
      <c r="C104" s="110"/>
      <c r="D104" s="441"/>
      <c r="E104" s="442"/>
      <c r="F104" s="111"/>
      <c r="G104" s="109"/>
      <c r="H104" s="112"/>
      <c r="I104" s="110"/>
      <c r="J104" s="110"/>
      <c r="K104" s="443"/>
      <c r="L104" s="444"/>
    </row>
    <row r="105" spans="2:12" ht="120" customHeight="1" x14ac:dyDescent="0.3">
      <c r="B105" s="109"/>
      <c r="C105" s="110"/>
      <c r="D105" s="441"/>
      <c r="E105" s="442"/>
      <c r="F105" s="111"/>
      <c r="G105" s="109"/>
      <c r="H105" s="112"/>
      <c r="I105" s="110"/>
      <c r="J105" s="110"/>
      <c r="K105" s="443"/>
      <c r="L105" s="444"/>
    </row>
    <row r="106" spans="2:12" ht="120" customHeight="1" x14ac:dyDescent="0.3">
      <c r="B106" s="109"/>
      <c r="C106" s="110"/>
      <c r="D106" s="441"/>
      <c r="E106" s="442"/>
      <c r="F106" s="111"/>
      <c r="G106" s="109"/>
      <c r="H106" s="112"/>
      <c r="I106" s="110"/>
      <c r="J106" s="110"/>
      <c r="K106" s="443"/>
      <c r="L106" s="444"/>
    </row>
    <row r="107" spans="2:12" ht="120" customHeight="1" x14ac:dyDescent="0.3">
      <c r="B107" s="109"/>
      <c r="C107" s="110"/>
      <c r="D107" s="441"/>
      <c r="E107" s="442"/>
      <c r="F107" s="111"/>
      <c r="G107" s="109"/>
      <c r="H107" s="112"/>
      <c r="I107" s="110"/>
      <c r="J107" s="110"/>
      <c r="K107" s="443"/>
      <c r="L107" s="444"/>
    </row>
    <row r="108" spans="2:12" ht="120" customHeight="1" x14ac:dyDescent="0.3">
      <c r="B108" s="109"/>
      <c r="C108" s="110"/>
      <c r="D108" s="441"/>
      <c r="E108" s="442"/>
      <c r="F108" s="111"/>
      <c r="G108" s="109"/>
      <c r="H108" s="112"/>
      <c r="I108" s="110"/>
      <c r="J108" s="110"/>
      <c r="K108" s="443"/>
      <c r="L108" s="444"/>
    </row>
    <row r="109" spans="2:12" ht="120" customHeight="1" x14ac:dyDescent="0.3">
      <c r="B109" s="109"/>
      <c r="C109" s="110"/>
      <c r="D109" s="441"/>
      <c r="E109" s="442"/>
      <c r="F109" s="111"/>
      <c r="G109" s="109"/>
      <c r="H109" s="112"/>
      <c r="I109" s="110"/>
      <c r="J109" s="110"/>
      <c r="K109" s="443"/>
      <c r="L109" s="444"/>
    </row>
    <row r="110" spans="2:12" ht="120" customHeight="1" x14ac:dyDescent="0.3">
      <c r="B110" s="109"/>
      <c r="C110" s="110"/>
      <c r="D110" s="441"/>
      <c r="E110" s="442"/>
      <c r="F110" s="111"/>
      <c r="G110" s="109"/>
      <c r="H110" s="112"/>
      <c r="I110" s="110"/>
      <c r="J110" s="110"/>
      <c r="K110" s="443"/>
      <c r="L110" s="444"/>
    </row>
    <row r="111" spans="2:12" ht="120" customHeight="1" x14ac:dyDescent="0.3">
      <c r="B111" s="109"/>
      <c r="C111" s="110"/>
      <c r="D111" s="441"/>
      <c r="E111" s="442"/>
      <c r="F111" s="111"/>
      <c r="G111" s="109"/>
      <c r="H111" s="112"/>
      <c r="I111" s="110"/>
      <c r="J111" s="110"/>
      <c r="K111" s="443"/>
      <c r="L111" s="444"/>
    </row>
    <row r="112" spans="2:12" ht="120" customHeight="1" x14ac:dyDescent="0.3">
      <c r="B112" s="109"/>
      <c r="C112" s="110"/>
      <c r="D112" s="441"/>
      <c r="E112" s="442"/>
      <c r="F112" s="111"/>
      <c r="G112" s="109"/>
      <c r="H112" s="112"/>
      <c r="I112" s="110"/>
      <c r="J112" s="110"/>
      <c r="K112" s="443"/>
      <c r="L112" s="444"/>
    </row>
    <row r="113" spans="2:12" ht="120" customHeight="1" x14ac:dyDescent="0.3">
      <c r="B113" s="109"/>
      <c r="C113" s="110"/>
      <c r="D113" s="441"/>
      <c r="E113" s="442"/>
      <c r="F113" s="111"/>
      <c r="G113" s="109"/>
      <c r="H113" s="112"/>
      <c r="I113" s="110"/>
      <c r="J113" s="110"/>
      <c r="K113" s="443"/>
      <c r="L113" s="444"/>
    </row>
    <row r="114" spans="2:12" ht="120" customHeight="1" x14ac:dyDescent="0.3">
      <c r="B114" s="109"/>
      <c r="C114" s="110"/>
      <c r="D114" s="441"/>
      <c r="E114" s="442"/>
      <c r="F114" s="111"/>
      <c r="G114" s="109"/>
      <c r="H114" s="112"/>
      <c r="I114" s="110"/>
      <c r="J114" s="110"/>
      <c r="K114" s="443"/>
      <c r="L114" s="444"/>
    </row>
    <row r="115" spans="2:12" ht="120" customHeight="1" x14ac:dyDescent="0.3">
      <c r="B115" s="109"/>
      <c r="C115" s="110"/>
      <c r="D115" s="441"/>
      <c r="E115" s="442"/>
      <c r="F115" s="111"/>
      <c r="G115" s="109"/>
      <c r="H115" s="112"/>
      <c r="I115" s="110"/>
      <c r="J115" s="110"/>
      <c r="K115" s="443"/>
      <c r="L115" s="444"/>
    </row>
    <row r="116" spans="2:12" ht="120" customHeight="1" x14ac:dyDescent="0.3">
      <c r="B116" s="109"/>
      <c r="C116" s="110"/>
      <c r="D116" s="441"/>
      <c r="E116" s="442"/>
      <c r="F116" s="111"/>
      <c r="G116" s="109"/>
      <c r="H116" s="112"/>
      <c r="I116" s="110"/>
      <c r="J116" s="110"/>
      <c r="K116" s="443"/>
      <c r="L116" s="444"/>
    </row>
    <row r="117" spans="2:12" ht="120" customHeight="1" x14ac:dyDescent="0.3">
      <c r="B117" s="109"/>
      <c r="C117" s="110"/>
      <c r="D117" s="441"/>
      <c r="E117" s="442"/>
      <c r="F117" s="111"/>
      <c r="G117" s="109"/>
      <c r="H117" s="112"/>
      <c r="I117" s="110"/>
      <c r="J117" s="110"/>
      <c r="K117" s="443"/>
      <c r="L117" s="444"/>
    </row>
    <row r="118" spans="2:12" ht="120" customHeight="1" x14ac:dyDescent="0.3">
      <c r="B118" s="109"/>
      <c r="C118" s="110"/>
      <c r="D118" s="441"/>
      <c r="E118" s="442"/>
      <c r="F118" s="111"/>
      <c r="G118" s="109"/>
      <c r="H118" s="112"/>
      <c r="I118" s="110"/>
      <c r="J118" s="110"/>
      <c r="K118" s="443"/>
      <c r="L118" s="444"/>
    </row>
    <row r="119" spans="2:12" ht="120" customHeight="1" x14ac:dyDescent="0.3">
      <c r="B119" s="109"/>
      <c r="C119" s="110"/>
      <c r="D119" s="441"/>
      <c r="E119" s="442"/>
      <c r="F119" s="111"/>
      <c r="G119" s="109"/>
      <c r="H119" s="112"/>
      <c r="I119" s="110"/>
      <c r="J119" s="110"/>
      <c r="K119" s="443"/>
      <c r="L119" s="444"/>
    </row>
    <row r="120" spans="2:12" ht="120" customHeight="1" x14ac:dyDescent="0.3">
      <c r="B120" s="109"/>
      <c r="C120" s="110"/>
      <c r="D120" s="441"/>
      <c r="E120" s="442"/>
      <c r="F120" s="111"/>
      <c r="G120" s="109"/>
      <c r="H120" s="112"/>
      <c r="I120" s="110"/>
      <c r="J120" s="110"/>
      <c r="K120" s="443"/>
      <c r="L120" s="444"/>
    </row>
    <row r="121" spans="2:12" ht="120" customHeight="1" x14ac:dyDescent="0.3">
      <c r="B121" s="109"/>
      <c r="C121" s="110"/>
      <c r="D121" s="441"/>
      <c r="E121" s="442"/>
      <c r="F121" s="111"/>
      <c r="G121" s="109"/>
      <c r="H121" s="112"/>
      <c r="I121" s="110"/>
      <c r="J121" s="110"/>
      <c r="K121" s="443"/>
      <c r="L121" s="444"/>
    </row>
    <row r="122" spans="2:12" ht="120" customHeight="1" x14ac:dyDescent="0.3">
      <c r="B122" s="109"/>
      <c r="C122" s="110"/>
      <c r="D122" s="441"/>
      <c r="E122" s="442"/>
      <c r="F122" s="111"/>
      <c r="G122" s="109"/>
      <c r="H122" s="112"/>
      <c r="I122" s="110"/>
      <c r="J122" s="110"/>
      <c r="K122" s="443"/>
      <c r="L122" s="444"/>
    </row>
    <row r="123" spans="2:12" ht="120" customHeight="1" x14ac:dyDescent="0.3">
      <c r="B123" s="109"/>
      <c r="C123" s="110"/>
      <c r="D123" s="441"/>
      <c r="E123" s="442"/>
      <c r="F123" s="111"/>
      <c r="G123" s="109"/>
      <c r="H123" s="112"/>
      <c r="I123" s="110"/>
      <c r="J123" s="110"/>
      <c r="K123" s="443"/>
      <c r="L123" s="444"/>
    </row>
    <row r="124" spans="2:12" ht="120" customHeight="1" x14ac:dyDescent="0.3">
      <c r="B124" s="109"/>
      <c r="C124" s="110"/>
      <c r="D124" s="441"/>
      <c r="E124" s="442"/>
      <c r="F124" s="111"/>
      <c r="G124" s="109"/>
      <c r="H124" s="112"/>
      <c r="I124" s="110"/>
      <c r="J124" s="110"/>
      <c r="K124" s="443"/>
      <c r="L124" s="444"/>
    </row>
    <row r="125" spans="2:12" ht="120" customHeight="1" x14ac:dyDescent="0.3">
      <c r="B125" s="109"/>
      <c r="C125" s="110"/>
      <c r="D125" s="441"/>
      <c r="E125" s="442"/>
      <c r="F125" s="111"/>
      <c r="G125" s="109"/>
      <c r="H125" s="112"/>
      <c r="I125" s="110"/>
      <c r="J125" s="110"/>
      <c r="K125" s="443"/>
      <c r="L125" s="444"/>
    </row>
    <row r="126" spans="2:12" ht="120" customHeight="1" x14ac:dyDescent="0.3">
      <c r="B126" s="109"/>
      <c r="C126" s="110"/>
      <c r="D126" s="441"/>
      <c r="E126" s="442"/>
      <c r="F126" s="111"/>
      <c r="G126" s="109"/>
      <c r="H126" s="112"/>
      <c r="I126" s="110"/>
      <c r="J126" s="110"/>
      <c r="K126" s="443"/>
      <c r="L126" s="444"/>
    </row>
    <row r="127" spans="2:12" ht="120" customHeight="1" x14ac:dyDescent="0.3">
      <c r="B127" s="109"/>
      <c r="C127" s="110"/>
      <c r="D127" s="441"/>
      <c r="E127" s="442"/>
      <c r="F127" s="111"/>
      <c r="G127" s="109"/>
      <c r="H127" s="112"/>
      <c r="I127" s="110"/>
      <c r="J127" s="110"/>
      <c r="K127" s="443"/>
      <c r="L127" s="444"/>
    </row>
    <row r="128" spans="2:12" ht="120" customHeight="1" x14ac:dyDescent="0.3">
      <c r="B128" s="109"/>
      <c r="C128" s="110"/>
      <c r="D128" s="441"/>
      <c r="E128" s="442"/>
      <c r="F128" s="111"/>
      <c r="G128" s="109"/>
      <c r="H128" s="112"/>
      <c r="I128" s="110"/>
      <c r="J128" s="110"/>
      <c r="K128" s="443"/>
      <c r="L128" s="444"/>
    </row>
    <row r="129" spans="2:12" ht="120" customHeight="1" x14ac:dyDescent="0.3">
      <c r="B129" s="109"/>
      <c r="C129" s="110"/>
      <c r="D129" s="441"/>
      <c r="E129" s="442"/>
      <c r="F129" s="111"/>
      <c r="G129" s="109"/>
      <c r="H129" s="112"/>
      <c r="I129" s="110"/>
      <c r="J129" s="110"/>
      <c r="K129" s="443"/>
      <c r="L129" s="444"/>
    </row>
    <row r="130" spans="2:12" ht="120" customHeight="1" x14ac:dyDescent="0.3">
      <c r="B130" s="109"/>
      <c r="C130" s="110"/>
      <c r="D130" s="441"/>
      <c r="E130" s="442"/>
      <c r="F130" s="111"/>
      <c r="G130" s="109"/>
      <c r="H130" s="112"/>
      <c r="I130" s="110"/>
      <c r="J130" s="110"/>
      <c r="K130" s="443"/>
      <c r="L130" s="444"/>
    </row>
    <row r="131" spans="2:12" ht="120" customHeight="1" x14ac:dyDescent="0.3">
      <c r="B131" s="109"/>
      <c r="C131" s="110"/>
      <c r="D131" s="441"/>
      <c r="E131" s="442"/>
      <c r="F131" s="111"/>
      <c r="G131" s="109"/>
      <c r="H131" s="112"/>
      <c r="I131" s="110"/>
      <c r="J131" s="110"/>
      <c r="K131" s="443"/>
      <c r="L131" s="444"/>
    </row>
    <row r="132" spans="2:12" ht="120" customHeight="1" x14ac:dyDescent="0.3">
      <c r="B132" s="109"/>
      <c r="C132" s="110"/>
      <c r="D132" s="441"/>
      <c r="E132" s="442"/>
      <c r="F132" s="111"/>
      <c r="G132" s="109"/>
      <c r="H132" s="112"/>
      <c r="I132" s="110"/>
      <c r="J132" s="110"/>
      <c r="K132" s="443"/>
      <c r="L132" s="444"/>
    </row>
    <row r="133" spans="2:12" ht="120" customHeight="1" x14ac:dyDescent="0.3">
      <c r="B133" s="109"/>
      <c r="C133" s="110"/>
      <c r="D133" s="441"/>
      <c r="E133" s="442"/>
      <c r="F133" s="111"/>
      <c r="G133" s="109"/>
      <c r="H133" s="112"/>
      <c r="I133" s="110"/>
      <c r="J133" s="110"/>
      <c r="K133" s="443"/>
      <c r="L133" s="444"/>
    </row>
    <row r="134" spans="2:12" ht="120" customHeight="1" x14ac:dyDescent="0.3">
      <c r="B134" s="109"/>
      <c r="C134" s="110"/>
      <c r="D134" s="441"/>
      <c r="E134" s="442"/>
      <c r="F134" s="111"/>
      <c r="G134" s="109"/>
      <c r="H134" s="112"/>
      <c r="I134" s="110"/>
      <c r="J134" s="110"/>
      <c r="K134" s="443"/>
      <c r="L134" s="444"/>
    </row>
    <row r="135" spans="2:12" ht="120" customHeight="1" x14ac:dyDescent="0.3">
      <c r="B135" s="109"/>
      <c r="C135" s="110"/>
      <c r="D135" s="441"/>
      <c r="E135" s="442"/>
      <c r="F135" s="111"/>
      <c r="G135" s="109"/>
      <c r="H135" s="112"/>
      <c r="I135" s="110"/>
      <c r="J135" s="110"/>
      <c r="K135" s="443"/>
      <c r="L135" s="444"/>
    </row>
    <row r="136" spans="2:12" ht="120" customHeight="1" x14ac:dyDescent="0.3">
      <c r="B136" s="109"/>
      <c r="C136" s="110"/>
      <c r="D136" s="441"/>
      <c r="E136" s="442"/>
      <c r="F136" s="111"/>
      <c r="G136" s="109"/>
      <c r="H136" s="112"/>
      <c r="I136" s="110"/>
      <c r="J136" s="110"/>
      <c r="K136" s="443"/>
      <c r="L136" s="444"/>
    </row>
    <row r="137" spans="2:12" ht="120" customHeight="1" x14ac:dyDescent="0.3">
      <c r="B137" s="109"/>
      <c r="C137" s="110"/>
      <c r="D137" s="441"/>
      <c r="E137" s="442"/>
      <c r="F137" s="111"/>
      <c r="G137" s="109"/>
      <c r="H137" s="112"/>
      <c r="I137" s="110"/>
      <c r="J137" s="110"/>
      <c r="K137" s="443"/>
      <c r="L137" s="444"/>
    </row>
    <row r="138" spans="2:12" ht="120" customHeight="1" x14ac:dyDescent="0.3">
      <c r="B138" s="109"/>
      <c r="C138" s="110"/>
      <c r="D138" s="441"/>
      <c r="E138" s="442"/>
      <c r="F138" s="111"/>
      <c r="G138" s="109"/>
      <c r="H138" s="112"/>
      <c r="I138" s="110"/>
      <c r="J138" s="110"/>
      <c r="K138" s="443"/>
      <c r="L138" s="444"/>
    </row>
    <row r="139" spans="2:12" ht="120" customHeight="1" x14ac:dyDescent="0.3">
      <c r="B139" s="109"/>
      <c r="C139" s="110"/>
      <c r="D139" s="441"/>
      <c r="E139" s="442"/>
      <c r="F139" s="111"/>
      <c r="G139" s="109"/>
      <c r="H139" s="112"/>
      <c r="I139" s="110"/>
      <c r="J139" s="110"/>
      <c r="K139" s="443"/>
      <c r="L139" s="444"/>
    </row>
    <row r="140" spans="2:12" ht="120" customHeight="1" x14ac:dyDescent="0.3">
      <c r="B140" s="109"/>
      <c r="C140" s="110"/>
      <c r="D140" s="441"/>
      <c r="E140" s="442"/>
      <c r="F140" s="111"/>
      <c r="G140" s="109"/>
      <c r="H140" s="112"/>
      <c r="I140" s="110"/>
      <c r="J140" s="110"/>
      <c r="K140" s="443"/>
      <c r="L140" s="444"/>
    </row>
    <row r="141" spans="2:12" ht="120" customHeight="1" x14ac:dyDescent="0.3">
      <c r="B141" s="109"/>
      <c r="C141" s="110"/>
      <c r="D141" s="441"/>
      <c r="E141" s="442"/>
      <c r="F141" s="111"/>
      <c r="G141" s="109"/>
      <c r="H141" s="112"/>
      <c r="I141" s="110"/>
      <c r="J141" s="110"/>
      <c r="K141" s="443"/>
      <c r="L141" s="444"/>
    </row>
    <row r="142" spans="2:12" ht="120" customHeight="1" x14ac:dyDescent="0.3">
      <c r="B142" s="109"/>
      <c r="C142" s="110"/>
      <c r="D142" s="441"/>
      <c r="E142" s="442"/>
      <c r="F142" s="111"/>
      <c r="G142" s="109"/>
      <c r="H142" s="112"/>
      <c r="I142" s="110"/>
      <c r="J142" s="110"/>
      <c r="K142" s="443"/>
      <c r="L142" s="444"/>
    </row>
    <row r="143" spans="2:12" ht="120" customHeight="1" x14ac:dyDescent="0.3">
      <c r="B143" s="109"/>
      <c r="C143" s="110"/>
      <c r="D143" s="441"/>
      <c r="E143" s="442"/>
      <c r="F143" s="111"/>
      <c r="G143" s="109"/>
      <c r="H143" s="112"/>
      <c r="I143" s="110"/>
      <c r="J143" s="110"/>
      <c r="K143" s="443"/>
      <c r="L143" s="444"/>
    </row>
    <row r="144" spans="2:12" ht="120" customHeight="1" x14ac:dyDescent="0.3">
      <c r="B144" s="109"/>
      <c r="C144" s="110"/>
      <c r="D144" s="441"/>
      <c r="E144" s="442"/>
      <c r="F144" s="111"/>
      <c r="G144" s="109"/>
      <c r="H144" s="112"/>
      <c r="I144" s="110"/>
      <c r="J144" s="110"/>
      <c r="K144" s="443"/>
      <c r="L144" s="444"/>
    </row>
    <row r="145" spans="2:12" ht="120" customHeight="1" x14ac:dyDescent="0.3">
      <c r="B145" s="109"/>
      <c r="C145" s="110"/>
      <c r="D145" s="441"/>
      <c r="E145" s="442"/>
      <c r="F145" s="111"/>
      <c r="G145" s="109"/>
      <c r="H145" s="112"/>
      <c r="I145" s="110"/>
      <c r="J145" s="110"/>
      <c r="K145" s="443"/>
      <c r="L145" s="444"/>
    </row>
    <row r="146" spans="2:12" ht="120" customHeight="1" x14ac:dyDescent="0.3">
      <c r="B146" s="109"/>
      <c r="C146" s="110"/>
      <c r="D146" s="441"/>
      <c r="E146" s="442"/>
      <c r="F146" s="111"/>
      <c r="G146" s="109"/>
      <c r="H146" s="112"/>
      <c r="I146" s="110"/>
      <c r="J146" s="110"/>
      <c r="K146" s="443"/>
      <c r="L146" s="444"/>
    </row>
    <row r="147" spans="2:12" ht="120" customHeight="1" x14ac:dyDescent="0.3">
      <c r="B147" s="109"/>
      <c r="C147" s="110"/>
      <c r="D147" s="441"/>
      <c r="E147" s="442"/>
      <c r="F147" s="111"/>
      <c r="G147" s="109"/>
      <c r="H147" s="112"/>
      <c r="I147" s="110"/>
      <c r="J147" s="110"/>
      <c r="K147" s="443"/>
      <c r="L147" s="444"/>
    </row>
    <row r="148" spans="2:12" ht="120" customHeight="1" x14ac:dyDescent="0.3">
      <c r="B148" s="109"/>
      <c r="C148" s="110"/>
      <c r="D148" s="441"/>
      <c r="E148" s="442"/>
      <c r="F148" s="111"/>
      <c r="G148" s="109"/>
      <c r="H148" s="112"/>
      <c r="I148" s="110"/>
      <c r="J148" s="110"/>
      <c r="K148" s="443"/>
      <c r="L148" s="444"/>
    </row>
    <row r="149" spans="2:12" ht="120" customHeight="1" x14ac:dyDescent="0.3">
      <c r="B149" s="109"/>
      <c r="C149" s="110"/>
      <c r="D149" s="441"/>
      <c r="E149" s="442"/>
      <c r="F149" s="111"/>
      <c r="G149" s="109"/>
      <c r="H149" s="112"/>
      <c r="I149" s="110"/>
      <c r="J149" s="110"/>
      <c r="K149" s="443"/>
      <c r="L149" s="444"/>
    </row>
    <row r="150" spans="2:12" ht="120" customHeight="1" x14ac:dyDescent="0.3">
      <c r="B150" s="109"/>
      <c r="C150" s="110"/>
      <c r="D150" s="441"/>
      <c r="E150" s="442"/>
      <c r="F150" s="111"/>
      <c r="G150" s="109"/>
      <c r="H150" s="112"/>
      <c r="I150" s="110"/>
      <c r="J150" s="110"/>
      <c r="K150" s="443"/>
      <c r="L150" s="444"/>
    </row>
    <row r="151" spans="2:12" ht="120" customHeight="1" x14ac:dyDescent="0.3">
      <c r="B151" s="109"/>
      <c r="C151" s="110"/>
      <c r="D151" s="441"/>
      <c r="E151" s="442"/>
      <c r="F151" s="111"/>
      <c r="G151" s="109"/>
      <c r="H151" s="112"/>
      <c r="I151" s="110"/>
      <c r="J151" s="110"/>
      <c r="K151" s="443"/>
      <c r="L151" s="444"/>
    </row>
    <row r="152" spans="2:12" ht="120" customHeight="1" x14ac:dyDescent="0.3">
      <c r="B152" s="109"/>
      <c r="C152" s="110"/>
      <c r="D152" s="441"/>
      <c r="E152" s="442"/>
      <c r="F152" s="111"/>
      <c r="G152" s="109"/>
      <c r="H152" s="112"/>
      <c r="I152" s="110"/>
      <c r="J152" s="110"/>
      <c r="K152" s="443"/>
      <c r="L152" s="444"/>
    </row>
    <row r="153" spans="2:12" ht="120" customHeight="1" x14ac:dyDescent="0.3">
      <c r="B153" s="109"/>
      <c r="C153" s="110"/>
      <c r="D153" s="441"/>
      <c r="E153" s="442"/>
      <c r="F153" s="111"/>
      <c r="G153" s="109"/>
      <c r="H153" s="112"/>
      <c r="I153" s="110"/>
      <c r="J153" s="110"/>
      <c r="K153" s="443"/>
      <c r="L153" s="444"/>
    </row>
    <row r="154" spans="2:12" ht="120" customHeight="1" x14ac:dyDescent="0.3">
      <c r="B154" s="109"/>
      <c r="C154" s="110"/>
      <c r="D154" s="441"/>
      <c r="E154" s="442"/>
      <c r="F154" s="111"/>
      <c r="G154" s="109"/>
      <c r="H154" s="112"/>
      <c r="I154" s="110"/>
      <c r="J154" s="110"/>
      <c r="K154" s="443"/>
      <c r="L154" s="444"/>
    </row>
    <row r="155" spans="2:12" ht="120" customHeight="1" x14ac:dyDescent="0.3">
      <c r="B155" s="109"/>
      <c r="C155" s="110"/>
      <c r="D155" s="441"/>
      <c r="E155" s="442"/>
      <c r="F155" s="111"/>
      <c r="G155" s="109"/>
      <c r="H155" s="112"/>
      <c r="I155" s="110"/>
      <c r="J155" s="110"/>
      <c r="K155" s="443"/>
      <c r="L155" s="444"/>
    </row>
    <row r="156" spans="2:12" ht="120" customHeight="1" x14ac:dyDescent="0.3">
      <c r="B156" s="109"/>
      <c r="C156" s="110"/>
      <c r="D156" s="441"/>
      <c r="E156" s="442"/>
      <c r="F156" s="111"/>
      <c r="G156" s="109"/>
      <c r="H156" s="112"/>
      <c r="I156" s="110"/>
      <c r="J156" s="110"/>
      <c r="K156" s="443"/>
      <c r="L156" s="444"/>
    </row>
    <row r="157" spans="2:12" ht="120" customHeight="1" x14ac:dyDescent="0.3">
      <c r="B157" s="109"/>
      <c r="C157" s="110"/>
      <c r="D157" s="441"/>
      <c r="E157" s="442"/>
      <c r="F157" s="111"/>
      <c r="G157" s="109"/>
      <c r="H157" s="112"/>
      <c r="I157" s="110"/>
      <c r="J157" s="110"/>
      <c r="K157" s="443"/>
      <c r="L157" s="444"/>
    </row>
    <row r="158" spans="2:12" ht="120" customHeight="1" x14ac:dyDescent="0.3">
      <c r="B158" s="109"/>
      <c r="C158" s="110"/>
      <c r="D158" s="441"/>
      <c r="E158" s="442"/>
      <c r="F158" s="111"/>
      <c r="G158" s="109"/>
      <c r="H158" s="112"/>
      <c r="I158" s="110"/>
      <c r="J158" s="110"/>
      <c r="K158" s="443"/>
      <c r="L158" s="444"/>
    </row>
    <row r="159" spans="2:12" ht="120" customHeight="1" x14ac:dyDescent="0.3">
      <c r="B159" s="109"/>
      <c r="C159" s="110"/>
      <c r="D159" s="441"/>
      <c r="E159" s="442"/>
      <c r="F159" s="111"/>
      <c r="G159" s="109"/>
      <c r="H159" s="112"/>
      <c r="I159" s="110"/>
      <c r="J159" s="110"/>
      <c r="K159" s="443"/>
      <c r="L159" s="444"/>
    </row>
    <row r="160" spans="2:12" ht="120" customHeight="1" x14ac:dyDescent="0.3">
      <c r="B160" s="109"/>
      <c r="C160" s="110"/>
      <c r="D160" s="441"/>
      <c r="E160" s="442"/>
      <c r="F160" s="111"/>
      <c r="G160" s="109"/>
      <c r="H160" s="112"/>
      <c r="I160" s="110"/>
      <c r="J160" s="110"/>
      <c r="K160" s="443"/>
      <c r="L160" s="444"/>
    </row>
    <row r="161" spans="2:12" ht="120" customHeight="1" x14ac:dyDescent="0.3">
      <c r="B161" s="109"/>
      <c r="C161" s="110"/>
      <c r="D161" s="441"/>
      <c r="E161" s="442"/>
      <c r="F161" s="111"/>
      <c r="G161" s="109"/>
      <c r="H161" s="112"/>
      <c r="I161" s="110"/>
      <c r="J161" s="110"/>
      <c r="K161" s="443"/>
      <c r="L161" s="444"/>
    </row>
    <row r="162" spans="2:12" ht="120" customHeight="1" x14ac:dyDescent="0.3">
      <c r="B162" s="109"/>
      <c r="C162" s="110"/>
      <c r="D162" s="441"/>
      <c r="E162" s="442"/>
      <c r="F162" s="111"/>
      <c r="G162" s="109"/>
      <c r="H162" s="112"/>
      <c r="I162" s="110"/>
      <c r="J162" s="110"/>
      <c r="K162" s="443"/>
      <c r="L162" s="444"/>
    </row>
    <row r="163" spans="2:12" ht="120" customHeight="1" x14ac:dyDescent="0.3">
      <c r="B163" s="109"/>
      <c r="C163" s="110"/>
      <c r="D163" s="441"/>
      <c r="E163" s="442"/>
      <c r="F163" s="111"/>
      <c r="G163" s="109"/>
      <c r="H163" s="112"/>
      <c r="I163" s="110"/>
      <c r="J163" s="110"/>
      <c r="K163" s="443"/>
      <c r="L163" s="444"/>
    </row>
    <row r="164" spans="2:12" ht="120" customHeight="1" x14ac:dyDescent="0.3">
      <c r="B164" s="109"/>
      <c r="C164" s="110"/>
      <c r="D164" s="441"/>
      <c r="E164" s="442"/>
      <c r="F164" s="111"/>
      <c r="G164" s="109"/>
      <c r="H164" s="112"/>
      <c r="I164" s="110"/>
      <c r="J164" s="110"/>
      <c r="K164" s="443"/>
      <c r="L164" s="444"/>
    </row>
    <row r="165" spans="2:12" ht="120" customHeight="1" x14ac:dyDescent="0.3">
      <c r="B165" s="109"/>
      <c r="C165" s="110"/>
      <c r="D165" s="441"/>
      <c r="E165" s="442"/>
      <c r="F165" s="111"/>
      <c r="G165" s="109"/>
      <c r="H165" s="112"/>
      <c r="I165" s="110"/>
      <c r="J165" s="110"/>
      <c r="K165" s="443"/>
      <c r="L165" s="444"/>
    </row>
    <row r="166" spans="2:12" ht="120" customHeight="1" x14ac:dyDescent="0.3">
      <c r="B166" s="109"/>
      <c r="C166" s="110"/>
      <c r="D166" s="441"/>
      <c r="E166" s="442"/>
      <c r="F166" s="111"/>
      <c r="G166" s="109"/>
      <c r="H166" s="112"/>
      <c r="I166" s="110"/>
      <c r="J166" s="110"/>
      <c r="K166" s="443"/>
      <c r="L166" s="444"/>
    </row>
    <row r="167" spans="2:12" ht="120" customHeight="1" x14ac:dyDescent="0.3">
      <c r="B167" s="109"/>
      <c r="C167" s="110"/>
      <c r="D167" s="441"/>
      <c r="E167" s="442"/>
      <c r="F167" s="111"/>
      <c r="G167" s="109"/>
      <c r="H167" s="112"/>
      <c r="I167" s="110"/>
      <c r="J167" s="110"/>
      <c r="K167" s="443"/>
      <c r="L167" s="444"/>
    </row>
    <row r="168" spans="2:12" ht="120" customHeight="1" x14ac:dyDescent="0.3">
      <c r="B168" s="109"/>
      <c r="C168" s="110"/>
      <c r="D168" s="441"/>
      <c r="E168" s="442"/>
      <c r="F168" s="111"/>
      <c r="G168" s="109"/>
      <c r="H168" s="112"/>
      <c r="I168" s="110"/>
      <c r="J168" s="110"/>
      <c r="K168" s="443"/>
      <c r="L168" s="444"/>
    </row>
    <row r="169" spans="2:12" ht="120" customHeight="1" x14ac:dyDescent="0.3">
      <c r="B169" s="109"/>
      <c r="C169" s="110"/>
      <c r="D169" s="441"/>
      <c r="E169" s="442"/>
      <c r="F169" s="111"/>
      <c r="G169" s="109"/>
      <c r="H169" s="112"/>
      <c r="I169" s="110"/>
      <c r="J169" s="110"/>
      <c r="K169" s="443"/>
      <c r="L169" s="444"/>
    </row>
    <row r="170" spans="2:12" ht="120" customHeight="1" x14ac:dyDescent="0.3">
      <c r="B170" s="109"/>
      <c r="C170" s="110"/>
      <c r="D170" s="441"/>
      <c r="E170" s="442"/>
      <c r="F170" s="111"/>
      <c r="G170" s="109"/>
      <c r="H170" s="112"/>
      <c r="I170" s="110"/>
      <c r="J170" s="110"/>
      <c r="K170" s="443"/>
      <c r="L170" s="444"/>
    </row>
    <row r="171" spans="2:12" ht="120" customHeight="1" x14ac:dyDescent="0.3">
      <c r="B171" s="109"/>
      <c r="C171" s="110"/>
      <c r="D171" s="441"/>
      <c r="E171" s="442"/>
      <c r="F171" s="111"/>
      <c r="G171" s="109"/>
      <c r="H171" s="112"/>
      <c r="I171" s="110"/>
      <c r="J171" s="110"/>
      <c r="K171" s="443"/>
      <c r="L171" s="444"/>
    </row>
    <row r="172" spans="2:12" ht="120" customHeight="1" x14ac:dyDescent="0.3">
      <c r="B172" s="109"/>
      <c r="C172" s="110"/>
      <c r="D172" s="441"/>
      <c r="E172" s="442"/>
      <c r="F172" s="111"/>
      <c r="G172" s="109"/>
      <c r="H172" s="112"/>
      <c r="I172" s="110"/>
      <c r="J172" s="110"/>
      <c r="K172" s="443"/>
      <c r="L172" s="444"/>
    </row>
    <row r="173" spans="2:12" ht="120" customHeight="1" x14ac:dyDescent="0.3">
      <c r="B173" s="109"/>
      <c r="C173" s="110"/>
      <c r="D173" s="441"/>
      <c r="E173" s="442"/>
      <c r="F173" s="111"/>
      <c r="G173" s="109"/>
      <c r="H173" s="112"/>
      <c r="I173" s="110"/>
      <c r="J173" s="110"/>
      <c r="K173" s="443"/>
      <c r="L173" s="444"/>
    </row>
    <row r="174" spans="2:12" ht="120" customHeight="1" x14ac:dyDescent="0.3">
      <c r="B174" s="109"/>
      <c r="C174" s="110"/>
      <c r="D174" s="441"/>
      <c r="E174" s="442"/>
      <c r="F174" s="111"/>
      <c r="G174" s="109"/>
      <c r="H174" s="112"/>
      <c r="I174" s="110"/>
      <c r="J174" s="110"/>
      <c r="K174" s="443"/>
      <c r="L174" s="444"/>
    </row>
    <row r="175" spans="2:12" ht="120" customHeight="1" x14ac:dyDescent="0.3">
      <c r="B175" s="109"/>
      <c r="C175" s="110"/>
      <c r="D175" s="441"/>
      <c r="E175" s="442"/>
      <c r="F175" s="111"/>
      <c r="G175" s="109"/>
      <c r="H175" s="112"/>
      <c r="I175" s="110"/>
      <c r="J175" s="110"/>
      <c r="K175" s="443"/>
      <c r="L175" s="444"/>
    </row>
    <row r="176" spans="2:12" ht="120" customHeight="1" x14ac:dyDescent="0.3">
      <c r="B176" s="109"/>
      <c r="C176" s="110"/>
      <c r="D176" s="441"/>
      <c r="E176" s="442"/>
      <c r="F176" s="111"/>
      <c r="G176" s="109"/>
      <c r="H176" s="112"/>
      <c r="I176" s="110"/>
      <c r="J176" s="110"/>
      <c r="K176" s="443"/>
      <c r="L176" s="444"/>
    </row>
    <row r="177" spans="2:12" ht="120" customHeight="1" x14ac:dyDescent="0.3">
      <c r="B177" s="109"/>
      <c r="C177" s="110"/>
      <c r="D177" s="441"/>
      <c r="E177" s="442"/>
      <c r="F177" s="111"/>
      <c r="G177" s="109"/>
      <c r="H177" s="112"/>
      <c r="I177" s="110"/>
      <c r="J177" s="110"/>
      <c r="K177" s="443"/>
      <c r="L177" s="444"/>
    </row>
    <row r="178" spans="2:12" ht="120" customHeight="1" x14ac:dyDescent="0.3">
      <c r="B178" s="109"/>
      <c r="C178" s="110"/>
      <c r="D178" s="441"/>
      <c r="E178" s="442"/>
      <c r="F178" s="111"/>
      <c r="G178" s="109"/>
      <c r="H178" s="112"/>
      <c r="I178" s="110"/>
      <c r="J178" s="110"/>
      <c r="K178" s="443"/>
      <c r="L178" s="444"/>
    </row>
    <row r="179" spans="2:12" ht="120" customHeight="1" x14ac:dyDescent="0.3">
      <c r="B179" s="109"/>
      <c r="C179" s="110"/>
      <c r="D179" s="441"/>
      <c r="E179" s="442"/>
      <c r="F179" s="111"/>
      <c r="G179" s="109"/>
      <c r="H179" s="112"/>
      <c r="I179" s="110"/>
      <c r="J179" s="110"/>
      <c r="K179" s="443"/>
      <c r="L179" s="444"/>
    </row>
    <row r="180" spans="2:12" ht="120" customHeight="1" x14ac:dyDescent="0.3">
      <c r="B180" s="109"/>
      <c r="C180" s="110"/>
      <c r="D180" s="441"/>
      <c r="E180" s="442"/>
      <c r="F180" s="111"/>
      <c r="G180" s="109"/>
      <c r="H180" s="112"/>
      <c r="I180" s="110"/>
      <c r="J180" s="110"/>
      <c r="K180" s="443"/>
      <c r="L180" s="444"/>
    </row>
    <row r="181" spans="2:12" ht="120" customHeight="1" x14ac:dyDescent="0.3">
      <c r="B181" s="109"/>
      <c r="C181" s="110"/>
      <c r="D181" s="441"/>
      <c r="E181" s="442"/>
      <c r="F181" s="111"/>
      <c r="G181" s="109"/>
      <c r="H181" s="112"/>
      <c r="I181" s="110"/>
      <c r="J181" s="110"/>
      <c r="K181" s="443"/>
      <c r="L181" s="444"/>
    </row>
    <row r="182" spans="2:12" ht="120" customHeight="1" x14ac:dyDescent="0.3">
      <c r="B182" s="109"/>
      <c r="C182" s="110"/>
      <c r="D182" s="441"/>
      <c r="E182" s="442"/>
      <c r="F182" s="111"/>
      <c r="G182" s="109"/>
      <c r="H182" s="112"/>
      <c r="I182" s="110"/>
      <c r="J182" s="110"/>
      <c r="K182" s="443"/>
      <c r="L182" s="444"/>
    </row>
    <row r="183" spans="2:12" ht="120" customHeight="1" x14ac:dyDescent="0.3">
      <c r="B183" s="109"/>
      <c r="C183" s="110"/>
      <c r="D183" s="441"/>
      <c r="E183" s="442"/>
      <c r="F183" s="111"/>
      <c r="G183" s="109"/>
      <c r="H183" s="112"/>
      <c r="I183" s="110"/>
      <c r="J183" s="110"/>
      <c r="K183" s="443"/>
      <c r="L183" s="444"/>
    </row>
    <row r="184" spans="2:12" ht="120" customHeight="1" x14ac:dyDescent="0.3">
      <c r="B184" s="109"/>
      <c r="C184" s="110"/>
      <c r="D184" s="441"/>
      <c r="E184" s="442"/>
      <c r="F184" s="111"/>
      <c r="G184" s="109"/>
      <c r="H184" s="112"/>
      <c r="I184" s="110"/>
      <c r="J184" s="110"/>
      <c r="K184" s="443"/>
      <c r="L184" s="444"/>
    </row>
    <row r="185" spans="2:12" ht="120" customHeight="1" x14ac:dyDescent="0.3">
      <c r="B185" s="109"/>
      <c r="C185" s="110"/>
      <c r="D185" s="441"/>
      <c r="E185" s="442"/>
      <c r="F185" s="111"/>
      <c r="G185" s="109"/>
      <c r="H185" s="112"/>
      <c r="I185" s="110"/>
      <c r="J185" s="110"/>
      <c r="K185" s="443"/>
      <c r="L185" s="444"/>
    </row>
    <row r="186" spans="2:12" ht="120" customHeight="1" x14ac:dyDescent="0.3">
      <c r="B186" s="109"/>
      <c r="C186" s="110"/>
      <c r="D186" s="441"/>
      <c r="E186" s="442"/>
      <c r="F186" s="111"/>
      <c r="G186" s="109"/>
      <c r="H186" s="112"/>
      <c r="I186" s="110"/>
      <c r="J186" s="110"/>
      <c r="K186" s="443"/>
      <c r="L186" s="444"/>
    </row>
    <row r="187" spans="2:12" ht="120" customHeight="1" x14ac:dyDescent="0.3">
      <c r="B187" s="109"/>
      <c r="C187" s="110"/>
      <c r="D187" s="441"/>
      <c r="E187" s="442"/>
      <c r="F187" s="111"/>
      <c r="G187" s="109"/>
      <c r="H187" s="112"/>
      <c r="I187" s="110"/>
      <c r="J187" s="110"/>
      <c r="K187" s="443"/>
      <c r="L187" s="444"/>
    </row>
    <row r="188" spans="2:12" ht="120" customHeight="1" x14ac:dyDescent="0.3">
      <c r="B188" s="109"/>
      <c r="C188" s="110"/>
      <c r="D188" s="441"/>
      <c r="E188" s="442"/>
      <c r="F188" s="111"/>
      <c r="G188" s="109"/>
      <c r="H188" s="112"/>
      <c r="I188" s="110"/>
      <c r="J188" s="110"/>
      <c r="K188" s="443"/>
      <c r="L188" s="444"/>
    </row>
    <row r="189" spans="2:12" ht="120" customHeight="1" x14ac:dyDescent="0.3">
      <c r="B189" s="109"/>
      <c r="C189" s="110"/>
      <c r="D189" s="441"/>
      <c r="E189" s="442"/>
      <c r="F189" s="111"/>
      <c r="G189" s="109"/>
      <c r="H189" s="112"/>
      <c r="I189" s="110"/>
      <c r="J189" s="110"/>
      <c r="K189" s="443"/>
      <c r="L189" s="444"/>
    </row>
    <row r="190" spans="2:12" ht="120" customHeight="1" x14ac:dyDescent="0.3">
      <c r="B190" s="109"/>
      <c r="C190" s="110"/>
      <c r="D190" s="441"/>
      <c r="E190" s="442"/>
      <c r="F190" s="111"/>
      <c r="G190" s="109"/>
      <c r="H190" s="112"/>
      <c r="I190" s="110"/>
      <c r="J190" s="110"/>
      <c r="K190" s="443"/>
      <c r="L190" s="444"/>
    </row>
    <row r="191" spans="2:12" ht="120" customHeight="1" x14ac:dyDescent="0.3">
      <c r="B191" s="109"/>
      <c r="C191" s="110"/>
      <c r="D191" s="441"/>
      <c r="E191" s="442"/>
      <c r="F191" s="111"/>
      <c r="G191" s="109"/>
      <c r="H191" s="112"/>
      <c r="I191" s="110"/>
      <c r="J191" s="110"/>
      <c r="K191" s="443"/>
      <c r="L191" s="444"/>
    </row>
    <row r="192" spans="2:12" ht="120" customHeight="1" x14ac:dyDescent="0.3">
      <c r="B192" s="109"/>
      <c r="C192" s="110"/>
      <c r="D192" s="441"/>
      <c r="E192" s="442"/>
      <c r="F192" s="111"/>
      <c r="G192" s="109"/>
      <c r="H192" s="112"/>
      <c r="I192" s="110"/>
      <c r="J192" s="110"/>
      <c r="K192" s="443"/>
      <c r="L192" s="444"/>
    </row>
    <row r="193" spans="2:12" ht="120" customHeight="1" x14ac:dyDescent="0.3">
      <c r="B193" s="109"/>
      <c r="C193" s="110"/>
      <c r="D193" s="441"/>
      <c r="E193" s="442"/>
      <c r="F193" s="111"/>
      <c r="G193" s="109"/>
      <c r="H193" s="112"/>
      <c r="I193" s="110"/>
      <c r="J193" s="110"/>
      <c r="K193" s="443"/>
      <c r="L193" s="444"/>
    </row>
    <row r="194" spans="2:12" ht="120" customHeight="1" x14ac:dyDescent="0.3">
      <c r="B194" s="109"/>
      <c r="C194" s="110"/>
      <c r="D194" s="441"/>
      <c r="E194" s="442"/>
      <c r="F194" s="111"/>
      <c r="G194" s="109"/>
      <c r="H194" s="112"/>
      <c r="I194" s="110"/>
      <c r="J194" s="110"/>
      <c r="K194" s="443"/>
      <c r="L194" s="444"/>
    </row>
    <row r="195" spans="2:12" ht="120" customHeight="1" x14ac:dyDescent="0.3">
      <c r="B195" s="109"/>
      <c r="C195" s="110"/>
      <c r="D195" s="441"/>
      <c r="E195" s="442"/>
      <c r="F195" s="111"/>
      <c r="G195" s="109"/>
      <c r="H195" s="112"/>
      <c r="I195" s="110"/>
      <c r="J195" s="110"/>
      <c r="K195" s="443"/>
      <c r="L195" s="444"/>
    </row>
    <row r="196" spans="2:12" ht="120" customHeight="1" x14ac:dyDescent="0.3">
      <c r="B196" s="109"/>
      <c r="C196" s="110"/>
      <c r="D196" s="441"/>
      <c r="E196" s="442"/>
      <c r="F196" s="111"/>
      <c r="G196" s="109"/>
      <c r="H196" s="112"/>
      <c r="I196" s="110"/>
      <c r="J196" s="110"/>
      <c r="K196" s="443"/>
      <c r="L196" s="444"/>
    </row>
    <row r="197" spans="2:12" ht="120" customHeight="1" x14ac:dyDescent="0.3">
      <c r="B197" s="109"/>
      <c r="C197" s="110"/>
      <c r="D197" s="441"/>
      <c r="E197" s="442"/>
      <c r="F197" s="111"/>
      <c r="G197" s="109"/>
      <c r="H197" s="112"/>
      <c r="I197" s="110"/>
      <c r="J197" s="110"/>
      <c r="K197" s="443"/>
      <c r="L197" s="444"/>
    </row>
    <row r="198" spans="2:12" ht="120" customHeight="1" x14ac:dyDescent="0.3">
      <c r="B198" s="109"/>
      <c r="C198" s="110"/>
      <c r="D198" s="441"/>
      <c r="E198" s="442"/>
      <c r="F198" s="111"/>
      <c r="G198" s="109"/>
      <c r="H198" s="112"/>
      <c r="I198" s="110"/>
      <c r="J198" s="110"/>
      <c r="K198" s="443"/>
      <c r="L198" s="444"/>
    </row>
    <row r="199" spans="2:12" ht="120" customHeight="1" x14ac:dyDescent="0.3">
      <c r="B199" s="109"/>
      <c r="C199" s="110"/>
      <c r="D199" s="441"/>
      <c r="E199" s="442"/>
      <c r="F199" s="111"/>
      <c r="G199" s="109"/>
      <c r="H199" s="112"/>
      <c r="I199" s="110"/>
      <c r="J199" s="110"/>
      <c r="K199" s="443"/>
      <c r="L199" s="444"/>
    </row>
    <row r="200" spans="2:12" ht="120" customHeight="1" x14ac:dyDescent="0.3">
      <c r="B200" s="109"/>
      <c r="C200" s="110"/>
      <c r="D200" s="441"/>
      <c r="E200" s="442"/>
      <c r="F200" s="111"/>
      <c r="G200" s="109"/>
      <c r="H200" s="112"/>
      <c r="I200" s="110"/>
      <c r="J200" s="110"/>
      <c r="K200" s="443"/>
      <c r="L200" s="444"/>
    </row>
    <row r="201" spans="2:12" ht="120" customHeight="1" x14ac:dyDescent="0.3">
      <c r="B201" s="109"/>
      <c r="C201" s="110"/>
      <c r="D201" s="441"/>
      <c r="E201" s="442"/>
      <c r="F201" s="111"/>
      <c r="G201" s="109"/>
      <c r="H201" s="112"/>
      <c r="I201" s="110"/>
      <c r="J201" s="110"/>
      <c r="K201" s="443"/>
      <c r="L201" s="444"/>
    </row>
    <row r="202" spans="2:12" ht="120" customHeight="1" x14ac:dyDescent="0.3">
      <c r="B202" s="109"/>
      <c r="C202" s="110"/>
      <c r="D202" s="441"/>
      <c r="E202" s="442"/>
      <c r="F202" s="111"/>
      <c r="G202" s="109"/>
      <c r="H202" s="112"/>
      <c r="I202" s="110"/>
      <c r="J202" s="110"/>
      <c r="K202" s="443"/>
      <c r="L202" s="444"/>
    </row>
    <row r="203" spans="2:12" ht="120" customHeight="1" x14ac:dyDescent="0.3">
      <c r="B203" s="109"/>
      <c r="C203" s="110"/>
      <c r="D203" s="441"/>
      <c r="E203" s="442"/>
      <c r="F203" s="111"/>
      <c r="G203" s="109"/>
      <c r="H203" s="112"/>
      <c r="I203" s="110"/>
      <c r="J203" s="110"/>
      <c r="K203" s="443"/>
      <c r="L203" s="444"/>
    </row>
    <row r="204" spans="2:12" ht="120" customHeight="1" x14ac:dyDescent="0.3">
      <c r="B204" s="109"/>
      <c r="C204" s="110"/>
      <c r="D204" s="441"/>
      <c r="E204" s="442"/>
      <c r="F204" s="111"/>
      <c r="G204" s="109"/>
      <c r="H204" s="112"/>
      <c r="I204" s="110"/>
      <c r="J204" s="110"/>
      <c r="K204" s="443"/>
      <c r="L204" s="444"/>
    </row>
    <row r="205" spans="2:12" ht="120" customHeight="1" x14ac:dyDescent="0.3">
      <c r="B205" s="109"/>
      <c r="C205" s="110"/>
      <c r="D205" s="441"/>
      <c r="E205" s="442"/>
      <c r="F205" s="111"/>
      <c r="G205" s="109"/>
      <c r="H205" s="112"/>
      <c r="I205" s="110"/>
      <c r="J205" s="110"/>
      <c r="K205" s="443"/>
      <c r="L205" s="444"/>
    </row>
    <row r="206" spans="2:12" ht="120" customHeight="1" x14ac:dyDescent="0.3">
      <c r="B206" s="109"/>
      <c r="C206" s="110"/>
      <c r="D206" s="441"/>
      <c r="E206" s="442"/>
      <c r="F206" s="111"/>
      <c r="G206" s="109"/>
      <c r="H206" s="112"/>
      <c r="I206" s="110"/>
      <c r="J206" s="110"/>
      <c r="K206" s="443"/>
      <c r="L206" s="444"/>
    </row>
    <row r="207" spans="2:12" ht="120" customHeight="1" x14ac:dyDescent="0.3">
      <c r="B207" s="109"/>
      <c r="C207" s="110"/>
      <c r="D207" s="441"/>
      <c r="E207" s="442"/>
      <c r="F207" s="111"/>
      <c r="G207" s="109"/>
      <c r="H207" s="112"/>
      <c r="I207" s="110"/>
      <c r="J207" s="110"/>
      <c r="K207" s="443"/>
      <c r="L207" s="444"/>
    </row>
    <row r="208" spans="2:12" ht="120" customHeight="1" x14ac:dyDescent="0.3">
      <c r="B208" s="109"/>
      <c r="C208" s="110"/>
      <c r="D208" s="441"/>
      <c r="E208" s="442"/>
      <c r="F208" s="111"/>
      <c r="G208" s="109"/>
      <c r="H208" s="112"/>
      <c r="I208" s="110"/>
      <c r="J208" s="110"/>
      <c r="K208" s="443"/>
      <c r="L208" s="444"/>
    </row>
    <row r="209" spans="2:12" ht="120" customHeight="1" x14ac:dyDescent="0.3">
      <c r="B209" s="109"/>
      <c r="C209" s="110"/>
      <c r="D209" s="441"/>
      <c r="E209" s="442"/>
      <c r="F209" s="111"/>
      <c r="G209" s="109"/>
      <c r="H209" s="112"/>
      <c r="I209" s="110"/>
      <c r="J209" s="110"/>
      <c r="K209" s="443"/>
      <c r="L209" s="444"/>
    </row>
    <row r="210" spans="2:12" ht="120" customHeight="1" x14ac:dyDescent="0.3">
      <c r="B210" s="109"/>
      <c r="C210" s="110"/>
      <c r="D210" s="441"/>
      <c r="E210" s="442"/>
      <c r="F210" s="111"/>
      <c r="G210" s="109"/>
      <c r="H210" s="112"/>
      <c r="I210" s="110"/>
      <c r="J210" s="110"/>
      <c r="K210" s="443"/>
      <c r="L210" s="444"/>
    </row>
    <row r="211" spans="2:12" ht="120" customHeight="1" x14ac:dyDescent="0.3">
      <c r="B211" s="109"/>
      <c r="C211" s="110"/>
      <c r="D211" s="441"/>
      <c r="E211" s="442"/>
      <c r="F211" s="111"/>
      <c r="G211" s="109"/>
      <c r="H211" s="112"/>
      <c r="I211" s="110"/>
      <c r="J211" s="110"/>
      <c r="K211" s="443"/>
      <c r="L211" s="444"/>
    </row>
    <row r="212" spans="2:12" ht="120" customHeight="1" x14ac:dyDescent="0.3">
      <c r="B212" s="109"/>
      <c r="C212" s="110"/>
      <c r="D212" s="441"/>
      <c r="E212" s="442"/>
      <c r="F212" s="111"/>
      <c r="G212" s="109"/>
      <c r="H212" s="112"/>
      <c r="I212" s="110"/>
      <c r="J212" s="110"/>
      <c r="K212" s="443"/>
      <c r="L212" s="444"/>
    </row>
    <row r="213" spans="2:12" ht="120" customHeight="1" x14ac:dyDescent="0.3">
      <c r="B213" s="109"/>
      <c r="C213" s="110"/>
      <c r="D213" s="441"/>
      <c r="E213" s="442"/>
      <c r="F213" s="111"/>
      <c r="G213" s="109"/>
      <c r="H213" s="112"/>
      <c r="I213" s="110"/>
      <c r="J213" s="110"/>
      <c r="K213" s="443"/>
      <c r="L213" s="444"/>
    </row>
    <row r="214" spans="2:12" ht="120" customHeight="1" x14ac:dyDescent="0.3">
      <c r="B214" s="109"/>
      <c r="C214" s="110"/>
      <c r="D214" s="441"/>
      <c r="E214" s="442"/>
      <c r="F214" s="111"/>
      <c r="G214" s="109"/>
      <c r="H214" s="112"/>
      <c r="I214" s="110"/>
      <c r="J214" s="110"/>
      <c r="K214" s="443"/>
      <c r="L214" s="444"/>
    </row>
    <row r="215" spans="2:12" ht="120" customHeight="1" x14ac:dyDescent="0.3">
      <c r="B215" s="109"/>
      <c r="C215" s="110"/>
      <c r="D215" s="441"/>
      <c r="E215" s="442"/>
      <c r="F215" s="111"/>
      <c r="G215" s="109"/>
      <c r="H215" s="112"/>
      <c r="I215" s="110"/>
      <c r="J215" s="110"/>
      <c r="K215" s="443"/>
      <c r="L215" s="444"/>
    </row>
    <row r="216" spans="2:12" ht="120" customHeight="1" x14ac:dyDescent="0.3">
      <c r="B216" s="109"/>
      <c r="C216" s="110"/>
      <c r="D216" s="441"/>
      <c r="E216" s="442"/>
      <c r="F216" s="111"/>
      <c r="G216" s="109"/>
      <c r="H216" s="112"/>
      <c r="I216" s="110"/>
      <c r="J216" s="110"/>
      <c r="K216" s="443"/>
      <c r="L216" s="444"/>
    </row>
    <row r="217" spans="2:12" ht="120" customHeight="1" x14ac:dyDescent="0.3">
      <c r="B217" s="109"/>
      <c r="C217" s="110"/>
      <c r="D217" s="441"/>
      <c r="E217" s="442"/>
      <c r="F217" s="111"/>
      <c r="G217" s="109"/>
      <c r="H217" s="112"/>
      <c r="I217" s="110"/>
      <c r="J217" s="110"/>
      <c r="K217" s="443"/>
      <c r="L217" s="444"/>
    </row>
    <row r="218" spans="2:12" ht="120" customHeight="1" x14ac:dyDescent="0.3">
      <c r="B218" s="109"/>
      <c r="C218" s="110"/>
      <c r="D218" s="441"/>
      <c r="E218" s="442"/>
      <c r="F218" s="111"/>
      <c r="G218" s="109"/>
      <c r="H218" s="112"/>
      <c r="I218" s="110"/>
      <c r="J218" s="110"/>
      <c r="K218" s="443"/>
      <c r="L218" s="444"/>
    </row>
    <row r="219" spans="2:12" ht="120" customHeight="1" x14ac:dyDescent="0.3">
      <c r="B219" s="109"/>
      <c r="C219" s="110"/>
      <c r="D219" s="441"/>
      <c r="E219" s="442"/>
      <c r="F219" s="111"/>
      <c r="G219" s="109"/>
      <c r="H219" s="112"/>
      <c r="I219" s="110"/>
      <c r="J219" s="110"/>
      <c r="K219" s="443"/>
      <c r="L219" s="444"/>
    </row>
    <row r="220" spans="2:12" ht="120" customHeight="1" x14ac:dyDescent="0.3">
      <c r="B220" s="109"/>
      <c r="C220" s="110"/>
      <c r="D220" s="441"/>
      <c r="E220" s="442"/>
      <c r="F220" s="111"/>
      <c r="G220" s="109"/>
      <c r="H220" s="112"/>
      <c r="I220" s="110"/>
      <c r="J220" s="110"/>
      <c r="K220" s="443"/>
      <c r="L220" s="444"/>
    </row>
    <row r="221" spans="2:12" ht="120" customHeight="1" x14ac:dyDescent="0.3">
      <c r="B221" s="109"/>
      <c r="C221" s="110"/>
      <c r="D221" s="441"/>
      <c r="E221" s="442"/>
      <c r="F221" s="111"/>
      <c r="G221" s="109"/>
      <c r="H221" s="112"/>
      <c r="I221" s="110"/>
      <c r="J221" s="110"/>
      <c r="K221" s="443"/>
      <c r="L221" s="444"/>
    </row>
    <row r="222" spans="2:12" ht="120" customHeight="1" x14ac:dyDescent="0.3">
      <c r="B222" s="109"/>
      <c r="C222" s="110"/>
      <c r="D222" s="441"/>
      <c r="E222" s="442"/>
      <c r="F222" s="111"/>
      <c r="G222" s="109"/>
      <c r="H222" s="112"/>
      <c r="I222" s="110"/>
      <c r="J222" s="110"/>
      <c r="K222" s="443"/>
      <c r="L222" s="444"/>
    </row>
    <row r="223" spans="2:12" ht="120" customHeight="1" x14ac:dyDescent="0.3">
      <c r="B223" s="109"/>
      <c r="C223" s="110"/>
      <c r="D223" s="441"/>
      <c r="E223" s="442"/>
      <c r="F223" s="111"/>
      <c r="G223" s="109"/>
      <c r="H223" s="112"/>
      <c r="I223" s="110"/>
      <c r="J223" s="110"/>
      <c r="K223" s="443"/>
      <c r="L223" s="444"/>
    </row>
    <row r="224" spans="2:12" ht="120" customHeight="1" x14ac:dyDescent="0.3">
      <c r="B224" s="109"/>
      <c r="C224" s="110"/>
      <c r="D224" s="441"/>
      <c r="E224" s="442"/>
      <c r="F224" s="111"/>
      <c r="G224" s="109"/>
      <c r="H224" s="112"/>
      <c r="I224" s="110"/>
      <c r="J224" s="110"/>
      <c r="K224" s="443"/>
      <c r="L224" s="444"/>
    </row>
    <row r="225" spans="2:12" ht="120" customHeight="1" x14ac:dyDescent="0.3">
      <c r="B225" s="109"/>
      <c r="C225" s="110"/>
      <c r="D225" s="441"/>
      <c r="E225" s="442"/>
      <c r="F225" s="111"/>
      <c r="G225" s="109"/>
      <c r="H225" s="112"/>
      <c r="I225" s="110"/>
      <c r="J225" s="110"/>
      <c r="K225" s="443"/>
      <c r="L225" s="444"/>
    </row>
    <row r="226" spans="2:12" ht="120" customHeight="1" x14ac:dyDescent="0.3">
      <c r="B226" s="109"/>
      <c r="C226" s="110"/>
      <c r="D226" s="441"/>
      <c r="E226" s="442"/>
      <c r="F226" s="111"/>
      <c r="G226" s="109"/>
      <c r="H226" s="112"/>
      <c r="I226" s="110"/>
      <c r="J226" s="110"/>
      <c r="K226" s="443"/>
      <c r="L226" s="444"/>
    </row>
    <row r="227" spans="2:12" ht="120" customHeight="1" x14ac:dyDescent="0.3">
      <c r="B227" s="109"/>
      <c r="C227" s="110"/>
      <c r="D227" s="441"/>
      <c r="E227" s="442"/>
      <c r="F227" s="111"/>
      <c r="G227" s="109"/>
      <c r="H227" s="112"/>
      <c r="I227" s="110"/>
      <c r="J227" s="110"/>
      <c r="K227" s="443"/>
      <c r="L227" s="444"/>
    </row>
    <row r="228" spans="2:12" ht="120" customHeight="1" x14ac:dyDescent="0.3">
      <c r="B228" s="109"/>
      <c r="C228" s="110"/>
      <c r="D228" s="441"/>
      <c r="E228" s="442"/>
      <c r="F228" s="111"/>
      <c r="G228" s="109"/>
      <c r="H228" s="112"/>
      <c r="I228" s="110"/>
      <c r="J228" s="110"/>
      <c r="K228" s="443"/>
      <c r="L228" s="444"/>
    </row>
    <row r="229" spans="2:12" ht="120" customHeight="1" x14ac:dyDescent="0.3">
      <c r="B229" s="109"/>
      <c r="C229" s="110"/>
      <c r="D229" s="441"/>
      <c r="E229" s="442"/>
      <c r="F229" s="111"/>
      <c r="G229" s="109"/>
      <c r="H229" s="112"/>
      <c r="I229" s="110"/>
      <c r="J229" s="110"/>
      <c r="K229" s="443"/>
      <c r="L229" s="444"/>
    </row>
    <row r="230" spans="2:12" ht="120" customHeight="1" x14ac:dyDescent="0.3">
      <c r="B230" s="109"/>
      <c r="C230" s="110"/>
      <c r="D230" s="441"/>
      <c r="E230" s="442"/>
      <c r="F230" s="111"/>
      <c r="G230" s="109"/>
      <c r="H230" s="112"/>
      <c r="I230" s="110"/>
      <c r="J230" s="110"/>
      <c r="K230" s="443"/>
      <c r="L230" s="444"/>
    </row>
    <row r="231" spans="2:12" ht="120" customHeight="1" x14ac:dyDescent="0.3">
      <c r="B231" s="109"/>
      <c r="C231" s="110"/>
      <c r="D231" s="441"/>
      <c r="E231" s="442"/>
      <c r="F231" s="111"/>
      <c r="G231" s="109"/>
      <c r="H231" s="112"/>
      <c r="I231" s="110"/>
      <c r="J231" s="110"/>
      <c r="K231" s="443"/>
      <c r="L231" s="444"/>
    </row>
    <row r="232" spans="2:12" ht="120" customHeight="1" x14ac:dyDescent="0.3">
      <c r="B232" s="109"/>
      <c r="C232" s="110"/>
      <c r="D232" s="441"/>
      <c r="E232" s="442"/>
      <c r="F232" s="111"/>
      <c r="G232" s="109"/>
      <c r="H232" s="112"/>
      <c r="I232" s="110"/>
      <c r="J232" s="110"/>
      <c r="K232" s="443"/>
      <c r="L232" s="444"/>
    </row>
    <row r="233" spans="2:12" ht="120" customHeight="1" x14ac:dyDescent="0.3">
      <c r="B233" s="109"/>
      <c r="C233" s="110"/>
      <c r="D233" s="441"/>
      <c r="E233" s="442"/>
      <c r="F233" s="111"/>
      <c r="G233" s="109"/>
      <c r="H233" s="112"/>
      <c r="I233" s="110"/>
      <c r="J233" s="110"/>
      <c r="K233" s="443"/>
      <c r="L233" s="444"/>
    </row>
    <row r="234" spans="2:12" ht="120" customHeight="1" x14ac:dyDescent="0.3">
      <c r="B234" s="109"/>
      <c r="C234" s="110"/>
      <c r="D234" s="441"/>
      <c r="E234" s="442"/>
      <c r="F234" s="111"/>
      <c r="G234" s="109"/>
      <c r="H234" s="112"/>
      <c r="I234" s="110"/>
      <c r="J234" s="110"/>
      <c r="K234" s="443"/>
      <c r="L234" s="444"/>
    </row>
    <row r="235" spans="2:12" ht="120" customHeight="1" x14ac:dyDescent="0.3">
      <c r="B235" s="109"/>
      <c r="C235" s="110"/>
      <c r="D235" s="441"/>
      <c r="E235" s="442"/>
      <c r="F235" s="111"/>
      <c r="G235" s="109"/>
      <c r="H235" s="112"/>
      <c r="I235" s="110"/>
      <c r="J235" s="110"/>
      <c r="K235" s="443"/>
      <c r="L235" s="444"/>
    </row>
    <row r="236" spans="2:12" ht="120" customHeight="1" x14ac:dyDescent="0.3">
      <c r="B236" s="109"/>
      <c r="C236" s="110"/>
      <c r="D236" s="441"/>
      <c r="E236" s="442"/>
      <c r="F236" s="111"/>
      <c r="G236" s="109"/>
      <c r="H236" s="112"/>
      <c r="I236" s="110"/>
      <c r="J236" s="110"/>
      <c r="K236" s="443"/>
      <c r="L236" s="444"/>
    </row>
    <row r="237" spans="2:12" ht="120" customHeight="1" x14ac:dyDescent="0.3">
      <c r="B237" s="109"/>
      <c r="C237" s="110"/>
      <c r="D237" s="441"/>
      <c r="E237" s="442"/>
      <c r="F237" s="111"/>
      <c r="G237" s="109"/>
      <c r="H237" s="112"/>
      <c r="I237" s="110"/>
      <c r="J237" s="110"/>
      <c r="K237" s="443"/>
      <c r="L237" s="444"/>
    </row>
    <row r="238" spans="2:12" ht="120" customHeight="1" x14ac:dyDescent="0.3">
      <c r="B238" s="109"/>
      <c r="C238" s="110"/>
      <c r="D238" s="441"/>
      <c r="E238" s="442"/>
      <c r="F238" s="111"/>
      <c r="G238" s="109"/>
      <c r="H238" s="112"/>
      <c r="I238" s="110"/>
      <c r="J238" s="110"/>
      <c r="K238" s="443"/>
      <c r="L238" s="444"/>
    </row>
    <row r="239" spans="2:12" ht="120" customHeight="1" x14ac:dyDescent="0.3">
      <c r="B239" s="109"/>
      <c r="C239" s="110"/>
      <c r="D239" s="441"/>
      <c r="E239" s="442"/>
      <c r="F239" s="111"/>
      <c r="G239" s="109"/>
      <c r="H239" s="112"/>
      <c r="I239" s="110"/>
      <c r="J239" s="110"/>
      <c r="K239" s="443"/>
      <c r="L239" s="444"/>
    </row>
    <row r="240" spans="2:12" ht="120" customHeight="1" x14ac:dyDescent="0.3">
      <c r="B240" s="109"/>
      <c r="C240" s="110"/>
      <c r="D240" s="441"/>
      <c r="E240" s="442"/>
      <c r="F240" s="111"/>
      <c r="G240" s="109"/>
      <c r="H240" s="112"/>
      <c r="I240" s="110"/>
      <c r="J240" s="110"/>
      <c r="K240" s="443"/>
      <c r="L240" s="444"/>
    </row>
    <row r="241" spans="2:12" ht="120" customHeight="1" x14ac:dyDescent="0.3">
      <c r="B241" s="109"/>
      <c r="C241" s="110"/>
      <c r="D241" s="441"/>
      <c r="E241" s="442"/>
      <c r="F241" s="111"/>
      <c r="G241" s="109"/>
      <c r="H241" s="112"/>
      <c r="I241" s="110"/>
      <c r="J241" s="110"/>
      <c r="K241" s="443"/>
      <c r="L241" s="444"/>
    </row>
    <row r="242" spans="2:12" ht="120" customHeight="1" x14ac:dyDescent="0.3">
      <c r="B242" s="109"/>
      <c r="C242" s="110"/>
      <c r="D242" s="441"/>
      <c r="E242" s="442"/>
      <c r="F242" s="111"/>
      <c r="G242" s="109"/>
      <c r="H242" s="112"/>
      <c r="I242" s="110"/>
      <c r="J242" s="110"/>
      <c r="K242" s="443"/>
      <c r="L242" s="444"/>
    </row>
    <row r="243" spans="2:12" ht="120" customHeight="1" x14ac:dyDescent="0.3">
      <c r="B243" s="109"/>
      <c r="C243" s="110"/>
      <c r="D243" s="441"/>
      <c r="E243" s="442"/>
      <c r="F243" s="111"/>
      <c r="G243" s="109"/>
      <c r="H243" s="112"/>
      <c r="I243" s="110"/>
      <c r="J243" s="110"/>
      <c r="K243" s="443"/>
      <c r="L243" s="444"/>
    </row>
    <row r="244" spans="2:12" ht="120" customHeight="1" x14ac:dyDescent="0.3">
      <c r="B244" s="109"/>
      <c r="C244" s="110"/>
      <c r="D244" s="441"/>
      <c r="E244" s="442"/>
      <c r="F244" s="111"/>
      <c r="G244" s="109"/>
      <c r="H244" s="112"/>
      <c r="I244" s="110"/>
      <c r="J244" s="110"/>
      <c r="K244" s="443"/>
      <c r="L244" s="444"/>
    </row>
    <row r="245" spans="2:12" ht="120" customHeight="1" x14ac:dyDescent="0.3">
      <c r="B245" s="109"/>
      <c r="C245" s="110"/>
      <c r="D245" s="441"/>
      <c r="E245" s="442"/>
      <c r="F245" s="111"/>
      <c r="G245" s="109"/>
      <c r="H245" s="112"/>
      <c r="I245" s="110"/>
      <c r="J245" s="110"/>
      <c r="K245" s="443"/>
      <c r="L245" s="444"/>
    </row>
    <row r="246" spans="2:12" ht="120" customHeight="1" x14ac:dyDescent="0.3">
      <c r="B246" s="109"/>
      <c r="C246" s="110"/>
      <c r="D246" s="441"/>
      <c r="E246" s="442"/>
      <c r="F246" s="111"/>
      <c r="G246" s="109"/>
      <c r="H246" s="112"/>
      <c r="I246" s="110"/>
      <c r="J246" s="110"/>
      <c r="K246" s="443"/>
      <c r="L246" s="444"/>
    </row>
    <row r="247" spans="2:12" ht="120" customHeight="1" x14ac:dyDescent="0.3">
      <c r="B247" s="109"/>
      <c r="C247" s="110"/>
      <c r="D247" s="441"/>
      <c r="E247" s="442"/>
      <c r="F247" s="111"/>
      <c r="G247" s="109"/>
      <c r="H247" s="112"/>
      <c r="I247" s="110"/>
      <c r="J247" s="110"/>
      <c r="K247" s="443"/>
      <c r="L247" s="444"/>
    </row>
    <row r="248" spans="2:12" ht="120" customHeight="1" x14ac:dyDescent="0.3">
      <c r="B248" s="109"/>
      <c r="C248" s="110"/>
      <c r="D248" s="441"/>
      <c r="E248" s="442"/>
      <c r="F248" s="111"/>
      <c r="G248" s="109"/>
      <c r="H248" s="112"/>
      <c r="I248" s="110"/>
      <c r="J248" s="110"/>
      <c r="K248" s="443"/>
      <c r="L248" s="444"/>
    </row>
    <row r="249" spans="2:12" ht="120" customHeight="1" x14ac:dyDescent="0.3">
      <c r="B249" s="109"/>
      <c r="C249" s="110"/>
      <c r="D249" s="441"/>
      <c r="E249" s="442"/>
      <c r="F249" s="111"/>
      <c r="G249" s="109"/>
      <c r="H249" s="112"/>
      <c r="I249" s="110"/>
      <c r="J249" s="110"/>
      <c r="K249" s="443"/>
      <c r="L249" s="444"/>
    </row>
    <row r="250" spans="2:12" ht="120" customHeight="1" x14ac:dyDescent="0.3">
      <c r="B250" s="109"/>
      <c r="C250" s="110"/>
      <c r="D250" s="441"/>
      <c r="E250" s="442"/>
      <c r="F250" s="111"/>
      <c r="G250" s="109"/>
      <c r="H250" s="112"/>
      <c r="I250" s="110"/>
      <c r="J250" s="110"/>
      <c r="K250" s="443"/>
      <c r="L250" s="444"/>
    </row>
    <row r="251" spans="2:12" ht="120" customHeight="1" x14ac:dyDescent="0.3">
      <c r="B251" s="109"/>
      <c r="C251" s="110"/>
      <c r="D251" s="441"/>
      <c r="E251" s="442"/>
      <c r="F251" s="111"/>
      <c r="G251" s="109"/>
      <c r="H251" s="112"/>
      <c r="I251" s="110"/>
      <c r="J251" s="110"/>
      <c r="K251" s="443"/>
      <c r="L251" s="444"/>
    </row>
    <row r="252" spans="2:12" ht="120" customHeight="1" x14ac:dyDescent="0.3">
      <c r="B252" s="109"/>
      <c r="C252" s="110"/>
      <c r="D252" s="441"/>
      <c r="E252" s="442"/>
      <c r="F252" s="111"/>
      <c r="G252" s="109"/>
      <c r="H252" s="112"/>
      <c r="I252" s="110"/>
      <c r="J252" s="110"/>
      <c r="K252" s="443"/>
      <c r="L252" s="444"/>
    </row>
    <row r="253" spans="2:12" ht="120" customHeight="1" x14ac:dyDescent="0.3">
      <c r="B253" s="109"/>
      <c r="C253" s="110"/>
      <c r="D253" s="441"/>
      <c r="E253" s="442"/>
      <c r="F253" s="111"/>
      <c r="G253" s="109"/>
      <c r="H253" s="112"/>
      <c r="I253" s="110"/>
      <c r="J253" s="110"/>
      <c r="K253" s="443"/>
      <c r="L253" s="444"/>
    </row>
    <row r="254" spans="2:12" ht="120" customHeight="1" x14ac:dyDescent="0.3">
      <c r="B254" s="109"/>
      <c r="C254" s="110"/>
      <c r="D254" s="441"/>
      <c r="E254" s="442"/>
      <c r="F254" s="111"/>
      <c r="G254" s="109"/>
      <c r="H254" s="112"/>
      <c r="I254" s="110"/>
      <c r="J254" s="110"/>
      <c r="K254" s="443"/>
      <c r="L254" s="444"/>
    </row>
    <row r="255" spans="2:12" ht="120" customHeight="1" x14ac:dyDescent="0.3">
      <c r="B255" s="109"/>
      <c r="C255" s="110"/>
      <c r="D255" s="441"/>
      <c r="E255" s="442"/>
      <c r="F255" s="111"/>
      <c r="G255" s="109"/>
      <c r="H255" s="112"/>
      <c r="I255" s="110"/>
      <c r="J255" s="110"/>
      <c r="K255" s="443"/>
      <c r="L255" s="444"/>
    </row>
    <row r="256" spans="2:12" ht="120" customHeight="1" x14ac:dyDescent="0.3">
      <c r="B256" s="109"/>
      <c r="C256" s="110"/>
      <c r="D256" s="441"/>
      <c r="E256" s="442"/>
      <c r="F256" s="111"/>
      <c r="G256" s="109"/>
      <c r="H256" s="112"/>
      <c r="I256" s="110"/>
      <c r="J256" s="110"/>
      <c r="K256" s="443"/>
      <c r="L256" s="444"/>
    </row>
    <row r="257" spans="2:12" ht="120" customHeight="1" x14ac:dyDescent="0.3">
      <c r="B257" s="109"/>
      <c r="C257" s="110"/>
      <c r="D257" s="441"/>
      <c r="E257" s="442"/>
      <c r="F257" s="111"/>
      <c r="G257" s="109"/>
      <c r="H257" s="112"/>
      <c r="I257" s="110"/>
      <c r="J257" s="110"/>
      <c r="K257" s="443"/>
      <c r="L257" s="444"/>
    </row>
    <row r="258" spans="2:12" ht="120" customHeight="1" x14ac:dyDescent="0.3">
      <c r="B258" s="109"/>
      <c r="C258" s="110"/>
      <c r="D258" s="441"/>
      <c r="E258" s="442"/>
      <c r="F258" s="111"/>
      <c r="G258" s="109"/>
      <c r="H258" s="112"/>
      <c r="I258" s="110"/>
      <c r="J258" s="110"/>
      <c r="K258" s="443"/>
      <c r="L258" s="444"/>
    </row>
    <row r="259" spans="2:12" ht="120" customHeight="1" x14ac:dyDescent="0.3">
      <c r="B259" s="109"/>
      <c r="C259" s="110"/>
      <c r="D259" s="441"/>
      <c r="E259" s="442"/>
      <c r="F259" s="111"/>
      <c r="G259" s="109"/>
      <c r="H259" s="112"/>
      <c r="I259" s="110"/>
      <c r="J259" s="110"/>
      <c r="K259" s="443"/>
      <c r="L259" s="444"/>
    </row>
    <row r="260" spans="2:12" ht="120" customHeight="1" x14ac:dyDescent="0.3">
      <c r="B260" s="109"/>
      <c r="C260" s="110"/>
      <c r="D260" s="441"/>
      <c r="E260" s="442"/>
      <c r="F260" s="111"/>
      <c r="G260" s="109"/>
      <c r="H260" s="112"/>
      <c r="I260" s="110"/>
      <c r="J260" s="110"/>
      <c r="K260" s="443"/>
      <c r="L260" s="444"/>
    </row>
    <row r="261" spans="2:12" ht="120" customHeight="1" x14ac:dyDescent="0.3">
      <c r="B261" s="109"/>
      <c r="C261" s="110"/>
      <c r="D261" s="441"/>
      <c r="E261" s="442"/>
      <c r="F261" s="111"/>
      <c r="G261" s="109"/>
      <c r="H261" s="112"/>
      <c r="I261" s="110"/>
      <c r="J261" s="110"/>
      <c r="K261" s="443"/>
      <c r="L261" s="444"/>
    </row>
    <row r="262" spans="2:12" ht="120" customHeight="1" x14ac:dyDescent="0.3">
      <c r="B262" s="109"/>
      <c r="C262" s="110"/>
      <c r="D262" s="441"/>
      <c r="E262" s="442"/>
      <c r="F262" s="111"/>
      <c r="G262" s="109"/>
      <c r="H262" s="112"/>
      <c r="I262" s="110"/>
      <c r="J262" s="110"/>
      <c r="K262" s="443"/>
      <c r="L262" s="444"/>
    </row>
    <row r="263" spans="2:12" ht="120" customHeight="1" x14ac:dyDescent="0.3">
      <c r="B263" s="109"/>
      <c r="C263" s="110"/>
      <c r="D263" s="441"/>
      <c r="E263" s="442"/>
      <c r="F263" s="111"/>
      <c r="G263" s="109"/>
      <c r="H263" s="112"/>
      <c r="I263" s="110"/>
      <c r="J263" s="110"/>
      <c r="K263" s="443"/>
      <c r="L263" s="444"/>
    </row>
    <row r="264" spans="2:12" ht="120" customHeight="1" x14ac:dyDescent="0.3">
      <c r="B264" s="109"/>
      <c r="C264" s="110"/>
      <c r="D264" s="441"/>
      <c r="E264" s="442"/>
      <c r="F264" s="111"/>
      <c r="G264" s="109"/>
      <c r="H264" s="112"/>
      <c r="I264" s="110"/>
      <c r="J264" s="110"/>
      <c r="K264" s="443"/>
      <c r="L264" s="444"/>
    </row>
    <row r="265" spans="2:12" ht="120" customHeight="1" x14ac:dyDescent="0.3">
      <c r="B265" s="109"/>
      <c r="C265" s="110"/>
      <c r="D265" s="441"/>
      <c r="E265" s="442"/>
      <c r="F265" s="111"/>
      <c r="G265" s="109"/>
      <c r="H265" s="112"/>
      <c r="I265" s="110"/>
      <c r="J265" s="110"/>
      <c r="K265" s="443"/>
      <c r="L265" s="444"/>
    </row>
    <row r="266" spans="2:12" ht="120" customHeight="1" x14ac:dyDescent="0.3">
      <c r="B266" s="109"/>
      <c r="C266" s="110"/>
      <c r="D266" s="441"/>
      <c r="E266" s="442"/>
      <c r="F266" s="111"/>
      <c r="G266" s="109"/>
      <c r="H266" s="112"/>
      <c r="I266" s="110"/>
      <c r="J266" s="110"/>
      <c r="K266" s="443"/>
      <c r="L266" s="444"/>
    </row>
    <row r="267" spans="2:12" ht="120" customHeight="1" x14ac:dyDescent="0.3">
      <c r="B267" s="109"/>
      <c r="C267" s="110"/>
      <c r="D267" s="441"/>
      <c r="E267" s="442"/>
      <c r="F267" s="111"/>
      <c r="G267" s="109"/>
      <c r="H267" s="112"/>
      <c r="I267" s="110"/>
      <c r="J267" s="110"/>
      <c r="K267" s="443"/>
      <c r="L267" s="444"/>
    </row>
    <row r="268" spans="2:12" ht="120" customHeight="1" x14ac:dyDescent="0.3">
      <c r="B268" s="109"/>
      <c r="C268" s="110"/>
      <c r="D268" s="441"/>
      <c r="E268" s="442"/>
      <c r="F268" s="111"/>
      <c r="G268" s="109"/>
      <c r="H268" s="112"/>
      <c r="I268" s="110"/>
      <c r="J268" s="110"/>
      <c r="K268" s="443"/>
      <c r="L268" s="444"/>
    </row>
    <row r="269" spans="2:12" ht="120" customHeight="1" x14ac:dyDescent="0.3">
      <c r="B269" s="109"/>
      <c r="C269" s="110"/>
      <c r="D269" s="441"/>
      <c r="E269" s="442"/>
      <c r="F269" s="111"/>
      <c r="G269" s="109"/>
      <c r="H269" s="112"/>
      <c r="I269" s="110"/>
      <c r="J269" s="110"/>
      <c r="K269" s="443"/>
      <c r="L269" s="444"/>
    </row>
    <row r="270" spans="2:12" ht="120" customHeight="1" x14ac:dyDescent="0.3">
      <c r="B270" s="109"/>
      <c r="C270" s="110"/>
      <c r="D270" s="441"/>
      <c r="E270" s="442"/>
      <c r="F270" s="111"/>
      <c r="G270" s="109"/>
      <c r="H270" s="112"/>
      <c r="I270" s="110"/>
      <c r="J270" s="110"/>
      <c r="K270" s="443"/>
      <c r="L270" s="444"/>
    </row>
    <row r="271" spans="2:12" ht="120" customHeight="1" x14ac:dyDescent="0.3">
      <c r="B271" s="109"/>
      <c r="C271" s="110"/>
      <c r="D271" s="441"/>
      <c r="E271" s="442"/>
      <c r="F271" s="111"/>
      <c r="G271" s="109"/>
      <c r="H271" s="112"/>
      <c r="I271" s="110"/>
      <c r="J271" s="110"/>
      <c r="K271" s="443"/>
      <c r="L271" s="444"/>
    </row>
    <row r="272" spans="2:12" ht="120" customHeight="1" x14ac:dyDescent="0.3">
      <c r="B272" s="109"/>
      <c r="C272" s="110"/>
      <c r="D272" s="441"/>
      <c r="E272" s="442"/>
      <c r="F272" s="111"/>
      <c r="G272" s="109"/>
      <c r="H272" s="112"/>
      <c r="I272" s="110"/>
      <c r="J272" s="110"/>
      <c r="K272" s="443"/>
      <c r="L272" s="444"/>
    </row>
    <row r="273" spans="2:12" ht="120" customHeight="1" x14ac:dyDescent="0.3">
      <c r="B273" s="109"/>
      <c r="C273" s="110"/>
      <c r="D273" s="441"/>
      <c r="E273" s="442"/>
      <c r="F273" s="111"/>
      <c r="G273" s="109"/>
      <c r="H273" s="112"/>
      <c r="I273" s="110"/>
      <c r="J273" s="110"/>
      <c r="K273" s="443"/>
      <c r="L273" s="444"/>
    </row>
    <row r="274" spans="2:12" ht="120" customHeight="1" x14ac:dyDescent="0.3">
      <c r="B274" s="109"/>
      <c r="C274" s="110"/>
      <c r="D274" s="441"/>
      <c r="E274" s="442"/>
      <c r="F274" s="111"/>
      <c r="G274" s="109"/>
      <c r="H274" s="112"/>
      <c r="I274" s="110"/>
      <c r="J274" s="110"/>
      <c r="K274" s="443"/>
      <c r="L274" s="444"/>
    </row>
    <row r="275" spans="2:12" ht="120" customHeight="1" x14ac:dyDescent="0.3">
      <c r="B275" s="109"/>
      <c r="C275" s="110"/>
      <c r="D275" s="441"/>
      <c r="E275" s="442"/>
      <c r="F275" s="111"/>
      <c r="G275" s="109"/>
      <c r="H275" s="112"/>
      <c r="I275" s="110"/>
      <c r="J275" s="110"/>
      <c r="K275" s="443"/>
      <c r="L275" s="444"/>
    </row>
    <row r="276" spans="2:12" ht="120" customHeight="1" x14ac:dyDescent="0.3">
      <c r="B276" s="109"/>
      <c r="C276" s="110"/>
      <c r="D276" s="441"/>
      <c r="E276" s="442"/>
      <c r="F276" s="111"/>
      <c r="G276" s="109"/>
      <c r="H276" s="112"/>
      <c r="I276" s="110"/>
      <c r="J276" s="110"/>
      <c r="K276" s="443"/>
      <c r="L276" s="444"/>
    </row>
    <row r="277" spans="2:12" ht="120" customHeight="1" x14ac:dyDescent="0.3">
      <c r="B277" s="109"/>
      <c r="C277" s="110"/>
      <c r="D277" s="441"/>
      <c r="E277" s="442"/>
      <c r="F277" s="111"/>
      <c r="G277" s="109"/>
      <c r="H277" s="112"/>
      <c r="I277" s="110"/>
      <c r="J277" s="110"/>
      <c r="K277" s="443"/>
      <c r="L277" s="444"/>
    </row>
    <row r="278" spans="2:12" ht="120" customHeight="1" x14ac:dyDescent="0.3">
      <c r="B278" s="109"/>
      <c r="C278" s="110"/>
      <c r="D278" s="441"/>
      <c r="E278" s="442"/>
      <c r="F278" s="111"/>
      <c r="G278" s="109"/>
      <c r="H278" s="112"/>
      <c r="I278" s="110"/>
      <c r="J278" s="110"/>
      <c r="K278" s="443"/>
      <c r="L278" s="444"/>
    </row>
    <row r="279" spans="2:12" ht="120" customHeight="1" x14ac:dyDescent="0.3">
      <c r="B279" s="109"/>
      <c r="C279" s="110"/>
      <c r="D279" s="441"/>
      <c r="E279" s="442"/>
      <c r="F279" s="111"/>
      <c r="G279" s="109"/>
      <c r="H279" s="112"/>
      <c r="I279" s="110"/>
      <c r="J279" s="110"/>
      <c r="K279" s="443"/>
      <c r="L279" s="444"/>
    </row>
    <row r="280" spans="2:12" ht="120" customHeight="1" x14ac:dyDescent="0.3">
      <c r="B280" s="109"/>
      <c r="C280" s="110"/>
      <c r="D280" s="441"/>
      <c r="E280" s="442"/>
      <c r="F280" s="111"/>
      <c r="G280" s="109"/>
      <c r="H280" s="112"/>
      <c r="I280" s="110"/>
      <c r="J280" s="110"/>
      <c r="K280" s="443"/>
      <c r="L280" s="444"/>
    </row>
    <row r="281" spans="2:12" ht="120" customHeight="1" x14ac:dyDescent="0.3">
      <c r="B281" s="109"/>
      <c r="C281" s="110"/>
      <c r="D281" s="441"/>
      <c r="E281" s="442"/>
      <c r="F281" s="111"/>
      <c r="G281" s="109"/>
      <c r="H281" s="112"/>
      <c r="I281" s="110"/>
      <c r="J281" s="110"/>
      <c r="K281" s="443"/>
      <c r="L281" s="444"/>
    </row>
    <row r="282" spans="2:12" ht="120" customHeight="1" x14ac:dyDescent="0.3">
      <c r="B282" s="109"/>
      <c r="C282" s="110"/>
      <c r="D282" s="441"/>
      <c r="E282" s="442"/>
      <c r="F282" s="111"/>
      <c r="G282" s="109"/>
      <c r="H282" s="112"/>
      <c r="I282" s="110"/>
      <c r="J282" s="110"/>
      <c r="K282" s="443"/>
      <c r="L282" s="444"/>
    </row>
    <row r="283" spans="2:12" ht="120" customHeight="1" x14ac:dyDescent="0.3">
      <c r="B283" s="109"/>
      <c r="C283" s="110"/>
      <c r="D283" s="441"/>
      <c r="E283" s="442"/>
      <c r="F283" s="111"/>
      <c r="G283" s="109"/>
      <c r="H283" s="112"/>
      <c r="I283" s="110"/>
      <c r="J283" s="110"/>
      <c r="K283" s="443"/>
      <c r="L283" s="444"/>
    </row>
    <row r="284" spans="2:12" ht="120" customHeight="1" x14ac:dyDescent="0.3">
      <c r="B284" s="109"/>
      <c r="C284" s="110"/>
      <c r="D284" s="441"/>
      <c r="E284" s="442"/>
      <c r="F284" s="111"/>
      <c r="G284" s="109"/>
      <c r="H284" s="112"/>
      <c r="I284" s="110"/>
      <c r="J284" s="110"/>
      <c r="K284" s="443"/>
      <c r="L284" s="444"/>
    </row>
    <row r="285" spans="2:12" ht="120" customHeight="1" x14ac:dyDescent="0.3">
      <c r="B285" s="109"/>
      <c r="C285" s="110"/>
      <c r="D285" s="441"/>
      <c r="E285" s="442"/>
      <c r="F285" s="111"/>
      <c r="G285" s="109"/>
      <c r="H285" s="112"/>
      <c r="I285" s="110"/>
      <c r="J285" s="110"/>
      <c r="K285" s="443"/>
      <c r="L285" s="444"/>
    </row>
    <row r="286" spans="2:12" ht="120" customHeight="1" x14ac:dyDescent="0.3">
      <c r="B286" s="109"/>
      <c r="C286" s="110"/>
      <c r="D286" s="441"/>
      <c r="E286" s="442"/>
      <c r="F286" s="111"/>
      <c r="G286" s="109"/>
      <c r="H286" s="112"/>
      <c r="I286" s="110"/>
      <c r="J286" s="110"/>
      <c r="K286" s="443"/>
      <c r="L286" s="444"/>
    </row>
    <row r="287" spans="2:12" ht="120" customHeight="1" x14ac:dyDescent="0.3">
      <c r="B287" s="109"/>
      <c r="C287" s="110"/>
      <c r="D287" s="441"/>
      <c r="E287" s="442"/>
      <c r="F287" s="111"/>
      <c r="G287" s="109"/>
      <c r="H287" s="112"/>
      <c r="I287" s="110"/>
      <c r="J287" s="110"/>
      <c r="K287" s="443"/>
      <c r="L287" s="444"/>
    </row>
    <row r="288" spans="2:12" ht="120" customHeight="1" x14ac:dyDescent="0.3">
      <c r="B288" s="109"/>
      <c r="C288" s="110"/>
      <c r="D288" s="441"/>
      <c r="E288" s="442"/>
      <c r="F288" s="111"/>
      <c r="G288" s="109"/>
      <c r="H288" s="112"/>
      <c r="I288" s="110"/>
      <c r="J288" s="110"/>
      <c r="K288" s="443"/>
      <c r="L288" s="444"/>
    </row>
    <row r="289" spans="2:12" ht="120" customHeight="1" x14ac:dyDescent="0.3">
      <c r="B289" s="109"/>
      <c r="C289" s="110"/>
      <c r="D289" s="441"/>
      <c r="E289" s="442"/>
      <c r="F289" s="111"/>
      <c r="G289" s="109"/>
      <c r="H289" s="112"/>
      <c r="I289" s="110"/>
      <c r="J289" s="110"/>
      <c r="K289" s="443"/>
      <c r="L289" s="444"/>
    </row>
    <row r="290" spans="2:12" ht="120" customHeight="1" x14ac:dyDescent="0.3">
      <c r="B290" s="109"/>
      <c r="C290" s="110"/>
      <c r="D290" s="441"/>
      <c r="E290" s="442"/>
      <c r="F290" s="111"/>
      <c r="G290" s="109"/>
      <c r="H290" s="112"/>
      <c r="I290" s="110"/>
      <c r="J290" s="110"/>
      <c r="K290" s="443"/>
      <c r="L290" s="444"/>
    </row>
    <row r="291" spans="2:12" ht="120" customHeight="1" x14ac:dyDescent="0.3">
      <c r="B291" s="109"/>
      <c r="C291" s="110"/>
      <c r="D291" s="441"/>
      <c r="E291" s="442"/>
      <c r="F291" s="111"/>
      <c r="G291" s="109"/>
      <c r="H291" s="112"/>
      <c r="I291" s="110"/>
      <c r="J291" s="110"/>
      <c r="K291" s="443"/>
      <c r="L291" s="444"/>
    </row>
    <row r="292" spans="2:12" ht="120" customHeight="1" x14ac:dyDescent="0.3">
      <c r="B292" s="109"/>
      <c r="C292" s="110"/>
      <c r="D292" s="441"/>
      <c r="E292" s="442"/>
      <c r="F292" s="111"/>
      <c r="G292" s="109"/>
      <c r="H292" s="112"/>
      <c r="I292" s="110"/>
      <c r="J292" s="110"/>
      <c r="K292" s="443"/>
      <c r="L292" s="444"/>
    </row>
    <row r="293" spans="2:12" ht="120" customHeight="1" x14ac:dyDescent="0.3">
      <c r="B293" s="109"/>
      <c r="C293" s="110"/>
      <c r="D293" s="441"/>
      <c r="E293" s="442"/>
      <c r="F293" s="111"/>
      <c r="G293" s="109"/>
      <c r="H293" s="112"/>
      <c r="I293" s="110"/>
      <c r="J293" s="110"/>
      <c r="K293" s="443"/>
      <c r="L293" s="444"/>
    </row>
    <row r="294" spans="2:12" ht="120" customHeight="1" x14ac:dyDescent="0.3">
      <c r="B294" s="109"/>
      <c r="C294" s="110"/>
      <c r="D294" s="441"/>
      <c r="E294" s="442"/>
      <c r="F294" s="111"/>
      <c r="G294" s="109"/>
      <c r="H294" s="112"/>
      <c r="I294" s="110"/>
      <c r="J294" s="110"/>
      <c r="K294" s="443"/>
      <c r="L294" s="444"/>
    </row>
    <row r="295" spans="2:12" ht="120" customHeight="1" x14ac:dyDescent="0.3">
      <c r="B295" s="109"/>
      <c r="C295" s="110"/>
      <c r="D295" s="441"/>
      <c r="E295" s="442"/>
      <c r="F295" s="111"/>
      <c r="G295" s="109"/>
      <c r="H295" s="112"/>
      <c r="I295" s="110"/>
      <c r="J295" s="110"/>
      <c r="K295" s="443"/>
      <c r="L295" s="444"/>
    </row>
    <row r="296" spans="2:12" ht="120" customHeight="1" x14ac:dyDescent="0.3">
      <c r="B296" s="109"/>
      <c r="C296" s="110"/>
      <c r="D296" s="441"/>
      <c r="E296" s="442"/>
      <c r="F296" s="111"/>
      <c r="G296" s="109"/>
      <c r="H296" s="112"/>
      <c r="I296" s="110"/>
      <c r="J296" s="110"/>
      <c r="K296" s="443"/>
      <c r="L296" s="444"/>
    </row>
    <row r="297" spans="2:12" ht="120" customHeight="1" x14ac:dyDescent="0.3">
      <c r="B297" s="109"/>
      <c r="C297" s="110"/>
      <c r="D297" s="441"/>
      <c r="E297" s="442"/>
      <c r="F297" s="111"/>
      <c r="G297" s="109"/>
      <c r="H297" s="112"/>
      <c r="I297" s="110"/>
      <c r="J297" s="110"/>
      <c r="K297" s="443"/>
      <c r="L297" s="444"/>
    </row>
    <row r="298" spans="2:12" ht="120" customHeight="1" x14ac:dyDescent="0.3">
      <c r="B298" s="109"/>
      <c r="C298" s="110"/>
      <c r="D298" s="441"/>
      <c r="E298" s="442"/>
      <c r="F298" s="111"/>
      <c r="G298" s="109"/>
      <c r="H298" s="112"/>
      <c r="I298" s="110"/>
      <c r="J298" s="110"/>
      <c r="K298" s="443"/>
      <c r="L298" s="444"/>
    </row>
    <row r="299" spans="2:12" ht="120" customHeight="1" x14ac:dyDescent="0.3">
      <c r="B299" s="109"/>
      <c r="C299" s="110"/>
      <c r="D299" s="441"/>
      <c r="E299" s="442"/>
      <c r="F299" s="111"/>
      <c r="G299" s="109"/>
      <c r="H299" s="112"/>
      <c r="I299" s="110"/>
      <c r="J299" s="110"/>
      <c r="K299" s="443"/>
      <c r="L299" s="444"/>
    </row>
    <row r="300" spans="2:12" ht="120" customHeight="1" x14ac:dyDescent="0.3">
      <c r="B300" s="109"/>
      <c r="C300" s="110"/>
      <c r="D300" s="441"/>
      <c r="E300" s="442"/>
      <c r="F300" s="111"/>
      <c r="G300" s="109"/>
      <c r="H300" s="112"/>
      <c r="I300" s="110"/>
      <c r="J300" s="110"/>
      <c r="K300" s="443"/>
      <c r="L300" s="444"/>
    </row>
    <row r="301" spans="2:12" ht="120" customHeight="1" x14ac:dyDescent="0.3">
      <c r="B301" s="109"/>
      <c r="C301" s="110"/>
      <c r="D301" s="441"/>
      <c r="E301" s="442"/>
      <c r="F301" s="111"/>
      <c r="G301" s="109"/>
      <c r="H301" s="112"/>
      <c r="I301" s="110"/>
      <c r="J301" s="110"/>
      <c r="K301" s="443"/>
      <c r="L301" s="444"/>
    </row>
    <row r="302" spans="2:12" ht="120" customHeight="1" x14ac:dyDescent="0.3">
      <c r="B302" s="109"/>
      <c r="C302" s="110"/>
      <c r="D302" s="441"/>
      <c r="E302" s="442"/>
      <c r="F302" s="111"/>
      <c r="G302" s="109"/>
      <c r="H302" s="112"/>
      <c r="I302" s="110"/>
      <c r="J302" s="110"/>
      <c r="K302" s="443"/>
      <c r="L302" s="444"/>
    </row>
    <row r="303" spans="2:12" ht="120" customHeight="1" x14ac:dyDescent="0.3">
      <c r="B303" s="109"/>
      <c r="C303" s="110"/>
      <c r="D303" s="441"/>
      <c r="E303" s="442"/>
      <c r="F303" s="111"/>
      <c r="G303" s="109"/>
      <c r="H303" s="112"/>
      <c r="I303" s="110"/>
      <c r="J303" s="110"/>
      <c r="K303" s="443"/>
      <c r="L303" s="444"/>
    </row>
    <row r="304" spans="2:12" ht="120" customHeight="1" x14ac:dyDescent="0.3">
      <c r="B304" s="109"/>
      <c r="C304" s="110"/>
      <c r="D304" s="441"/>
      <c r="E304" s="442"/>
      <c r="F304" s="111"/>
      <c r="G304" s="109"/>
      <c r="H304" s="112"/>
      <c r="I304" s="110"/>
      <c r="J304" s="110"/>
      <c r="K304" s="443"/>
      <c r="L304" s="444"/>
    </row>
    <row r="305" spans="2:12" ht="120" customHeight="1" x14ac:dyDescent="0.3">
      <c r="B305" s="109"/>
      <c r="C305" s="110"/>
      <c r="D305" s="441"/>
      <c r="E305" s="442"/>
      <c r="F305" s="111"/>
      <c r="G305" s="109"/>
      <c r="H305" s="112"/>
      <c r="I305" s="110"/>
      <c r="J305" s="110"/>
      <c r="K305" s="443"/>
      <c r="L305" s="444"/>
    </row>
    <row r="306" spans="2:12" ht="120" customHeight="1" x14ac:dyDescent="0.3">
      <c r="B306" s="109"/>
      <c r="C306" s="110"/>
      <c r="D306" s="441"/>
      <c r="E306" s="442"/>
      <c r="F306" s="111"/>
      <c r="G306" s="109"/>
      <c r="H306" s="112"/>
      <c r="I306" s="110"/>
      <c r="J306" s="110"/>
      <c r="K306" s="443"/>
      <c r="L306" s="444"/>
    </row>
    <row r="307" spans="2:12" ht="120" customHeight="1" x14ac:dyDescent="0.3">
      <c r="B307" s="109"/>
      <c r="C307" s="110"/>
      <c r="D307" s="441"/>
      <c r="E307" s="442"/>
      <c r="F307" s="111"/>
      <c r="G307" s="109"/>
      <c r="H307" s="112"/>
      <c r="I307" s="110"/>
      <c r="J307" s="110"/>
      <c r="K307" s="443"/>
      <c r="L307" s="444"/>
    </row>
    <row r="308" spans="2:12" ht="120" customHeight="1" x14ac:dyDescent="0.3">
      <c r="B308" s="109"/>
      <c r="C308" s="110"/>
      <c r="D308" s="441"/>
      <c r="E308" s="442"/>
      <c r="F308" s="111"/>
      <c r="G308" s="109"/>
      <c r="H308" s="112"/>
      <c r="I308" s="110"/>
      <c r="J308" s="110"/>
      <c r="K308" s="443"/>
      <c r="L308" s="444"/>
    </row>
    <row r="309" spans="2:12" ht="120" customHeight="1" x14ac:dyDescent="0.3">
      <c r="B309" s="109"/>
      <c r="C309" s="110"/>
      <c r="D309" s="441"/>
      <c r="E309" s="442"/>
      <c r="F309" s="111"/>
      <c r="G309" s="109"/>
      <c r="H309" s="112"/>
      <c r="I309" s="110"/>
      <c r="J309" s="110"/>
      <c r="K309" s="443"/>
      <c r="L309" s="444"/>
    </row>
    <row r="310" spans="2:12" ht="120" customHeight="1" x14ac:dyDescent="0.3">
      <c r="B310" s="109"/>
      <c r="C310" s="110"/>
      <c r="D310" s="441"/>
      <c r="E310" s="442"/>
      <c r="F310" s="111"/>
      <c r="G310" s="109"/>
      <c r="H310" s="112"/>
      <c r="I310" s="110"/>
      <c r="J310" s="110"/>
      <c r="K310" s="443"/>
      <c r="L310" s="444"/>
    </row>
    <row r="311" spans="2:12" ht="120" customHeight="1" x14ac:dyDescent="0.3">
      <c r="B311" s="109"/>
      <c r="C311" s="110"/>
      <c r="D311" s="441"/>
      <c r="E311" s="442"/>
      <c r="F311" s="111"/>
      <c r="G311" s="109"/>
      <c r="H311" s="112"/>
      <c r="I311" s="110"/>
      <c r="J311" s="110"/>
      <c r="K311" s="443"/>
      <c r="L311" s="444"/>
    </row>
    <row r="312" spans="2:12" ht="120" customHeight="1" x14ac:dyDescent="0.3">
      <c r="B312" s="109"/>
      <c r="C312" s="110"/>
      <c r="D312" s="441"/>
      <c r="E312" s="442"/>
      <c r="F312" s="111"/>
      <c r="G312" s="109"/>
      <c r="H312" s="112"/>
      <c r="I312" s="110"/>
      <c r="J312" s="110"/>
      <c r="K312" s="443"/>
      <c r="L312" s="444"/>
    </row>
    <row r="313" spans="2:12" ht="120" customHeight="1" x14ac:dyDescent="0.3">
      <c r="B313" s="109"/>
      <c r="C313" s="110"/>
      <c r="D313" s="441"/>
      <c r="E313" s="442"/>
      <c r="F313" s="111"/>
      <c r="G313" s="109"/>
      <c r="H313" s="112"/>
      <c r="I313" s="110"/>
      <c r="J313" s="110"/>
      <c r="K313" s="443"/>
      <c r="L313" s="444"/>
    </row>
    <row r="314" spans="2:12" ht="120" customHeight="1" x14ac:dyDescent="0.3">
      <c r="B314" s="109"/>
      <c r="C314" s="110"/>
      <c r="D314" s="441"/>
      <c r="E314" s="442"/>
      <c r="F314" s="111"/>
      <c r="G314" s="109"/>
      <c r="H314" s="112"/>
      <c r="I314" s="110"/>
      <c r="J314" s="110"/>
      <c r="K314" s="443"/>
      <c r="L314" s="444"/>
    </row>
    <row r="315" spans="2:12" ht="120" customHeight="1" x14ac:dyDescent="0.3">
      <c r="B315" s="109"/>
      <c r="C315" s="110"/>
      <c r="D315" s="441"/>
      <c r="E315" s="442"/>
      <c r="F315" s="111"/>
      <c r="G315" s="109"/>
      <c r="H315" s="112"/>
      <c r="I315" s="110"/>
      <c r="J315" s="110"/>
      <c r="K315" s="443"/>
      <c r="L315" s="444"/>
    </row>
    <row r="316" spans="2:12" ht="120" customHeight="1" x14ac:dyDescent="0.3">
      <c r="B316" s="109"/>
      <c r="C316" s="110"/>
      <c r="D316" s="441"/>
      <c r="E316" s="442"/>
      <c r="F316" s="111"/>
      <c r="G316" s="109"/>
      <c r="H316" s="112"/>
      <c r="I316" s="110"/>
      <c r="J316" s="110"/>
      <c r="K316" s="443"/>
      <c r="L316" s="444"/>
    </row>
    <row r="317" spans="2:12" ht="120" customHeight="1" x14ac:dyDescent="0.3">
      <c r="B317" s="109"/>
      <c r="C317" s="110"/>
      <c r="D317" s="441"/>
      <c r="E317" s="442"/>
      <c r="F317" s="111"/>
      <c r="G317" s="109"/>
      <c r="H317" s="112"/>
      <c r="I317" s="110"/>
      <c r="J317" s="110"/>
      <c r="K317" s="443"/>
      <c r="L317" s="444"/>
    </row>
    <row r="318" spans="2:12" ht="120" customHeight="1" x14ac:dyDescent="0.3">
      <c r="B318" s="109"/>
      <c r="C318" s="110"/>
      <c r="D318" s="441"/>
      <c r="E318" s="442"/>
      <c r="F318" s="111"/>
      <c r="G318" s="109"/>
      <c r="H318" s="112"/>
      <c r="I318" s="110"/>
      <c r="J318" s="110"/>
      <c r="K318" s="443"/>
      <c r="L318" s="444"/>
    </row>
    <row r="319" spans="2:12" ht="120" customHeight="1" x14ac:dyDescent="0.3">
      <c r="B319" s="109"/>
      <c r="C319" s="110"/>
      <c r="D319" s="441"/>
      <c r="E319" s="442"/>
      <c r="F319" s="111"/>
      <c r="G319" s="109"/>
      <c r="H319" s="112"/>
      <c r="I319" s="110"/>
      <c r="J319" s="110"/>
      <c r="K319" s="443"/>
      <c r="L319" s="444"/>
    </row>
    <row r="320" spans="2:12" ht="120" customHeight="1" x14ac:dyDescent="0.3">
      <c r="B320" s="109"/>
      <c r="C320" s="110"/>
      <c r="D320" s="441"/>
      <c r="E320" s="442"/>
      <c r="F320" s="111"/>
      <c r="G320" s="109"/>
      <c r="H320" s="112"/>
      <c r="I320" s="110"/>
      <c r="J320" s="110"/>
      <c r="K320" s="443"/>
      <c r="L320" s="444"/>
    </row>
    <row r="321" spans="2:12" ht="120" customHeight="1" x14ac:dyDescent="0.3">
      <c r="B321" s="109"/>
      <c r="C321" s="110"/>
      <c r="D321" s="441"/>
      <c r="E321" s="442"/>
      <c r="F321" s="111"/>
      <c r="G321" s="109"/>
      <c r="H321" s="112"/>
      <c r="I321" s="110"/>
      <c r="J321" s="110"/>
      <c r="K321" s="443"/>
      <c r="L321" s="444"/>
    </row>
    <row r="322" spans="2:12" ht="120" customHeight="1" x14ac:dyDescent="0.3">
      <c r="B322" s="109"/>
      <c r="C322" s="110"/>
      <c r="D322" s="441"/>
      <c r="E322" s="442"/>
      <c r="F322" s="111"/>
      <c r="G322" s="109"/>
      <c r="H322" s="112"/>
      <c r="I322" s="110"/>
      <c r="J322" s="110"/>
      <c r="K322" s="443"/>
      <c r="L322" s="444"/>
    </row>
    <row r="323" spans="2:12" ht="120" customHeight="1" x14ac:dyDescent="0.3">
      <c r="B323" s="109"/>
      <c r="C323" s="110"/>
      <c r="D323" s="441"/>
      <c r="E323" s="442"/>
      <c r="F323" s="111"/>
      <c r="G323" s="109"/>
      <c r="H323" s="112"/>
      <c r="I323" s="110"/>
      <c r="J323" s="110"/>
      <c r="K323" s="443"/>
      <c r="L323" s="444"/>
    </row>
    <row r="324" spans="2:12" ht="120" customHeight="1" x14ac:dyDescent="0.3">
      <c r="B324" s="109"/>
      <c r="C324" s="110"/>
      <c r="D324" s="441"/>
      <c r="E324" s="442"/>
      <c r="F324" s="111"/>
      <c r="G324" s="109"/>
      <c r="H324" s="112"/>
      <c r="I324" s="110"/>
      <c r="J324" s="110"/>
      <c r="K324" s="443"/>
      <c r="L324" s="444"/>
    </row>
    <row r="325" spans="2:12" ht="120" customHeight="1" x14ac:dyDescent="0.3">
      <c r="B325" s="109"/>
      <c r="C325" s="110"/>
      <c r="D325" s="441"/>
      <c r="E325" s="442"/>
      <c r="F325" s="111"/>
      <c r="G325" s="109"/>
      <c r="H325" s="112"/>
      <c r="I325" s="110"/>
      <c r="J325" s="110"/>
      <c r="K325" s="443"/>
      <c r="L325" s="444"/>
    </row>
    <row r="326" spans="2:12" ht="120" customHeight="1" x14ac:dyDescent="0.3">
      <c r="B326" s="109"/>
      <c r="C326" s="110"/>
      <c r="D326" s="441"/>
      <c r="E326" s="442"/>
      <c r="F326" s="111"/>
      <c r="G326" s="109"/>
      <c r="H326" s="112"/>
      <c r="I326" s="110"/>
      <c r="J326" s="110"/>
      <c r="K326" s="443"/>
      <c r="L326" s="444"/>
    </row>
    <row r="327" spans="2:12" ht="120" customHeight="1" x14ac:dyDescent="0.3">
      <c r="B327" s="109"/>
      <c r="C327" s="110"/>
      <c r="D327" s="441"/>
      <c r="E327" s="442"/>
      <c r="F327" s="111"/>
      <c r="G327" s="109"/>
      <c r="H327" s="112"/>
      <c r="I327" s="110"/>
      <c r="J327" s="110"/>
      <c r="K327" s="443"/>
      <c r="L327" s="444"/>
    </row>
    <row r="328" spans="2:12" ht="120" customHeight="1" x14ac:dyDescent="0.3">
      <c r="B328" s="109"/>
      <c r="C328" s="110"/>
      <c r="D328" s="441"/>
      <c r="E328" s="442"/>
      <c r="F328" s="111"/>
      <c r="G328" s="109"/>
      <c r="H328" s="112"/>
      <c r="I328" s="110"/>
      <c r="J328" s="110"/>
      <c r="K328" s="443"/>
      <c r="L328" s="444"/>
    </row>
    <row r="329" spans="2:12" ht="120" customHeight="1" x14ac:dyDescent="0.3">
      <c r="B329" s="109"/>
      <c r="C329" s="110"/>
      <c r="D329" s="441"/>
      <c r="E329" s="442"/>
      <c r="F329" s="111"/>
      <c r="G329" s="109"/>
      <c r="H329" s="112"/>
      <c r="I329" s="110"/>
      <c r="J329" s="110"/>
      <c r="K329" s="443"/>
      <c r="L329" s="444"/>
    </row>
    <row r="330" spans="2:12" ht="120" customHeight="1" x14ac:dyDescent="0.3">
      <c r="B330" s="109"/>
      <c r="C330" s="110"/>
      <c r="D330" s="441"/>
      <c r="E330" s="442"/>
      <c r="F330" s="111"/>
      <c r="G330" s="109"/>
      <c r="H330" s="112"/>
      <c r="I330" s="110"/>
      <c r="J330" s="110"/>
      <c r="K330" s="443"/>
      <c r="L330" s="444"/>
    </row>
    <row r="331" spans="2:12" ht="120" customHeight="1" x14ac:dyDescent="0.3">
      <c r="B331" s="109"/>
      <c r="C331" s="110"/>
      <c r="D331" s="441"/>
      <c r="E331" s="442"/>
      <c r="F331" s="111"/>
      <c r="G331" s="109"/>
      <c r="H331" s="112"/>
      <c r="I331" s="110"/>
      <c r="J331" s="110"/>
      <c r="K331" s="443"/>
      <c r="L331" s="444"/>
    </row>
    <row r="332" spans="2:12" ht="120" customHeight="1" x14ac:dyDescent="0.3">
      <c r="B332" s="109"/>
      <c r="C332" s="110"/>
      <c r="D332" s="441"/>
      <c r="E332" s="442"/>
      <c r="F332" s="111"/>
      <c r="G332" s="109"/>
      <c r="H332" s="112"/>
      <c r="I332" s="110"/>
      <c r="J332" s="110"/>
      <c r="K332" s="443"/>
      <c r="L332" s="444"/>
    </row>
    <row r="333" spans="2:12" ht="120" customHeight="1" x14ac:dyDescent="0.3">
      <c r="B333" s="109"/>
      <c r="C333" s="110"/>
      <c r="D333" s="441"/>
      <c r="E333" s="442"/>
      <c r="F333" s="111"/>
      <c r="G333" s="109"/>
      <c r="H333" s="112"/>
      <c r="I333" s="110"/>
      <c r="J333" s="110"/>
      <c r="K333" s="443"/>
      <c r="L333" s="444"/>
    </row>
    <row r="334" spans="2:12" ht="120" customHeight="1" x14ac:dyDescent="0.3">
      <c r="B334" s="109"/>
      <c r="C334" s="110"/>
      <c r="D334" s="441"/>
      <c r="E334" s="442"/>
      <c r="F334" s="111"/>
      <c r="G334" s="109"/>
      <c r="H334" s="112"/>
      <c r="I334" s="110"/>
      <c r="J334" s="110"/>
      <c r="K334" s="443"/>
      <c r="L334" s="444"/>
    </row>
    <row r="335" spans="2:12" ht="120" customHeight="1" x14ac:dyDescent="0.3">
      <c r="B335" s="109"/>
      <c r="C335" s="110"/>
      <c r="D335" s="441"/>
      <c r="E335" s="442"/>
      <c r="F335" s="111"/>
      <c r="G335" s="109"/>
      <c r="H335" s="112"/>
      <c r="I335" s="110"/>
      <c r="J335" s="110"/>
      <c r="K335" s="443"/>
      <c r="L335" s="444"/>
    </row>
    <row r="336" spans="2:12" ht="120" customHeight="1" x14ac:dyDescent="0.3">
      <c r="B336" s="109"/>
      <c r="C336" s="110"/>
      <c r="D336" s="441"/>
      <c r="E336" s="442"/>
      <c r="F336" s="111"/>
      <c r="G336" s="109"/>
      <c r="H336" s="112"/>
      <c r="I336" s="110"/>
      <c r="J336" s="110"/>
      <c r="K336" s="443"/>
      <c r="L336" s="444"/>
    </row>
    <row r="337" spans="2:12" ht="120" customHeight="1" x14ac:dyDescent="0.3">
      <c r="B337" s="109"/>
      <c r="C337" s="110"/>
      <c r="D337" s="441"/>
      <c r="E337" s="442"/>
      <c r="F337" s="111"/>
      <c r="G337" s="109"/>
      <c r="H337" s="112"/>
      <c r="I337" s="110"/>
      <c r="J337" s="110"/>
      <c r="K337" s="443"/>
      <c r="L337" s="444"/>
    </row>
    <row r="338" spans="2:12" ht="120" customHeight="1" x14ac:dyDescent="0.3">
      <c r="B338" s="109"/>
      <c r="C338" s="110"/>
      <c r="D338" s="441"/>
      <c r="E338" s="442"/>
      <c r="F338" s="111"/>
      <c r="G338" s="109"/>
      <c r="H338" s="112"/>
      <c r="I338" s="110"/>
      <c r="J338" s="110"/>
      <c r="K338" s="443"/>
      <c r="L338" s="444"/>
    </row>
    <row r="339" spans="2:12" ht="120" customHeight="1" x14ac:dyDescent="0.3">
      <c r="B339" s="109"/>
      <c r="C339" s="110"/>
      <c r="D339" s="441"/>
      <c r="E339" s="442"/>
      <c r="F339" s="111"/>
      <c r="G339" s="109"/>
      <c r="H339" s="112"/>
      <c r="I339" s="110"/>
      <c r="J339" s="110"/>
      <c r="K339" s="443"/>
      <c r="L339" s="444"/>
    </row>
    <row r="340" spans="2:12" ht="120" customHeight="1" x14ac:dyDescent="0.3">
      <c r="B340" s="109"/>
      <c r="C340" s="110"/>
      <c r="D340" s="441"/>
      <c r="E340" s="442"/>
      <c r="F340" s="111"/>
      <c r="G340" s="109"/>
      <c r="H340" s="112"/>
      <c r="I340" s="110"/>
      <c r="J340" s="110"/>
      <c r="K340" s="443"/>
      <c r="L340" s="444"/>
    </row>
    <row r="341" spans="2:12" ht="120" customHeight="1" x14ac:dyDescent="0.3">
      <c r="B341" s="109"/>
      <c r="C341" s="110"/>
      <c r="D341" s="441"/>
      <c r="E341" s="442"/>
      <c r="F341" s="111"/>
      <c r="G341" s="109"/>
      <c r="H341" s="112"/>
      <c r="I341" s="110"/>
      <c r="J341" s="110"/>
      <c r="K341" s="443"/>
      <c r="L341" s="444"/>
    </row>
    <row r="342" spans="2:12" ht="120" customHeight="1" x14ac:dyDescent="0.3">
      <c r="B342" s="109"/>
      <c r="C342" s="110"/>
      <c r="D342" s="441"/>
      <c r="E342" s="442"/>
      <c r="F342" s="111"/>
      <c r="G342" s="109"/>
      <c r="H342" s="112"/>
      <c r="I342" s="110"/>
      <c r="J342" s="110"/>
      <c r="K342" s="443"/>
      <c r="L342" s="444"/>
    </row>
    <row r="343" spans="2:12" ht="120" customHeight="1" x14ac:dyDescent="0.3">
      <c r="B343" s="109"/>
      <c r="C343" s="110"/>
      <c r="D343" s="441"/>
      <c r="E343" s="442"/>
      <c r="F343" s="111"/>
      <c r="G343" s="109"/>
      <c r="H343" s="112"/>
      <c r="I343" s="110"/>
      <c r="J343" s="110"/>
      <c r="K343" s="443"/>
      <c r="L343" s="444"/>
    </row>
    <row r="344" spans="2:12" ht="120" customHeight="1" x14ac:dyDescent="0.3">
      <c r="B344" s="109"/>
      <c r="C344" s="110"/>
      <c r="D344" s="441"/>
      <c r="E344" s="442"/>
      <c r="F344" s="111"/>
      <c r="G344" s="109"/>
      <c r="H344" s="112"/>
      <c r="I344" s="110"/>
      <c r="J344" s="110"/>
      <c r="K344" s="443"/>
      <c r="L344" s="444"/>
    </row>
    <row r="345" spans="2:12" ht="120" customHeight="1" x14ac:dyDescent="0.3">
      <c r="B345" s="109"/>
      <c r="C345" s="110"/>
      <c r="D345" s="441"/>
      <c r="E345" s="442"/>
      <c r="F345" s="111"/>
      <c r="G345" s="109"/>
      <c r="H345" s="112"/>
      <c r="I345" s="110"/>
      <c r="J345" s="110"/>
      <c r="K345" s="443"/>
      <c r="L345" s="444"/>
    </row>
    <row r="346" spans="2:12" ht="120" customHeight="1" x14ac:dyDescent="0.3">
      <c r="B346" s="109"/>
      <c r="C346" s="110"/>
      <c r="D346" s="441"/>
      <c r="E346" s="442"/>
      <c r="F346" s="111"/>
      <c r="G346" s="109"/>
      <c r="H346" s="112"/>
      <c r="I346" s="110"/>
      <c r="J346" s="110"/>
      <c r="K346" s="443"/>
      <c r="L346" s="444"/>
    </row>
    <row r="347" spans="2:12" ht="120" customHeight="1" x14ac:dyDescent="0.3">
      <c r="B347" s="109"/>
      <c r="C347" s="110"/>
      <c r="D347" s="441"/>
      <c r="E347" s="442"/>
      <c r="F347" s="111"/>
      <c r="G347" s="109"/>
      <c r="H347" s="112"/>
      <c r="I347" s="110"/>
      <c r="J347" s="110"/>
      <c r="K347" s="443"/>
      <c r="L347" s="444"/>
    </row>
    <row r="348" spans="2:12" ht="120" customHeight="1" x14ac:dyDescent="0.3">
      <c r="B348" s="109"/>
      <c r="C348" s="110"/>
      <c r="D348" s="441"/>
      <c r="E348" s="442"/>
      <c r="F348" s="111"/>
      <c r="G348" s="109"/>
      <c r="H348" s="112"/>
      <c r="I348" s="110"/>
      <c r="J348" s="110"/>
      <c r="K348" s="443"/>
      <c r="L348" s="444"/>
    </row>
    <row r="349" spans="2:12" ht="120" customHeight="1" x14ac:dyDescent="0.3">
      <c r="B349" s="109"/>
      <c r="C349" s="110"/>
      <c r="D349" s="441"/>
      <c r="E349" s="442"/>
      <c r="F349" s="111"/>
      <c r="G349" s="109"/>
      <c r="H349" s="112"/>
      <c r="I349" s="110"/>
      <c r="J349" s="110"/>
      <c r="K349" s="443"/>
      <c r="L349" s="444"/>
    </row>
    <row r="350" spans="2:12" ht="120" customHeight="1" x14ac:dyDescent="0.3">
      <c r="B350" s="109"/>
      <c r="C350" s="110"/>
      <c r="D350" s="441"/>
      <c r="E350" s="442"/>
      <c r="F350" s="111"/>
      <c r="G350" s="109"/>
      <c r="H350" s="112"/>
      <c r="I350" s="110"/>
      <c r="J350" s="110"/>
      <c r="K350" s="443"/>
      <c r="L350" s="444"/>
    </row>
    <row r="351" spans="2:12" ht="120" customHeight="1" x14ac:dyDescent="0.3">
      <c r="B351" s="109"/>
      <c r="C351" s="110"/>
      <c r="D351" s="441"/>
      <c r="E351" s="442"/>
      <c r="F351" s="111"/>
      <c r="G351" s="109"/>
      <c r="H351" s="112"/>
      <c r="I351" s="110"/>
      <c r="J351" s="110"/>
      <c r="K351" s="443"/>
      <c r="L351" s="444"/>
    </row>
    <row r="352" spans="2:12" ht="120" customHeight="1" x14ac:dyDescent="0.3">
      <c r="B352" s="109"/>
      <c r="C352" s="110"/>
      <c r="D352" s="441"/>
      <c r="E352" s="442"/>
      <c r="F352" s="111"/>
      <c r="G352" s="109"/>
      <c r="H352" s="112"/>
      <c r="I352" s="110"/>
      <c r="J352" s="110"/>
      <c r="K352" s="443"/>
      <c r="L352" s="444"/>
    </row>
    <row r="353" spans="2:12" ht="120" customHeight="1" x14ac:dyDescent="0.3">
      <c r="B353" s="109"/>
      <c r="C353" s="110"/>
      <c r="D353" s="441"/>
      <c r="E353" s="442"/>
      <c r="F353" s="111"/>
      <c r="G353" s="109"/>
      <c r="H353" s="112"/>
      <c r="I353" s="110"/>
      <c r="J353" s="110"/>
      <c r="K353" s="443"/>
      <c r="L353" s="444"/>
    </row>
    <row r="354" spans="2:12" ht="120" customHeight="1" x14ac:dyDescent="0.3">
      <c r="B354" s="109"/>
      <c r="C354" s="110"/>
      <c r="D354" s="441"/>
      <c r="E354" s="442"/>
      <c r="F354" s="111"/>
      <c r="G354" s="109"/>
      <c r="H354" s="112"/>
      <c r="I354" s="110"/>
      <c r="J354" s="110"/>
      <c r="K354" s="443"/>
      <c r="L354" s="444"/>
    </row>
    <row r="355" spans="2:12" ht="120" customHeight="1" x14ac:dyDescent="0.3">
      <c r="B355" s="109"/>
      <c r="C355" s="110"/>
      <c r="D355" s="441"/>
      <c r="E355" s="442"/>
      <c r="F355" s="111"/>
      <c r="G355" s="109"/>
      <c r="H355" s="112"/>
      <c r="I355" s="110"/>
      <c r="J355" s="110"/>
      <c r="K355" s="443"/>
      <c r="L355" s="444"/>
    </row>
    <row r="356" spans="2:12" ht="120" customHeight="1" x14ac:dyDescent="0.3">
      <c r="B356" s="109"/>
      <c r="C356" s="110"/>
      <c r="D356" s="441"/>
      <c r="E356" s="442"/>
      <c r="F356" s="111"/>
      <c r="G356" s="109"/>
      <c r="H356" s="112"/>
      <c r="I356" s="110"/>
      <c r="J356" s="110"/>
      <c r="K356" s="443"/>
      <c r="L356" s="444"/>
    </row>
    <row r="357" spans="2:12" ht="120" customHeight="1" x14ac:dyDescent="0.3">
      <c r="B357" s="109"/>
      <c r="C357" s="110"/>
      <c r="D357" s="441"/>
      <c r="E357" s="442"/>
      <c r="F357" s="111"/>
      <c r="G357" s="109"/>
      <c r="H357" s="112"/>
      <c r="I357" s="110"/>
      <c r="J357" s="110"/>
      <c r="K357" s="443"/>
      <c r="L357" s="444"/>
    </row>
    <row r="358" spans="2:12" ht="120" customHeight="1" x14ac:dyDescent="0.3">
      <c r="B358" s="109"/>
      <c r="C358" s="110"/>
      <c r="D358" s="441"/>
      <c r="E358" s="442"/>
      <c r="F358" s="111"/>
      <c r="G358" s="109"/>
      <c r="H358" s="112"/>
      <c r="I358" s="110"/>
      <c r="J358" s="110"/>
      <c r="K358" s="443"/>
      <c r="L358" s="444"/>
    </row>
    <row r="359" spans="2:12" ht="120" customHeight="1" x14ac:dyDescent="0.3">
      <c r="B359" s="109"/>
      <c r="C359" s="110"/>
      <c r="D359" s="441"/>
      <c r="E359" s="442"/>
      <c r="F359" s="111"/>
      <c r="G359" s="109"/>
      <c r="H359" s="112"/>
      <c r="I359" s="110"/>
      <c r="J359" s="110"/>
      <c r="K359" s="443"/>
      <c r="L359" s="444"/>
    </row>
    <row r="360" spans="2:12" ht="120" customHeight="1" x14ac:dyDescent="0.3">
      <c r="B360" s="109"/>
      <c r="C360" s="110"/>
      <c r="D360" s="441"/>
      <c r="E360" s="442"/>
      <c r="F360" s="111"/>
      <c r="G360" s="109"/>
      <c r="H360" s="112"/>
      <c r="I360" s="110"/>
      <c r="J360" s="110"/>
      <c r="K360" s="443"/>
      <c r="L360" s="444"/>
    </row>
    <row r="361" spans="2:12" ht="120" customHeight="1" x14ac:dyDescent="0.3">
      <c r="B361" s="109"/>
      <c r="C361" s="110"/>
      <c r="D361" s="441"/>
      <c r="E361" s="442"/>
      <c r="F361" s="111"/>
      <c r="G361" s="109"/>
      <c r="H361" s="112"/>
      <c r="I361" s="110"/>
      <c r="J361" s="110"/>
      <c r="K361" s="443"/>
      <c r="L361" s="444"/>
    </row>
    <row r="362" spans="2:12" ht="120" customHeight="1" x14ac:dyDescent="0.3">
      <c r="B362" s="109"/>
      <c r="C362" s="110"/>
      <c r="D362" s="441"/>
      <c r="E362" s="442"/>
      <c r="F362" s="111"/>
      <c r="G362" s="109"/>
      <c r="H362" s="112"/>
      <c r="I362" s="110"/>
      <c r="J362" s="110"/>
      <c r="K362" s="443"/>
      <c r="L362" s="444"/>
    </row>
    <row r="363" spans="2:12" ht="120" customHeight="1" x14ac:dyDescent="0.3">
      <c r="B363" s="109"/>
      <c r="C363" s="110"/>
      <c r="D363" s="441"/>
      <c r="E363" s="442"/>
      <c r="F363" s="111"/>
      <c r="G363" s="109"/>
      <c r="H363" s="112"/>
      <c r="I363" s="110"/>
      <c r="J363" s="110"/>
      <c r="K363" s="443"/>
      <c r="L363" s="444"/>
    </row>
    <row r="364" spans="2:12" ht="120" customHeight="1" x14ac:dyDescent="0.3">
      <c r="B364" s="109"/>
      <c r="C364" s="110"/>
      <c r="D364" s="441"/>
      <c r="E364" s="442"/>
      <c r="F364" s="111"/>
      <c r="G364" s="109"/>
      <c r="H364" s="112"/>
      <c r="I364" s="110"/>
      <c r="J364" s="110"/>
      <c r="K364" s="443"/>
      <c r="L364" s="444"/>
    </row>
    <row r="365" spans="2:12" ht="120" customHeight="1" x14ac:dyDescent="0.3">
      <c r="B365" s="109"/>
      <c r="C365" s="110"/>
      <c r="D365" s="441"/>
      <c r="E365" s="442"/>
      <c r="F365" s="111"/>
      <c r="G365" s="109"/>
      <c r="H365" s="112"/>
      <c r="I365" s="110"/>
      <c r="J365" s="110"/>
      <c r="K365" s="443"/>
      <c r="L365" s="444"/>
    </row>
    <row r="366" spans="2:12" ht="120" customHeight="1" x14ac:dyDescent="0.3">
      <c r="B366" s="109"/>
      <c r="C366" s="110"/>
      <c r="D366" s="441"/>
      <c r="E366" s="442"/>
      <c r="F366" s="111"/>
      <c r="G366" s="109"/>
      <c r="H366" s="112"/>
      <c r="I366" s="110"/>
      <c r="J366" s="110"/>
      <c r="K366" s="443"/>
      <c r="L366" s="444"/>
    </row>
    <row r="367" spans="2:12" ht="120" customHeight="1" x14ac:dyDescent="0.3">
      <c r="B367" s="109"/>
      <c r="C367" s="110"/>
      <c r="D367" s="441"/>
      <c r="E367" s="442"/>
      <c r="F367" s="111"/>
      <c r="G367" s="109"/>
      <c r="H367" s="112"/>
      <c r="I367" s="110"/>
      <c r="J367" s="110"/>
      <c r="K367" s="443"/>
      <c r="L367" s="444"/>
    </row>
    <row r="368" spans="2:12" ht="120" customHeight="1" x14ac:dyDescent="0.3">
      <c r="B368" s="109"/>
      <c r="C368" s="110"/>
      <c r="D368" s="441"/>
      <c r="E368" s="442"/>
      <c r="F368" s="111"/>
      <c r="G368" s="109"/>
      <c r="H368" s="112"/>
      <c r="I368" s="110"/>
      <c r="J368" s="110"/>
      <c r="K368" s="443"/>
      <c r="L368" s="444"/>
    </row>
    <row r="369" spans="2:12" ht="120" customHeight="1" x14ac:dyDescent="0.3">
      <c r="B369" s="109"/>
      <c r="C369" s="110"/>
      <c r="D369" s="441"/>
      <c r="E369" s="442"/>
      <c r="F369" s="111"/>
      <c r="G369" s="109"/>
      <c r="H369" s="112"/>
      <c r="I369" s="110"/>
      <c r="J369" s="110"/>
      <c r="K369" s="443"/>
      <c r="L369" s="444"/>
    </row>
    <row r="370" spans="2:12" ht="120" customHeight="1" x14ac:dyDescent="0.3">
      <c r="B370" s="109"/>
      <c r="C370" s="110"/>
      <c r="D370" s="441"/>
      <c r="E370" s="442"/>
      <c r="F370" s="111"/>
      <c r="G370" s="109"/>
      <c r="H370" s="112"/>
      <c r="I370" s="110"/>
      <c r="J370" s="110"/>
      <c r="K370" s="443"/>
      <c r="L370" s="444"/>
    </row>
    <row r="371" spans="2:12" ht="120" customHeight="1" x14ac:dyDescent="0.3">
      <c r="B371" s="109"/>
      <c r="C371" s="110"/>
      <c r="D371" s="441"/>
      <c r="E371" s="442"/>
      <c r="F371" s="111"/>
      <c r="G371" s="109"/>
      <c r="H371" s="112"/>
      <c r="I371" s="110"/>
      <c r="J371" s="110"/>
      <c r="K371" s="443"/>
      <c r="L371" s="444"/>
    </row>
    <row r="372" spans="2:12" ht="120" customHeight="1" x14ac:dyDescent="0.3">
      <c r="B372" s="109"/>
      <c r="C372" s="110"/>
      <c r="D372" s="441"/>
      <c r="E372" s="442"/>
      <c r="F372" s="111"/>
      <c r="G372" s="109"/>
      <c r="H372" s="112"/>
      <c r="I372" s="110"/>
      <c r="J372" s="110"/>
      <c r="K372" s="443"/>
      <c r="L372" s="444"/>
    </row>
    <row r="373" spans="2:12" ht="120" customHeight="1" x14ac:dyDescent="0.3">
      <c r="B373" s="109"/>
      <c r="C373" s="110"/>
      <c r="D373" s="441"/>
      <c r="E373" s="442"/>
      <c r="F373" s="111"/>
      <c r="G373" s="109"/>
      <c r="H373" s="112"/>
      <c r="I373" s="110"/>
      <c r="J373" s="110"/>
      <c r="K373" s="443"/>
      <c r="L373" s="444"/>
    </row>
    <row r="374" spans="2:12" ht="120" customHeight="1" x14ac:dyDescent="0.3">
      <c r="B374" s="109"/>
      <c r="C374" s="110"/>
      <c r="D374" s="441"/>
      <c r="E374" s="442"/>
      <c r="F374" s="111"/>
      <c r="G374" s="109"/>
      <c r="H374" s="112"/>
      <c r="I374" s="110"/>
      <c r="J374" s="110"/>
      <c r="K374" s="443"/>
      <c r="L374" s="444"/>
    </row>
    <row r="375" spans="2:12" ht="120" customHeight="1" x14ac:dyDescent="0.3">
      <c r="B375" s="109"/>
      <c r="C375" s="110"/>
      <c r="D375" s="441"/>
      <c r="E375" s="442"/>
      <c r="F375" s="111"/>
      <c r="G375" s="109"/>
      <c r="H375" s="112"/>
      <c r="I375" s="110"/>
      <c r="J375" s="110"/>
      <c r="K375" s="443"/>
      <c r="L375" s="444"/>
    </row>
    <row r="376" spans="2:12" ht="120" customHeight="1" x14ac:dyDescent="0.3">
      <c r="B376" s="109"/>
      <c r="C376" s="110"/>
      <c r="D376" s="441"/>
      <c r="E376" s="442"/>
      <c r="F376" s="111"/>
      <c r="G376" s="109"/>
      <c r="H376" s="112"/>
      <c r="I376" s="110"/>
      <c r="J376" s="110"/>
      <c r="K376" s="443"/>
      <c r="L376" s="444"/>
    </row>
    <row r="377" spans="2:12" ht="120" customHeight="1" x14ac:dyDescent="0.3">
      <c r="B377" s="109"/>
      <c r="C377" s="110"/>
      <c r="D377" s="441"/>
      <c r="E377" s="442"/>
      <c r="F377" s="111"/>
      <c r="G377" s="109"/>
      <c r="H377" s="112"/>
      <c r="I377" s="110"/>
      <c r="J377" s="110"/>
      <c r="K377" s="443"/>
      <c r="L377" s="444"/>
    </row>
    <row r="378" spans="2:12" ht="120" customHeight="1" x14ac:dyDescent="0.3">
      <c r="B378" s="109"/>
      <c r="C378" s="110"/>
      <c r="D378" s="441"/>
      <c r="E378" s="442"/>
      <c r="F378" s="111"/>
      <c r="G378" s="109"/>
      <c r="H378" s="112"/>
      <c r="I378" s="110"/>
      <c r="J378" s="110"/>
      <c r="K378" s="443"/>
      <c r="L378" s="444"/>
    </row>
    <row r="379" spans="2:12" ht="120" customHeight="1" x14ac:dyDescent="0.3">
      <c r="B379" s="109"/>
      <c r="C379" s="110"/>
      <c r="D379" s="441"/>
      <c r="E379" s="442"/>
      <c r="F379" s="111"/>
      <c r="G379" s="109"/>
      <c r="H379" s="112"/>
      <c r="I379" s="110"/>
      <c r="J379" s="110"/>
      <c r="K379" s="443"/>
      <c r="L379" s="444"/>
    </row>
    <row r="380" spans="2:12" ht="120" customHeight="1" x14ac:dyDescent="0.3">
      <c r="B380" s="109"/>
      <c r="C380" s="110"/>
      <c r="D380" s="441"/>
      <c r="E380" s="442"/>
      <c r="F380" s="111"/>
      <c r="G380" s="109"/>
      <c r="H380" s="112"/>
      <c r="I380" s="110"/>
      <c r="J380" s="110"/>
      <c r="K380" s="443"/>
      <c r="L380" s="444"/>
    </row>
    <row r="381" spans="2:12" ht="120" customHeight="1" x14ac:dyDescent="0.3">
      <c r="B381" s="109"/>
      <c r="C381" s="110"/>
      <c r="D381" s="441"/>
      <c r="E381" s="442"/>
      <c r="F381" s="111"/>
      <c r="G381" s="109"/>
      <c r="H381" s="112"/>
      <c r="I381" s="110"/>
      <c r="J381" s="110"/>
      <c r="K381" s="443"/>
      <c r="L381" s="444"/>
    </row>
    <row r="382" spans="2:12" ht="120" customHeight="1" x14ac:dyDescent="0.3">
      <c r="B382" s="109"/>
      <c r="C382" s="110"/>
      <c r="D382" s="441"/>
      <c r="E382" s="442"/>
      <c r="F382" s="111"/>
      <c r="G382" s="109"/>
      <c r="H382" s="112"/>
      <c r="I382" s="110"/>
      <c r="J382" s="110"/>
      <c r="K382" s="443"/>
      <c r="L382" s="444"/>
    </row>
    <row r="383" spans="2:12" ht="120" customHeight="1" x14ac:dyDescent="0.3">
      <c r="B383" s="109"/>
      <c r="C383" s="110"/>
      <c r="D383" s="441"/>
      <c r="E383" s="442"/>
      <c r="F383" s="111"/>
      <c r="G383" s="109"/>
      <c r="H383" s="112"/>
      <c r="I383" s="110"/>
      <c r="J383" s="110"/>
      <c r="K383" s="443"/>
      <c r="L383" s="444"/>
    </row>
    <row r="384" spans="2:12" ht="120" customHeight="1" x14ac:dyDescent="0.3">
      <c r="B384" s="109"/>
      <c r="C384" s="110"/>
      <c r="D384" s="441"/>
      <c r="E384" s="442"/>
      <c r="F384" s="111"/>
      <c r="G384" s="109"/>
      <c r="H384" s="112"/>
      <c r="I384" s="110"/>
      <c r="J384" s="110"/>
      <c r="K384" s="443"/>
      <c r="L384" s="444"/>
    </row>
    <row r="385" spans="2:12" ht="120" customHeight="1" x14ac:dyDescent="0.3">
      <c r="B385" s="109"/>
      <c r="C385" s="110"/>
      <c r="D385" s="441"/>
      <c r="E385" s="442"/>
      <c r="F385" s="111"/>
      <c r="G385" s="109"/>
      <c r="H385" s="112"/>
      <c r="I385" s="110"/>
      <c r="J385" s="110"/>
      <c r="K385" s="443"/>
      <c r="L385" s="444"/>
    </row>
    <row r="386" spans="2:12" ht="120" customHeight="1" x14ac:dyDescent="0.3">
      <c r="B386" s="109"/>
      <c r="C386" s="110"/>
      <c r="D386" s="441"/>
      <c r="E386" s="442"/>
      <c r="F386" s="111"/>
      <c r="G386" s="109"/>
      <c r="H386" s="112"/>
      <c r="I386" s="110"/>
      <c r="J386" s="110"/>
      <c r="K386" s="443"/>
      <c r="L386" s="444"/>
    </row>
    <row r="387" spans="2:12" ht="120" customHeight="1" x14ac:dyDescent="0.3">
      <c r="B387" s="109"/>
      <c r="C387" s="110"/>
      <c r="D387" s="441"/>
      <c r="E387" s="442"/>
      <c r="F387" s="111"/>
      <c r="G387" s="109"/>
      <c r="H387" s="112"/>
      <c r="I387" s="110"/>
      <c r="J387" s="110"/>
      <c r="K387" s="443"/>
      <c r="L387" s="444"/>
    </row>
    <row r="388" spans="2:12" ht="120" customHeight="1" x14ac:dyDescent="0.3">
      <c r="B388" s="109"/>
      <c r="C388" s="110"/>
      <c r="D388" s="441"/>
      <c r="E388" s="442"/>
      <c r="F388" s="111"/>
      <c r="G388" s="109"/>
      <c r="H388" s="112"/>
      <c r="I388" s="110"/>
      <c r="J388" s="110"/>
      <c r="K388" s="443"/>
      <c r="L388" s="444"/>
    </row>
    <row r="389" spans="2:12" ht="120" customHeight="1" x14ac:dyDescent="0.3">
      <c r="B389" s="109"/>
      <c r="C389" s="110"/>
      <c r="D389" s="441"/>
      <c r="E389" s="442"/>
      <c r="F389" s="111"/>
      <c r="G389" s="109"/>
      <c r="H389" s="112"/>
      <c r="I389" s="110"/>
      <c r="J389" s="110"/>
      <c r="K389" s="443"/>
      <c r="L389" s="444"/>
    </row>
    <row r="390" spans="2:12" ht="120" customHeight="1" x14ac:dyDescent="0.3">
      <c r="B390" s="109"/>
      <c r="C390" s="110"/>
      <c r="D390" s="441"/>
      <c r="E390" s="442"/>
      <c r="F390" s="111"/>
      <c r="G390" s="109"/>
      <c r="H390" s="112"/>
      <c r="I390" s="110"/>
      <c r="J390" s="110"/>
      <c r="K390" s="443"/>
      <c r="L390" s="444"/>
    </row>
    <row r="391" spans="2:12" ht="120" customHeight="1" x14ac:dyDescent="0.3">
      <c r="B391" s="109"/>
      <c r="C391" s="110"/>
      <c r="D391" s="441"/>
      <c r="E391" s="442"/>
      <c r="F391" s="111"/>
      <c r="G391" s="109"/>
      <c r="H391" s="112"/>
      <c r="I391" s="110"/>
      <c r="J391" s="110"/>
      <c r="K391" s="443"/>
      <c r="L391" s="444"/>
    </row>
    <row r="392" spans="2:12" ht="120" customHeight="1" x14ac:dyDescent="0.3">
      <c r="B392" s="109"/>
      <c r="C392" s="110"/>
      <c r="D392" s="441"/>
      <c r="E392" s="442"/>
      <c r="F392" s="111"/>
      <c r="G392" s="109"/>
      <c r="H392" s="112"/>
      <c r="I392" s="110"/>
      <c r="J392" s="110"/>
      <c r="K392" s="443"/>
      <c r="L392" s="444"/>
    </row>
    <row r="393" spans="2:12" ht="120" customHeight="1" x14ac:dyDescent="0.3">
      <c r="B393" s="109"/>
      <c r="C393" s="110"/>
      <c r="D393" s="441"/>
      <c r="E393" s="442"/>
      <c r="F393" s="111"/>
      <c r="G393" s="109"/>
      <c r="H393" s="112"/>
      <c r="I393" s="110"/>
      <c r="J393" s="110"/>
      <c r="K393" s="443"/>
      <c r="L393" s="444"/>
    </row>
    <row r="394" spans="2:12" ht="120" customHeight="1" x14ac:dyDescent="0.3">
      <c r="B394" s="109"/>
      <c r="C394" s="110"/>
      <c r="D394" s="441"/>
      <c r="E394" s="442"/>
      <c r="F394" s="111"/>
      <c r="G394" s="109"/>
      <c r="H394" s="112"/>
      <c r="I394" s="110"/>
      <c r="J394" s="110"/>
      <c r="K394" s="443"/>
      <c r="L394" s="444"/>
    </row>
    <row r="395" spans="2:12" ht="120" customHeight="1" x14ac:dyDescent="0.3">
      <c r="B395" s="109"/>
      <c r="C395" s="110"/>
      <c r="D395" s="441"/>
      <c r="E395" s="442"/>
      <c r="F395" s="111"/>
      <c r="G395" s="109"/>
      <c r="H395" s="112"/>
      <c r="I395" s="110"/>
      <c r="J395" s="110"/>
      <c r="K395" s="443"/>
      <c r="L395" s="444"/>
    </row>
    <row r="396" spans="2:12" ht="120" customHeight="1" x14ac:dyDescent="0.3">
      <c r="B396" s="109"/>
      <c r="C396" s="110"/>
      <c r="D396" s="441"/>
      <c r="E396" s="442"/>
      <c r="F396" s="111"/>
      <c r="G396" s="109"/>
      <c r="H396" s="112"/>
      <c r="I396" s="110"/>
      <c r="J396" s="110"/>
      <c r="K396" s="443"/>
      <c r="L396" s="444"/>
    </row>
    <row r="397" spans="2:12" ht="120" customHeight="1" x14ac:dyDescent="0.3">
      <c r="B397" s="109"/>
      <c r="C397" s="110"/>
      <c r="D397" s="441"/>
      <c r="E397" s="442"/>
      <c r="F397" s="111"/>
      <c r="G397" s="109"/>
      <c r="H397" s="112"/>
      <c r="I397" s="110"/>
      <c r="J397" s="110"/>
      <c r="K397" s="443"/>
      <c r="L397" s="444"/>
    </row>
    <row r="398" spans="2:12" ht="120" customHeight="1" x14ac:dyDescent="0.3">
      <c r="B398" s="109"/>
      <c r="C398" s="110"/>
      <c r="D398" s="441"/>
      <c r="E398" s="442"/>
      <c r="F398" s="111"/>
      <c r="G398" s="109"/>
      <c r="H398" s="112"/>
      <c r="I398" s="110"/>
      <c r="J398" s="110"/>
      <c r="K398" s="443"/>
      <c r="L398" s="444"/>
    </row>
    <row r="399" spans="2:12" ht="120" customHeight="1" x14ac:dyDescent="0.3">
      <c r="B399" s="109"/>
      <c r="C399" s="110"/>
      <c r="D399" s="441"/>
      <c r="E399" s="442"/>
      <c r="F399" s="111"/>
      <c r="G399" s="109"/>
      <c r="H399" s="112"/>
      <c r="I399" s="110"/>
      <c r="J399" s="110"/>
      <c r="K399" s="443"/>
      <c r="L399" s="444"/>
    </row>
    <row r="400" spans="2:12" ht="120" customHeight="1" x14ac:dyDescent="0.3">
      <c r="B400" s="109"/>
      <c r="C400" s="110"/>
      <c r="D400" s="441"/>
      <c r="E400" s="442"/>
      <c r="F400" s="111"/>
      <c r="G400" s="109"/>
      <c r="H400" s="112"/>
      <c r="I400" s="110"/>
      <c r="J400" s="110"/>
      <c r="K400" s="443"/>
      <c r="L400" s="444"/>
    </row>
    <row r="401" spans="2:12" ht="120" customHeight="1" x14ac:dyDescent="0.3">
      <c r="B401" s="109"/>
      <c r="C401" s="110"/>
      <c r="D401" s="441"/>
      <c r="E401" s="442"/>
      <c r="F401" s="111"/>
      <c r="G401" s="109"/>
      <c r="H401" s="112"/>
      <c r="I401" s="110"/>
      <c r="J401" s="110"/>
      <c r="K401" s="443"/>
      <c r="L401" s="444"/>
    </row>
    <row r="402" spans="2:12" ht="120" customHeight="1" x14ac:dyDescent="0.3">
      <c r="B402" s="109"/>
      <c r="C402" s="110"/>
      <c r="D402" s="441"/>
      <c r="E402" s="442"/>
      <c r="F402" s="111"/>
      <c r="G402" s="109"/>
      <c r="H402" s="112"/>
      <c r="I402" s="110"/>
      <c r="J402" s="110"/>
      <c r="K402" s="443"/>
      <c r="L402" s="444"/>
    </row>
    <row r="403" spans="2:12" ht="120" customHeight="1" x14ac:dyDescent="0.3">
      <c r="B403" s="109"/>
      <c r="C403" s="110"/>
      <c r="D403" s="441"/>
      <c r="E403" s="442"/>
      <c r="F403" s="111"/>
      <c r="G403" s="109"/>
      <c r="H403" s="112"/>
      <c r="I403" s="110"/>
      <c r="J403" s="110"/>
      <c r="K403" s="443"/>
      <c r="L403" s="444"/>
    </row>
    <row r="404" spans="2:12" ht="120" customHeight="1" x14ac:dyDescent="0.3">
      <c r="B404" s="109"/>
      <c r="C404" s="110"/>
      <c r="D404" s="441"/>
      <c r="E404" s="442"/>
      <c r="F404" s="111"/>
      <c r="G404" s="109"/>
      <c r="H404" s="112"/>
      <c r="I404" s="110"/>
      <c r="J404" s="110"/>
      <c r="K404" s="443"/>
      <c r="L404" s="444"/>
    </row>
    <row r="405" spans="2:12" ht="120" customHeight="1" x14ac:dyDescent="0.3">
      <c r="B405" s="109"/>
      <c r="C405" s="110"/>
      <c r="D405" s="441"/>
      <c r="E405" s="442"/>
      <c r="F405" s="111"/>
      <c r="G405" s="109"/>
      <c r="H405" s="112"/>
      <c r="I405" s="110"/>
      <c r="J405" s="110"/>
      <c r="K405" s="443"/>
      <c r="L405" s="444"/>
    </row>
    <row r="406" spans="2:12" ht="120" customHeight="1" x14ac:dyDescent="0.3">
      <c r="B406" s="109"/>
      <c r="C406" s="110"/>
      <c r="D406" s="441"/>
      <c r="E406" s="442"/>
      <c r="F406" s="111"/>
      <c r="G406" s="109"/>
      <c r="H406" s="112"/>
      <c r="I406" s="110"/>
      <c r="J406" s="110"/>
      <c r="K406" s="443"/>
      <c r="L406" s="444"/>
    </row>
    <row r="407" spans="2:12" ht="120" customHeight="1" x14ac:dyDescent="0.3">
      <c r="B407" s="109"/>
      <c r="C407" s="110"/>
      <c r="D407" s="441"/>
      <c r="E407" s="442"/>
      <c r="F407" s="111"/>
      <c r="G407" s="109"/>
      <c r="H407" s="112"/>
      <c r="I407" s="110"/>
      <c r="J407" s="110"/>
      <c r="K407" s="443"/>
      <c r="L407" s="444"/>
    </row>
    <row r="408" spans="2:12" ht="120" customHeight="1" x14ac:dyDescent="0.3">
      <c r="B408" s="109"/>
      <c r="C408" s="110"/>
      <c r="D408" s="441"/>
      <c r="E408" s="442"/>
      <c r="F408" s="111"/>
      <c r="G408" s="109"/>
      <c r="H408" s="112"/>
      <c r="I408" s="110"/>
      <c r="J408" s="110"/>
      <c r="K408" s="443"/>
      <c r="L408" s="444"/>
    </row>
    <row r="409" spans="2:12" ht="120" customHeight="1" x14ac:dyDescent="0.3">
      <c r="B409" s="109"/>
      <c r="C409" s="110"/>
      <c r="D409" s="441"/>
      <c r="E409" s="442"/>
      <c r="F409" s="111"/>
      <c r="G409" s="109"/>
      <c r="H409" s="112"/>
      <c r="I409" s="110"/>
      <c r="J409" s="110"/>
      <c r="K409" s="443"/>
      <c r="L409" s="444"/>
    </row>
    <row r="410" spans="2:12" ht="120" customHeight="1" x14ac:dyDescent="0.3">
      <c r="B410" s="109"/>
      <c r="C410" s="110"/>
      <c r="D410" s="441"/>
      <c r="E410" s="442"/>
      <c r="F410" s="111"/>
      <c r="G410" s="109"/>
      <c r="H410" s="112"/>
      <c r="I410" s="110"/>
      <c r="J410" s="110"/>
      <c r="K410" s="443"/>
      <c r="L410" s="444"/>
    </row>
    <row r="411" spans="2:12" ht="120" customHeight="1" x14ac:dyDescent="0.3">
      <c r="B411" s="109"/>
      <c r="C411" s="110"/>
      <c r="D411" s="441"/>
      <c r="E411" s="442"/>
      <c r="F411" s="111"/>
      <c r="G411" s="109"/>
      <c r="H411" s="112"/>
      <c r="I411" s="110"/>
      <c r="J411" s="110"/>
      <c r="K411" s="443"/>
      <c r="L411" s="444"/>
    </row>
    <row r="412" spans="2:12" ht="120" customHeight="1" x14ac:dyDescent="0.3">
      <c r="B412" s="109"/>
      <c r="C412" s="110"/>
      <c r="D412" s="441"/>
      <c r="E412" s="442"/>
      <c r="F412" s="111"/>
      <c r="G412" s="109"/>
      <c r="H412" s="112"/>
      <c r="I412" s="110"/>
      <c r="J412" s="110"/>
      <c r="K412" s="443"/>
      <c r="L412" s="444"/>
    </row>
    <row r="413" spans="2:12" ht="120" customHeight="1" x14ac:dyDescent="0.3">
      <c r="B413" s="109"/>
      <c r="C413" s="110"/>
      <c r="D413" s="441"/>
      <c r="E413" s="442"/>
      <c r="F413" s="111"/>
      <c r="G413" s="109"/>
      <c r="H413" s="112"/>
      <c r="I413" s="110"/>
      <c r="J413" s="110"/>
      <c r="K413" s="443"/>
      <c r="L413" s="444"/>
    </row>
    <row r="414" spans="2:12" ht="120" customHeight="1" x14ac:dyDescent="0.3">
      <c r="B414" s="109"/>
      <c r="C414" s="110"/>
      <c r="D414" s="441"/>
      <c r="E414" s="442"/>
      <c r="F414" s="111"/>
      <c r="G414" s="109"/>
      <c r="H414" s="112"/>
      <c r="I414" s="110"/>
      <c r="J414" s="110"/>
      <c r="K414" s="443"/>
      <c r="L414" s="444"/>
    </row>
    <row r="415" spans="2:12" ht="120" customHeight="1" x14ac:dyDescent="0.3">
      <c r="B415" s="109"/>
      <c r="C415" s="110"/>
      <c r="D415" s="441"/>
      <c r="E415" s="442"/>
      <c r="F415" s="111"/>
      <c r="G415" s="109"/>
      <c r="H415" s="112"/>
      <c r="I415" s="110"/>
      <c r="J415" s="110"/>
      <c r="K415" s="443"/>
      <c r="L415" s="444"/>
    </row>
    <row r="416" spans="2:12" ht="120" customHeight="1" x14ac:dyDescent="0.3">
      <c r="B416" s="109"/>
      <c r="C416" s="110"/>
      <c r="D416" s="441"/>
      <c r="E416" s="442"/>
      <c r="F416" s="111"/>
      <c r="G416" s="109"/>
      <c r="H416" s="112"/>
      <c r="I416" s="110"/>
      <c r="J416" s="110"/>
      <c r="K416" s="443"/>
      <c r="L416" s="444"/>
    </row>
    <row r="417" spans="2:12" ht="120" customHeight="1" x14ac:dyDescent="0.3">
      <c r="B417" s="109"/>
      <c r="C417" s="110"/>
      <c r="D417" s="441"/>
      <c r="E417" s="442"/>
      <c r="F417" s="111"/>
      <c r="G417" s="109"/>
      <c r="H417" s="112"/>
      <c r="I417" s="110"/>
      <c r="J417" s="110"/>
      <c r="K417" s="443"/>
      <c r="L417" s="444"/>
    </row>
    <row r="418" spans="2:12" ht="120" customHeight="1" x14ac:dyDescent="0.3">
      <c r="B418" s="109"/>
      <c r="C418" s="110"/>
      <c r="D418" s="441"/>
      <c r="E418" s="442"/>
      <c r="F418" s="111"/>
      <c r="G418" s="109"/>
      <c r="H418" s="112"/>
      <c r="I418" s="110"/>
      <c r="J418" s="110"/>
      <c r="K418" s="443"/>
      <c r="L418" s="444"/>
    </row>
    <row r="419" spans="2:12" ht="120" customHeight="1" x14ac:dyDescent="0.3">
      <c r="B419" s="109"/>
      <c r="C419" s="110"/>
      <c r="D419" s="441"/>
      <c r="E419" s="442"/>
      <c r="F419" s="111"/>
      <c r="G419" s="109"/>
      <c r="H419" s="112"/>
      <c r="I419" s="110"/>
      <c r="J419" s="110"/>
      <c r="K419" s="443"/>
      <c r="L419" s="444"/>
    </row>
    <row r="420" spans="2:12" ht="120" customHeight="1" x14ac:dyDescent="0.3">
      <c r="B420" s="109"/>
      <c r="C420" s="110"/>
      <c r="D420" s="441"/>
      <c r="E420" s="442"/>
      <c r="F420" s="111"/>
      <c r="G420" s="109"/>
      <c r="H420" s="112"/>
      <c r="I420" s="110"/>
      <c r="J420" s="110"/>
      <c r="K420" s="443"/>
      <c r="L420" s="444"/>
    </row>
    <row r="421" spans="2:12" ht="120" customHeight="1" x14ac:dyDescent="0.3">
      <c r="B421" s="109"/>
      <c r="C421" s="110"/>
      <c r="D421" s="441"/>
      <c r="E421" s="442"/>
      <c r="F421" s="111"/>
      <c r="G421" s="109"/>
      <c r="H421" s="112"/>
      <c r="I421" s="110"/>
      <c r="J421" s="110"/>
      <c r="K421" s="443"/>
      <c r="L421" s="444"/>
    </row>
    <row r="422" spans="2:12" ht="120" customHeight="1" x14ac:dyDescent="0.3">
      <c r="B422" s="109"/>
      <c r="C422" s="110"/>
      <c r="D422" s="441"/>
      <c r="E422" s="442"/>
      <c r="F422" s="111"/>
      <c r="G422" s="109"/>
      <c r="H422" s="112"/>
      <c r="I422" s="110"/>
      <c r="J422" s="110"/>
      <c r="K422" s="443"/>
      <c r="L422" s="444"/>
    </row>
    <row r="423" spans="2:12" ht="120" customHeight="1" x14ac:dyDescent="0.3">
      <c r="B423" s="109"/>
      <c r="C423" s="110"/>
      <c r="D423" s="441"/>
      <c r="E423" s="442"/>
      <c r="F423" s="111"/>
      <c r="G423" s="109"/>
      <c r="H423" s="112"/>
      <c r="I423" s="110"/>
      <c r="J423" s="110"/>
      <c r="K423" s="443"/>
      <c r="L423" s="444"/>
    </row>
    <row r="424" spans="2:12" ht="120" customHeight="1" x14ac:dyDescent="0.3">
      <c r="B424" s="109"/>
      <c r="C424" s="110"/>
      <c r="D424" s="441"/>
      <c r="E424" s="442"/>
      <c r="F424" s="111"/>
      <c r="G424" s="109"/>
      <c r="H424" s="112"/>
      <c r="I424" s="110"/>
      <c r="J424" s="110"/>
      <c r="K424" s="443"/>
      <c r="L424" s="444"/>
    </row>
    <row r="425" spans="2:12" ht="120" customHeight="1" x14ac:dyDescent="0.3">
      <c r="B425" s="109"/>
      <c r="C425" s="110"/>
      <c r="D425" s="441"/>
      <c r="E425" s="442"/>
      <c r="F425" s="111"/>
      <c r="G425" s="109"/>
      <c r="H425" s="112"/>
      <c r="I425" s="110"/>
      <c r="J425" s="110"/>
      <c r="K425" s="443"/>
      <c r="L425" s="444"/>
    </row>
    <row r="426" spans="2:12" ht="120" customHeight="1" x14ac:dyDescent="0.3">
      <c r="B426" s="109"/>
      <c r="C426" s="110"/>
      <c r="D426" s="441"/>
      <c r="E426" s="442"/>
      <c r="F426" s="111"/>
      <c r="G426" s="109"/>
      <c r="H426" s="112"/>
      <c r="I426" s="110"/>
      <c r="J426" s="110"/>
      <c r="K426" s="443"/>
      <c r="L426" s="444"/>
    </row>
    <row r="427" spans="2:12" ht="120" customHeight="1" x14ac:dyDescent="0.3">
      <c r="B427" s="109"/>
      <c r="C427" s="110"/>
      <c r="D427" s="441"/>
      <c r="E427" s="442"/>
      <c r="F427" s="111"/>
      <c r="G427" s="109"/>
      <c r="H427" s="112"/>
      <c r="I427" s="110"/>
      <c r="J427" s="110"/>
      <c r="K427" s="443"/>
      <c r="L427" s="444"/>
    </row>
    <row r="428" spans="2:12" ht="120" customHeight="1" x14ac:dyDescent="0.3">
      <c r="B428" s="109"/>
      <c r="C428" s="110"/>
      <c r="D428" s="441"/>
      <c r="E428" s="442"/>
      <c r="F428" s="111"/>
      <c r="G428" s="109"/>
      <c r="H428" s="112"/>
      <c r="I428" s="110"/>
      <c r="J428" s="110"/>
      <c r="K428" s="443"/>
      <c r="L428" s="444"/>
    </row>
    <row r="429" spans="2:12" ht="120" customHeight="1" x14ac:dyDescent="0.3">
      <c r="B429" s="109"/>
      <c r="C429" s="110"/>
      <c r="D429" s="441"/>
      <c r="E429" s="442"/>
      <c r="F429" s="111"/>
      <c r="G429" s="109"/>
      <c r="H429" s="112"/>
      <c r="I429" s="110"/>
      <c r="J429" s="110"/>
      <c r="K429" s="443"/>
      <c r="L429" s="444"/>
    </row>
    <row r="430" spans="2:12" ht="120" customHeight="1" x14ac:dyDescent="0.3">
      <c r="B430" s="109"/>
      <c r="C430" s="110"/>
      <c r="D430" s="441"/>
      <c r="E430" s="442"/>
      <c r="F430" s="111"/>
      <c r="G430" s="109"/>
      <c r="H430" s="112"/>
      <c r="I430" s="110"/>
      <c r="J430" s="110"/>
      <c r="K430" s="443"/>
      <c r="L430" s="444"/>
    </row>
    <row r="431" spans="2:12" ht="120" customHeight="1" x14ac:dyDescent="0.3">
      <c r="B431" s="109"/>
      <c r="C431" s="110"/>
      <c r="D431" s="441"/>
      <c r="E431" s="442"/>
      <c r="F431" s="111"/>
      <c r="G431" s="109"/>
      <c r="H431" s="112"/>
      <c r="I431" s="110"/>
      <c r="J431" s="110"/>
      <c r="K431" s="443"/>
      <c r="L431" s="444"/>
    </row>
    <row r="432" spans="2:12" ht="120" customHeight="1" x14ac:dyDescent="0.3">
      <c r="B432" s="109"/>
      <c r="C432" s="110"/>
      <c r="D432" s="441"/>
      <c r="E432" s="442"/>
      <c r="F432" s="111"/>
      <c r="G432" s="109"/>
      <c r="H432" s="112"/>
      <c r="I432" s="110"/>
      <c r="J432" s="110"/>
      <c r="K432" s="443"/>
      <c r="L432" s="444"/>
    </row>
    <row r="433" spans="2:12" ht="120" customHeight="1" x14ac:dyDescent="0.3">
      <c r="B433" s="109"/>
      <c r="C433" s="110"/>
      <c r="D433" s="441"/>
      <c r="E433" s="442"/>
      <c r="F433" s="111"/>
      <c r="G433" s="109"/>
      <c r="H433" s="112"/>
      <c r="I433" s="110"/>
      <c r="J433" s="110"/>
      <c r="K433" s="443"/>
      <c r="L433" s="444"/>
    </row>
    <row r="434" spans="2:12" ht="120" customHeight="1" x14ac:dyDescent="0.3">
      <c r="B434" s="109"/>
      <c r="C434" s="110"/>
      <c r="D434" s="441"/>
      <c r="E434" s="442"/>
      <c r="F434" s="111"/>
      <c r="G434" s="109"/>
      <c r="H434" s="112"/>
      <c r="I434" s="110"/>
      <c r="J434" s="110"/>
      <c r="K434" s="443"/>
      <c r="L434" s="444"/>
    </row>
    <row r="435" spans="2:12" ht="120" customHeight="1" x14ac:dyDescent="0.3">
      <c r="B435" s="109"/>
      <c r="C435" s="110"/>
      <c r="D435" s="441"/>
      <c r="E435" s="442"/>
      <c r="F435" s="111"/>
      <c r="G435" s="109"/>
      <c r="H435" s="112"/>
      <c r="I435" s="110"/>
      <c r="J435" s="110"/>
      <c r="K435" s="443"/>
      <c r="L435" s="444"/>
    </row>
    <row r="436" spans="2:12" ht="120" customHeight="1" x14ac:dyDescent="0.3">
      <c r="B436" s="109"/>
      <c r="C436" s="110"/>
      <c r="D436" s="441"/>
      <c r="E436" s="442"/>
      <c r="F436" s="111"/>
      <c r="G436" s="109"/>
      <c r="H436" s="112"/>
      <c r="I436" s="110"/>
      <c r="J436" s="110"/>
      <c r="K436" s="443"/>
      <c r="L436" s="444"/>
    </row>
    <row r="437" spans="2:12" ht="120" customHeight="1" x14ac:dyDescent="0.3">
      <c r="B437" s="109"/>
      <c r="C437" s="110"/>
      <c r="D437" s="441"/>
      <c r="E437" s="442"/>
      <c r="F437" s="111"/>
      <c r="G437" s="109"/>
      <c r="H437" s="112"/>
      <c r="I437" s="110"/>
      <c r="J437" s="110"/>
      <c r="K437" s="443"/>
      <c r="L437" s="444"/>
    </row>
    <row r="438" spans="2:12" ht="120" customHeight="1" x14ac:dyDescent="0.3">
      <c r="B438" s="109"/>
      <c r="C438" s="110"/>
      <c r="D438" s="441"/>
      <c r="E438" s="442"/>
      <c r="F438" s="111"/>
      <c r="G438" s="109"/>
      <c r="H438" s="112"/>
      <c r="I438" s="110"/>
      <c r="J438" s="110"/>
      <c r="K438" s="443"/>
      <c r="L438" s="444"/>
    </row>
    <row r="439" spans="2:12" ht="120" customHeight="1" x14ac:dyDescent="0.3">
      <c r="B439" s="109"/>
      <c r="C439" s="110"/>
      <c r="D439" s="441"/>
      <c r="E439" s="442"/>
      <c r="F439" s="111"/>
      <c r="G439" s="109"/>
      <c r="H439" s="112"/>
      <c r="I439" s="110"/>
      <c r="J439" s="110"/>
      <c r="K439" s="443"/>
      <c r="L439" s="444"/>
    </row>
    <row r="440" spans="2:12" ht="120" customHeight="1" x14ac:dyDescent="0.3">
      <c r="B440" s="109"/>
      <c r="C440" s="110"/>
      <c r="D440" s="441"/>
      <c r="E440" s="442"/>
      <c r="F440" s="111"/>
      <c r="G440" s="109"/>
      <c r="H440" s="112"/>
      <c r="I440" s="110"/>
      <c r="J440" s="110"/>
      <c r="K440" s="443"/>
      <c r="L440" s="444"/>
    </row>
    <row r="441" spans="2:12" ht="120" customHeight="1" x14ac:dyDescent="0.3">
      <c r="B441" s="109"/>
      <c r="C441" s="110"/>
      <c r="D441" s="441"/>
      <c r="E441" s="442"/>
      <c r="F441" s="111"/>
      <c r="G441" s="109"/>
      <c r="H441" s="112"/>
      <c r="I441" s="110"/>
      <c r="J441" s="110"/>
      <c r="K441" s="443"/>
      <c r="L441" s="444"/>
    </row>
    <row r="442" spans="2:12" ht="120" customHeight="1" x14ac:dyDescent="0.3">
      <c r="B442" s="109"/>
      <c r="C442" s="110"/>
      <c r="D442" s="441"/>
      <c r="E442" s="442"/>
      <c r="F442" s="111"/>
      <c r="G442" s="109"/>
      <c r="H442" s="112"/>
      <c r="I442" s="110"/>
      <c r="J442" s="110"/>
      <c r="K442" s="443"/>
      <c r="L442" s="444"/>
    </row>
    <row r="443" spans="2:12" ht="120" customHeight="1" x14ac:dyDescent="0.3">
      <c r="B443" s="109"/>
      <c r="C443" s="110"/>
      <c r="D443" s="441"/>
      <c r="E443" s="442"/>
      <c r="F443" s="111"/>
      <c r="G443" s="109"/>
      <c r="H443" s="112"/>
      <c r="I443" s="110"/>
      <c r="J443" s="110"/>
      <c r="K443" s="443"/>
      <c r="L443" s="444"/>
    </row>
    <row r="444" spans="2:12" ht="120" customHeight="1" x14ac:dyDescent="0.3">
      <c r="B444" s="109"/>
      <c r="C444" s="110"/>
      <c r="D444" s="441"/>
      <c r="E444" s="442"/>
      <c r="F444" s="111"/>
      <c r="G444" s="109"/>
      <c r="H444" s="112"/>
      <c r="I444" s="110"/>
      <c r="J444" s="110"/>
      <c r="K444" s="443"/>
      <c r="L444" s="444"/>
    </row>
    <row r="445" spans="2:12" ht="120" customHeight="1" x14ac:dyDescent="0.3">
      <c r="B445" s="109"/>
      <c r="C445" s="110"/>
      <c r="D445" s="441"/>
      <c r="E445" s="442"/>
      <c r="F445" s="111"/>
      <c r="G445" s="109"/>
      <c r="H445" s="112"/>
      <c r="I445" s="110"/>
      <c r="J445" s="110"/>
      <c r="K445" s="443"/>
      <c r="L445" s="444"/>
    </row>
    <row r="446" spans="2:12" ht="120" customHeight="1" x14ac:dyDescent="0.3">
      <c r="B446" s="109"/>
      <c r="C446" s="110"/>
      <c r="D446" s="441"/>
      <c r="E446" s="442"/>
      <c r="F446" s="111"/>
      <c r="G446" s="109"/>
      <c r="H446" s="112"/>
      <c r="I446" s="110"/>
      <c r="J446" s="110"/>
      <c r="K446" s="443"/>
      <c r="L446" s="444"/>
    </row>
    <row r="447" spans="2:12" ht="120" customHeight="1" x14ac:dyDescent="0.3">
      <c r="B447" s="109"/>
      <c r="C447" s="110"/>
      <c r="D447" s="441"/>
      <c r="E447" s="442"/>
      <c r="F447" s="111"/>
      <c r="G447" s="109"/>
      <c r="H447" s="112"/>
      <c r="I447" s="110"/>
      <c r="J447" s="110"/>
      <c r="K447" s="443"/>
      <c r="L447" s="444"/>
    </row>
    <row r="448" spans="2:12" ht="120" customHeight="1" x14ac:dyDescent="0.3">
      <c r="B448" s="109"/>
      <c r="C448" s="110"/>
      <c r="D448" s="441"/>
      <c r="E448" s="442"/>
      <c r="F448" s="111"/>
      <c r="G448" s="109"/>
      <c r="H448" s="112"/>
      <c r="I448" s="110"/>
      <c r="J448" s="110"/>
      <c r="K448" s="443"/>
      <c r="L448" s="444"/>
    </row>
    <row r="449" spans="2:12" ht="120" customHeight="1" x14ac:dyDescent="0.3">
      <c r="B449" s="109"/>
      <c r="C449" s="110"/>
      <c r="D449" s="441"/>
      <c r="E449" s="442"/>
      <c r="F449" s="111"/>
      <c r="G449" s="109"/>
      <c r="H449" s="112"/>
      <c r="I449" s="110"/>
      <c r="J449" s="110"/>
      <c r="K449" s="443"/>
      <c r="L449" s="444"/>
    </row>
    <row r="450" spans="2:12" ht="120" customHeight="1" x14ac:dyDescent="0.3">
      <c r="B450" s="109"/>
      <c r="C450" s="110"/>
      <c r="D450" s="441"/>
      <c r="E450" s="442"/>
      <c r="F450" s="111"/>
      <c r="G450" s="109"/>
      <c r="H450" s="112"/>
      <c r="I450" s="110"/>
      <c r="J450" s="110"/>
      <c r="K450" s="443"/>
      <c r="L450" s="444"/>
    </row>
    <row r="451" spans="2:12" ht="120" customHeight="1" x14ac:dyDescent="0.3">
      <c r="B451" s="109"/>
      <c r="C451" s="110"/>
      <c r="D451" s="441"/>
      <c r="E451" s="442"/>
      <c r="F451" s="111"/>
      <c r="G451" s="109"/>
      <c r="H451" s="112"/>
      <c r="I451" s="110"/>
      <c r="J451" s="110"/>
      <c r="K451" s="443"/>
      <c r="L451" s="444"/>
    </row>
    <row r="452" spans="2:12" ht="120" customHeight="1" x14ac:dyDescent="0.3">
      <c r="B452" s="109"/>
      <c r="C452" s="110"/>
      <c r="D452" s="441"/>
      <c r="E452" s="442"/>
      <c r="F452" s="111"/>
      <c r="G452" s="109"/>
      <c r="H452" s="112"/>
      <c r="I452" s="110"/>
      <c r="J452" s="110"/>
      <c r="K452" s="443"/>
      <c r="L452" s="444"/>
    </row>
    <row r="453" spans="2:12" ht="120" customHeight="1" x14ac:dyDescent="0.3">
      <c r="B453" s="109"/>
      <c r="C453" s="110"/>
      <c r="D453" s="441"/>
      <c r="E453" s="442"/>
      <c r="F453" s="111"/>
      <c r="G453" s="109"/>
      <c r="H453" s="112"/>
      <c r="I453" s="110"/>
      <c r="J453" s="110"/>
      <c r="K453" s="443"/>
      <c r="L453" s="444"/>
    </row>
    <row r="454" spans="2:12" ht="120" customHeight="1" x14ac:dyDescent="0.3">
      <c r="B454" s="109"/>
      <c r="C454" s="110"/>
      <c r="D454" s="441"/>
      <c r="E454" s="442"/>
      <c r="F454" s="111"/>
      <c r="G454" s="109"/>
      <c r="H454" s="112"/>
      <c r="I454" s="110"/>
      <c r="J454" s="110"/>
      <c r="K454" s="443"/>
      <c r="L454" s="444"/>
    </row>
    <row r="455" spans="2:12" ht="120" customHeight="1" x14ac:dyDescent="0.3">
      <c r="B455" s="109"/>
      <c r="C455" s="110"/>
      <c r="D455" s="441"/>
      <c r="E455" s="442"/>
      <c r="F455" s="111"/>
      <c r="G455" s="109"/>
      <c r="H455" s="112"/>
      <c r="I455" s="110"/>
      <c r="J455" s="110"/>
      <c r="K455" s="443"/>
      <c r="L455" s="444"/>
    </row>
    <row r="456" spans="2:12" ht="120" customHeight="1" x14ac:dyDescent="0.3">
      <c r="B456" s="109"/>
      <c r="C456" s="110"/>
      <c r="D456" s="441"/>
      <c r="E456" s="442"/>
      <c r="F456" s="111"/>
      <c r="G456" s="109"/>
      <c r="H456" s="112"/>
      <c r="I456" s="110"/>
      <c r="J456" s="110"/>
      <c r="K456" s="443"/>
      <c r="L456" s="444"/>
    </row>
    <row r="457" spans="2:12" ht="120" customHeight="1" x14ac:dyDescent="0.3">
      <c r="B457" s="109"/>
      <c r="C457" s="110"/>
      <c r="D457" s="441"/>
      <c r="E457" s="442"/>
      <c r="F457" s="111"/>
      <c r="G457" s="109"/>
      <c r="H457" s="112"/>
      <c r="I457" s="110"/>
      <c r="J457" s="110"/>
      <c r="K457" s="443"/>
      <c r="L457" s="444"/>
    </row>
    <row r="458" spans="2:12" ht="120" customHeight="1" x14ac:dyDescent="0.3">
      <c r="B458" s="109"/>
      <c r="C458" s="110"/>
      <c r="D458" s="441"/>
      <c r="E458" s="442"/>
      <c r="F458" s="111"/>
      <c r="G458" s="109"/>
      <c r="H458" s="112"/>
      <c r="I458" s="110"/>
      <c r="J458" s="110"/>
      <c r="K458" s="443"/>
      <c r="L458" s="444"/>
    </row>
    <row r="459" spans="2:12" ht="120" customHeight="1" x14ac:dyDescent="0.3">
      <c r="B459" s="109"/>
      <c r="C459" s="110"/>
      <c r="D459" s="441"/>
      <c r="E459" s="442"/>
      <c r="F459" s="111"/>
      <c r="G459" s="109"/>
      <c r="H459" s="112"/>
      <c r="I459" s="110"/>
      <c r="J459" s="110"/>
      <c r="K459" s="443"/>
      <c r="L459" s="444"/>
    </row>
    <row r="460" spans="2:12" ht="120" customHeight="1" x14ac:dyDescent="0.3">
      <c r="B460" s="109"/>
      <c r="C460" s="110"/>
      <c r="D460" s="441"/>
      <c r="E460" s="442"/>
      <c r="F460" s="111"/>
      <c r="G460" s="109"/>
      <c r="H460" s="112"/>
      <c r="I460" s="110"/>
      <c r="J460" s="110"/>
      <c r="K460" s="443"/>
      <c r="L460" s="444"/>
    </row>
    <row r="461" spans="2:12" ht="120" customHeight="1" x14ac:dyDescent="0.3">
      <c r="B461" s="109"/>
      <c r="C461" s="110"/>
      <c r="D461" s="441"/>
      <c r="E461" s="442"/>
      <c r="F461" s="111"/>
      <c r="G461" s="109"/>
      <c r="H461" s="112"/>
      <c r="I461" s="110"/>
      <c r="J461" s="110"/>
      <c r="K461" s="443"/>
      <c r="L461" s="444"/>
    </row>
    <row r="462" spans="2:12" ht="120" customHeight="1" x14ac:dyDescent="0.3">
      <c r="B462" s="109"/>
      <c r="C462" s="110"/>
      <c r="D462" s="441"/>
      <c r="E462" s="442"/>
      <c r="F462" s="111"/>
      <c r="G462" s="109"/>
      <c r="H462" s="112"/>
      <c r="I462" s="110"/>
      <c r="J462" s="110"/>
      <c r="K462" s="443"/>
      <c r="L462" s="444"/>
    </row>
    <row r="463" spans="2:12" ht="120" customHeight="1" x14ac:dyDescent="0.3">
      <c r="B463" s="109"/>
      <c r="C463" s="110"/>
      <c r="D463" s="441"/>
      <c r="E463" s="442"/>
      <c r="F463" s="111"/>
      <c r="G463" s="109"/>
      <c r="H463" s="112"/>
      <c r="I463" s="110"/>
      <c r="J463" s="110"/>
      <c r="K463" s="443"/>
      <c r="L463" s="444"/>
    </row>
    <row r="464" spans="2:12" ht="120" customHeight="1" x14ac:dyDescent="0.3">
      <c r="B464" s="109"/>
      <c r="C464" s="110"/>
      <c r="D464" s="441"/>
      <c r="E464" s="442"/>
      <c r="F464" s="111"/>
      <c r="G464" s="109"/>
      <c r="H464" s="112"/>
      <c r="I464" s="110"/>
      <c r="J464" s="110"/>
      <c r="K464" s="443"/>
      <c r="L464" s="444"/>
    </row>
    <row r="465" spans="2:12" ht="120" customHeight="1" x14ac:dyDescent="0.3">
      <c r="B465" s="109"/>
      <c r="C465" s="110"/>
      <c r="D465" s="441"/>
      <c r="E465" s="442"/>
      <c r="F465" s="111"/>
      <c r="G465" s="109"/>
      <c r="H465" s="112"/>
      <c r="I465" s="110"/>
      <c r="J465" s="110"/>
      <c r="K465" s="443"/>
      <c r="L465" s="444"/>
    </row>
    <row r="466" spans="2:12" ht="120" customHeight="1" x14ac:dyDescent="0.3">
      <c r="B466" s="109"/>
      <c r="C466" s="110"/>
      <c r="D466" s="441"/>
      <c r="E466" s="442"/>
      <c r="F466" s="111"/>
      <c r="G466" s="109"/>
      <c r="H466" s="112"/>
      <c r="I466" s="110"/>
      <c r="J466" s="110"/>
      <c r="K466" s="443"/>
      <c r="L466" s="444"/>
    </row>
    <row r="467" spans="2:12" ht="120" customHeight="1" x14ac:dyDescent="0.3">
      <c r="B467" s="109"/>
      <c r="C467" s="110"/>
      <c r="D467" s="441"/>
      <c r="E467" s="442"/>
      <c r="F467" s="111"/>
      <c r="G467" s="109"/>
      <c r="H467" s="112"/>
      <c r="I467" s="110"/>
      <c r="J467" s="110"/>
      <c r="K467" s="443"/>
      <c r="L467" s="444"/>
    </row>
    <row r="468" spans="2:12" ht="120" customHeight="1" x14ac:dyDescent="0.3">
      <c r="B468" s="109"/>
      <c r="C468" s="110"/>
      <c r="D468" s="441"/>
      <c r="E468" s="442"/>
      <c r="F468" s="111"/>
      <c r="G468" s="109"/>
      <c r="H468" s="112"/>
      <c r="I468" s="110"/>
      <c r="J468" s="110"/>
      <c r="K468" s="443"/>
      <c r="L468" s="444"/>
    </row>
    <row r="469" spans="2:12" ht="120" customHeight="1" x14ac:dyDescent="0.3">
      <c r="B469" s="109"/>
      <c r="C469" s="110"/>
      <c r="D469" s="441"/>
      <c r="E469" s="442"/>
      <c r="F469" s="111"/>
      <c r="G469" s="109"/>
      <c r="H469" s="112"/>
      <c r="I469" s="110"/>
      <c r="J469" s="110"/>
      <c r="K469" s="443"/>
      <c r="L469" s="444"/>
    </row>
    <row r="470" spans="2:12" ht="120" customHeight="1" x14ac:dyDescent="0.3">
      <c r="B470" s="109"/>
      <c r="C470" s="110"/>
      <c r="D470" s="441"/>
      <c r="E470" s="442"/>
      <c r="F470" s="111"/>
      <c r="G470" s="109"/>
      <c r="H470" s="112"/>
      <c r="I470" s="110"/>
      <c r="J470" s="110"/>
      <c r="K470" s="443"/>
      <c r="L470" s="444"/>
    </row>
    <row r="471" spans="2:12" ht="120" customHeight="1" x14ac:dyDescent="0.3">
      <c r="B471" s="109"/>
      <c r="C471" s="110"/>
      <c r="D471" s="441"/>
      <c r="E471" s="442"/>
      <c r="F471" s="111"/>
      <c r="G471" s="109"/>
      <c r="H471" s="112"/>
      <c r="I471" s="110"/>
      <c r="J471" s="110"/>
      <c r="K471" s="443"/>
      <c r="L471" s="444"/>
    </row>
    <row r="472" spans="2:12" ht="120" customHeight="1" x14ac:dyDescent="0.3">
      <c r="B472" s="109"/>
      <c r="C472" s="110"/>
      <c r="D472" s="441"/>
      <c r="E472" s="442"/>
      <c r="F472" s="111"/>
      <c r="G472" s="109"/>
      <c r="H472" s="112"/>
      <c r="I472" s="110"/>
      <c r="J472" s="110"/>
      <c r="K472" s="443"/>
      <c r="L472" s="444"/>
    </row>
    <row r="473" spans="2:12" ht="120" customHeight="1" x14ac:dyDescent="0.3">
      <c r="B473" s="109"/>
      <c r="C473" s="110"/>
      <c r="D473" s="441"/>
      <c r="E473" s="442"/>
      <c r="F473" s="111"/>
      <c r="G473" s="109"/>
      <c r="H473" s="112"/>
      <c r="I473" s="110"/>
      <c r="J473" s="110"/>
      <c r="K473" s="443"/>
      <c r="L473" s="444"/>
    </row>
    <row r="474" spans="2:12" ht="120" customHeight="1" x14ac:dyDescent="0.3">
      <c r="B474" s="109"/>
      <c r="C474" s="110"/>
      <c r="D474" s="441"/>
      <c r="E474" s="442"/>
      <c r="F474" s="111"/>
      <c r="G474" s="109"/>
      <c r="H474" s="112"/>
      <c r="I474" s="110"/>
      <c r="J474" s="110"/>
      <c r="K474" s="443"/>
      <c r="L474" s="444"/>
    </row>
    <row r="475" spans="2:12" ht="120" customHeight="1" x14ac:dyDescent="0.3">
      <c r="B475" s="109"/>
      <c r="C475" s="110"/>
      <c r="D475" s="441"/>
      <c r="E475" s="442"/>
      <c r="F475" s="111"/>
      <c r="G475" s="109"/>
      <c r="H475" s="112"/>
      <c r="I475" s="110"/>
      <c r="J475" s="110"/>
      <c r="K475" s="443"/>
      <c r="L475" s="444"/>
    </row>
    <row r="476" spans="2:12" ht="120" customHeight="1" x14ac:dyDescent="0.3">
      <c r="B476" s="109"/>
      <c r="C476" s="110"/>
      <c r="D476" s="441"/>
      <c r="E476" s="442"/>
      <c r="F476" s="111"/>
      <c r="G476" s="109"/>
      <c r="H476" s="112"/>
      <c r="I476" s="110"/>
      <c r="J476" s="110"/>
      <c r="K476" s="443"/>
      <c r="L476" s="444"/>
    </row>
    <row r="477" spans="2:12" ht="120" customHeight="1" x14ac:dyDescent="0.3">
      <c r="B477" s="109"/>
      <c r="C477" s="110"/>
      <c r="D477" s="441"/>
      <c r="E477" s="442"/>
      <c r="F477" s="111"/>
      <c r="G477" s="109"/>
      <c r="H477" s="112"/>
      <c r="I477" s="110"/>
      <c r="J477" s="110"/>
      <c r="K477" s="443"/>
      <c r="L477" s="444"/>
    </row>
    <row r="478" spans="2:12" ht="120" customHeight="1" x14ac:dyDescent="0.3">
      <c r="B478" s="109"/>
      <c r="C478" s="110"/>
      <c r="D478" s="441"/>
      <c r="E478" s="442"/>
      <c r="F478" s="111"/>
      <c r="G478" s="109"/>
      <c r="H478" s="112"/>
      <c r="I478" s="110"/>
      <c r="J478" s="110"/>
      <c r="K478" s="443"/>
      <c r="L478" s="444"/>
    </row>
    <row r="479" spans="2:12" ht="120" customHeight="1" x14ac:dyDescent="0.3">
      <c r="B479" s="109"/>
      <c r="C479" s="110"/>
      <c r="D479" s="441"/>
      <c r="E479" s="442"/>
      <c r="F479" s="111"/>
      <c r="G479" s="109"/>
      <c r="H479" s="112"/>
      <c r="I479" s="110"/>
      <c r="J479" s="110"/>
      <c r="K479" s="443"/>
      <c r="L479" s="444"/>
    </row>
    <row r="480" spans="2:12" ht="120" customHeight="1" x14ac:dyDescent="0.3">
      <c r="B480" s="109"/>
      <c r="C480" s="110"/>
      <c r="D480" s="441"/>
      <c r="E480" s="442"/>
      <c r="F480" s="111"/>
      <c r="G480" s="109"/>
      <c r="H480" s="112"/>
      <c r="I480" s="110"/>
      <c r="J480" s="110"/>
      <c r="K480" s="443"/>
      <c r="L480" s="444"/>
    </row>
    <row r="481" spans="2:12" ht="120" customHeight="1" x14ac:dyDescent="0.3">
      <c r="B481" s="109"/>
      <c r="C481" s="110"/>
      <c r="D481" s="441"/>
      <c r="E481" s="442"/>
      <c r="F481" s="111"/>
      <c r="G481" s="109"/>
      <c r="H481" s="112"/>
      <c r="I481" s="110"/>
      <c r="J481" s="110"/>
      <c r="K481" s="443"/>
      <c r="L481" s="444"/>
    </row>
    <row r="482" spans="2:12" ht="120" customHeight="1" x14ac:dyDescent="0.3">
      <c r="B482" s="109"/>
      <c r="C482" s="110"/>
      <c r="D482" s="441"/>
      <c r="E482" s="442"/>
      <c r="F482" s="111"/>
      <c r="G482" s="109"/>
      <c r="H482" s="112"/>
      <c r="I482" s="110"/>
      <c r="J482" s="110"/>
      <c r="K482" s="443"/>
      <c r="L482" s="444"/>
    </row>
    <row r="483" spans="2:12" ht="120" customHeight="1" x14ac:dyDescent="0.3">
      <c r="B483" s="109"/>
      <c r="C483" s="110"/>
      <c r="D483" s="441"/>
      <c r="E483" s="442"/>
      <c r="F483" s="111"/>
      <c r="G483" s="109"/>
      <c r="H483" s="112"/>
      <c r="I483" s="110"/>
      <c r="J483" s="110"/>
      <c r="K483" s="443"/>
      <c r="L483" s="444"/>
    </row>
    <row r="484" spans="2:12" ht="120" customHeight="1" x14ac:dyDescent="0.3">
      <c r="B484" s="109"/>
      <c r="C484" s="110"/>
      <c r="D484" s="441"/>
      <c r="E484" s="442"/>
      <c r="F484" s="111"/>
      <c r="G484" s="109"/>
      <c r="H484" s="112"/>
      <c r="I484" s="110"/>
      <c r="J484" s="110"/>
      <c r="K484" s="443"/>
      <c r="L484" s="444"/>
    </row>
    <row r="485" spans="2:12" ht="120" customHeight="1" x14ac:dyDescent="0.3">
      <c r="B485" s="109"/>
      <c r="C485" s="110"/>
      <c r="D485" s="441"/>
      <c r="E485" s="442"/>
      <c r="F485" s="111"/>
      <c r="G485" s="109"/>
      <c r="H485" s="112"/>
      <c r="I485" s="110"/>
      <c r="J485" s="110"/>
      <c r="K485" s="443"/>
      <c r="L485" s="444"/>
    </row>
    <row r="486" spans="2:12" ht="120" customHeight="1" x14ac:dyDescent="0.3">
      <c r="B486" s="109"/>
      <c r="C486" s="110"/>
      <c r="D486" s="441"/>
      <c r="E486" s="442"/>
      <c r="F486" s="111"/>
      <c r="G486" s="109"/>
      <c r="H486" s="112"/>
      <c r="I486" s="110"/>
      <c r="J486" s="110"/>
      <c r="K486" s="443"/>
      <c r="L486" s="444"/>
    </row>
    <row r="487" spans="2:12" ht="120" customHeight="1" x14ac:dyDescent="0.3">
      <c r="B487" s="109"/>
      <c r="C487" s="110"/>
      <c r="D487" s="441"/>
      <c r="E487" s="442"/>
      <c r="F487" s="111"/>
      <c r="G487" s="109"/>
      <c r="H487" s="112"/>
      <c r="I487" s="110"/>
      <c r="J487" s="110"/>
      <c r="K487" s="443"/>
      <c r="L487" s="444"/>
    </row>
    <row r="488" spans="2:12" ht="120" customHeight="1" x14ac:dyDescent="0.3">
      <c r="B488" s="109"/>
      <c r="C488" s="110"/>
      <c r="D488" s="441"/>
      <c r="E488" s="442"/>
      <c r="F488" s="111"/>
      <c r="G488" s="109"/>
      <c r="H488" s="112"/>
      <c r="I488" s="110"/>
      <c r="J488" s="110"/>
      <c r="K488" s="443"/>
      <c r="L488" s="444"/>
    </row>
    <row r="489" spans="2:12" ht="120" customHeight="1" x14ac:dyDescent="0.3">
      <c r="B489" s="109"/>
      <c r="C489" s="110"/>
      <c r="D489" s="441"/>
      <c r="E489" s="442"/>
      <c r="F489" s="111"/>
      <c r="G489" s="109"/>
      <c r="H489" s="112"/>
      <c r="I489" s="110"/>
      <c r="J489" s="110"/>
      <c r="K489" s="443"/>
      <c r="L489" s="444"/>
    </row>
    <row r="490" spans="2:12" ht="120" customHeight="1" x14ac:dyDescent="0.3">
      <c r="B490" s="109"/>
      <c r="C490" s="110"/>
      <c r="D490" s="441"/>
      <c r="E490" s="442"/>
      <c r="F490" s="111"/>
      <c r="G490" s="109"/>
      <c r="H490" s="112"/>
      <c r="I490" s="110"/>
      <c r="J490" s="110"/>
      <c r="K490" s="443"/>
      <c r="L490" s="444"/>
    </row>
    <row r="491" spans="2:12" ht="120" customHeight="1" x14ac:dyDescent="0.3">
      <c r="B491" s="109"/>
      <c r="C491" s="110"/>
      <c r="D491" s="441"/>
      <c r="E491" s="442"/>
      <c r="F491" s="111"/>
      <c r="G491" s="109"/>
      <c r="H491" s="112"/>
      <c r="I491" s="110"/>
      <c r="J491" s="110"/>
      <c r="K491" s="443"/>
      <c r="L491" s="444"/>
    </row>
    <row r="492" spans="2:12" ht="120" customHeight="1" x14ac:dyDescent="0.3">
      <c r="B492" s="109"/>
      <c r="C492" s="110"/>
      <c r="D492" s="441"/>
      <c r="E492" s="442"/>
      <c r="F492" s="111"/>
      <c r="G492" s="109"/>
      <c r="H492" s="112"/>
      <c r="I492" s="110"/>
      <c r="J492" s="110"/>
      <c r="K492" s="443"/>
      <c r="L492" s="444"/>
    </row>
    <row r="493" spans="2:12" ht="120" customHeight="1" x14ac:dyDescent="0.3">
      <c r="B493" s="109"/>
      <c r="C493" s="110"/>
      <c r="D493" s="441"/>
      <c r="E493" s="442"/>
      <c r="F493" s="111"/>
      <c r="G493" s="109"/>
      <c r="H493" s="112"/>
      <c r="I493" s="110"/>
      <c r="J493" s="110"/>
      <c r="K493" s="443"/>
      <c r="L493" s="444"/>
    </row>
    <row r="494" spans="2:12" ht="120" customHeight="1" x14ac:dyDescent="0.3">
      <c r="B494" s="109"/>
      <c r="C494" s="110"/>
      <c r="D494" s="441"/>
      <c r="E494" s="442"/>
      <c r="F494" s="111"/>
      <c r="G494" s="109"/>
      <c r="H494" s="112"/>
      <c r="I494" s="110"/>
      <c r="J494" s="110"/>
      <c r="K494" s="443"/>
      <c r="L494" s="444"/>
    </row>
    <row r="495" spans="2:12" ht="120" customHeight="1" x14ac:dyDescent="0.3">
      <c r="B495" s="109"/>
      <c r="C495" s="110"/>
      <c r="D495" s="441"/>
      <c r="E495" s="442"/>
      <c r="F495" s="111"/>
      <c r="G495" s="109"/>
      <c r="H495" s="112"/>
      <c r="I495" s="110"/>
      <c r="J495" s="110"/>
      <c r="K495" s="443"/>
      <c r="L495" s="444"/>
    </row>
    <row r="496" spans="2:12" ht="120" customHeight="1" x14ac:dyDescent="0.3">
      <c r="B496" s="109"/>
      <c r="C496" s="110"/>
      <c r="D496" s="441"/>
      <c r="E496" s="442"/>
      <c r="F496" s="111"/>
      <c r="G496" s="109"/>
      <c r="H496" s="112"/>
      <c r="I496" s="110"/>
      <c r="J496" s="110"/>
      <c r="K496" s="443"/>
      <c r="L496" s="444"/>
    </row>
    <row r="497" spans="2:12" ht="120" customHeight="1" x14ac:dyDescent="0.3">
      <c r="B497" s="109"/>
      <c r="C497" s="110"/>
      <c r="D497" s="441"/>
      <c r="E497" s="442"/>
      <c r="F497" s="111"/>
      <c r="G497" s="109"/>
      <c r="H497" s="112"/>
      <c r="I497" s="110"/>
      <c r="J497" s="110"/>
      <c r="K497" s="443"/>
      <c r="L497" s="444"/>
    </row>
    <row r="498" spans="2:12" ht="120" customHeight="1" x14ac:dyDescent="0.3">
      <c r="B498" s="109"/>
      <c r="C498" s="110"/>
      <c r="D498" s="441"/>
      <c r="E498" s="442"/>
      <c r="F498" s="111"/>
      <c r="G498" s="109"/>
      <c r="H498" s="112"/>
      <c r="I498" s="110"/>
      <c r="J498" s="110"/>
      <c r="K498" s="443"/>
      <c r="L498" s="444"/>
    </row>
    <row r="499" spans="2:12" ht="120" customHeight="1" x14ac:dyDescent="0.3">
      <c r="B499" s="109"/>
      <c r="C499" s="110"/>
      <c r="D499" s="441"/>
      <c r="E499" s="442"/>
      <c r="F499" s="111"/>
      <c r="G499" s="109"/>
      <c r="H499" s="112"/>
      <c r="I499" s="110"/>
      <c r="J499" s="110"/>
      <c r="K499" s="443"/>
      <c r="L499" s="444"/>
    </row>
    <row r="500" spans="2:12" ht="120" customHeight="1" x14ac:dyDescent="0.3">
      <c r="B500" s="109"/>
      <c r="C500" s="110"/>
      <c r="D500" s="441"/>
      <c r="E500" s="442"/>
      <c r="F500" s="111"/>
      <c r="G500" s="109"/>
      <c r="H500" s="112"/>
      <c r="I500" s="110"/>
      <c r="J500" s="110"/>
      <c r="K500" s="443"/>
      <c r="L500" s="444"/>
    </row>
    <row r="501" spans="2:12" ht="120" customHeight="1" x14ac:dyDescent="0.3">
      <c r="B501" s="109"/>
      <c r="C501" s="110"/>
      <c r="D501" s="441"/>
      <c r="E501" s="442"/>
      <c r="F501" s="111"/>
      <c r="G501" s="109"/>
      <c r="H501" s="112"/>
      <c r="I501" s="110"/>
      <c r="J501" s="110"/>
      <c r="K501" s="443"/>
      <c r="L501" s="444"/>
    </row>
    <row r="502" spans="2:12" ht="120" customHeight="1" x14ac:dyDescent="0.3">
      <c r="B502" s="109"/>
      <c r="C502" s="110"/>
      <c r="D502" s="441"/>
      <c r="E502" s="442"/>
      <c r="F502" s="111"/>
      <c r="G502" s="109"/>
      <c r="H502" s="112"/>
      <c r="I502" s="110"/>
      <c r="J502" s="110"/>
      <c r="K502" s="443"/>
      <c r="L502" s="444"/>
    </row>
    <row r="503" spans="2:12" ht="120" customHeight="1" x14ac:dyDescent="0.3">
      <c r="B503" s="109"/>
      <c r="C503" s="110"/>
      <c r="D503" s="441"/>
      <c r="E503" s="442"/>
      <c r="F503" s="111"/>
      <c r="G503" s="109"/>
      <c r="H503" s="112"/>
      <c r="I503" s="110"/>
      <c r="J503" s="110"/>
      <c r="K503" s="443"/>
      <c r="L503" s="444"/>
    </row>
    <row r="504" spans="2:12" ht="120" customHeight="1" x14ac:dyDescent="0.3">
      <c r="B504" s="109"/>
      <c r="C504" s="110"/>
      <c r="D504" s="441"/>
      <c r="E504" s="442"/>
      <c r="F504" s="111"/>
      <c r="G504" s="109"/>
      <c r="H504" s="112"/>
      <c r="I504" s="110"/>
      <c r="J504" s="110"/>
      <c r="K504" s="443"/>
      <c r="L504" s="444"/>
    </row>
    <row r="505" spans="2:12" ht="120" customHeight="1" x14ac:dyDescent="0.3">
      <c r="B505" s="109"/>
      <c r="C505" s="110"/>
      <c r="D505" s="441"/>
      <c r="E505" s="442"/>
      <c r="F505" s="111"/>
      <c r="G505" s="109"/>
      <c r="H505" s="112"/>
      <c r="I505" s="110"/>
      <c r="J505" s="110"/>
      <c r="K505" s="443"/>
      <c r="L505" s="444"/>
    </row>
    <row r="506" spans="2:12" ht="120" customHeight="1" x14ac:dyDescent="0.3">
      <c r="B506" s="109"/>
      <c r="C506" s="110"/>
      <c r="D506" s="441"/>
      <c r="E506" s="442"/>
      <c r="F506" s="111"/>
      <c r="G506" s="109"/>
      <c r="H506" s="112"/>
      <c r="I506" s="110"/>
      <c r="J506" s="110"/>
      <c r="K506" s="443"/>
      <c r="L506" s="444"/>
    </row>
    <row r="507" spans="2:12" ht="120" customHeight="1" x14ac:dyDescent="0.3">
      <c r="B507" s="109"/>
      <c r="C507" s="110"/>
      <c r="D507" s="441"/>
      <c r="E507" s="442"/>
      <c r="F507" s="111"/>
      <c r="G507" s="109"/>
      <c r="H507" s="112"/>
      <c r="I507" s="110"/>
      <c r="J507" s="110"/>
      <c r="K507" s="443"/>
      <c r="L507" s="444"/>
    </row>
    <row r="508" spans="2:12" ht="120" customHeight="1" x14ac:dyDescent="0.3">
      <c r="B508" s="109"/>
      <c r="C508" s="110"/>
      <c r="D508" s="441"/>
      <c r="E508" s="442"/>
      <c r="F508" s="111"/>
      <c r="G508" s="109"/>
      <c r="H508" s="112"/>
      <c r="I508" s="110"/>
      <c r="J508" s="110"/>
      <c r="K508" s="443"/>
      <c r="L508" s="444"/>
    </row>
    <row r="509" spans="2:12" ht="120" customHeight="1" x14ac:dyDescent="0.3">
      <c r="B509" s="109"/>
      <c r="C509" s="110"/>
      <c r="D509" s="441"/>
      <c r="E509" s="442"/>
      <c r="F509" s="111"/>
      <c r="G509" s="109"/>
      <c r="H509" s="112"/>
      <c r="I509" s="110"/>
      <c r="J509" s="110"/>
      <c r="K509" s="443"/>
      <c r="L509" s="444"/>
    </row>
    <row r="510" spans="2:12" ht="120" customHeight="1" x14ac:dyDescent="0.3">
      <c r="B510" s="109"/>
      <c r="C510" s="110"/>
      <c r="D510" s="441"/>
      <c r="E510" s="442"/>
      <c r="F510" s="111"/>
      <c r="G510" s="109"/>
      <c r="H510" s="112"/>
      <c r="I510" s="110"/>
      <c r="J510" s="110"/>
      <c r="K510" s="443"/>
      <c r="L510" s="444"/>
    </row>
    <row r="511" spans="2:12" ht="120" customHeight="1" x14ac:dyDescent="0.3">
      <c r="B511" s="109"/>
      <c r="C511" s="110"/>
      <c r="D511" s="441"/>
      <c r="E511" s="442"/>
      <c r="F511" s="111"/>
      <c r="G511" s="109"/>
      <c r="H511" s="112"/>
      <c r="I511" s="110"/>
      <c r="J511" s="110"/>
      <c r="K511" s="443"/>
      <c r="L511" s="444"/>
    </row>
    <row r="512" spans="2:12" ht="120" customHeight="1" x14ac:dyDescent="0.3">
      <c r="B512" s="109"/>
      <c r="C512" s="110"/>
      <c r="D512" s="441"/>
      <c r="E512" s="442"/>
      <c r="F512" s="111"/>
      <c r="G512" s="109"/>
      <c r="H512" s="112"/>
      <c r="I512" s="110"/>
      <c r="J512" s="110"/>
      <c r="K512" s="443"/>
      <c r="L512" s="444"/>
    </row>
    <row r="513" spans="2:12" ht="120" customHeight="1" x14ac:dyDescent="0.3">
      <c r="B513" s="109"/>
      <c r="C513" s="110"/>
      <c r="D513" s="441"/>
      <c r="E513" s="442"/>
      <c r="F513" s="111"/>
      <c r="G513" s="109"/>
      <c r="H513" s="112"/>
      <c r="I513" s="110"/>
      <c r="J513" s="110"/>
      <c r="K513" s="443"/>
      <c r="L513" s="444"/>
    </row>
    <row r="514" spans="2:12" ht="120" customHeight="1" x14ac:dyDescent="0.3">
      <c r="B514" s="109"/>
      <c r="C514" s="110"/>
      <c r="D514" s="441"/>
      <c r="E514" s="442"/>
      <c r="F514" s="111"/>
      <c r="G514" s="109"/>
      <c r="H514" s="112"/>
      <c r="I514" s="110"/>
      <c r="J514" s="110"/>
      <c r="K514" s="443"/>
      <c r="L514" s="444"/>
    </row>
    <row r="515" spans="2:12" ht="120" customHeight="1" x14ac:dyDescent="0.3">
      <c r="B515" s="109"/>
      <c r="C515" s="110"/>
      <c r="D515" s="441"/>
      <c r="E515" s="442"/>
      <c r="F515" s="111"/>
      <c r="G515" s="109"/>
      <c r="H515" s="112"/>
      <c r="I515" s="110"/>
      <c r="J515" s="110"/>
      <c r="K515" s="443"/>
      <c r="L515" s="444"/>
    </row>
    <row r="516" spans="2:12" ht="120" customHeight="1" x14ac:dyDescent="0.3">
      <c r="B516" s="109"/>
      <c r="C516" s="110"/>
      <c r="D516" s="441"/>
      <c r="E516" s="442"/>
      <c r="F516" s="111"/>
      <c r="G516" s="109"/>
      <c r="H516" s="112"/>
      <c r="I516" s="110"/>
      <c r="J516" s="110"/>
      <c r="K516" s="443"/>
      <c r="L516" s="444"/>
    </row>
    <row r="517" spans="2:12" ht="120" customHeight="1" x14ac:dyDescent="0.3">
      <c r="B517" s="109"/>
      <c r="C517" s="110"/>
      <c r="D517" s="441"/>
      <c r="E517" s="442"/>
      <c r="F517" s="111"/>
      <c r="G517" s="109"/>
      <c r="H517" s="112"/>
      <c r="I517" s="110"/>
      <c r="J517" s="110"/>
      <c r="K517" s="443"/>
      <c r="L517" s="444"/>
    </row>
    <row r="518" spans="2:12" ht="120" customHeight="1" x14ac:dyDescent="0.3">
      <c r="B518" s="109"/>
      <c r="C518" s="110"/>
      <c r="D518" s="441"/>
      <c r="E518" s="442"/>
      <c r="F518" s="111"/>
      <c r="G518" s="109"/>
      <c r="H518" s="112"/>
      <c r="I518" s="110"/>
      <c r="J518" s="110"/>
      <c r="K518" s="443"/>
      <c r="L518" s="444"/>
    </row>
    <row r="519" spans="2:12" ht="120" customHeight="1" x14ac:dyDescent="0.3">
      <c r="B519" s="109"/>
      <c r="C519" s="110"/>
      <c r="D519" s="441"/>
      <c r="E519" s="442"/>
      <c r="F519" s="111"/>
      <c r="G519" s="109"/>
      <c r="H519" s="112"/>
      <c r="I519" s="110"/>
      <c r="J519" s="110"/>
      <c r="K519" s="443"/>
      <c r="L519" s="444"/>
    </row>
    <row r="520" spans="2:12" ht="120" customHeight="1" x14ac:dyDescent="0.3">
      <c r="B520" s="109"/>
      <c r="C520" s="110"/>
      <c r="D520" s="441"/>
      <c r="E520" s="442"/>
      <c r="F520" s="111"/>
      <c r="G520" s="109"/>
      <c r="H520" s="112"/>
      <c r="I520" s="110"/>
      <c r="J520" s="110"/>
      <c r="K520" s="443"/>
      <c r="L520" s="444"/>
    </row>
    <row r="521" spans="2:12" ht="120" customHeight="1" x14ac:dyDescent="0.3">
      <c r="B521" s="109"/>
      <c r="C521" s="110"/>
      <c r="D521" s="441"/>
      <c r="E521" s="442"/>
      <c r="F521" s="111"/>
      <c r="G521" s="109"/>
      <c r="H521" s="112"/>
      <c r="I521" s="110"/>
      <c r="J521" s="110"/>
      <c r="K521" s="443"/>
      <c r="L521" s="444"/>
    </row>
    <row r="522" spans="2:12" ht="120" customHeight="1" x14ac:dyDescent="0.3">
      <c r="B522" s="109"/>
      <c r="C522" s="110"/>
      <c r="D522" s="441"/>
      <c r="E522" s="442"/>
      <c r="F522" s="111"/>
      <c r="G522" s="109"/>
      <c r="H522" s="112"/>
      <c r="I522" s="110"/>
      <c r="J522" s="110"/>
      <c r="K522" s="443"/>
      <c r="L522" s="444"/>
    </row>
    <row r="523" spans="2:12" ht="120" customHeight="1" x14ac:dyDescent="0.3">
      <c r="B523" s="109"/>
      <c r="C523" s="110"/>
      <c r="D523" s="441"/>
      <c r="E523" s="442"/>
      <c r="F523" s="111"/>
      <c r="G523" s="109"/>
      <c r="H523" s="112"/>
      <c r="I523" s="110"/>
      <c r="J523" s="110"/>
      <c r="K523" s="443"/>
      <c r="L523" s="444"/>
    </row>
    <row r="524" spans="2:12" ht="120" customHeight="1" x14ac:dyDescent="0.3">
      <c r="B524" s="109"/>
      <c r="C524" s="110"/>
      <c r="D524" s="441"/>
      <c r="E524" s="442"/>
      <c r="F524" s="111"/>
      <c r="G524" s="109"/>
      <c r="H524" s="112"/>
      <c r="I524" s="110"/>
      <c r="J524" s="110"/>
      <c r="K524" s="443"/>
      <c r="L524" s="444"/>
    </row>
    <row r="525" spans="2:12" ht="120" customHeight="1" x14ac:dyDescent="0.3">
      <c r="B525" s="109"/>
      <c r="C525" s="110"/>
      <c r="D525" s="441"/>
      <c r="E525" s="442"/>
      <c r="F525" s="111"/>
      <c r="G525" s="109"/>
      <c r="H525" s="112"/>
      <c r="I525" s="110"/>
      <c r="J525" s="110"/>
      <c r="K525" s="443"/>
      <c r="L525" s="444"/>
    </row>
    <row r="526" spans="2:12" ht="120" customHeight="1" x14ac:dyDescent="0.3">
      <c r="B526" s="109"/>
      <c r="C526" s="110"/>
      <c r="D526" s="441"/>
      <c r="E526" s="442"/>
      <c r="F526" s="111"/>
      <c r="G526" s="109"/>
      <c r="H526" s="112"/>
      <c r="I526" s="110"/>
      <c r="J526" s="110"/>
      <c r="K526" s="443"/>
      <c r="L526" s="444"/>
    </row>
    <row r="527" spans="2:12" ht="120" customHeight="1" x14ac:dyDescent="0.3">
      <c r="B527" s="109"/>
      <c r="C527" s="110"/>
      <c r="D527" s="441"/>
      <c r="E527" s="442"/>
      <c r="F527" s="111"/>
      <c r="G527" s="109"/>
      <c r="H527" s="112"/>
      <c r="I527" s="110"/>
      <c r="J527" s="110"/>
      <c r="K527" s="443"/>
      <c r="L527" s="444"/>
    </row>
    <row r="528" spans="2:12" ht="120" customHeight="1" x14ac:dyDescent="0.3">
      <c r="B528" s="109"/>
      <c r="C528" s="110"/>
      <c r="D528" s="441"/>
      <c r="E528" s="442"/>
      <c r="F528" s="111"/>
      <c r="G528" s="109"/>
      <c r="H528" s="112"/>
      <c r="I528" s="110"/>
      <c r="J528" s="110"/>
      <c r="K528" s="443"/>
      <c r="L528" s="444"/>
    </row>
    <row r="529" spans="2:12" ht="120" customHeight="1" x14ac:dyDescent="0.3">
      <c r="B529" s="109"/>
      <c r="C529" s="110"/>
      <c r="D529" s="441"/>
      <c r="E529" s="442"/>
      <c r="F529" s="111"/>
      <c r="G529" s="109"/>
      <c r="H529" s="112"/>
      <c r="I529" s="110"/>
      <c r="J529" s="110"/>
      <c r="K529" s="443"/>
      <c r="L529" s="444"/>
    </row>
    <row r="530" spans="2:12" ht="120" customHeight="1" x14ac:dyDescent="0.3">
      <c r="B530" s="109"/>
      <c r="C530" s="110"/>
      <c r="D530" s="441"/>
      <c r="E530" s="442"/>
      <c r="F530" s="111"/>
      <c r="G530" s="109"/>
      <c r="H530" s="112"/>
      <c r="I530" s="110"/>
      <c r="J530" s="110"/>
      <c r="K530" s="443"/>
      <c r="L530" s="444"/>
    </row>
    <row r="531" spans="2:12" ht="120" customHeight="1" x14ac:dyDescent="0.3">
      <c r="B531" s="109"/>
      <c r="C531" s="110"/>
      <c r="D531" s="441"/>
      <c r="E531" s="442"/>
      <c r="F531" s="111"/>
      <c r="G531" s="109"/>
      <c r="H531" s="112"/>
      <c r="I531" s="110"/>
      <c r="J531" s="110"/>
      <c r="K531" s="443"/>
      <c r="L531" s="444"/>
    </row>
    <row r="532" spans="2:12" ht="120" customHeight="1" x14ac:dyDescent="0.3">
      <c r="B532" s="109"/>
      <c r="C532" s="110"/>
      <c r="D532" s="441"/>
      <c r="E532" s="442"/>
      <c r="F532" s="111"/>
      <c r="G532" s="109"/>
      <c r="H532" s="112"/>
      <c r="I532" s="110"/>
      <c r="J532" s="110"/>
      <c r="K532" s="443"/>
      <c r="L532" s="444"/>
    </row>
    <row r="533" spans="2:12" ht="120" customHeight="1" x14ac:dyDescent="0.3">
      <c r="B533" s="109"/>
      <c r="C533" s="110"/>
      <c r="D533" s="441"/>
      <c r="E533" s="442"/>
      <c r="F533" s="111"/>
      <c r="G533" s="109"/>
      <c r="H533" s="112"/>
      <c r="I533" s="110"/>
      <c r="J533" s="110"/>
      <c r="K533" s="443"/>
      <c r="L533" s="444"/>
    </row>
    <row r="534" spans="2:12" ht="120" customHeight="1" x14ac:dyDescent="0.3">
      <c r="B534" s="109"/>
      <c r="C534" s="110"/>
      <c r="D534" s="441"/>
      <c r="E534" s="442"/>
      <c r="F534" s="111"/>
      <c r="G534" s="109"/>
      <c r="H534" s="112"/>
      <c r="I534" s="110"/>
      <c r="J534" s="110"/>
      <c r="K534" s="443"/>
      <c r="L534" s="444"/>
    </row>
    <row r="535" spans="2:12" ht="120" customHeight="1" x14ac:dyDescent="0.3">
      <c r="B535" s="109"/>
      <c r="C535" s="110"/>
      <c r="D535" s="441"/>
      <c r="E535" s="442"/>
      <c r="F535" s="111"/>
      <c r="G535" s="109"/>
      <c r="H535" s="112"/>
      <c r="I535" s="110"/>
      <c r="J535" s="110"/>
      <c r="K535" s="443"/>
      <c r="L535" s="444"/>
    </row>
    <row r="536" spans="2:12" ht="120" customHeight="1" x14ac:dyDescent="0.3">
      <c r="B536" s="109"/>
      <c r="C536" s="110"/>
      <c r="D536" s="441"/>
      <c r="E536" s="442"/>
      <c r="F536" s="111"/>
      <c r="G536" s="109"/>
      <c r="H536" s="112"/>
      <c r="I536" s="110"/>
      <c r="J536" s="110"/>
      <c r="K536" s="443"/>
      <c r="L536" s="444"/>
    </row>
    <row r="537" spans="2:12" ht="120" customHeight="1" x14ac:dyDescent="0.3">
      <c r="B537" s="109"/>
      <c r="C537" s="110"/>
      <c r="D537" s="441"/>
      <c r="E537" s="442"/>
      <c r="F537" s="111"/>
      <c r="G537" s="109"/>
      <c r="H537" s="112"/>
      <c r="I537" s="110"/>
      <c r="J537" s="110"/>
      <c r="K537" s="443"/>
      <c r="L537" s="444"/>
    </row>
    <row r="538" spans="2:12" ht="120" customHeight="1" x14ac:dyDescent="0.3">
      <c r="B538" s="109"/>
      <c r="C538" s="110"/>
      <c r="D538" s="441"/>
      <c r="E538" s="442"/>
      <c r="F538" s="111"/>
      <c r="G538" s="109"/>
      <c r="H538" s="112"/>
      <c r="I538" s="110"/>
      <c r="J538" s="110"/>
      <c r="K538" s="443"/>
      <c r="L538" s="444"/>
    </row>
    <row r="539" spans="2:12" ht="120" customHeight="1" x14ac:dyDescent="0.3">
      <c r="B539" s="109"/>
      <c r="C539" s="110"/>
      <c r="D539" s="441"/>
      <c r="E539" s="442"/>
      <c r="F539" s="111"/>
      <c r="G539" s="109"/>
      <c r="H539" s="112"/>
      <c r="I539" s="110"/>
      <c r="J539" s="110"/>
      <c r="K539" s="443"/>
      <c r="L539" s="444"/>
    </row>
    <row r="540" spans="2:12" ht="120" customHeight="1" x14ac:dyDescent="0.3">
      <c r="B540" s="109"/>
      <c r="C540" s="110"/>
      <c r="D540" s="441"/>
      <c r="E540" s="442"/>
      <c r="F540" s="111"/>
      <c r="G540" s="109"/>
      <c r="H540" s="112"/>
      <c r="I540" s="110"/>
      <c r="J540" s="110"/>
      <c r="K540" s="443"/>
      <c r="L540" s="444"/>
    </row>
    <row r="541" spans="2:12" ht="120" customHeight="1" x14ac:dyDescent="0.3">
      <c r="B541" s="109"/>
      <c r="C541" s="110"/>
      <c r="D541" s="441"/>
      <c r="E541" s="442"/>
      <c r="F541" s="111"/>
      <c r="G541" s="109"/>
      <c r="H541" s="112"/>
      <c r="I541" s="110"/>
      <c r="J541" s="110"/>
      <c r="K541" s="443"/>
      <c r="L541" s="444"/>
    </row>
    <row r="542" spans="2:12" ht="120" customHeight="1" x14ac:dyDescent="0.3">
      <c r="B542" s="109"/>
      <c r="C542" s="110"/>
      <c r="D542" s="441"/>
      <c r="E542" s="442"/>
      <c r="F542" s="111"/>
      <c r="G542" s="109"/>
      <c r="H542" s="112"/>
      <c r="I542" s="110"/>
      <c r="J542" s="110"/>
      <c r="K542" s="443"/>
      <c r="L542" s="444"/>
    </row>
    <row r="543" spans="2:12" ht="120" customHeight="1" x14ac:dyDescent="0.3">
      <c r="B543" s="109"/>
      <c r="C543" s="110"/>
      <c r="D543" s="441"/>
      <c r="E543" s="442"/>
      <c r="F543" s="111"/>
      <c r="G543" s="109"/>
      <c r="H543" s="112"/>
      <c r="I543" s="110"/>
      <c r="J543" s="110"/>
      <c r="K543" s="443"/>
      <c r="L543" s="444"/>
    </row>
    <row r="544" spans="2:12" ht="120" customHeight="1" x14ac:dyDescent="0.3">
      <c r="B544" s="109"/>
      <c r="C544" s="110"/>
      <c r="D544" s="441"/>
      <c r="E544" s="442"/>
      <c r="F544" s="111"/>
      <c r="G544" s="109"/>
      <c r="H544" s="112"/>
      <c r="I544" s="110"/>
      <c r="J544" s="110"/>
      <c r="K544" s="443"/>
      <c r="L544" s="444"/>
    </row>
    <row r="545" spans="2:12" ht="120" customHeight="1" x14ac:dyDescent="0.3">
      <c r="B545" s="109"/>
      <c r="C545" s="110"/>
      <c r="D545" s="441"/>
      <c r="E545" s="442"/>
      <c r="F545" s="111"/>
      <c r="G545" s="109"/>
      <c r="H545" s="112"/>
      <c r="I545" s="110"/>
      <c r="J545" s="110"/>
      <c r="K545" s="443"/>
      <c r="L545" s="444"/>
    </row>
    <row r="546" spans="2:12" ht="120" customHeight="1" x14ac:dyDescent="0.3">
      <c r="B546" s="109"/>
      <c r="C546" s="110"/>
      <c r="D546" s="441"/>
      <c r="E546" s="442"/>
      <c r="F546" s="111"/>
      <c r="G546" s="109"/>
      <c r="H546" s="112"/>
      <c r="I546" s="110"/>
      <c r="J546" s="110"/>
      <c r="K546" s="443"/>
      <c r="L546" s="444"/>
    </row>
    <row r="547" spans="2:12" ht="120" customHeight="1" x14ac:dyDescent="0.3">
      <c r="B547" s="109"/>
      <c r="C547" s="110"/>
      <c r="D547" s="441"/>
      <c r="E547" s="442"/>
      <c r="F547" s="111"/>
      <c r="G547" s="109"/>
      <c r="H547" s="112"/>
      <c r="I547" s="110"/>
      <c r="J547" s="110"/>
      <c r="K547" s="443"/>
      <c r="L547" s="444"/>
    </row>
    <row r="548" spans="2:12" ht="120" customHeight="1" x14ac:dyDescent="0.3">
      <c r="B548" s="109"/>
      <c r="C548" s="110"/>
      <c r="D548" s="441"/>
      <c r="E548" s="442"/>
      <c r="F548" s="111"/>
      <c r="G548" s="109"/>
      <c r="H548" s="112"/>
      <c r="I548" s="110"/>
      <c r="J548" s="110"/>
      <c r="K548" s="443"/>
      <c r="L548" s="444"/>
    </row>
    <row r="549" spans="2:12" ht="120" customHeight="1" x14ac:dyDescent="0.3">
      <c r="B549" s="109"/>
      <c r="C549" s="110"/>
      <c r="D549" s="441"/>
      <c r="E549" s="442"/>
      <c r="F549" s="111"/>
      <c r="G549" s="109"/>
      <c r="H549" s="112"/>
      <c r="I549" s="110"/>
      <c r="J549" s="110"/>
      <c r="K549" s="443"/>
      <c r="L549" s="444"/>
    </row>
    <row r="550" spans="2:12" ht="120" customHeight="1" x14ac:dyDescent="0.3">
      <c r="B550" s="109"/>
      <c r="C550" s="110"/>
      <c r="D550" s="441"/>
      <c r="E550" s="442"/>
      <c r="F550" s="111"/>
      <c r="G550" s="109"/>
      <c r="H550" s="112"/>
      <c r="I550" s="110"/>
      <c r="J550" s="110"/>
      <c r="K550" s="443"/>
      <c r="L550" s="444"/>
    </row>
    <row r="551" spans="2:12" ht="120" customHeight="1" x14ac:dyDescent="0.3">
      <c r="B551" s="109"/>
      <c r="C551" s="110"/>
      <c r="D551" s="441"/>
      <c r="E551" s="442"/>
      <c r="F551" s="111"/>
      <c r="G551" s="109"/>
      <c r="H551" s="112"/>
      <c r="I551" s="110"/>
      <c r="J551" s="110"/>
      <c r="K551" s="443"/>
      <c r="L551" s="444"/>
    </row>
    <row r="552" spans="2:12" ht="120" customHeight="1" x14ac:dyDescent="0.3">
      <c r="B552" s="109"/>
      <c r="C552" s="110"/>
      <c r="D552" s="441"/>
      <c r="E552" s="442"/>
      <c r="F552" s="111"/>
      <c r="G552" s="109"/>
      <c r="H552" s="112"/>
      <c r="I552" s="110"/>
      <c r="J552" s="110"/>
      <c r="K552" s="443"/>
      <c r="L552" s="444"/>
    </row>
    <row r="553" spans="2:12" ht="120" customHeight="1" x14ac:dyDescent="0.3">
      <c r="B553" s="109"/>
      <c r="C553" s="110"/>
      <c r="D553" s="441"/>
      <c r="E553" s="442"/>
      <c r="F553" s="111"/>
      <c r="G553" s="109"/>
      <c r="H553" s="112"/>
      <c r="I553" s="110"/>
      <c r="J553" s="110"/>
      <c r="K553" s="443"/>
      <c r="L553" s="444"/>
    </row>
    <row r="554" spans="2:12" ht="120" customHeight="1" x14ac:dyDescent="0.3">
      <c r="B554" s="109"/>
      <c r="C554" s="110"/>
      <c r="D554" s="441"/>
      <c r="E554" s="442"/>
      <c r="F554" s="111"/>
      <c r="G554" s="109"/>
      <c r="H554" s="112"/>
      <c r="I554" s="110"/>
      <c r="J554" s="110"/>
      <c r="K554" s="443"/>
      <c r="L554" s="444"/>
    </row>
    <row r="555" spans="2:12" ht="120" customHeight="1" x14ac:dyDescent="0.3">
      <c r="B555" s="109"/>
      <c r="C555" s="110"/>
      <c r="D555" s="441"/>
      <c r="E555" s="442"/>
      <c r="F555" s="111"/>
      <c r="G555" s="109"/>
      <c r="H555" s="112"/>
      <c r="I555" s="110"/>
      <c r="J555" s="110"/>
      <c r="K555" s="443"/>
      <c r="L555" s="444"/>
    </row>
    <row r="556" spans="2:12" ht="120" customHeight="1" x14ac:dyDescent="0.3">
      <c r="B556" s="109"/>
      <c r="C556" s="110"/>
      <c r="D556" s="441"/>
      <c r="E556" s="442"/>
      <c r="F556" s="111"/>
      <c r="G556" s="109"/>
      <c r="H556" s="112"/>
      <c r="I556" s="110"/>
      <c r="J556" s="110"/>
      <c r="K556" s="443"/>
      <c r="L556" s="444"/>
    </row>
    <row r="557" spans="2:12" ht="120" customHeight="1" x14ac:dyDescent="0.3">
      <c r="B557" s="109"/>
      <c r="C557" s="110"/>
      <c r="D557" s="441"/>
      <c r="E557" s="442"/>
      <c r="F557" s="111"/>
      <c r="G557" s="109"/>
      <c r="H557" s="112"/>
      <c r="I557" s="110"/>
      <c r="J557" s="110"/>
      <c r="K557" s="443"/>
      <c r="L557" s="444"/>
    </row>
    <row r="558" spans="2:12" ht="120" customHeight="1" x14ac:dyDescent="0.3">
      <c r="B558" s="109"/>
      <c r="C558" s="110"/>
      <c r="D558" s="441"/>
      <c r="E558" s="442"/>
      <c r="F558" s="111"/>
      <c r="G558" s="109"/>
      <c r="H558" s="112"/>
      <c r="I558" s="110"/>
      <c r="J558" s="110"/>
      <c r="K558" s="443"/>
      <c r="L558" s="444"/>
    </row>
    <row r="559" spans="2:12" ht="120" customHeight="1" x14ac:dyDescent="0.3">
      <c r="B559" s="109"/>
      <c r="C559" s="110"/>
      <c r="D559" s="441"/>
      <c r="E559" s="442"/>
      <c r="F559" s="111"/>
      <c r="G559" s="109"/>
      <c r="H559" s="112"/>
      <c r="I559" s="110"/>
      <c r="J559" s="110"/>
      <c r="K559" s="443"/>
      <c r="L559" s="444"/>
    </row>
    <row r="560" spans="2:12" ht="120" customHeight="1" x14ac:dyDescent="0.3">
      <c r="B560" s="109"/>
      <c r="C560" s="110"/>
      <c r="D560" s="441"/>
      <c r="E560" s="442"/>
      <c r="F560" s="111"/>
      <c r="G560" s="109"/>
      <c r="H560" s="112"/>
      <c r="I560" s="110"/>
      <c r="J560" s="110"/>
      <c r="K560" s="443"/>
      <c r="L560" s="444"/>
    </row>
    <row r="561" spans="2:12" ht="120" customHeight="1" x14ac:dyDescent="0.3">
      <c r="B561" s="109"/>
      <c r="C561" s="110"/>
      <c r="D561" s="441"/>
      <c r="E561" s="442"/>
      <c r="F561" s="111"/>
      <c r="G561" s="109"/>
      <c r="H561" s="112"/>
      <c r="I561" s="110"/>
      <c r="J561" s="110"/>
      <c r="K561" s="443"/>
      <c r="L561" s="444"/>
    </row>
    <row r="562" spans="2:12" ht="120" customHeight="1" x14ac:dyDescent="0.3">
      <c r="B562" s="109"/>
      <c r="C562" s="110"/>
      <c r="D562" s="441"/>
      <c r="E562" s="442"/>
      <c r="F562" s="111"/>
      <c r="G562" s="109"/>
      <c r="H562" s="112"/>
      <c r="I562" s="110"/>
      <c r="J562" s="110"/>
      <c r="K562" s="443"/>
      <c r="L562" s="444"/>
    </row>
    <row r="563" spans="2:12" ht="120" customHeight="1" x14ac:dyDescent="0.3">
      <c r="B563" s="109"/>
      <c r="C563" s="110"/>
      <c r="D563" s="441"/>
      <c r="E563" s="442"/>
      <c r="F563" s="111"/>
      <c r="G563" s="109"/>
      <c r="H563" s="112"/>
      <c r="I563" s="110"/>
      <c r="J563" s="110"/>
      <c r="K563" s="443"/>
      <c r="L563" s="444"/>
    </row>
    <row r="564" spans="2:12" ht="120" customHeight="1" x14ac:dyDescent="0.3">
      <c r="B564" s="109"/>
      <c r="C564" s="110"/>
      <c r="D564" s="441"/>
      <c r="E564" s="442"/>
      <c r="F564" s="111"/>
      <c r="G564" s="109"/>
      <c r="H564" s="112"/>
      <c r="I564" s="110"/>
      <c r="J564" s="110"/>
      <c r="K564" s="443"/>
      <c r="L564" s="444"/>
    </row>
    <row r="565" spans="2:12" ht="120" customHeight="1" x14ac:dyDescent="0.3">
      <c r="B565" s="109"/>
      <c r="C565" s="110"/>
      <c r="D565" s="441"/>
      <c r="E565" s="442"/>
      <c r="F565" s="111"/>
      <c r="G565" s="109"/>
      <c r="H565" s="112"/>
      <c r="I565" s="110"/>
      <c r="J565" s="110"/>
      <c r="K565" s="443"/>
      <c r="L565" s="444"/>
    </row>
    <row r="566" spans="2:12" ht="120" customHeight="1" x14ac:dyDescent="0.3">
      <c r="B566" s="109"/>
      <c r="C566" s="110"/>
      <c r="D566" s="441"/>
      <c r="E566" s="442"/>
      <c r="F566" s="111"/>
      <c r="G566" s="109"/>
      <c r="H566" s="112"/>
      <c r="I566" s="110"/>
      <c r="J566" s="110"/>
      <c r="K566" s="443"/>
      <c r="L566" s="444"/>
    </row>
    <row r="567" spans="2:12" ht="120" customHeight="1" x14ac:dyDescent="0.3">
      <c r="B567" s="109"/>
      <c r="C567" s="110"/>
      <c r="D567" s="441"/>
      <c r="E567" s="442"/>
      <c r="F567" s="111"/>
      <c r="G567" s="109"/>
      <c r="H567" s="112"/>
      <c r="I567" s="110"/>
      <c r="J567" s="110"/>
      <c r="K567" s="443"/>
      <c r="L567" s="444"/>
    </row>
    <row r="568" spans="2:12" ht="120" customHeight="1" x14ac:dyDescent="0.3">
      <c r="B568" s="109"/>
      <c r="C568" s="110"/>
      <c r="D568" s="441"/>
      <c r="E568" s="442"/>
      <c r="F568" s="111"/>
      <c r="G568" s="109"/>
      <c r="H568" s="112"/>
      <c r="I568" s="110"/>
      <c r="J568" s="110"/>
      <c r="K568" s="443"/>
      <c r="L568" s="444"/>
    </row>
    <row r="569" spans="2:12" ht="120" customHeight="1" x14ac:dyDescent="0.3">
      <c r="B569" s="109"/>
      <c r="C569" s="110"/>
      <c r="D569" s="441"/>
      <c r="E569" s="442"/>
      <c r="F569" s="111"/>
      <c r="G569" s="109"/>
      <c r="H569" s="112"/>
      <c r="I569" s="110"/>
      <c r="J569" s="110"/>
      <c r="K569" s="443"/>
      <c r="L569" s="444"/>
    </row>
    <row r="570" spans="2:12" ht="120" customHeight="1" x14ac:dyDescent="0.3">
      <c r="B570" s="109"/>
      <c r="C570" s="110"/>
      <c r="D570" s="441"/>
      <c r="E570" s="442"/>
      <c r="F570" s="111"/>
      <c r="G570" s="109"/>
      <c r="H570" s="112"/>
      <c r="I570" s="110"/>
      <c r="J570" s="110"/>
      <c r="K570" s="443"/>
      <c r="L570" s="444"/>
    </row>
    <row r="571" spans="2:12" ht="120" customHeight="1" x14ac:dyDescent="0.3">
      <c r="B571" s="109"/>
      <c r="C571" s="110"/>
      <c r="D571" s="441"/>
      <c r="E571" s="442"/>
      <c r="F571" s="111"/>
      <c r="G571" s="109"/>
      <c r="H571" s="112"/>
      <c r="I571" s="110"/>
      <c r="J571" s="110"/>
      <c r="K571" s="443"/>
      <c r="L571" s="444"/>
    </row>
    <row r="572" spans="2:12" ht="120" customHeight="1" x14ac:dyDescent="0.3">
      <c r="B572" s="109"/>
      <c r="C572" s="110"/>
      <c r="D572" s="441"/>
      <c r="E572" s="442"/>
      <c r="F572" s="111"/>
      <c r="G572" s="109"/>
      <c r="H572" s="112"/>
      <c r="I572" s="110"/>
      <c r="J572" s="110"/>
      <c r="K572" s="443"/>
      <c r="L572" s="444"/>
    </row>
    <row r="573" spans="2:12" ht="120" customHeight="1" x14ac:dyDescent="0.3">
      <c r="B573" s="109"/>
      <c r="C573" s="110"/>
      <c r="D573" s="441"/>
      <c r="E573" s="442"/>
      <c r="F573" s="111"/>
      <c r="G573" s="109"/>
      <c r="H573" s="112"/>
      <c r="I573" s="110"/>
      <c r="J573" s="110"/>
      <c r="K573" s="443"/>
      <c r="L573" s="444"/>
    </row>
    <row r="574" spans="2:12" ht="120" customHeight="1" x14ac:dyDescent="0.3">
      <c r="B574" s="109"/>
      <c r="C574" s="110"/>
      <c r="D574" s="441"/>
      <c r="E574" s="442"/>
      <c r="F574" s="111"/>
      <c r="G574" s="109"/>
      <c r="H574" s="112"/>
      <c r="I574" s="110"/>
      <c r="J574" s="110"/>
      <c r="K574" s="443"/>
      <c r="L574" s="444"/>
    </row>
    <row r="575" spans="2:12" ht="120" customHeight="1" x14ac:dyDescent="0.3">
      <c r="B575" s="109"/>
      <c r="C575" s="110"/>
      <c r="D575" s="441"/>
      <c r="E575" s="442"/>
      <c r="F575" s="111"/>
      <c r="G575" s="109"/>
      <c r="H575" s="112"/>
      <c r="I575" s="110"/>
      <c r="J575" s="110"/>
      <c r="K575" s="443"/>
      <c r="L575" s="444"/>
    </row>
    <row r="576" spans="2:12" ht="120" customHeight="1" x14ac:dyDescent="0.3">
      <c r="B576" s="109"/>
      <c r="C576" s="110"/>
      <c r="D576" s="441"/>
      <c r="E576" s="442"/>
      <c r="F576" s="111"/>
      <c r="G576" s="109"/>
      <c r="H576" s="112"/>
      <c r="I576" s="110"/>
      <c r="J576" s="110"/>
      <c r="K576" s="443"/>
      <c r="L576" s="444"/>
    </row>
    <row r="577" spans="2:12" ht="120" customHeight="1" x14ac:dyDescent="0.3">
      <c r="B577" s="109"/>
      <c r="C577" s="110"/>
      <c r="D577" s="441"/>
      <c r="E577" s="442"/>
      <c r="F577" s="111"/>
      <c r="G577" s="109"/>
      <c r="H577" s="112"/>
      <c r="I577" s="110"/>
      <c r="J577" s="110"/>
      <c r="K577" s="443"/>
      <c r="L577" s="444"/>
    </row>
    <row r="578" spans="2:12" ht="120" customHeight="1" x14ac:dyDescent="0.3">
      <c r="B578" s="109"/>
      <c r="C578" s="110"/>
      <c r="D578" s="441"/>
      <c r="E578" s="442"/>
      <c r="F578" s="111"/>
      <c r="G578" s="109"/>
      <c r="H578" s="112"/>
      <c r="I578" s="110"/>
      <c r="J578" s="110"/>
      <c r="K578" s="443"/>
      <c r="L578" s="444"/>
    </row>
    <row r="579" spans="2:12" ht="120" customHeight="1" x14ac:dyDescent="0.3">
      <c r="B579" s="109"/>
      <c r="C579" s="110"/>
      <c r="D579" s="441"/>
      <c r="E579" s="442"/>
      <c r="F579" s="111"/>
      <c r="G579" s="109"/>
      <c r="H579" s="112"/>
      <c r="I579" s="110"/>
      <c r="J579" s="110"/>
      <c r="K579" s="443"/>
      <c r="L579" s="444"/>
    </row>
    <row r="580" spans="2:12" ht="120" customHeight="1" x14ac:dyDescent="0.3">
      <c r="B580" s="109"/>
      <c r="C580" s="110"/>
      <c r="D580" s="441"/>
      <c r="E580" s="442"/>
      <c r="F580" s="111"/>
      <c r="G580" s="109"/>
      <c r="H580" s="112"/>
      <c r="I580" s="110"/>
      <c r="J580" s="110"/>
      <c r="K580" s="443"/>
      <c r="L580" s="444"/>
    </row>
    <row r="581" spans="2:12" ht="120" customHeight="1" x14ac:dyDescent="0.3">
      <c r="B581" s="109"/>
      <c r="C581" s="110"/>
      <c r="D581" s="441"/>
      <c r="E581" s="442"/>
      <c r="F581" s="111"/>
      <c r="G581" s="109"/>
      <c r="H581" s="112"/>
      <c r="I581" s="110"/>
      <c r="J581" s="110"/>
      <c r="K581" s="443"/>
      <c r="L581" s="444"/>
    </row>
    <row r="582" spans="2:12" ht="120" customHeight="1" x14ac:dyDescent="0.3">
      <c r="B582" s="109"/>
      <c r="C582" s="110"/>
      <c r="D582" s="441"/>
      <c r="E582" s="442"/>
      <c r="F582" s="111"/>
      <c r="G582" s="109"/>
      <c r="H582" s="112"/>
      <c r="I582" s="110"/>
      <c r="J582" s="110"/>
      <c r="K582" s="443"/>
      <c r="L582" s="444"/>
    </row>
    <row r="583" spans="2:12" ht="120" customHeight="1" x14ac:dyDescent="0.3">
      <c r="B583" s="109"/>
      <c r="C583" s="110"/>
      <c r="D583" s="441"/>
      <c r="E583" s="442"/>
      <c r="F583" s="111"/>
      <c r="G583" s="109"/>
      <c r="H583" s="112"/>
      <c r="I583" s="110"/>
      <c r="J583" s="110"/>
      <c r="K583" s="443"/>
      <c r="L583" s="444"/>
    </row>
    <row r="584" spans="2:12" ht="120" customHeight="1" x14ac:dyDescent="0.3">
      <c r="B584" s="109"/>
      <c r="C584" s="110"/>
      <c r="D584" s="441"/>
      <c r="E584" s="442"/>
      <c r="F584" s="111"/>
      <c r="G584" s="109"/>
      <c r="H584" s="112"/>
      <c r="I584" s="110"/>
      <c r="J584" s="110"/>
      <c r="K584" s="443"/>
      <c r="L584" s="444"/>
    </row>
    <row r="585" spans="2:12" ht="120" customHeight="1" x14ac:dyDescent="0.3">
      <c r="B585" s="109"/>
      <c r="C585" s="110"/>
      <c r="D585" s="441"/>
      <c r="E585" s="442"/>
      <c r="F585" s="111"/>
      <c r="G585" s="109"/>
      <c r="H585" s="112"/>
      <c r="I585" s="110"/>
      <c r="J585" s="110"/>
      <c r="K585" s="443"/>
      <c r="L585" s="444"/>
    </row>
    <row r="586" spans="2:12" ht="120" customHeight="1" x14ac:dyDescent="0.3">
      <c r="B586" s="109"/>
      <c r="C586" s="110"/>
      <c r="D586" s="441"/>
      <c r="E586" s="442"/>
      <c r="F586" s="111"/>
      <c r="G586" s="109"/>
      <c r="H586" s="112"/>
      <c r="I586" s="110"/>
      <c r="J586" s="110"/>
      <c r="K586" s="443"/>
      <c r="L586" s="444"/>
    </row>
    <row r="587" spans="2:12" ht="120" customHeight="1" x14ac:dyDescent="0.3">
      <c r="B587" s="109"/>
      <c r="C587" s="110"/>
      <c r="D587" s="441"/>
      <c r="E587" s="442"/>
      <c r="F587" s="111"/>
      <c r="G587" s="109"/>
      <c r="H587" s="112"/>
      <c r="I587" s="110"/>
      <c r="J587" s="110"/>
      <c r="K587" s="443"/>
      <c r="L587" s="444"/>
    </row>
    <row r="588" spans="2:12" ht="120" customHeight="1" x14ac:dyDescent="0.3">
      <c r="B588" s="109"/>
      <c r="C588" s="110"/>
      <c r="D588" s="441"/>
      <c r="E588" s="442"/>
      <c r="F588" s="111"/>
      <c r="G588" s="109"/>
      <c r="H588" s="112"/>
      <c r="I588" s="110"/>
      <c r="J588" s="110"/>
      <c r="K588" s="443"/>
      <c r="L588" s="444"/>
    </row>
    <row r="589" spans="2:12" ht="120" customHeight="1" x14ac:dyDescent="0.3">
      <c r="B589" s="109"/>
      <c r="C589" s="110"/>
      <c r="D589" s="441"/>
      <c r="E589" s="442"/>
      <c r="F589" s="111"/>
      <c r="G589" s="109"/>
      <c r="H589" s="112"/>
      <c r="I589" s="110"/>
      <c r="J589" s="110"/>
      <c r="K589" s="443"/>
      <c r="L589" s="444"/>
    </row>
    <row r="590" spans="2:12" ht="120" customHeight="1" x14ac:dyDescent="0.3">
      <c r="B590" s="109"/>
      <c r="C590" s="110"/>
      <c r="D590" s="441"/>
      <c r="E590" s="442"/>
      <c r="F590" s="111"/>
      <c r="G590" s="109"/>
      <c r="H590" s="112"/>
      <c r="I590" s="110"/>
      <c r="J590" s="110"/>
      <c r="K590" s="443"/>
      <c r="L590" s="444"/>
    </row>
    <row r="591" spans="2:12" ht="120" customHeight="1" x14ac:dyDescent="0.3">
      <c r="B591" s="109"/>
      <c r="C591" s="110"/>
      <c r="D591" s="441"/>
      <c r="E591" s="442"/>
      <c r="F591" s="111"/>
      <c r="G591" s="109"/>
      <c r="H591" s="112"/>
      <c r="I591" s="110"/>
      <c r="J591" s="110"/>
      <c r="K591" s="443"/>
      <c r="L591" s="444"/>
    </row>
    <row r="592" spans="2:12" ht="120" customHeight="1" x14ac:dyDescent="0.3">
      <c r="B592" s="109"/>
      <c r="C592" s="110"/>
      <c r="D592" s="441"/>
      <c r="E592" s="442"/>
      <c r="F592" s="111"/>
      <c r="G592" s="109"/>
      <c r="H592" s="112"/>
      <c r="I592" s="110"/>
      <c r="J592" s="110"/>
      <c r="K592" s="443"/>
      <c r="L592" s="444"/>
    </row>
    <row r="593" spans="2:12" ht="120" customHeight="1" x14ac:dyDescent="0.3">
      <c r="B593" s="109"/>
      <c r="C593" s="110"/>
      <c r="D593" s="441"/>
      <c r="E593" s="442"/>
      <c r="F593" s="111"/>
      <c r="G593" s="109"/>
      <c r="H593" s="112"/>
      <c r="I593" s="110"/>
      <c r="J593" s="110"/>
      <c r="K593" s="443"/>
      <c r="L593" s="444"/>
    </row>
    <row r="594" spans="2:12" ht="120" customHeight="1" x14ac:dyDescent="0.3">
      <c r="B594" s="109"/>
      <c r="C594" s="110"/>
      <c r="D594" s="441"/>
      <c r="E594" s="442"/>
      <c r="F594" s="111"/>
      <c r="G594" s="109"/>
      <c r="H594" s="112"/>
      <c r="I594" s="110"/>
      <c r="J594" s="110"/>
      <c r="K594" s="443"/>
      <c r="L594" s="444"/>
    </row>
    <row r="595" spans="2:12" ht="120" customHeight="1" x14ac:dyDescent="0.3">
      <c r="B595" s="109"/>
      <c r="C595" s="110"/>
      <c r="D595" s="441"/>
      <c r="E595" s="442"/>
      <c r="F595" s="111"/>
      <c r="G595" s="109"/>
      <c r="H595" s="112"/>
      <c r="I595" s="110"/>
      <c r="J595" s="110"/>
      <c r="K595" s="443"/>
      <c r="L595" s="444"/>
    </row>
    <row r="596" spans="2:12" ht="120" customHeight="1" x14ac:dyDescent="0.3">
      <c r="B596" s="109"/>
      <c r="C596" s="110"/>
      <c r="D596" s="441"/>
      <c r="E596" s="442"/>
      <c r="F596" s="111"/>
      <c r="G596" s="109"/>
      <c r="H596" s="112"/>
      <c r="I596" s="110"/>
      <c r="J596" s="110"/>
      <c r="K596" s="443"/>
      <c r="L596" s="444"/>
    </row>
    <row r="597" spans="2:12" ht="120" customHeight="1" x14ac:dyDescent="0.3">
      <c r="B597" s="109"/>
      <c r="C597" s="110"/>
      <c r="D597" s="441"/>
      <c r="E597" s="442"/>
      <c r="F597" s="111"/>
      <c r="G597" s="109"/>
      <c r="H597" s="112"/>
      <c r="I597" s="110"/>
      <c r="J597" s="110"/>
      <c r="K597" s="443"/>
      <c r="L597" s="444"/>
    </row>
    <row r="598" spans="2:12" ht="120" customHeight="1" x14ac:dyDescent="0.3">
      <c r="B598" s="109"/>
      <c r="C598" s="110"/>
      <c r="D598" s="441"/>
      <c r="E598" s="442"/>
      <c r="F598" s="111"/>
      <c r="G598" s="109"/>
      <c r="H598" s="112"/>
      <c r="I598" s="110"/>
      <c r="J598" s="110"/>
      <c r="K598" s="443"/>
      <c r="L598" s="444"/>
    </row>
    <row r="599" spans="2:12" ht="120" customHeight="1" x14ac:dyDescent="0.3">
      <c r="B599" s="109"/>
      <c r="C599" s="110"/>
      <c r="D599" s="441"/>
      <c r="E599" s="442"/>
      <c r="F599" s="111"/>
      <c r="G599" s="109"/>
      <c r="H599" s="112"/>
      <c r="I599" s="110"/>
      <c r="J599" s="110"/>
      <c r="K599" s="443"/>
      <c r="L599" s="444"/>
    </row>
    <row r="600" spans="2:12" ht="120" customHeight="1" x14ac:dyDescent="0.3">
      <c r="B600" s="109"/>
      <c r="C600" s="110"/>
      <c r="D600" s="441"/>
      <c r="E600" s="442"/>
      <c r="F600" s="111"/>
      <c r="G600" s="109"/>
      <c r="H600" s="112"/>
      <c r="I600" s="110"/>
      <c r="J600" s="110"/>
      <c r="K600" s="443"/>
      <c r="L600" s="444"/>
    </row>
    <row r="601" spans="2:12" ht="120" customHeight="1" x14ac:dyDescent="0.3">
      <c r="B601" s="109"/>
      <c r="C601" s="110"/>
      <c r="D601" s="441"/>
      <c r="E601" s="442"/>
      <c r="F601" s="111"/>
      <c r="G601" s="109"/>
      <c r="H601" s="112"/>
      <c r="I601" s="110"/>
      <c r="J601" s="110"/>
      <c r="K601" s="443"/>
      <c r="L601" s="444"/>
    </row>
    <row r="602" spans="2:12" ht="120" customHeight="1" x14ac:dyDescent="0.3">
      <c r="B602" s="109"/>
      <c r="C602" s="110"/>
      <c r="D602" s="441"/>
      <c r="E602" s="442"/>
      <c r="F602" s="111"/>
      <c r="G602" s="109"/>
      <c r="H602" s="112"/>
      <c r="I602" s="110"/>
      <c r="J602" s="110"/>
      <c r="K602" s="443"/>
      <c r="L602" s="444"/>
    </row>
    <row r="603" spans="2:12" ht="120" customHeight="1" x14ac:dyDescent="0.3">
      <c r="B603" s="109"/>
      <c r="C603" s="110"/>
      <c r="D603" s="441"/>
      <c r="E603" s="442"/>
      <c r="F603" s="111"/>
      <c r="G603" s="109"/>
      <c r="H603" s="112"/>
      <c r="I603" s="110"/>
      <c r="J603" s="110"/>
      <c r="K603" s="443"/>
      <c r="L603" s="444"/>
    </row>
    <row r="604" spans="2:12" ht="120" customHeight="1" x14ac:dyDescent="0.3">
      <c r="B604" s="109"/>
      <c r="C604" s="110"/>
      <c r="D604" s="441"/>
      <c r="E604" s="442"/>
      <c r="F604" s="111"/>
      <c r="G604" s="109"/>
      <c r="H604" s="112"/>
      <c r="I604" s="110"/>
      <c r="J604" s="110"/>
      <c r="K604" s="443"/>
      <c r="L604" s="444"/>
    </row>
    <row r="605" spans="2:12" ht="120" customHeight="1" x14ac:dyDescent="0.3">
      <c r="B605" s="109"/>
      <c r="C605" s="110"/>
      <c r="D605" s="441"/>
      <c r="E605" s="442"/>
      <c r="F605" s="111"/>
      <c r="G605" s="109"/>
      <c r="H605" s="112"/>
      <c r="I605" s="110"/>
      <c r="J605" s="110"/>
      <c r="K605" s="443"/>
      <c r="L605" s="444"/>
    </row>
    <row r="606" spans="2:12" ht="120" customHeight="1" x14ac:dyDescent="0.3">
      <c r="B606" s="109"/>
      <c r="C606" s="110"/>
      <c r="D606" s="441"/>
      <c r="E606" s="442"/>
      <c r="F606" s="111"/>
      <c r="G606" s="109"/>
      <c r="H606" s="112"/>
      <c r="I606" s="110"/>
      <c r="J606" s="110"/>
      <c r="K606" s="443"/>
      <c r="L606" s="444"/>
    </row>
    <row r="607" spans="2:12" ht="120" customHeight="1" x14ac:dyDescent="0.3">
      <c r="B607" s="109"/>
      <c r="C607" s="110"/>
      <c r="D607" s="441"/>
      <c r="E607" s="442"/>
      <c r="F607" s="111"/>
      <c r="G607" s="109"/>
      <c r="H607" s="112"/>
      <c r="I607" s="110"/>
      <c r="J607" s="110"/>
      <c r="K607" s="443"/>
      <c r="L607" s="444"/>
    </row>
    <row r="608" spans="2:12" ht="120" customHeight="1" x14ac:dyDescent="0.3">
      <c r="B608" s="109"/>
      <c r="C608" s="110"/>
      <c r="D608" s="441"/>
      <c r="E608" s="442"/>
      <c r="F608" s="111"/>
      <c r="G608" s="109"/>
      <c r="H608" s="112"/>
      <c r="I608" s="110"/>
      <c r="J608" s="110"/>
      <c r="K608" s="443"/>
      <c r="L608" s="444"/>
    </row>
    <row r="609" spans="2:12" ht="120" customHeight="1" x14ac:dyDescent="0.3">
      <c r="B609" s="109"/>
      <c r="C609" s="110"/>
      <c r="D609" s="441"/>
      <c r="E609" s="442"/>
      <c r="F609" s="111"/>
      <c r="G609" s="109"/>
      <c r="H609" s="112"/>
      <c r="I609" s="110"/>
      <c r="J609" s="110"/>
      <c r="K609" s="443"/>
      <c r="L609" s="444"/>
    </row>
    <row r="610" spans="2:12" ht="120" customHeight="1" x14ac:dyDescent="0.3">
      <c r="B610" s="109"/>
      <c r="C610" s="110"/>
      <c r="D610" s="441"/>
      <c r="E610" s="442"/>
      <c r="F610" s="111"/>
      <c r="G610" s="109"/>
      <c r="H610" s="112"/>
      <c r="I610" s="110"/>
      <c r="J610" s="110"/>
      <c r="K610" s="443"/>
      <c r="L610" s="444"/>
    </row>
    <row r="611" spans="2:12" ht="120" customHeight="1" x14ac:dyDescent="0.3">
      <c r="B611" s="109"/>
      <c r="C611" s="110"/>
      <c r="D611" s="441"/>
      <c r="E611" s="442"/>
      <c r="F611" s="111"/>
      <c r="G611" s="109"/>
      <c r="H611" s="112"/>
      <c r="I611" s="110"/>
      <c r="J611" s="110"/>
      <c r="K611" s="443"/>
      <c r="L611" s="444"/>
    </row>
    <row r="612" spans="2:12" ht="120" customHeight="1" x14ac:dyDescent="0.3">
      <c r="B612" s="109"/>
      <c r="C612" s="110"/>
      <c r="D612" s="441"/>
      <c r="E612" s="442"/>
      <c r="F612" s="111"/>
      <c r="G612" s="109"/>
      <c r="H612" s="112"/>
      <c r="I612" s="110"/>
      <c r="J612" s="110"/>
      <c r="K612" s="443"/>
      <c r="L612" s="444"/>
    </row>
    <row r="613" spans="2:12" ht="120" customHeight="1" x14ac:dyDescent="0.3">
      <c r="B613" s="109"/>
      <c r="C613" s="110"/>
      <c r="D613" s="441"/>
      <c r="E613" s="442"/>
      <c r="F613" s="111"/>
      <c r="G613" s="109"/>
      <c r="H613" s="112"/>
      <c r="I613" s="110"/>
      <c r="J613" s="110"/>
      <c r="K613" s="443"/>
      <c r="L613" s="444"/>
    </row>
    <row r="614" spans="2:12" ht="120" customHeight="1" x14ac:dyDescent="0.3">
      <c r="B614" s="109"/>
      <c r="C614" s="110"/>
      <c r="D614" s="441"/>
      <c r="E614" s="442"/>
      <c r="F614" s="111"/>
      <c r="G614" s="109"/>
      <c r="H614" s="112"/>
      <c r="I614" s="110"/>
      <c r="J614" s="110"/>
      <c r="K614" s="443"/>
      <c r="L614" s="444"/>
    </row>
    <row r="615" spans="2:12" ht="120" customHeight="1" x14ac:dyDescent="0.3">
      <c r="B615" s="109"/>
      <c r="C615" s="110"/>
      <c r="D615" s="441"/>
      <c r="E615" s="442"/>
      <c r="F615" s="111"/>
      <c r="G615" s="109"/>
      <c r="H615" s="112"/>
      <c r="I615" s="110"/>
      <c r="J615" s="110"/>
      <c r="K615" s="443"/>
      <c r="L615" s="444"/>
    </row>
    <row r="616" spans="2:12" ht="120" customHeight="1" x14ac:dyDescent="0.3">
      <c r="B616" s="109"/>
      <c r="C616" s="110"/>
      <c r="D616" s="441"/>
      <c r="E616" s="442"/>
      <c r="F616" s="111"/>
      <c r="G616" s="109"/>
      <c r="H616" s="112"/>
      <c r="I616" s="110"/>
      <c r="J616" s="110"/>
      <c r="K616" s="443"/>
      <c r="L616" s="444"/>
    </row>
    <row r="617" spans="2:12" ht="120" customHeight="1" x14ac:dyDescent="0.3">
      <c r="B617" s="109"/>
      <c r="C617" s="110"/>
      <c r="D617" s="441"/>
      <c r="E617" s="442"/>
      <c r="F617" s="111"/>
      <c r="G617" s="109"/>
      <c r="H617" s="112"/>
      <c r="I617" s="110"/>
      <c r="J617" s="110"/>
      <c r="K617" s="443"/>
      <c r="L617" s="444"/>
    </row>
    <row r="618" spans="2:12" ht="120" customHeight="1" x14ac:dyDescent="0.3">
      <c r="B618" s="109"/>
      <c r="C618" s="110"/>
      <c r="D618" s="441"/>
      <c r="E618" s="442"/>
      <c r="F618" s="111"/>
      <c r="G618" s="109"/>
      <c r="H618" s="112"/>
      <c r="I618" s="110"/>
      <c r="J618" s="110"/>
      <c r="K618" s="443"/>
      <c r="L618" s="444"/>
    </row>
    <row r="619" spans="2:12" ht="120" customHeight="1" x14ac:dyDescent="0.3">
      <c r="B619" s="109"/>
      <c r="C619" s="110"/>
      <c r="D619" s="441"/>
      <c r="E619" s="442"/>
      <c r="F619" s="111"/>
      <c r="G619" s="109"/>
      <c r="H619" s="112"/>
      <c r="I619" s="110"/>
      <c r="J619" s="110"/>
      <c r="K619" s="443"/>
      <c r="L619" s="444"/>
    </row>
    <row r="620" spans="2:12" ht="120" customHeight="1" x14ac:dyDescent="0.3">
      <c r="B620" s="109"/>
      <c r="C620" s="110"/>
      <c r="D620" s="441"/>
      <c r="E620" s="442"/>
      <c r="F620" s="111"/>
      <c r="G620" s="109"/>
      <c r="H620" s="112"/>
      <c r="I620" s="110"/>
      <c r="J620" s="110"/>
      <c r="K620" s="443"/>
      <c r="L620" s="444"/>
    </row>
    <row r="621" spans="2:12" ht="120" customHeight="1" x14ac:dyDescent="0.3">
      <c r="B621" s="109"/>
      <c r="C621" s="110"/>
      <c r="D621" s="441"/>
      <c r="E621" s="442"/>
      <c r="F621" s="111"/>
      <c r="G621" s="109"/>
      <c r="H621" s="112"/>
      <c r="I621" s="110"/>
      <c r="J621" s="110"/>
      <c r="K621" s="443"/>
      <c r="L621" s="444"/>
    </row>
    <row r="622" spans="2:12" ht="120" customHeight="1" x14ac:dyDescent="0.3">
      <c r="B622" s="109"/>
      <c r="C622" s="110"/>
      <c r="D622" s="441"/>
      <c r="E622" s="442"/>
      <c r="F622" s="111"/>
      <c r="G622" s="109"/>
      <c r="H622" s="112"/>
      <c r="I622" s="110"/>
      <c r="J622" s="110"/>
      <c r="K622" s="443"/>
      <c r="L622" s="444"/>
    </row>
    <row r="623" spans="2:12" ht="120" customHeight="1" x14ac:dyDescent="0.3">
      <c r="B623" s="109"/>
      <c r="C623" s="110"/>
      <c r="D623" s="441"/>
      <c r="E623" s="442"/>
      <c r="F623" s="111"/>
      <c r="G623" s="109"/>
      <c r="H623" s="112"/>
      <c r="I623" s="110"/>
      <c r="J623" s="110"/>
      <c r="K623" s="443"/>
      <c r="L623" s="444"/>
    </row>
    <row r="624" spans="2:12" ht="120" customHeight="1" x14ac:dyDescent="0.3">
      <c r="B624" s="109"/>
      <c r="C624" s="110"/>
      <c r="D624" s="441"/>
      <c r="E624" s="442"/>
      <c r="F624" s="111"/>
      <c r="G624" s="109"/>
      <c r="H624" s="112"/>
      <c r="I624" s="110"/>
      <c r="J624" s="110"/>
      <c r="K624" s="443"/>
      <c r="L624" s="444"/>
    </row>
    <row r="625" spans="2:12" ht="120" customHeight="1" x14ac:dyDescent="0.3">
      <c r="B625" s="109"/>
      <c r="C625" s="110"/>
      <c r="D625" s="441"/>
      <c r="E625" s="442"/>
      <c r="F625" s="111"/>
      <c r="G625" s="109"/>
      <c r="H625" s="112"/>
      <c r="I625" s="110"/>
      <c r="J625" s="110"/>
      <c r="K625" s="443"/>
      <c r="L625" s="444"/>
    </row>
    <row r="626" spans="2:12" ht="120" customHeight="1" x14ac:dyDescent="0.3">
      <c r="B626" s="109"/>
      <c r="C626" s="110"/>
      <c r="D626" s="441"/>
      <c r="E626" s="442"/>
      <c r="F626" s="111"/>
      <c r="G626" s="109"/>
      <c r="H626" s="112"/>
      <c r="I626" s="110"/>
      <c r="J626" s="110"/>
      <c r="K626" s="443"/>
      <c r="L626" s="444"/>
    </row>
    <row r="627" spans="2:12" ht="120" customHeight="1" x14ac:dyDescent="0.3">
      <c r="B627" s="109"/>
      <c r="C627" s="110"/>
      <c r="D627" s="441"/>
      <c r="E627" s="442"/>
      <c r="F627" s="111"/>
      <c r="G627" s="109"/>
      <c r="H627" s="112"/>
      <c r="I627" s="110"/>
      <c r="J627" s="110"/>
      <c r="K627" s="443"/>
      <c r="L627" s="444"/>
    </row>
    <row r="628" spans="2:12" ht="120" customHeight="1" x14ac:dyDescent="0.3">
      <c r="B628" s="109"/>
      <c r="C628" s="110"/>
      <c r="D628" s="441"/>
      <c r="E628" s="442"/>
      <c r="F628" s="111"/>
      <c r="G628" s="109"/>
      <c r="H628" s="112"/>
      <c r="I628" s="110"/>
      <c r="J628" s="110"/>
      <c r="K628" s="443"/>
      <c r="L628" s="444"/>
    </row>
    <row r="629" spans="2:12" ht="120" customHeight="1" x14ac:dyDescent="0.3">
      <c r="B629" s="109"/>
      <c r="C629" s="110"/>
      <c r="D629" s="441"/>
      <c r="E629" s="442"/>
      <c r="F629" s="111"/>
      <c r="G629" s="109"/>
      <c r="H629" s="112"/>
      <c r="I629" s="110"/>
      <c r="J629" s="110"/>
      <c r="K629" s="443"/>
      <c r="L629" s="444"/>
    </row>
    <row r="630" spans="2:12" ht="120" customHeight="1" x14ac:dyDescent="0.3">
      <c r="B630" s="109"/>
      <c r="C630" s="110"/>
      <c r="D630" s="441"/>
      <c r="E630" s="442"/>
      <c r="F630" s="111"/>
      <c r="G630" s="109"/>
      <c r="H630" s="112"/>
      <c r="I630" s="110"/>
      <c r="J630" s="110"/>
      <c r="K630" s="443"/>
      <c r="L630" s="444"/>
    </row>
    <row r="631" spans="2:12" ht="120" customHeight="1" x14ac:dyDescent="0.3">
      <c r="B631" s="109"/>
      <c r="C631" s="110"/>
      <c r="D631" s="441"/>
      <c r="E631" s="442"/>
      <c r="F631" s="111"/>
      <c r="G631" s="109"/>
      <c r="H631" s="112"/>
      <c r="I631" s="110"/>
      <c r="J631" s="110"/>
      <c r="K631" s="443"/>
      <c r="L631" s="444"/>
    </row>
    <row r="632" spans="2:12" ht="120" customHeight="1" x14ac:dyDescent="0.3">
      <c r="B632" s="109"/>
      <c r="C632" s="110"/>
      <c r="D632" s="441"/>
      <c r="E632" s="442"/>
      <c r="F632" s="111"/>
      <c r="G632" s="109"/>
      <c r="H632" s="112"/>
      <c r="I632" s="110"/>
      <c r="J632" s="110"/>
      <c r="K632" s="443"/>
      <c r="L632" s="444"/>
    </row>
    <row r="633" spans="2:12" ht="120" customHeight="1" x14ac:dyDescent="0.3">
      <c r="B633" s="109"/>
      <c r="C633" s="110"/>
      <c r="D633" s="441"/>
      <c r="E633" s="442"/>
      <c r="F633" s="111"/>
      <c r="G633" s="109"/>
      <c r="H633" s="112"/>
      <c r="I633" s="110"/>
      <c r="J633" s="110"/>
      <c r="K633" s="443"/>
      <c r="L633" s="444"/>
    </row>
    <row r="634" spans="2:12" ht="120" customHeight="1" x14ac:dyDescent="0.3">
      <c r="B634" s="109"/>
      <c r="C634" s="110"/>
      <c r="D634" s="441"/>
      <c r="E634" s="442"/>
      <c r="F634" s="111"/>
      <c r="G634" s="109"/>
      <c r="H634" s="112"/>
      <c r="I634" s="110"/>
      <c r="J634" s="110"/>
      <c r="K634" s="443"/>
      <c r="L634" s="444"/>
    </row>
    <row r="635" spans="2:12" ht="120" customHeight="1" x14ac:dyDescent="0.3">
      <c r="B635" s="109"/>
      <c r="C635" s="110"/>
      <c r="D635" s="441"/>
      <c r="E635" s="442"/>
      <c r="F635" s="111"/>
      <c r="G635" s="109"/>
      <c r="H635" s="112"/>
      <c r="I635" s="110"/>
      <c r="J635" s="110"/>
      <c r="K635" s="443"/>
      <c r="L635" s="444"/>
    </row>
    <row r="636" spans="2:12" ht="120" customHeight="1" x14ac:dyDescent="0.3">
      <c r="B636" s="109"/>
      <c r="C636" s="110"/>
      <c r="D636" s="441"/>
      <c r="E636" s="442"/>
      <c r="F636" s="111"/>
      <c r="G636" s="109"/>
      <c r="H636" s="112"/>
      <c r="I636" s="110"/>
      <c r="J636" s="110"/>
      <c r="K636" s="443"/>
      <c r="L636" s="444"/>
    </row>
    <row r="637" spans="2:12" ht="120" customHeight="1" x14ac:dyDescent="0.3">
      <c r="B637" s="109"/>
      <c r="C637" s="110"/>
      <c r="D637" s="441"/>
      <c r="E637" s="442"/>
      <c r="F637" s="111"/>
      <c r="G637" s="109"/>
      <c r="H637" s="112"/>
      <c r="I637" s="110"/>
      <c r="J637" s="110"/>
      <c r="K637" s="443"/>
      <c r="L637" s="444"/>
    </row>
    <row r="638" spans="2:12" ht="120" customHeight="1" x14ac:dyDescent="0.3">
      <c r="B638" s="109"/>
      <c r="C638" s="110"/>
      <c r="D638" s="441"/>
      <c r="E638" s="442"/>
      <c r="F638" s="111"/>
      <c r="G638" s="109"/>
      <c r="H638" s="112"/>
      <c r="I638" s="110"/>
      <c r="J638" s="110"/>
      <c r="K638" s="443"/>
      <c r="L638" s="444"/>
    </row>
    <row r="639" spans="2:12" ht="120" customHeight="1" x14ac:dyDescent="0.3">
      <c r="B639" s="109"/>
      <c r="C639" s="110"/>
      <c r="D639" s="441"/>
      <c r="E639" s="442"/>
      <c r="F639" s="111"/>
      <c r="G639" s="109"/>
      <c r="H639" s="112"/>
      <c r="I639" s="110"/>
      <c r="J639" s="110"/>
      <c r="K639" s="443"/>
      <c r="L639" s="444"/>
    </row>
    <row r="640" spans="2:12" ht="120" customHeight="1" x14ac:dyDescent="0.3">
      <c r="B640" s="109"/>
      <c r="C640" s="110"/>
      <c r="D640" s="441"/>
      <c r="E640" s="442"/>
      <c r="F640" s="111"/>
      <c r="G640" s="109"/>
      <c r="H640" s="112"/>
      <c r="I640" s="110"/>
      <c r="J640" s="110"/>
      <c r="K640" s="443"/>
      <c r="L640" s="444"/>
    </row>
    <row r="641" spans="2:12" ht="120" customHeight="1" x14ac:dyDescent="0.3">
      <c r="B641" s="109"/>
      <c r="C641" s="110"/>
      <c r="D641" s="441"/>
      <c r="E641" s="442"/>
      <c r="F641" s="111"/>
      <c r="G641" s="109"/>
      <c r="H641" s="112"/>
      <c r="I641" s="110"/>
      <c r="J641" s="110"/>
      <c r="K641" s="443"/>
      <c r="L641" s="444"/>
    </row>
    <row r="642" spans="2:12" ht="120" customHeight="1" x14ac:dyDescent="0.3">
      <c r="B642" s="109"/>
      <c r="C642" s="110"/>
      <c r="D642" s="441"/>
      <c r="E642" s="442"/>
      <c r="F642" s="111"/>
      <c r="G642" s="109"/>
      <c r="H642" s="112"/>
      <c r="I642" s="110"/>
      <c r="J642" s="110"/>
      <c r="K642" s="443"/>
      <c r="L642" s="444"/>
    </row>
    <row r="643" spans="2:12" ht="120" customHeight="1" x14ac:dyDescent="0.3">
      <c r="B643" s="109"/>
      <c r="C643" s="110"/>
      <c r="D643" s="441"/>
      <c r="E643" s="442"/>
      <c r="F643" s="111"/>
      <c r="G643" s="109"/>
      <c r="H643" s="112"/>
      <c r="I643" s="110"/>
      <c r="J643" s="110"/>
      <c r="K643" s="443"/>
      <c r="L643" s="444"/>
    </row>
    <row r="644" spans="2:12" ht="120" customHeight="1" x14ac:dyDescent="0.3">
      <c r="B644" s="109"/>
      <c r="C644" s="110"/>
      <c r="D644" s="441"/>
      <c r="E644" s="442"/>
      <c r="F644" s="111"/>
      <c r="G644" s="109"/>
      <c r="H644" s="112"/>
      <c r="I644" s="110"/>
      <c r="J644" s="110"/>
      <c r="K644" s="443"/>
      <c r="L644" s="444"/>
    </row>
    <row r="645" spans="2:12" ht="120" customHeight="1" x14ac:dyDescent="0.3">
      <c r="B645" s="109"/>
      <c r="C645" s="110"/>
      <c r="D645" s="441"/>
      <c r="E645" s="442"/>
      <c r="F645" s="111"/>
      <c r="G645" s="109"/>
      <c r="H645" s="112"/>
      <c r="I645" s="110"/>
      <c r="J645" s="110"/>
      <c r="K645" s="443"/>
      <c r="L645" s="444"/>
    </row>
    <row r="646" spans="2:12" ht="120" customHeight="1" x14ac:dyDescent="0.3">
      <c r="B646" s="109"/>
      <c r="C646" s="110"/>
      <c r="D646" s="441"/>
      <c r="E646" s="442"/>
      <c r="F646" s="111"/>
      <c r="G646" s="109"/>
      <c r="H646" s="112"/>
      <c r="I646" s="110"/>
      <c r="J646" s="110"/>
      <c r="K646" s="443"/>
      <c r="L646" s="444"/>
    </row>
    <row r="647" spans="2:12" ht="120" customHeight="1" x14ac:dyDescent="0.3">
      <c r="B647" s="109"/>
      <c r="C647" s="110"/>
      <c r="D647" s="441"/>
      <c r="E647" s="442"/>
      <c r="F647" s="111"/>
      <c r="G647" s="109"/>
      <c r="H647" s="112"/>
      <c r="I647" s="110"/>
      <c r="J647" s="110"/>
      <c r="K647" s="443"/>
      <c r="L647" s="444"/>
    </row>
    <row r="648" spans="2:12" ht="120" customHeight="1" x14ac:dyDescent="0.3">
      <c r="B648" s="109"/>
      <c r="C648" s="110"/>
      <c r="D648" s="441"/>
      <c r="E648" s="442"/>
      <c r="F648" s="111"/>
      <c r="G648" s="109"/>
      <c r="H648" s="112"/>
      <c r="I648" s="110"/>
      <c r="J648" s="110"/>
      <c r="K648" s="443"/>
      <c r="L648" s="444"/>
    </row>
    <row r="649" spans="2:12" ht="120" customHeight="1" x14ac:dyDescent="0.3">
      <c r="B649" s="109"/>
      <c r="C649" s="110"/>
      <c r="D649" s="441"/>
      <c r="E649" s="442"/>
      <c r="F649" s="111"/>
      <c r="G649" s="109"/>
      <c r="H649" s="112"/>
      <c r="I649" s="110"/>
      <c r="J649" s="110"/>
      <c r="K649" s="443"/>
      <c r="L649" s="444"/>
    </row>
    <row r="650" spans="2:12" ht="120" customHeight="1" x14ac:dyDescent="0.3">
      <c r="B650" s="109"/>
      <c r="C650" s="110"/>
      <c r="D650" s="441"/>
      <c r="E650" s="442"/>
      <c r="F650" s="111"/>
      <c r="G650" s="109"/>
      <c r="H650" s="112"/>
      <c r="I650" s="110"/>
      <c r="J650" s="110"/>
      <c r="K650" s="443"/>
      <c r="L650" s="444"/>
    </row>
    <row r="651" spans="2:12" ht="120" customHeight="1" x14ac:dyDescent="0.3">
      <c r="B651" s="109"/>
      <c r="C651" s="110"/>
      <c r="D651" s="441"/>
      <c r="E651" s="442"/>
      <c r="F651" s="111"/>
      <c r="G651" s="109"/>
      <c r="H651" s="112"/>
      <c r="I651" s="110"/>
      <c r="J651" s="110"/>
      <c r="K651" s="443"/>
      <c r="L651" s="444"/>
    </row>
    <row r="652" spans="2:12" ht="120" customHeight="1" x14ac:dyDescent="0.3">
      <c r="B652" s="109"/>
      <c r="C652" s="110"/>
      <c r="D652" s="441"/>
      <c r="E652" s="442"/>
      <c r="F652" s="111"/>
      <c r="G652" s="109"/>
      <c r="H652" s="112"/>
      <c r="I652" s="110"/>
      <c r="J652" s="110"/>
      <c r="K652" s="443"/>
      <c r="L652" s="444"/>
    </row>
    <row r="653" spans="2:12" ht="120" customHeight="1" x14ac:dyDescent="0.3">
      <c r="B653" s="109"/>
      <c r="C653" s="110"/>
      <c r="D653" s="441"/>
      <c r="E653" s="442"/>
      <c r="F653" s="111"/>
      <c r="G653" s="109"/>
      <c r="H653" s="112"/>
      <c r="I653" s="110"/>
      <c r="J653" s="110"/>
      <c r="K653" s="443"/>
      <c r="L653" s="444"/>
    </row>
    <row r="654" spans="2:12" ht="120" customHeight="1" x14ac:dyDescent="0.3">
      <c r="B654" s="109"/>
      <c r="C654" s="110"/>
      <c r="D654" s="441"/>
      <c r="E654" s="442"/>
      <c r="F654" s="111"/>
      <c r="G654" s="109"/>
      <c r="H654" s="112"/>
      <c r="I654" s="110"/>
      <c r="J654" s="110"/>
      <c r="K654" s="443"/>
      <c r="L654" s="444"/>
    </row>
    <row r="655" spans="2:12" ht="120" customHeight="1" x14ac:dyDescent="0.3">
      <c r="B655" s="109"/>
      <c r="C655" s="110"/>
      <c r="D655" s="441"/>
      <c r="E655" s="442"/>
      <c r="F655" s="111"/>
      <c r="G655" s="109"/>
      <c r="H655" s="112"/>
      <c r="I655" s="110"/>
      <c r="J655" s="110"/>
      <c r="K655" s="443"/>
      <c r="L655" s="444"/>
    </row>
    <row r="656" spans="2:12" ht="120" customHeight="1" x14ac:dyDescent="0.3">
      <c r="B656" s="109"/>
      <c r="C656" s="110"/>
      <c r="D656" s="441"/>
      <c r="E656" s="442"/>
      <c r="F656" s="111"/>
      <c r="G656" s="109"/>
      <c r="H656" s="112"/>
      <c r="I656" s="110"/>
      <c r="J656" s="110"/>
      <c r="K656" s="443"/>
      <c r="L656" s="444"/>
    </row>
    <row r="657" spans="2:12" ht="120" customHeight="1" x14ac:dyDescent="0.3">
      <c r="B657" s="109"/>
      <c r="C657" s="110"/>
      <c r="D657" s="441"/>
      <c r="E657" s="442"/>
      <c r="F657" s="111"/>
      <c r="G657" s="109"/>
      <c r="H657" s="112"/>
      <c r="I657" s="110"/>
      <c r="J657" s="110"/>
      <c r="K657" s="443"/>
      <c r="L657" s="444"/>
    </row>
    <row r="658" spans="2:12" ht="120" customHeight="1" x14ac:dyDescent="0.3">
      <c r="B658" s="109"/>
      <c r="C658" s="110"/>
      <c r="D658" s="441"/>
      <c r="E658" s="442"/>
      <c r="F658" s="111"/>
      <c r="G658" s="109"/>
      <c r="H658" s="112"/>
      <c r="I658" s="110"/>
      <c r="J658" s="110"/>
      <c r="K658" s="443"/>
      <c r="L658" s="444"/>
    </row>
    <row r="659" spans="2:12" ht="120" customHeight="1" x14ac:dyDescent="0.3">
      <c r="B659" s="109"/>
      <c r="C659" s="110"/>
      <c r="D659" s="441"/>
      <c r="E659" s="442"/>
      <c r="F659" s="111"/>
      <c r="G659" s="109"/>
      <c r="H659" s="112"/>
      <c r="I659" s="110"/>
      <c r="J659" s="110"/>
      <c r="K659" s="443"/>
      <c r="L659" s="444"/>
    </row>
    <row r="660" spans="2:12" ht="120" customHeight="1" x14ac:dyDescent="0.3">
      <c r="B660" s="109"/>
      <c r="C660" s="110"/>
      <c r="D660" s="441"/>
      <c r="E660" s="442"/>
      <c r="F660" s="111"/>
      <c r="G660" s="109"/>
      <c r="H660" s="112"/>
      <c r="I660" s="110"/>
      <c r="J660" s="110"/>
      <c r="K660" s="443"/>
      <c r="L660" s="444"/>
    </row>
    <row r="661" spans="2:12" ht="120" customHeight="1" x14ac:dyDescent="0.3">
      <c r="B661" s="109"/>
      <c r="C661" s="110"/>
      <c r="D661" s="441"/>
      <c r="E661" s="442"/>
      <c r="F661" s="111"/>
      <c r="G661" s="109"/>
      <c r="H661" s="112"/>
      <c r="I661" s="110"/>
      <c r="J661" s="110"/>
      <c r="K661" s="443"/>
      <c r="L661" s="444"/>
    </row>
    <row r="662" spans="2:12" ht="120" customHeight="1" x14ac:dyDescent="0.3">
      <c r="B662" s="109"/>
      <c r="C662" s="110"/>
      <c r="D662" s="441"/>
      <c r="E662" s="442"/>
      <c r="F662" s="111"/>
      <c r="G662" s="109"/>
      <c r="H662" s="112"/>
      <c r="I662" s="110"/>
      <c r="J662" s="110"/>
      <c r="K662" s="443"/>
      <c r="L662" s="444"/>
    </row>
    <row r="663" spans="2:12" ht="120" customHeight="1" x14ac:dyDescent="0.3">
      <c r="B663" s="109"/>
      <c r="C663" s="110"/>
      <c r="D663" s="441"/>
      <c r="E663" s="442"/>
      <c r="F663" s="111"/>
      <c r="G663" s="109"/>
      <c r="H663" s="112"/>
      <c r="I663" s="110"/>
      <c r="J663" s="110"/>
      <c r="K663" s="443"/>
      <c r="L663" s="444"/>
    </row>
    <row r="664" spans="2:12" ht="120" customHeight="1" x14ac:dyDescent="0.3">
      <c r="B664" s="109"/>
      <c r="C664" s="110"/>
      <c r="D664" s="441"/>
      <c r="E664" s="442"/>
      <c r="F664" s="111"/>
      <c r="G664" s="109"/>
      <c r="H664" s="112"/>
      <c r="I664" s="110"/>
      <c r="J664" s="110"/>
      <c r="K664" s="443"/>
      <c r="L664" s="444"/>
    </row>
    <row r="665" spans="2:12" ht="120" customHeight="1" x14ac:dyDescent="0.3">
      <c r="B665" s="109"/>
      <c r="C665" s="110"/>
      <c r="D665" s="441"/>
      <c r="E665" s="442"/>
      <c r="F665" s="111"/>
      <c r="G665" s="109"/>
      <c r="H665" s="112"/>
      <c r="I665" s="110"/>
      <c r="J665" s="110"/>
      <c r="K665" s="443"/>
      <c r="L665" s="444"/>
    </row>
    <row r="666" spans="2:12" ht="120" customHeight="1" x14ac:dyDescent="0.3">
      <c r="B666" s="109"/>
      <c r="C666" s="110"/>
      <c r="D666" s="441"/>
      <c r="E666" s="442"/>
      <c r="F666" s="111"/>
      <c r="G666" s="109"/>
      <c r="H666" s="112"/>
      <c r="I666" s="110"/>
      <c r="J666" s="110"/>
      <c r="K666" s="443"/>
      <c r="L666" s="444"/>
    </row>
    <row r="667" spans="2:12" ht="120" customHeight="1" x14ac:dyDescent="0.3">
      <c r="B667" s="109"/>
      <c r="C667" s="110"/>
      <c r="D667" s="441"/>
      <c r="E667" s="442"/>
      <c r="F667" s="111"/>
      <c r="G667" s="109"/>
      <c r="H667" s="112"/>
      <c r="I667" s="110"/>
      <c r="J667" s="110"/>
      <c r="K667" s="443"/>
      <c r="L667" s="444"/>
    </row>
    <row r="668" spans="2:12" ht="120" customHeight="1" x14ac:dyDescent="0.3">
      <c r="B668" s="109"/>
      <c r="C668" s="110"/>
      <c r="D668" s="441"/>
      <c r="E668" s="442"/>
      <c r="F668" s="111"/>
      <c r="G668" s="109"/>
      <c r="H668" s="112"/>
      <c r="I668" s="110"/>
      <c r="J668" s="110"/>
      <c r="K668" s="443"/>
      <c r="L668" s="444"/>
    </row>
    <row r="669" spans="2:12" ht="120" customHeight="1" x14ac:dyDescent="0.3">
      <c r="B669" s="109"/>
      <c r="C669" s="110"/>
      <c r="D669" s="441"/>
      <c r="E669" s="442"/>
      <c r="F669" s="111"/>
      <c r="G669" s="109"/>
      <c r="H669" s="112"/>
      <c r="I669" s="110"/>
      <c r="J669" s="110"/>
      <c r="K669" s="443"/>
      <c r="L669" s="444"/>
    </row>
    <row r="670" spans="2:12" ht="120" customHeight="1" x14ac:dyDescent="0.3">
      <c r="B670" s="109"/>
      <c r="C670" s="110"/>
      <c r="D670" s="441"/>
      <c r="E670" s="442"/>
      <c r="F670" s="111"/>
      <c r="G670" s="109"/>
      <c r="H670" s="112"/>
      <c r="I670" s="110"/>
      <c r="J670" s="110"/>
      <c r="K670" s="443"/>
      <c r="L670" s="444"/>
    </row>
    <row r="671" spans="2:12" ht="120" customHeight="1" x14ac:dyDescent="0.3">
      <c r="B671" s="109"/>
      <c r="C671" s="110"/>
      <c r="D671" s="441"/>
      <c r="E671" s="442"/>
      <c r="F671" s="111"/>
      <c r="G671" s="109"/>
      <c r="H671" s="112"/>
      <c r="I671" s="110"/>
      <c r="J671" s="110"/>
      <c r="K671" s="443"/>
      <c r="L671" s="444"/>
    </row>
    <row r="672" spans="2:12" ht="120" customHeight="1" x14ac:dyDescent="0.3">
      <c r="B672" s="109"/>
      <c r="C672" s="110"/>
      <c r="D672" s="441"/>
      <c r="E672" s="442"/>
      <c r="F672" s="111"/>
      <c r="G672" s="109"/>
      <c r="H672" s="112"/>
      <c r="I672" s="110"/>
      <c r="J672" s="110"/>
      <c r="K672" s="443"/>
      <c r="L672" s="444"/>
    </row>
    <row r="673" spans="2:12" ht="120" customHeight="1" x14ac:dyDescent="0.3">
      <c r="B673" s="109"/>
      <c r="C673" s="110"/>
      <c r="D673" s="441"/>
      <c r="E673" s="442"/>
      <c r="F673" s="111"/>
      <c r="G673" s="109"/>
      <c r="H673" s="112"/>
      <c r="I673" s="110"/>
      <c r="J673" s="110"/>
      <c r="K673" s="443"/>
      <c r="L673" s="444"/>
    </row>
    <row r="674" spans="2:12" ht="120" customHeight="1" x14ac:dyDescent="0.3">
      <c r="B674" s="109"/>
      <c r="C674" s="110"/>
      <c r="D674" s="441"/>
      <c r="E674" s="442"/>
      <c r="F674" s="111"/>
      <c r="G674" s="109"/>
      <c r="H674" s="112"/>
      <c r="I674" s="110"/>
      <c r="J674" s="110"/>
      <c r="K674" s="443"/>
      <c r="L674" s="444"/>
    </row>
    <row r="675" spans="2:12" ht="120" customHeight="1" x14ac:dyDescent="0.3">
      <c r="B675" s="109"/>
      <c r="C675" s="110"/>
      <c r="D675" s="441"/>
      <c r="E675" s="442"/>
      <c r="F675" s="111"/>
      <c r="G675" s="109"/>
      <c r="H675" s="112"/>
      <c r="I675" s="110"/>
      <c r="J675" s="110"/>
      <c r="K675" s="443"/>
      <c r="L675" s="444"/>
    </row>
    <row r="676" spans="2:12" ht="120" customHeight="1" x14ac:dyDescent="0.3">
      <c r="B676" s="109"/>
      <c r="C676" s="110"/>
      <c r="D676" s="441"/>
      <c r="E676" s="442"/>
      <c r="F676" s="111"/>
      <c r="G676" s="109"/>
      <c r="H676" s="112"/>
      <c r="I676" s="110"/>
      <c r="J676" s="110"/>
      <c r="K676" s="443"/>
      <c r="L676" s="444"/>
    </row>
    <row r="677" spans="2:12" ht="120" customHeight="1" x14ac:dyDescent="0.3">
      <c r="B677" s="109"/>
      <c r="C677" s="110"/>
      <c r="D677" s="441"/>
      <c r="E677" s="442"/>
      <c r="F677" s="111"/>
      <c r="G677" s="109"/>
      <c r="H677" s="112"/>
      <c r="I677" s="110"/>
      <c r="J677" s="110"/>
      <c r="K677" s="443"/>
      <c r="L677" s="444"/>
    </row>
    <row r="678" spans="2:12" ht="120" customHeight="1" x14ac:dyDescent="0.3">
      <c r="B678" s="109"/>
      <c r="C678" s="110"/>
      <c r="D678" s="441"/>
      <c r="E678" s="442"/>
      <c r="F678" s="111"/>
      <c r="G678" s="109"/>
      <c r="H678" s="112"/>
      <c r="I678" s="110"/>
      <c r="J678" s="110"/>
      <c r="K678" s="443"/>
      <c r="L678" s="444"/>
    </row>
    <row r="679" spans="2:12" ht="120" customHeight="1" x14ac:dyDescent="0.3">
      <c r="B679" s="109"/>
      <c r="C679" s="110"/>
      <c r="D679" s="441"/>
      <c r="E679" s="442"/>
      <c r="F679" s="111"/>
      <c r="G679" s="109"/>
      <c r="H679" s="112"/>
      <c r="I679" s="110"/>
      <c r="J679" s="110"/>
      <c r="K679" s="443"/>
      <c r="L679" s="444"/>
    </row>
    <row r="680" spans="2:12" ht="120" customHeight="1" x14ac:dyDescent="0.3">
      <c r="B680" s="109"/>
      <c r="C680" s="110"/>
      <c r="D680" s="441"/>
      <c r="E680" s="442"/>
      <c r="F680" s="111"/>
      <c r="G680" s="109"/>
      <c r="H680" s="112"/>
      <c r="I680" s="110"/>
      <c r="J680" s="110"/>
      <c r="K680" s="443"/>
      <c r="L680" s="444"/>
    </row>
    <row r="681" spans="2:12" ht="120" customHeight="1" x14ac:dyDescent="0.3">
      <c r="B681" s="109"/>
      <c r="C681" s="110"/>
      <c r="D681" s="441"/>
      <c r="E681" s="442"/>
      <c r="F681" s="111"/>
      <c r="G681" s="109"/>
      <c r="H681" s="112"/>
      <c r="I681" s="110"/>
      <c r="J681" s="110"/>
      <c r="K681" s="443"/>
      <c r="L681" s="444"/>
    </row>
    <row r="682" spans="2:12" ht="120" customHeight="1" x14ac:dyDescent="0.3">
      <c r="B682" s="109"/>
      <c r="C682" s="110"/>
      <c r="D682" s="441"/>
      <c r="E682" s="442"/>
      <c r="F682" s="111"/>
      <c r="G682" s="109"/>
      <c r="H682" s="112"/>
      <c r="I682" s="110"/>
      <c r="J682" s="110"/>
      <c r="K682" s="443"/>
      <c r="L682" s="444"/>
    </row>
    <row r="683" spans="2:12" ht="120" customHeight="1" x14ac:dyDescent="0.3">
      <c r="B683" s="109"/>
      <c r="C683" s="110"/>
      <c r="D683" s="441"/>
      <c r="E683" s="442"/>
      <c r="F683" s="111"/>
      <c r="G683" s="109"/>
      <c r="H683" s="112"/>
      <c r="I683" s="110"/>
      <c r="J683" s="110"/>
      <c r="K683" s="443"/>
      <c r="L683" s="444"/>
    </row>
    <row r="684" spans="2:12" ht="120" customHeight="1" x14ac:dyDescent="0.3">
      <c r="B684" s="109"/>
      <c r="C684" s="110"/>
      <c r="D684" s="441"/>
      <c r="E684" s="442"/>
      <c r="F684" s="111"/>
      <c r="G684" s="109"/>
      <c r="H684" s="112"/>
      <c r="I684" s="110"/>
      <c r="J684" s="110"/>
      <c r="K684" s="443"/>
      <c r="L684" s="444"/>
    </row>
    <row r="685" spans="2:12" ht="120" customHeight="1" x14ac:dyDescent="0.3">
      <c r="B685" s="109"/>
      <c r="C685" s="110"/>
      <c r="D685" s="441"/>
      <c r="E685" s="442"/>
      <c r="F685" s="111"/>
      <c r="G685" s="109"/>
      <c r="H685" s="112"/>
      <c r="I685" s="110"/>
      <c r="J685" s="110"/>
      <c r="K685" s="443"/>
      <c r="L685" s="444"/>
    </row>
    <row r="686" spans="2:12" ht="120" customHeight="1" x14ac:dyDescent="0.3">
      <c r="B686" s="109"/>
      <c r="C686" s="110"/>
      <c r="D686" s="441"/>
      <c r="E686" s="442"/>
      <c r="F686" s="111"/>
      <c r="G686" s="109"/>
      <c r="H686" s="112"/>
      <c r="I686" s="110"/>
      <c r="J686" s="110"/>
      <c r="K686" s="443"/>
      <c r="L686" s="444"/>
    </row>
    <row r="687" spans="2:12" ht="120" customHeight="1" x14ac:dyDescent="0.3">
      <c r="B687" s="109"/>
      <c r="C687" s="110"/>
      <c r="D687" s="441"/>
      <c r="E687" s="442"/>
      <c r="F687" s="111"/>
      <c r="G687" s="109"/>
      <c r="H687" s="112"/>
      <c r="I687" s="110"/>
      <c r="J687" s="110"/>
      <c r="K687" s="443"/>
      <c r="L687" s="444"/>
    </row>
    <row r="688" spans="2:12" ht="120" customHeight="1" x14ac:dyDescent="0.3">
      <c r="B688" s="109"/>
      <c r="C688" s="110"/>
      <c r="D688" s="441"/>
      <c r="E688" s="442"/>
      <c r="F688" s="111"/>
      <c r="G688" s="109"/>
      <c r="H688" s="112"/>
      <c r="I688" s="110"/>
      <c r="J688" s="110"/>
      <c r="K688" s="443"/>
      <c r="L688" s="444"/>
    </row>
    <row r="689" spans="2:12" ht="120" customHeight="1" x14ac:dyDescent="0.3">
      <c r="B689" s="109"/>
      <c r="C689" s="110"/>
      <c r="D689" s="441"/>
      <c r="E689" s="442"/>
      <c r="F689" s="111"/>
      <c r="G689" s="109"/>
      <c r="H689" s="112"/>
      <c r="I689" s="110"/>
      <c r="J689" s="110"/>
      <c r="K689" s="443"/>
      <c r="L689" s="444"/>
    </row>
    <row r="690" spans="2:12" ht="120" customHeight="1" x14ac:dyDescent="0.3">
      <c r="B690" s="109"/>
      <c r="C690" s="110"/>
      <c r="D690" s="441"/>
      <c r="E690" s="442"/>
      <c r="F690" s="111"/>
      <c r="G690" s="109"/>
      <c r="H690" s="112"/>
      <c r="I690" s="110"/>
      <c r="J690" s="110"/>
      <c r="K690" s="443"/>
      <c r="L690" s="444"/>
    </row>
    <row r="691" spans="2:12" ht="120" customHeight="1" x14ac:dyDescent="0.3">
      <c r="B691" s="109"/>
      <c r="C691" s="110"/>
      <c r="D691" s="441"/>
      <c r="E691" s="442"/>
      <c r="F691" s="111"/>
      <c r="G691" s="109"/>
      <c r="H691" s="112"/>
      <c r="I691" s="110"/>
      <c r="J691" s="110"/>
      <c r="K691" s="443"/>
      <c r="L691" s="444"/>
    </row>
    <row r="692" spans="2:12" ht="120" customHeight="1" x14ac:dyDescent="0.3">
      <c r="B692" s="109"/>
      <c r="C692" s="110"/>
      <c r="D692" s="441"/>
      <c r="E692" s="442"/>
      <c r="F692" s="111"/>
      <c r="G692" s="109"/>
      <c r="H692" s="112"/>
      <c r="I692" s="110"/>
      <c r="J692" s="110"/>
      <c r="K692" s="443"/>
      <c r="L692" s="444"/>
    </row>
    <row r="693" spans="2:12" ht="120" customHeight="1" x14ac:dyDescent="0.3">
      <c r="B693" s="109"/>
      <c r="C693" s="110"/>
      <c r="D693" s="441"/>
      <c r="E693" s="442"/>
      <c r="F693" s="111"/>
      <c r="G693" s="109"/>
      <c r="H693" s="112"/>
      <c r="I693" s="110"/>
      <c r="J693" s="110"/>
      <c r="K693" s="443"/>
      <c r="L693" s="444"/>
    </row>
    <row r="694" spans="2:12" ht="120" customHeight="1" x14ac:dyDescent="0.3">
      <c r="B694" s="109"/>
      <c r="C694" s="110"/>
      <c r="D694" s="441"/>
      <c r="E694" s="442"/>
      <c r="F694" s="111"/>
      <c r="G694" s="109"/>
      <c r="H694" s="112"/>
      <c r="I694" s="110"/>
      <c r="J694" s="110"/>
      <c r="K694" s="443"/>
      <c r="L694" s="444"/>
    </row>
    <row r="695" spans="2:12" ht="120" customHeight="1" x14ac:dyDescent="0.3">
      <c r="B695" s="109"/>
      <c r="C695" s="110"/>
      <c r="D695" s="441"/>
      <c r="E695" s="442"/>
      <c r="F695" s="111"/>
      <c r="G695" s="109"/>
      <c r="H695" s="112"/>
      <c r="I695" s="110"/>
      <c r="J695" s="110"/>
      <c r="K695" s="443"/>
      <c r="L695" s="444"/>
    </row>
    <row r="696" spans="2:12" ht="120" customHeight="1" x14ac:dyDescent="0.3">
      <c r="B696" s="109"/>
      <c r="C696" s="110"/>
      <c r="D696" s="441"/>
      <c r="E696" s="442"/>
      <c r="F696" s="111"/>
      <c r="G696" s="109"/>
      <c r="H696" s="112"/>
      <c r="I696" s="110"/>
      <c r="J696" s="110"/>
      <c r="K696" s="443"/>
      <c r="L696" s="444"/>
    </row>
    <row r="697" spans="2:12" ht="120" customHeight="1" x14ac:dyDescent="0.3">
      <c r="B697" s="109"/>
      <c r="C697" s="110"/>
      <c r="D697" s="441"/>
      <c r="E697" s="442"/>
      <c r="F697" s="111"/>
      <c r="G697" s="109"/>
      <c r="H697" s="112"/>
      <c r="I697" s="110"/>
      <c r="J697" s="110"/>
      <c r="K697" s="443"/>
      <c r="L697" s="444"/>
    </row>
    <row r="698" spans="2:12" ht="120" customHeight="1" x14ac:dyDescent="0.3">
      <c r="B698" s="109"/>
      <c r="C698" s="110"/>
      <c r="D698" s="441"/>
      <c r="E698" s="442"/>
      <c r="F698" s="111"/>
      <c r="G698" s="109"/>
      <c r="H698" s="112"/>
      <c r="I698" s="110"/>
      <c r="J698" s="110"/>
      <c r="K698" s="443"/>
      <c r="L698" s="444"/>
    </row>
    <row r="699" spans="2:12" ht="120" customHeight="1" x14ac:dyDescent="0.3">
      <c r="B699" s="109"/>
      <c r="C699" s="110"/>
      <c r="D699" s="441"/>
      <c r="E699" s="442"/>
      <c r="F699" s="111"/>
      <c r="G699" s="109"/>
      <c r="H699" s="112"/>
      <c r="I699" s="110"/>
      <c r="J699" s="110"/>
      <c r="K699" s="443"/>
      <c r="L699" s="444"/>
    </row>
    <row r="700" spans="2:12" ht="120" customHeight="1" x14ac:dyDescent="0.3">
      <c r="B700" s="109"/>
      <c r="C700" s="110"/>
      <c r="D700" s="441"/>
      <c r="E700" s="442"/>
      <c r="F700" s="111"/>
      <c r="G700" s="109"/>
      <c r="H700" s="112"/>
      <c r="I700" s="110"/>
      <c r="J700" s="110"/>
      <c r="K700" s="443"/>
      <c r="L700" s="444"/>
    </row>
    <row r="701" spans="2:12" ht="120" customHeight="1" x14ac:dyDescent="0.3">
      <c r="B701" s="109"/>
      <c r="C701" s="110"/>
      <c r="D701" s="441"/>
      <c r="E701" s="442"/>
      <c r="F701" s="111"/>
      <c r="G701" s="109"/>
      <c r="H701" s="112"/>
      <c r="I701" s="110"/>
      <c r="J701" s="110"/>
      <c r="K701" s="443"/>
      <c r="L701" s="444"/>
    </row>
    <row r="702" spans="2:12" ht="120" customHeight="1" x14ac:dyDescent="0.3">
      <c r="B702" s="109"/>
      <c r="C702" s="110"/>
      <c r="D702" s="441"/>
      <c r="E702" s="442"/>
      <c r="F702" s="111"/>
      <c r="G702" s="109"/>
      <c r="H702" s="112"/>
      <c r="I702" s="110"/>
      <c r="J702" s="110"/>
      <c r="K702" s="443"/>
      <c r="L702" s="444"/>
    </row>
    <row r="703" spans="2:12" ht="120" customHeight="1" x14ac:dyDescent="0.3">
      <c r="B703" s="109"/>
      <c r="C703" s="110"/>
      <c r="D703" s="441"/>
      <c r="E703" s="442"/>
      <c r="F703" s="111"/>
      <c r="G703" s="109"/>
      <c r="H703" s="112"/>
      <c r="I703" s="110"/>
      <c r="J703" s="110"/>
      <c r="K703" s="443"/>
      <c r="L703" s="444"/>
    </row>
    <row r="704" spans="2:12" ht="120" customHeight="1" x14ac:dyDescent="0.3">
      <c r="B704" s="109"/>
      <c r="C704" s="110"/>
      <c r="D704" s="441"/>
      <c r="E704" s="442"/>
      <c r="F704" s="111"/>
      <c r="G704" s="109"/>
      <c r="H704" s="112"/>
      <c r="I704" s="110"/>
      <c r="J704" s="110"/>
      <c r="K704" s="443"/>
      <c r="L704" s="444"/>
    </row>
    <row r="705" spans="2:12" ht="120" customHeight="1" x14ac:dyDescent="0.3">
      <c r="B705" s="109"/>
      <c r="C705" s="110"/>
      <c r="D705" s="441"/>
      <c r="E705" s="442"/>
      <c r="F705" s="111"/>
      <c r="G705" s="109"/>
      <c r="H705" s="112"/>
      <c r="I705" s="110"/>
      <c r="J705" s="110"/>
      <c r="K705" s="443"/>
      <c r="L705" s="444"/>
    </row>
    <row r="706" spans="2:12" ht="120" customHeight="1" x14ac:dyDescent="0.3">
      <c r="B706" s="109"/>
      <c r="C706" s="110"/>
      <c r="D706" s="441"/>
      <c r="E706" s="442"/>
      <c r="F706" s="111"/>
      <c r="G706" s="109"/>
      <c r="H706" s="112"/>
      <c r="I706" s="110"/>
      <c r="J706" s="110"/>
      <c r="K706" s="443"/>
      <c r="L706" s="444"/>
    </row>
    <row r="707" spans="2:12" ht="120" customHeight="1" x14ac:dyDescent="0.3">
      <c r="B707" s="109"/>
      <c r="C707" s="110"/>
      <c r="D707" s="441"/>
      <c r="E707" s="442"/>
      <c r="F707" s="111"/>
      <c r="G707" s="109"/>
      <c r="H707" s="112"/>
      <c r="I707" s="110"/>
      <c r="J707" s="110"/>
      <c r="K707" s="443"/>
      <c r="L707" s="444"/>
    </row>
    <row r="708" spans="2:12" ht="120" customHeight="1" x14ac:dyDescent="0.3">
      <c r="B708" s="109"/>
      <c r="C708" s="110"/>
      <c r="D708" s="441"/>
      <c r="E708" s="442"/>
      <c r="F708" s="111"/>
      <c r="G708" s="109"/>
      <c r="H708" s="112"/>
      <c r="I708" s="110"/>
      <c r="J708" s="110"/>
      <c r="K708" s="443"/>
      <c r="L708" s="444"/>
    </row>
    <row r="709" spans="2:12" ht="120" customHeight="1" x14ac:dyDescent="0.3">
      <c r="B709" s="109"/>
      <c r="C709" s="110"/>
      <c r="D709" s="441"/>
      <c r="E709" s="442"/>
      <c r="F709" s="111"/>
      <c r="G709" s="109"/>
      <c r="H709" s="112"/>
      <c r="I709" s="110"/>
      <c r="J709" s="110"/>
      <c r="K709" s="443"/>
      <c r="L709" s="444"/>
    </row>
    <row r="710" spans="2:12" ht="120" customHeight="1" x14ac:dyDescent="0.3">
      <c r="B710" s="109"/>
      <c r="C710" s="110"/>
      <c r="D710" s="441"/>
      <c r="E710" s="442"/>
      <c r="F710" s="111"/>
      <c r="G710" s="109"/>
      <c r="H710" s="112"/>
      <c r="I710" s="110"/>
      <c r="J710" s="110"/>
      <c r="K710" s="443"/>
      <c r="L710" s="444"/>
    </row>
    <row r="711" spans="2:12" ht="120" customHeight="1" x14ac:dyDescent="0.3">
      <c r="B711" s="109"/>
      <c r="C711" s="110"/>
      <c r="D711" s="441"/>
      <c r="E711" s="442"/>
      <c r="F711" s="111"/>
      <c r="G711" s="109"/>
      <c r="H711" s="112"/>
      <c r="I711" s="110"/>
      <c r="J711" s="110"/>
      <c r="K711" s="443"/>
      <c r="L711" s="444"/>
    </row>
    <row r="712" spans="2:12" ht="120" customHeight="1" x14ac:dyDescent="0.3">
      <c r="B712" s="109"/>
      <c r="C712" s="110"/>
      <c r="D712" s="441"/>
      <c r="E712" s="442"/>
      <c r="F712" s="111"/>
      <c r="G712" s="109"/>
      <c r="H712" s="112"/>
      <c r="I712" s="110"/>
      <c r="J712" s="110"/>
      <c r="K712" s="443"/>
      <c r="L712" s="444"/>
    </row>
    <row r="713" spans="2:12" ht="120" customHeight="1" x14ac:dyDescent="0.3">
      <c r="B713" s="109"/>
      <c r="C713" s="110"/>
      <c r="D713" s="441"/>
      <c r="E713" s="442"/>
      <c r="F713" s="111"/>
      <c r="G713" s="109"/>
      <c r="H713" s="112"/>
      <c r="I713" s="110"/>
      <c r="J713" s="110"/>
      <c r="K713" s="443"/>
      <c r="L713" s="444"/>
    </row>
    <row r="714" spans="2:12" ht="120" customHeight="1" x14ac:dyDescent="0.3">
      <c r="B714" s="109"/>
      <c r="C714" s="110"/>
      <c r="D714" s="441"/>
      <c r="E714" s="442"/>
      <c r="F714" s="111"/>
      <c r="G714" s="109"/>
      <c r="H714" s="112"/>
      <c r="I714" s="110"/>
      <c r="J714" s="110"/>
      <c r="K714" s="443"/>
      <c r="L714" s="444"/>
    </row>
    <row r="715" spans="2:12" ht="120" customHeight="1" x14ac:dyDescent="0.3">
      <c r="B715" s="109"/>
      <c r="C715" s="110"/>
      <c r="D715" s="441"/>
      <c r="E715" s="442"/>
      <c r="F715" s="111"/>
      <c r="G715" s="109"/>
      <c r="H715" s="112"/>
      <c r="I715" s="110"/>
      <c r="J715" s="110"/>
      <c r="K715" s="443"/>
      <c r="L715" s="444"/>
    </row>
    <row r="716" spans="2:12" ht="120" customHeight="1" x14ac:dyDescent="0.3">
      <c r="B716" s="109"/>
      <c r="C716" s="110"/>
      <c r="D716" s="441"/>
      <c r="E716" s="442"/>
      <c r="F716" s="111"/>
      <c r="G716" s="109"/>
      <c r="H716" s="112"/>
      <c r="I716" s="110"/>
      <c r="J716" s="110"/>
      <c r="K716" s="443"/>
      <c r="L716" s="444"/>
    </row>
    <row r="717" spans="2:12" ht="120" customHeight="1" x14ac:dyDescent="0.3">
      <c r="B717" s="109"/>
      <c r="C717" s="110"/>
      <c r="D717" s="441"/>
      <c r="E717" s="442"/>
      <c r="F717" s="111"/>
      <c r="G717" s="109"/>
      <c r="H717" s="112"/>
      <c r="I717" s="110"/>
      <c r="J717" s="110"/>
      <c r="K717" s="443"/>
      <c r="L717" s="444"/>
    </row>
    <row r="718" spans="2:12" ht="120" customHeight="1" x14ac:dyDescent="0.3">
      <c r="B718" s="109"/>
      <c r="C718" s="110"/>
      <c r="D718" s="441"/>
      <c r="E718" s="442"/>
      <c r="F718" s="111"/>
      <c r="G718" s="109"/>
      <c r="H718" s="112"/>
      <c r="I718" s="110"/>
      <c r="J718" s="110"/>
      <c r="K718" s="443"/>
      <c r="L718" s="444"/>
    </row>
    <row r="719" spans="2:12" ht="120" customHeight="1" x14ac:dyDescent="0.3">
      <c r="B719" s="109"/>
      <c r="C719" s="110"/>
      <c r="D719" s="441"/>
      <c r="E719" s="442"/>
      <c r="F719" s="111"/>
      <c r="G719" s="109"/>
      <c r="H719" s="112"/>
      <c r="I719" s="110"/>
      <c r="J719" s="110"/>
      <c r="K719" s="443"/>
      <c r="L719" s="444"/>
    </row>
    <row r="720" spans="2:12" ht="120" customHeight="1" x14ac:dyDescent="0.3">
      <c r="B720" s="109"/>
      <c r="C720" s="110"/>
      <c r="D720" s="441"/>
      <c r="E720" s="442"/>
      <c r="F720" s="111"/>
      <c r="G720" s="109"/>
      <c r="H720" s="112"/>
      <c r="I720" s="110"/>
      <c r="J720" s="110"/>
      <c r="K720" s="443"/>
      <c r="L720" s="444"/>
    </row>
    <row r="721" spans="2:12" ht="120" customHeight="1" x14ac:dyDescent="0.3">
      <c r="B721" s="109"/>
      <c r="C721" s="110"/>
      <c r="D721" s="441"/>
      <c r="E721" s="442"/>
      <c r="F721" s="111"/>
      <c r="G721" s="109"/>
      <c r="H721" s="112"/>
      <c r="I721" s="110"/>
      <c r="J721" s="110"/>
      <c r="K721" s="443"/>
      <c r="L721" s="444"/>
    </row>
    <row r="722" spans="2:12" ht="120" customHeight="1" x14ac:dyDescent="0.3">
      <c r="B722" s="109"/>
      <c r="C722" s="110"/>
      <c r="D722" s="441"/>
      <c r="E722" s="442"/>
      <c r="F722" s="111"/>
      <c r="G722" s="109"/>
      <c r="H722" s="112"/>
      <c r="I722" s="110"/>
      <c r="J722" s="110"/>
      <c r="K722" s="443"/>
      <c r="L722" s="444"/>
    </row>
    <row r="723" spans="2:12" ht="120" customHeight="1" x14ac:dyDescent="0.3">
      <c r="B723" s="109"/>
      <c r="C723" s="110"/>
      <c r="D723" s="441"/>
      <c r="E723" s="442"/>
      <c r="F723" s="111"/>
      <c r="G723" s="109"/>
      <c r="H723" s="112"/>
      <c r="I723" s="110"/>
      <c r="J723" s="110"/>
      <c r="K723" s="443"/>
      <c r="L723" s="444"/>
    </row>
    <row r="724" spans="2:12" ht="120" customHeight="1" x14ac:dyDescent="0.3">
      <c r="B724" s="109"/>
      <c r="C724" s="110"/>
      <c r="D724" s="441"/>
      <c r="E724" s="442"/>
      <c r="F724" s="111"/>
      <c r="G724" s="109"/>
      <c r="H724" s="112"/>
      <c r="I724" s="110"/>
      <c r="J724" s="110"/>
      <c r="K724" s="443"/>
      <c r="L724" s="444"/>
    </row>
    <row r="725" spans="2:12" ht="120" customHeight="1" x14ac:dyDescent="0.3">
      <c r="B725" s="109"/>
      <c r="C725" s="110"/>
      <c r="D725" s="441"/>
      <c r="E725" s="442"/>
      <c r="F725" s="111"/>
      <c r="G725" s="109"/>
      <c r="H725" s="112"/>
      <c r="I725" s="110"/>
      <c r="J725" s="110"/>
      <c r="K725" s="443"/>
      <c r="L725" s="444"/>
    </row>
    <row r="726" spans="2:12" ht="120" customHeight="1" x14ac:dyDescent="0.3">
      <c r="B726" s="109"/>
      <c r="C726" s="110"/>
      <c r="D726" s="441"/>
      <c r="E726" s="442"/>
      <c r="F726" s="111"/>
      <c r="G726" s="109"/>
      <c r="H726" s="112"/>
      <c r="I726" s="110"/>
      <c r="J726" s="110"/>
      <c r="K726" s="443"/>
      <c r="L726" s="444"/>
    </row>
    <row r="727" spans="2:12" ht="120" customHeight="1" x14ac:dyDescent="0.3">
      <c r="B727" s="109"/>
      <c r="C727" s="110"/>
      <c r="D727" s="441"/>
      <c r="E727" s="442"/>
      <c r="F727" s="111"/>
      <c r="G727" s="109"/>
      <c r="H727" s="112"/>
      <c r="I727" s="110"/>
      <c r="J727" s="110"/>
      <c r="K727" s="443"/>
      <c r="L727" s="444"/>
    </row>
    <row r="728" spans="2:12" ht="120" customHeight="1" x14ac:dyDescent="0.3">
      <c r="B728" s="109"/>
      <c r="C728" s="110"/>
      <c r="D728" s="441"/>
      <c r="E728" s="442"/>
      <c r="F728" s="111"/>
      <c r="G728" s="109"/>
      <c r="H728" s="112"/>
      <c r="I728" s="110"/>
      <c r="J728" s="110"/>
      <c r="K728" s="443"/>
      <c r="L728" s="444"/>
    </row>
    <row r="729" spans="2:12" ht="120" customHeight="1" x14ac:dyDescent="0.3">
      <c r="B729" s="109"/>
      <c r="C729" s="110"/>
      <c r="D729" s="441"/>
      <c r="E729" s="442"/>
      <c r="F729" s="111"/>
      <c r="G729" s="109"/>
      <c r="H729" s="112"/>
      <c r="I729" s="110"/>
      <c r="J729" s="110"/>
      <c r="K729" s="443"/>
      <c r="L729" s="444"/>
    </row>
    <row r="730" spans="2:12" ht="120" customHeight="1" x14ac:dyDescent="0.3">
      <c r="B730" s="109"/>
      <c r="C730" s="110"/>
      <c r="D730" s="441"/>
      <c r="E730" s="442"/>
      <c r="F730" s="111"/>
      <c r="G730" s="109"/>
      <c r="H730" s="112"/>
      <c r="I730" s="110"/>
      <c r="J730" s="110"/>
      <c r="K730" s="443"/>
      <c r="L730" s="444"/>
    </row>
    <row r="731" spans="2:12" ht="120" customHeight="1" x14ac:dyDescent="0.3">
      <c r="B731" s="109"/>
      <c r="C731" s="110"/>
      <c r="D731" s="441"/>
      <c r="E731" s="442"/>
      <c r="F731" s="111"/>
      <c r="G731" s="109"/>
      <c r="H731" s="112"/>
      <c r="I731" s="110"/>
      <c r="J731" s="110"/>
      <c r="K731" s="443"/>
      <c r="L731" s="444"/>
    </row>
    <row r="732" spans="2:12" ht="120" customHeight="1" x14ac:dyDescent="0.3">
      <c r="B732" s="109"/>
      <c r="C732" s="110"/>
      <c r="D732" s="441"/>
      <c r="E732" s="442"/>
      <c r="F732" s="111"/>
      <c r="G732" s="109"/>
      <c r="H732" s="112"/>
      <c r="I732" s="110"/>
      <c r="J732" s="110"/>
      <c r="K732" s="443"/>
      <c r="L732" s="444"/>
    </row>
    <row r="733" spans="2:12" ht="120" customHeight="1" x14ac:dyDescent="0.3">
      <c r="B733" s="109"/>
      <c r="C733" s="110"/>
      <c r="D733" s="441"/>
      <c r="E733" s="442"/>
      <c r="F733" s="111"/>
      <c r="G733" s="109"/>
      <c r="H733" s="112"/>
      <c r="I733" s="110"/>
      <c r="J733" s="110"/>
      <c r="K733" s="443"/>
      <c r="L733" s="444"/>
    </row>
    <row r="734" spans="2:12" ht="120" customHeight="1" x14ac:dyDescent="0.3">
      <c r="B734" s="109"/>
      <c r="C734" s="110"/>
      <c r="D734" s="441"/>
      <c r="E734" s="442"/>
      <c r="F734" s="111"/>
      <c r="G734" s="109"/>
      <c r="H734" s="112"/>
      <c r="I734" s="110"/>
      <c r="J734" s="110"/>
      <c r="K734" s="443"/>
      <c r="L734" s="444"/>
    </row>
    <row r="735" spans="2:12" ht="120" customHeight="1" x14ac:dyDescent="0.3">
      <c r="B735" s="109"/>
      <c r="C735" s="110"/>
      <c r="D735" s="441"/>
      <c r="E735" s="442"/>
      <c r="F735" s="111"/>
      <c r="G735" s="109"/>
      <c r="H735" s="112"/>
      <c r="I735" s="110"/>
      <c r="J735" s="110"/>
      <c r="K735" s="443"/>
      <c r="L735" s="444"/>
    </row>
    <row r="736" spans="2:12" ht="120" customHeight="1" x14ac:dyDescent="0.3">
      <c r="B736" s="109"/>
      <c r="C736" s="110"/>
      <c r="D736" s="441"/>
      <c r="E736" s="442"/>
      <c r="F736" s="111"/>
      <c r="G736" s="109"/>
      <c r="H736" s="112"/>
      <c r="I736" s="110"/>
      <c r="J736" s="110"/>
      <c r="K736" s="443"/>
      <c r="L736" s="444"/>
    </row>
    <row r="737" spans="2:12" ht="120" customHeight="1" x14ac:dyDescent="0.3">
      <c r="B737" s="109"/>
      <c r="C737" s="110"/>
      <c r="D737" s="441"/>
      <c r="E737" s="442"/>
      <c r="F737" s="111"/>
      <c r="G737" s="109"/>
      <c r="H737" s="112"/>
      <c r="I737" s="110"/>
      <c r="J737" s="110"/>
      <c r="K737" s="443"/>
      <c r="L737" s="444"/>
    </row>
    <row r="738" spans="2:12" ht="120" customHeight="1" x14ac:dyDescent="0.3">
      <c r="B738" s="109"/>
      <c r="C738" s="110"/>
      <c r="D738" s="441"/>
      <c r="E738" s="442"/>
      <c r="F738" s="111"/>
      <c r="G738" s="109"/>
      <c r="H738" s="112"/>
      <c r="I738" s="110"/>
      <c r="J738" s="110"/>
      <c r="K738" s="443"/>
      <c r="L738" s="444"/>
    </row>
    <row r="739" spans="2:12" ht="120" customHeight="1" x14ac:dyDescent="0.3">
      <c r="B739" s="109"/>
      <c r="C739" s="110"/>
      <c r="D739" s="441"/>
      <c r="E739" s="442"/>
      <c r="F739" s="111"/>
      <c r="G739" s="109"/>
      <c r="H739" s="112"/>
      <c r="I739" s="110"/>
      <c r="J739" s="110"/>
      <c r="K739" s="443"/>
      <c r="L739" s="444"/>
    </row>
    <row r="740" spans="2:12" ht="120" customHeight="1" x14ac:dyDescent="0.3">
      <c r="B740" s="109"/>
      <c r="C740" s="110"/>
      <c r="D740" s="441"/>
      <c r="E740" s="442"/>
      <c r="F740" s="111"/>
      <c r="G740" s="109"/>
      <c r="H740" s="112"/>
      <c r="I740" s="110"/>
      <c r="J740" s="110"/>
      <c r="K740" s="443"/>
      <c r="L740" s="444"/>
    </row>
    <row r="741" spans="2:12" ht="120" customHeight="1" x14ac:dyDescent="0.3">
      <c r="B741" s="109"/>
      <c r="C741" s="110"/>
      <c r="D741" s="441"/>
      <c r="E741" s="442"/>
      <c r="F741" s="111"/>
      <c r="G741" s="109"/>
      <c r="H741" s="112"/>
      <c r="I741" s="110"/>
      <c r="J741" s="110"/>
      <c r="K741" s="443"/>
      <c r="L741" s="444"/>
    </row>
    <row r="742" spans="2:12" ht="120" customHeight="1" x14ac:dyDescent="0.3">
      <c r="B742" s="109"/>
      <c r="C742" s="110"/>
      <c r="D742" s="441"/>
      <c r="E742" s="442"/>
      <c r="F742" s="111"/>
      <c r="G742" s="109"/>
      <c r="H742" s="112"/>
      <c r="I742" s="110"/>
      <c r="J742" s="110"/>
      <c r="K742" s="443"/>
      <c r="L742" s="444"/>
    </row>
    <row r="743" spans="2:12" ht="120" customHeight="1" x14ac:dyDescent="0.3">
      <c r="B743" s="109"/>
      <c r="C743" s="110"/>
      <c r="D743" s="441"/>
      <c r="E743" s="442"/>
      <c r="F743" s="111"/>
      <c r="G743" s="109"/>
      <c r="H743" s="112"/>
      <c r="I743" s="110"/>
      <c r="J743" s="110"/>
      <c r="K743" s="443"/>
      <c r="L743" s="444"/>
    </row>
    <row r="744" spans="2:12" ht="120" customHeight="1" x14ac:dyDescent="0.3">
      <c r="B744" s="109"/>
      <c r="C744" s="110"/>
      <c r="D744" s="441"/>
      <c r="E744" s="442"/>
      <c r="F744" s="111"/>
      <c r="G744" s="109"/>
      <c r="H744" s="112"/>
      <c r="I744" s="110"/>
      <c r="J744" s="110"/>
      <c r="K744" s="443"/>
      <c r="L744" s="444"/>
    </row>
    <row r="745" spans="2:12" ht="120" customHeight="1" x14ac:dyDescent="0.3">
      <c r="B745" s="109"/>
      <c r="C745" s="110"/>
      <c r="D745" s="441"/>
      <c r="E745" s="442"/>
      <c r="F745" s="111"/>
      <c r="G745" s="109"/>
      <c r="H745" s="112"/>
      <c r="I745" s="110"/>
      <c r="J745" s="110"/>
      <c r="K745" s="443"/>
      <c r="L745" s="444"/>
    </row>
    <row r="746" spans="2:12" ht="120" customHeight="1" x14ac:dyDescent="0.3">
      <c r="B746" s="109"/>
      <c r="C746" s="110"/>
      <c r="D746" s="441"/>
      <c r="E746" s="442"/>
      <c r="F746" s="111"/>
      <c r="G746" s="109"/>
      <c r="H746" s="112"/>
      <c r="I746" s="110"/>
      <c r="J746" s="110"/>
      <c r="K746" s="443"/>
      <c r="L746" s="444"/>
    </row>
    <row r="747" spans="2:12" ht="120" customHeight="1" x14ac:dyDescent="0.3">
      <c r="B747" s="109"/>
      <c r="C747" s="110"/>
      <c r="D747" s="441"/>
      <c r="E747" s="442"/>
      <c r="F747" s="111"/>
      <c r="G747" s="109"/>
      <c r="H747" s="112"/>
      <c r="I747" s="110"/>
      <c r="J747" s="110"/>
      <c r="K747" s="443"/>
      <c r="L747" s="444"/>
    </row>
    <row r="748" spans="2:12" ht="120" customHeight="1" x14ac:dyDescent="0.3">
      <c r="B748" s="109"/>
      <c r="C748" s="110"/>
      <c r="D748" s="441"/>
      <c r="E748" s="442"/>
      <c r="F748" s="111"/>
      <c r="G748" s="109"/>
      <c r="H748" s="112"/>
      <c r="I748" s="110"/>
      <c r="J748" s="110"/>
      <c r="K748" s="443"/>
      <c r="L748" s="444"/>
    </row>
    <row r="749" spans="2:12" ht="120" customHeight="1" x14ac:dyDescent="0.3">
      <c r="B749" s="109"/>
      <c r="C749" s="110"/>
      <c r="D749" s="441"/>
      <c r="E749" s="442"/>
      <c r="F749" s="111"/>
      <c r="G749" s="109"/>
      <c r="H749" s="112"/>
      <c r="I749" s="110"/>
      <c r="J749" s="110"/>
      <c r="K749" s="443"/>
      <c r="L749" s="444"/>
    </row>
  </sheetData>
  <sheetProtection selectLockedCells="1"/>
  <mergeCells count="1449">
    <mergeCell ref="K597:L597"/>
    <mergeCell ref="K598:L598"/>
    <mergeCell ref="K599:L599"/>
    <mergeCell ref="K588:L588"/>
    <mergeCell ref="K589:L589"/>
    <mergeCell ref="K590:L590"/>
    <mergeCell ref="K591:L591"/>
    <mergeCell ref="K592:L592"/>
    <mergeCell ref="K593:L593"/>
    <mergeCell ref="K594:L594"/>
    <mergeCell ref="K595:L595"/>
    <mergeCell ref="K596:L596"/>
    <mergeCell ref="K579:L579"/>
    <mergeCell ref="K580:L580"/>
    <mergeCell ref="K581:L581"/>
    <mergeCell ref="K582:L582"/>
    <mergeCell ref="K583:L583"/>
    <mergeCell ref="K584:L584"/>
    <mergeCell ref="K585:L585"/>
    <mergeCell ref="K586:L586"/>
    <mergeCell ref="K587:L587"/>
    <mergeCell ref="K570:L570"/>
    <mergeCell ref="K571:L571"/>
    <mergeCell ref="K572:L572"/>
    <mergeCell ref="K573:L573"/>
    <mergeCell ref="K574:L574"/>
    <mergeCell ref="K575:L575"/>
    <mergeCell ref="K576:L576"/>
    <mergeCell ref="K577:L577"/>
    <mergeCell ref="K578:L578"/>
    <mergeCell ref="K561:L561"/>
    <mergeCell ref="K562:L562"/>
    <mergeCell ref="K563:L563"/>
    <mergeCell ref="K564:L564"/>
    <mergeCell ref="K565:L565"/>
    <mergeCell ref="K566:L566"/>
    <mergeCell ref="K567:L567"/>
    <mergeCell ref="K568:L568"/>
    <mergeCell ref="K569:L569"/>
    <mergeCell ref="K552:L552"/>
    <mergeCell ref="K553:L553"/>
    <mergeCell ref="K554:L554"/>
    <mergeCell ref="K555:L555"/>
    <mergeCell ref="K556:L556"/>
    <mergeCell ref="K557:L557"/>
    <mergeCell ref="K558:L558"/>
    <mergeCell ref="K559:L559"/>
    <mergeCell ref="K560:L560"/>
    <mergeCell ref="K543:L543"/>
    <mergeCell ref="K544:L544"/>
    <mergeCell ref="K545:L545"/>
    <mergeCell ref="K546:L546"/>
    <mergeCell ref="K547:L547"/>
    <mergeCell ref="K548:L548"/>
    <mergeCell ref="K549:L549"/>
    <mergeCell ref="K550:L550"/>
    <mergeCell ref="K551:L551"/>
    <mergeCell ref="K534:L534"/>
    <mergeCell ref="K535:L535"/>
    <mergeCell ref="K536:L536"/>
    <mergeCell ref="K537:L537"/>
    <mergeCell ref="K538:L538"/>
    <mergeCell ref="K539:L539"/>
    <mergeCell ref="K540:L540"/>
    <mergeCell ref="K541:L541"/>
    <mergeCell ref="K542:L542"/>
    <mergeCell ref="K525:L525"/>
    <mergeCell ref="K526:L526"/>
    <mergeCell ref="K527:L527"/>
    <mergeCell ref="K528:L528"/>
    <mergeCell ref="K529:L529"/>
    <mergeCell ref="K530:L530"/>
    <mergeCell ref="K531:L531"/>
    <mergeCell ref="K532:L532"/>
    <mergeCell ref="K533:L533"/>
    <mergeCell ref="K516:L516"/>
    <mergeCell ref="K517:L517"/>
    <mergeCell ref="K518:L518"/>
    <mergeCell ref="K519:L519"/>
    <mergeCell ref="K520:L520"/>
    <mergeCell ref="K521:L521"/>
    <mergeCell ref="K522:L522"/>
    <mergeCell ref="K523:L523"/>
    <mergeCell ref="K524:L524"/>
    <mergeCell ref="K507:L507"/>
    <mergeCell ref="K508:L508"/>
    <mergeCell ref="K509:L509"/>
    <mergeCell ref="K510:L510"/>
    <mergeCell ref="K511:L511"/>
    <mergeCell ref="K512:L512"/>
    <mergeCell ref="K513:L513"/>
    <mergeCell ref="K514:L514"/>
    <mergeCell ref="K515:L515"/>
    <mergeCell ref="K498:L498"/>
    <mergeCell ref="K499:L499"/>
    <mergeCell ref="K500:L500"/>
    <mergeCell ref="K501:L501"/>
    <mergeCell ref="K502:L502"/>
    <mergeCell ref="K503:L503"/>
    <mergeCell ref="K504:L504"/>
    <mergeCell ref="K505:L505"/>
    <mergeCell ref="K506:L506"/>
    <mergeCell ref="K489:L489"/>
    <mergeCell ref="K490:L490"/>
    <mergeCell ref="K491:L491"/>
    <mergeCell ref="K492:L492"/>
    <mergeCell ref="K493:L493"/>
    <mergeCell ref="K494:L494"/>
    <mergeCell ref="K495:L495"/>
    <mergeCell ref="K496:L496"/>
    <mergeCell ref="K497:L497"/>
    <mergeCell ref="K480:L480"/>
    <mergeCell ref="K481:L481"/>
    <mergeCell ref="K482:L482"/>
    <mergeCell ref="K483:L483"/>
    <mergeCell ref="K484:L484"/>
    <mergeCell ref="K485:L485"/>
    <mergeCell ref="K486:L486"/>
    <mergeCell ref="K487:L487"/>
    <mergeCell ref="K488:L488"/>
    <mergeCell ref="K471:L471"/>
    <mergeCell ref="K472:L472"/>
    <mergeCell ref="K473:L473"/>
    <mergeCell ref="K474:L474"/>
    <mergeCell ref="K475:L475"/>
    <mergeCell ref="K476:L476"/>
    <mergeCell ref="K477:L477"/>
    <mergeCell ref="K478:L478"/>
    <mergeCell ref="K479:L479"/>
    <mergeCell ref="K463:L463"/>
    <mergeCell ref="K464:L464"/>
    <mergeCell ref="K465:L465"/>
    <mergeCell ref="K466:L466"/>
    <mergeCell ref="K467:L467"/>
    <mergeCell ref="K468:L468"/>
    <mergeCell ref="K469:L469"/>
    <mergeCell ref="K470:L470"/>
    <mergeCell ref="K453:L453"/>
    <mergeCell ref="K454:L454"/>
    <mergeCell ref="K455:L455"/>
    <mergeCell ref="K456:L456"/>
    <mergeCell ref="K457:L457"/>
    <mergeCell ref="K458:L458"/>
    <mergeCell ref="K459:L459"/>
    <mergeCell ref="K460:L460"/>
    <mergeCell ref="K461:L461"/>
    <mergeCell ref="K446:L446"/>
    <mergeCell ref="K447:L447"/>
    <mergeCell ref="K448:L448"/>
    <mergeCell ref="K449:L449"/>
    <mergeCell ref="K450:L450"/>
    <mergeCell ref="K451:L451"/>
    <mergeCell ref="K452:L452"/>
    <mergeCell ref="K435:L435"/>
    <mergeCell ref="K436:L436"/>
    <mergeCell ref="K437:L437"/>
    <mergeCell ref="K438:L438"/>
    <mergeCell ref="K439:L439"/>
    <mergeCell ref="K440:L440"/>
    <mergeCell ref="K441:L441"/>
    <mergeCell ref="K442:L442"/>
    <mergeCell ref="K443:L443"/>
    <mergeCell ref="K462:L462"/>
    <mergeCell ref="K429:L429"/>
    <mergeCell ref="K430:L430"/>
    <mergeCell ref="K431:L431"/>
    <mergeCell ref="K432:L432"/>
    <mergeCell ref="K433:L433"/>
    <mergeCell ref="K434:L434"/>
    <mergeCell ref="K417:L417"/>
    <mergeCell ref="K418:L418"/>
    <mergeCell ref="K419:L419"/>
    <mergeCell ref="K420:L420"/>
    <mergeCell ref="K421:L421"/>
    <mergeCell ref="K422:L422"/>
    <mergeCell ref="K423:L423"/>
    <mergeCell ref="K424:L424"/>
    <mergeCell ref="K425:L425"/>
    <mergeCell ref="K444:L444"/>
    <mergeCell ref="K445:L445"/>
    <mergeCell ref="K412:L412"/>
    <mergeCell ref="K413:L413"/>
    <mergeCell ref="K414:L414"/>
    <mergeCell ref="K415:L415"/>
    <mergeCell ref="K416:L416"/>
    <mergeCell ref="K399:L399"/>
    <mergeCell ref="K400:L400"/>
    <mergeCell ref="K401:L401"/>
    <mergeCell ref="K402:L402"/>
    <mergeCell ref="K403:L403"/>
    <mergeCell ref="K404:L404"/>
    <mergeCell ref="K405:L405"/>
    <mergeCell ref="K406:L406"/>
    <mergeCell ref="K407:L407"/>
    <mergeCell ref="K426:L426"/>
    <mergeCell ref="K427:L427"/>
    <mergeCell ref="K428:L428"/>
    <mergeCell ref="K395:L395"/>
    <mergeCell ref="K396:L396"/>
    <mergeCell ref="K397:L397"/>
    <mergeCell ref="K398:L398"/>
    <mergeCell ref="K381:L381"/>
    <mergeCell ref="K382:L382"/>
    <mergeCell ref="K383:L383"/>
    <mergeCell ref="K384:L384"/>
    <mergeCell ref="K385:L385"/>
    <mergeCell ref="K386:L386"/>
    <mergeCell ref="K387:L387"/>
    <mergeCell ref="K388:L388"/>
    <mergeCell ref="K389:L389"/>
    <mergeCell ref="K408:L408"/>
    <mergeCell ref="K409:L409"/>
    <mergeCell ref="K410:L410"/>
    <mergeCell ref="K411:L411"/>
    <mergeCell ref="K378:L378"/>
    <mergeCell ref="K379:L379"/>
    <mergeCell ref="K380:L380"/>
    <mergeCell ref="K363:L363"/>
    <mergeCell ref="K364:L364"/>
    <mergeCell ref="K365:L365"/>
    <mergeCell ref="K366:L366"/>
    <mergeCell ref="K367:L367"/>
    <mergeCell ref="K368:L368"/>
    <mergeCell ref="K369:L369"/>
    <mergeCell ref="K370:L370"/>
    <mergeCell ref="K371:L371"/>
    <mergeCell ref="K390:L390"/>
    <mergeCell ref="K391:L391"/>
    <mergeCell ref="K392:L392"/>
    <mergeCell ref="K393:L393"/>
    <mergeCell ref="K394:L394"/>
    <mergeCell ref="K361:L361"/>
    <mergeCell ref="K362:L362"/>
    <mergeCell ref="K345:L345"/>
    <mergeCell ref="K346:L346"/>
    <mergeCell ref="K347:L347"/>
    <mergeCell ref="K348:L348"/>
    <mergeCell ref="K349:L349"/>
    <mergeCell ref="K350:L350"/>
    <mergeCell ref="K351:L351"/>
    <mergeCell ref="K352:L352"/>
    <mergeCell ref="K353:L353"/>
    <mergeCell ref="K372:L372"/>
    <mergeCell ref="K373:L373"/>
    <mergeCell ref="K374:L374"/>
    <mergeCell ref="K375:L375"/>
    <mergeCell ref="K376:L376"/>
    <mergeCell ref="K377:L377"/>
    <mergeCell ref="K344:L344"/>
    <mergeCell ref="K327:L327"/>
    <mergeCell ref="K328:L328"/>
    <mergeCell ref="K329:L329"/>
    <mergeCell ref="K330:L330"/>
    <mergeCell ref="K331:L331"/>
    <mergeCell ref="K332:L332"/>
    <mergeCell ref="K333:L333"/>
    <mergeCell ref="K334:L334"/>
    <mergeCell ref="K335:L335"/>
    <mergeCell ref="K354:L354"/>
    <mergeCell ref="K355:L355"/>
    <mergeCell ref="K356:L356"/>
    <mergeCell ref="K357:L357"/>
    <mergeCell ref="K358:L358"/>
    <mergeCell ref="K359:L359"/>
    <mergeCell ref="K360:L360"/>
    <mergeCell ref="K336:L336"/>
    <mergeCell ref="K337:L337"/>
    <mergeCell ref="K338:L338"/>
    <mergeCell ref="K339:L339"/>
    <mergeCell ref="K340:L340"/>
    <mergeCell ref="K341:L341"/>
    <mergeCell ref="K342:L342"/>
    <mergeCell ref="K318:L318"/>
    <mergeCell ref="K319:L319"/>
    <mergeCell ref="K320:L320"/>
    <mergeCell ref="K321:L321"/>
    <mergeCell ref="K322:L322"/>
    <mergeCell ref="K323:L323"/>
    <mergeCell ref="K324:L324"/>
    <mergeCell ref="K325:L325"/>
    <mergeCell ref="K326:L326"/>
    <mergeCell ref="K343:L343"/>
    <mergeCell ref="K289:L289"/>
    <mergeCell ref="K290:L290"/>
    <mergeCell ref="K291:L291"/>
    <mergeCell ref="K292:L292"/>
    <mergeCell ref="K275:L275"/>
    <mergeCell ref="K276:L276"/>
    <mergeCell ref="K277:L277"/>
    <mergeCell ref="K278:L278"/>
    <mergeCell ref="K279:L279"/>
    <mergeCell ref="K280:L280"/>
    <mergeCell ref="K281:L281"/>
    <mergeCell ref="K282:L282"/>
    <mergeCell ref="K283:L283"/>
    <mergeCell ref="K305:L305"/>
    <mergeCell ref="K306:L306"/>
    <mergeCell ref="K307:L307"/>
    <mergeCell ref="K308:L308"/>
    <mergeCell ref="K293:L293"/>
    <mergeCell ref="K294:L294"/>
    <mergeCell ref="K295:L295"/>
    <mergeCell ref="K296:L296"/>
    <mergeCell ref="K297:L297"/>
    <mergeCell ref="K298:L298"/>
    <mergeCell ref="K299:L299"/>
    <mergeCell ref="K300:L300"/>
    <mergeCell ref="K301:L301"/>
    <mergeCell ref="K225:L225"/>
    <mergeCell ref="K226:L226"/>
    <mergeCell ref="K227:L227"/>
    <mergeCell ref="K210:L210"/>
    <mergeCell ref="K211:L211"/>
    <mergeCell ref="K212:L212"/>
    <mergeCell ref="K213:L213"/>
    <mergeCell ref="K214:L214"/>
    <mergeCell ref="K215:L215"/>
    <mergeCell ref="K216:L216"/>
    <mergeCell ref="K217:L217"/>
    <mergeCell ref="K218:L218"/>
    <mergeCell ref="K243:L243"/>
    <mergeCell ref="K244:L244"/>
    <mergeCell ref="K245:L245"/>
    <mergeCell ref="K246:L246"/>
    <mergeCell ref="K247:L247"/>
    <mergeCell ref="K233:L233"/>
    <mergeCell ref="K234:L234"/>
    <mergeCell ref="K235:L235"/>
    <mergeCell ref="K236:L236"/>
    <mergeCell ref="K237:L237"/>
    <mergeCell ref="K238:L238"/>
    <mergeCell ref="K239:L239"/>
    <mergeCell ref="K240:L240"/>
    <mergeCell ref="K241:L241"/>
    <mergeCell ref="K242:L242"/>
    <mergeCell ref="K252:L252"/>
    <mergeCell ref="K201:L201"/>
    <mergeCell ref="K202:L202"/>
    <mergeCell ref="K203:L203"/>
    <mergeCell ref="K204:L204"/>
    <mergeCell ref="K205:L205"/>
    <mergeCell ref="K206:L206"/>
    <mergeCell ref="K207:L207"/>
    <mergeCell ref="K208:L208"/>
    <mergeCell ref="K209:L209"/>
    <mergeCell ref="K192:L192"/>
    <mergeCell ref="K193:L193"/>
    <mergeCell ref="K194:L194"/>
    <mergeCell ref="K195:L195"/>
    <mergeCell ref="K196:L196"/>
    <mergeCell ref="K197:L197"/>
    <mergeCell ref="K198:L198"/>
    <mergeCell ref="K199:L199"/>
    <mergeCell ref="K200:L200"/>
    <mergeCell ref="K183:L183"/>
    <mergeCell ref="K184:L184"/>
    <mergeCell ref="K185:L185"/>
    <mergeCell ref="K186:L186"/>
    <mergeCell ref="K187:L187"/>
    <mergeCell ref="K188:L188"/>
    <mergeCell ref="K189:L189"/>
    <mergeCell ref="K190:L190"/>
    <mergeCell ref="K191:L191"/>
    <mergeCell ref="K174:L174"/>
    <mergeCell ref="K175:L175"/>
    <mergeCell ref="K176:L176"/>
    <mergeCell ref="K177:L177"/>
    <mergeCell ref="K178:L178"/>
    <mergeCell ref="K179:L179"/>
    <mergeCell ref="K180:L180"/>
    <mergeCell ref="K181:L181"/>
    <mergeCell ref="K182:L182"/>
    <mergeCell ref="K165:L165"/>
    <mergeCell ref="K166:L166"/>
    <mergeCell ref="K167:L167"/>
    <mergeCell ref="K168:L168"/>
    <mergeCell ref="K169:L169"/>
    <mergeCell ref="K170:L170"/>
    <mergeCell ref="K171:L171"/>
    <mergeCell ref="K172:L172"/>
    <mergeCell ref="K173:L173"/>
    <mergeCell ref="K156:L156"/>
    <mergeCell ref="K157:L157"/>
    <mergeCell ref="K158:L158"/>
    <mergeCell ref="K159:L159"/>
    <mergeCell ref="K160:L160"/>
    <mergeCell ref="K161:L161"/>
    <mergeCell ref="K162:L162"/>
    <mergeCell ref="K163:L163"/>
    <mergeCell ref="K164:L164"/>
    <mergeCell ref="K147:L147"/>
    <mergeCell ref="K148:L148"/>
    <mergeCell ref="K149:L149"/>
    <mergeCell ref="K150:L150"/>
    <mergeCell ref="K151:L151"/>
    <mergeCell ref="K152:L152"/>
    <mergeCell ref="K153:L153"/>
    <mergeCell ref="K154:L154"/>
    <mergeCell ref="K155:L155"/>
    <mergeCell ref="K138:L138"/>
    <mergeCell ref="K139:L139"/>
    <mergeCell ref="K140:L140"/>
    <mergeCell ref="K141:L141"/>
    <mergeCell ref="K142:L142"/>
    <mergeCell ref="K143:L143"/>
    <mergeCell ref="K144:L144"/>
    <mergeCell ref="K145:L145"/>
    <mergeCell ref="K146:L146"/>
    <mergeCell ref="K129:L129"/>
    <mergeCell ref="K130:L130"/>
    <mergeCell ref="K131:L131"/>
    <mergeCell ref="K132:L132"/>
    <mergeCell ref="K133:L133"/>
    <mergeCell ref="K134:L134"/>
    <mergeCell ref="K135:L135"/>
    <mergeCell ref="K136:L136"/>
    <mergeCell ref="K137:L137"/>
    <mergeCell ref="K120:L120"/>
    <mergeCell ref="K121:L121"/>
    <mergeCell ref="K122:L122"/>
    <mergeCell ref="K123:L123"/>
    <mergeCell ref="K124:L124"/>
    <mergeCell ref="K125:L125"/>
    <mergeCell ref="K126:L126"/>
    <mergeCell ref="K127:L127"/>
    <mergeCell ref="K128:L128"/>
    <mergeCell ref="K111:L111"/>
    <mergeCell ref="K112:L112"/>
    <mergeCell ref="K113:L113"/>
    <mergeCell ref="K114:L114"/>
    <mergeCell ref="K115:L115"/>
    <mergeCell ref="K116:L116"/>
    <mergeCell ref="K117:L117"/>
    <mergeCell ref="K118:L118"/>
    <mergeCell ref="K119:L119"/>
    <mergeCell ref="K102:L102"/>
    <mergeCell ref="K103:L103"/>
    <mergeCell ref="K104:L104"/>
    <mergeCell ref="K105:L105"/>
    <mergeCell ref="K106:L106"/>
    <mergeCell ref="K107:L107"/>
    <mergeCell ref="K108:L108"/>
    <mergeCell ref="K109:L109"/>
    <mergeCell ref="K110:L110"/>
    <mergeCell ref="K93:L93"/>
    <mergeCell ref="K94:L94"/>
    <mergeCell ref="K95:L95"/>
    <mergeCell ref="K96:L96"/>
    <mergeCell ref="K97:L97"/>
    <mergeCell ref="K98:L98"/>
    <mergeCell ref="K99:L99"/>
    <mergeCell ref="K100:L100"/>
    <mergeCell ref="K101:L101"/>
    <mergeCell ref="K84:L84"/>
    <mergeCell ref="K85:L85"/>
    <mergeCell ref="K86:L86"/>
    <mergeCell ref="K87:L87"/>
    <mergeCell ref="K88:L88"/>
    <mergeCell ref="K89:L89"/>
    <mergeCell ref="K90:L90"/>
    <mergeCell ref="K91:L91"/>
    <mergeCell ref="K92:L92"/>
    <mergeCell ref="K75:L75"/>
    <mergeCell ref="K76:L76"/>
    <mergeCell ref="K77:L77"/>
    <mergeCell ref="K78:L78"/>
    <mergeCell ref="K79:L79"/>
    <mergeCell ref="K80:L80"/>
    <mergeCell ref="K81:L81"/>
    <mergeCell ref="K82:L82"/>
    <mergeCell ref="K83:L83"/>
    <mergeCell ref="K66:L66"/>
    <mergeCell ref="K67:L67"/>
    <mergeCell ref="K68:L68"/>
    <mergeCell ref="K69:L69"/>
    <mergeCell ref="K70:L70"/>
    <mergeCell ref="K71:L71"/>
    <mergeCell ref="K72:L72"/>
    <mergeCell ref="K73:L73"/>
    <mergeCell ref="K74:L74"/>
    <mergeCell ref="D597:E597"/>
    <mergeCell ref="D598:E598"/>
    <mergeCell ref="D599:E599"/>
    <mergeCell ref="K40:L40"/>
    <mergeCell ref="K41:L41"/>
    <mergeCell ref="K42:L42"/>
    <mergeCell ref="K43:L43"/>
    <mergeCell ref="K44:L44"/>
    <mergeCell ref="K45:L45"/>
    <mergeCell ref="K46:L46"/>
    <mergeCell ref="K47:L47"/>
    <mergeCell ref="K48:L48"/>
    <mergeCell ref="K49:L49"/>
    <mergeCell ref="K50:L50"/>
    <mergeCell ref="K51:L51"/>
    <mergeCell ref="K52:L52"/>
    <mergeCell ref="K58:L58"/>
    <mergeCell ref="K59:L59"/>
    <mergeCell ref="K60:L60"/>
    <mergeCell ref="K61:L61"/>
    <mergeCell ref="K62:L62"/>
    <mergeCell ref="K63:L63"/>
    <mergeCell ref="K64:L64"/>
    <mergeCell ref="K65:L65"/>
    <mergeCell ref="D588:E588"/>
    <mergeCell ref="D589:E589"/>
    <mergeCell ref="D590:E590"/>
    <mergeCell ref="D591:E591"/>
    <mergeCell ref="D592:E592"/>
    <mergeCell ref="D593:E593"/>
    <mergeCell ref="D594:E594"/>
    <mergeCell ref="D595:E595"/>
    <mergeCell ref="D596:E596"/>
    <mergeCell ref="D579:E579"/>
    <mergeCell ref="D580:E580"/>
    <mergeCell ref="D581:E581"/>
    <mergeCell ref="D582:E582"/>
    <mergeCell ref="D583:E583"/>
    <mergeCell ref="D584:E584"/>
    <mergeCell ref="D585:E585"/>
    <mergeCell ref="D586:E586"/>
    <mergeCell ref="D587:E587"/>
    <mergeCell ref="D570:E570"/>
    <mergeCell ref="D571:E571"/>
    <mergeCell ref="D572:E572"/>
    <mergeCell ref="D573:E573"/>
    <mergeCell ref="D574:E574"/>
    <mergeCell ref="D575:E575"/>
    <mergeCell ref="D576:E576"/>
    <mergeCell ref="D577:E577"/>
    <mergeCell ref="D578:E578"/>
    <mergeCell ref="D561:E561"/>
    <mergeCell ref="D562:E562"/>
    <mergeCell ref="D563:E563"/>
    <mergeCell ref="D564:E564"/>
    <mergeCell ref="D565:E565"/>
    <mergeCell ref="D566:E566"/>
    <mergeCell ref="D567:E567"/>
    <mergeCell ref="D568:E568"/>
    <mergeCell ref="D569:E569"/>
    <mergeCell ref="D552:E552"/>
    <mergeCell ref="D553:E553"/>
    <mergeCell ref="D554:E554"/>
    <mergeCell ref="D555:E555"/>
    <mergeCell ref="D556:E556"/>
    <mergeCell ref="D557:E557"/>
    <mergeCell ref="D558:E558"/>
    <mergeCell ref="D559:E559"/>
    <mergeCell ref="D560:E560"/>
    <mergeCell ref="D543:E543"/>
    <mergeCell ref="D544:E544"/>
    <mergeCell ref="D545:E545"/>
    <mergeCell ref="D546:E546"/>
    <mergeCell ref="D547:E547"/>
    <mergeCell ref="D548:E548"/>
    <mergeCell ref="D549:E549"/>
    <mergeCell ref="D550:E550"/>
    <mergeCell ref="D551:E551"/>
    <mergeCell ref="D534:E534"/>
    <mergeCell ref="D535:E535"/>
    <mergeCell ref="D536:E536"/>
    <mergeCell ref="D537:E537"/>
    <mergeCell ref="D538:E538"/>
    <mergeCell ref="D539:E539"/>
    <mergeCell ref="D540:E540"/>
    <mergeCell ref="D541:E541"/>
    <mergeCell ref="D542:E542"/>
    <mergeCell ref="D525:E525"/>
    <mergeCell ref="D526:E526"/>
    <mergeCell ref="D527:E527"/>
    <mergeCell ref="D528:E528"/>
    <mergeCell ref="D529:E529"/>
    <mergeCell ref="D530:E530"/>
    <mergeCell ref="D531:E531"/>
    <mergeCell ref="D532:E532"/>
    <mergeCell ref="D533:E533"/>
    <mergeCell ref="D516:E516"/>
    <mergeCell ref="D517:E517"/>
    <mergeCell ref="D518:E518"/>
    <mergeCell ref="D519:E519"/>
    <mergeCell ref="D520:E520"/>
    <mergeCell ref="D521:E521"/>
    <mergeCell ref="D522:E522"/>
    <mergeCell ref="D523:E523"/>
    <mergeCell ref="D524:E524"/>
    <mergeCell ref="D507:E507"/>
    <mergeCell ref="D508:E508"/>
    <mergeCell ref="D509:E509"/>
    <mergeCell ref="D510:E510"/>
    <mergeCell ref="D511:E511"/>
    <mergeCell ref="D512:E512"/>
    <mergeCell ref="D513:E513"/>
    <mergeCell ref="D514:E514"/>
    <mergeCell ref="D515:E515"/>
    <mergeCell ref="D498:E498"/>
    <mergeCell ref="D499:E499"/>
    <mergeCell ref="D500:E500"/>
    <mergeCell ref="D501:E501"/>
    <mergeCell ref="D502:E502"/>
    <mergeCell ref="D503:E503"/>
    <mergeCell ref="D504:E504"/>
    <mergeCell ref="D505:E505"/>
    <mergeCell ref="D506:E506"/>
    <mergeCell ref="D489:E489"/>
    <mergeCell ref="D490:E490"/>
    <mergeCell ref="D491:E491"/>
    <mergeCell ref="D492:E492"/>
    <mergeCell ref="D493:E493"/>
    <mergeCell ref="D494:E494"/>
    <mergeCell ref="D495:E495"/>
    <mergeCell ref="D496:E496"/>
    <mergeCell ref="D497:E497"/>
    <mergeCell ref="D480:E480"/>
    <mergeCell ref="D481:E481"/>
    <mergeCell ref="D482:E482"/>
    <mergeCell ref="D483:E483"/>
    <mergeCell ref="D484:E484"/>
    <mergeCell ref="D485:E485"/>
    <mergeCell ref="D486:E486"/>
    <mergeCell ref="D487:E487"/>
    <mergeCell ref="D488:E488"/>
    <mergeCell ref="D471:E471"/>
    <mergeCell ref="D472:E472"/>
    <mergeCell ref="D473:E473"/>
    <mergeCell ref="D474:E474"/>
    <mergeCell ref="D475:E475"/>
    <mergeCell ref="D476:E476"/>
    <mergeCell ref="D477:E477"/>
    <mergeCell ref="D478:E478"/>
    <mergeCell ref="D479:E479"/>
    <mergeCell ref="D462:E462"/>
    <mergeCell ref="D463:E463"/>
    <mergeCell ref="D464:E464"/>
    <mergeCell ref="D465:E465"/>
    <mergeCell ref="D466:E466"/>
    <mergeCell ref="D467:E467"/>
    <mergeCell ref="D468:E468"/>
    <mergeCell ref="D469:E469"/>
    <mergeCell ref="D470:E470"/>
    <mergeCell ref="D453:E453"/>
    <mergeCell ref="D454:E454"/>
    <mergeCell ref="D455:E455"/>
    <mergeCell ref="D456:E456"/>
    <mergeCell ref="D457:E457"/>
    <mergeCell ref="D458:E458"/>
    <mergeCell ref="D459:E459"/>
    <mergeCell ref="D460:E460"/>
    <mergeCell ref="D461:E461"/>
    <mergeCell ref="D444:E444"/>
    <mergeCell ref="D445:E445"/>
    <mergeCell ref="D446:E446"/>
    <mergeCell ref="D447:E447"/>
    <mergeCell ref="D448:E448"/>
    <mergeCell ref="D449:E449"/>
    <mergeCell ref="D450:E450"/>
    <mergeCell ref="D451:E451"/>
    <mergeCell ref="D452:E452"/>
    <mergeCell ref="D435:E435"/>
    <mergeCell ref="D436:E436"/>
    <mergeCell ref="D437:E437"/>
    <mergeCell ref="D438:E438"/>
    <mergeCell ref="D439:E439"/>
    <mergeCell ref="D440:E440"/>
    <mergeCell ref="D441:E441"/>
    <mergeCell ref="D442:E442"/>
    <mergeCell ref="D443:E443"/>
    <mergeCell ref="D426:E426"/>
    <mergeCell ref="D427:E427"/>
    <mergeCell ref="D428:E428"/>
    <mergeCell ref="D429:E429"/>
    <mergeCell ref="D430:E430"/>
    <mergeCell ref="D431:E431"/>
    <mergeCell ref="D432:E432"/>
    <mergeCell ref="D433:E433"/>
    <mergeCell ref="D434:E434"/>
    <mergeCell ref="D417:E417"/>
    <mergeCell ref="D418:E418"/>
    <mergeCell ref="D419:E419"/>
    <mergeCell ref="D420:E420"/>
    <mergeCell ref="D421:E421"/>
    <mergeCell ref="D422:E422"/>
    <mergeCell ref="D423:E423"/>
    <mergeCell ref="D424:E424"/>
    <mergeCell ref="D425:E425"/>
    <mergeCell ref="D408:E408"/>
    <mergeCell ref="D409:E409"/>
    <mergeCell ref="D410:E410"/>
    <mergeCell ref="D411:E411"/>
    <mergeCell ref="D412:E412"/>
    <mergeCell ref="D413:E413"/>
    <mergeCell ref="D414:E414"/>
    <mergeCell ref="D415:E415"/>
    <mergeCell ref="D416:E416"/>
    <mergeCell ref="D399:E399"/>
    <mergeCell ref="D400:E400"/>
    <mergeCell ref="D401:E401"/>
    <mergeCell ref="D402:E402"/>
    <mergeCell ref="D403:E403"/>
    <mergeCell ref="D404:E404"/>
    <mergeCell ref="D405:E405"/>
    <mergeCell ref="D406:E406"/>
    <mergeCell ref="D407:E407"/>
    <mergeCell ref="D390:E390"/>
    <mergeCell ref="D391:E391"/>
    <mergeCell ref="D392:E392"/>
    <mergeCell ref="D393:E393"/>
    <mergeCell ref="D394:E394"/>
    <mergeCell ref="D395:E395"/>
    <mergeCell ref="D396:E396"/>
    <mergeCell ref="D397:E397"/>
    <mergeCell ref="D398:E398"/>
    <mergeCell ref="D381:E381"/>
    <mergeCell ref="D382:E382"/>
    <mergeCell ref="D383:E383"/>
    <mergeCell ref="D384:E384"/>
    <mergeCell ref="D385:E385"/>
    <mergeCell ref="D386:E386"/>
    <mergeCell ref="D387:E387"/>
    <mergeCell ref="D388:E388"/>
    <mergeCell ref="D389:E389"/>
    <mergeCell ref="D372:E372"/>
    <mergeCell ref="D373:E373"/>
    <mergeCell ref="D374:E374"/>
    <mergeCell ref="D375:E375"/>
    <mergeCell ref="D376:E376"/>
    <mergeCell ref="D377:E377"/>
    <mergeCell ref="D378:E378"/>
    <mergeCell ref="D379:E379"/>
    <mergeCell ref="D380:E380"/>
    <mergeCell ref="D364:E364"/>
    <mergeCell ref="D365:E365"/>
    <mergeCell ref="D366:E366"/>
    <mergeCell ref="D367:E367"/>
    <mergeCell ref="D368:E368"/>
    <mergeCell ref="D369:E369"/>
    <mergeCell ref="D370:E370"/>
    <mergeCell ref="D371:E371"/>
    <mergeCell ref="D354:E354"/>
    <mergeCell ref="D355:E355"/>
    <mergeCell ref="D356:E356"/>
    <mergeCell ref="D357:E357"/>
    <mergeCell ref="D358:E358"/>
    <mergeCell ref="D359:E359"/>
    <mergeCell ref="D360:E360"/>
    <mergeCell ref="D361:E361"/>
    <mergeCell ref="D362:E362"/>
    <mergeCell ref="D347:E347"/>
    <mergeCell ref="D348:E348"/>
    <mergeCell ref="D349:E349"/>
    <mergeCell ref="D350:E350"/>
    <mergeCell ref="D351:E351"/>
    <mergeCell ref="D352:E352"/>
    <mergeCell ref="D353:E353"/>
    <mergeCell ref="D336:E336"/>
    <mergeCell ref="D337:E337"/>
    <mergeCell ref="D338:E338"/>
    <mergeCell ref="D339:E339"/>
    <mergeCell ref="D340:E340"/>
    <mergeCell ref="D341:E341"/>
    <mergeCell ref="D342:E342"/>
    <mergeCell ref="D343:E343"/>
    <mergeCell ref="D344:E344"/>
    <mergeCell ref="D363:E363"/>
    <mergeCell ref="D330:E330"/>
    <mergeCell ref="D331:E331"/>
    <mergeCell ref="D332:E332"/>
    <mergeCell ref="D333:E333"/>
    <mergeCell ref="D334:E334"/>
    <mergeCell ref="D335:E335"/>
    <mergeCell ref="D316:E316"/>
    <mergeCell ref="D317:E317"/>
    <mergeCell ref="D318:E318"/>
    <mergeCell ref="D319:E319"/>
    <mergeCell ref="D320:E320"/>
    <mergeCell ref="D321:E321"/>
    <mergeCell ref="D322:E322"/>
    <mergeCell ref="D323:E323"/>
    <mergeCell ref="D324:E324"/>
    <mergeCell ref="D345:E345"/>
    <mergeCell ref="D346:E346"/>
    <mergeCell ref="D325:E325"/>
    <mergeCell ref="D326:E326"/>
    <mergeCell ref="D234:E234"/>
    <mergeCell ref="D235:E235"/>
    <mergeCell ref="D236:E236"/>
    <mergeCell ref="D237:E237"/>
    <mergeCell ref="D238:E238"/>
    <mergeCell ref="D239:E239"/>
    <mergeCell ref="D240:E240"/>
    <mergeCell ref="D241:E241"/>
    <mergeCell ref="D242:E242"/>
    <mergeCell ref="D243:E243"/>
    <mergeCell ref="D244:E244"/>
    <mergeCell ref="D245:E245"/>
    <mergeCell ref="D246:E246"/>
    <mergeCell ref="D247:E247"/>
    <mergeCell ref="D327:E327"/>
    <mergeCell ref="D328:E328"/>
    <mergeCell ref="D329:E329"/>
    <mergeCell ref="D248:E248"/>
    <mergeCell ref="D249:E249"/>
    <mergeCell ref="D250:E250"/>
    <mergeCell ref="D251:E251"/>
    <mergeCell ref="D252:E252"/>
    <mergeCell ref="D253:E253"/>
    <mergeCell ref="D254:E254"/>
    <mergeCell ref="D255:E255"/>
    <mergeCell ref="D256:E256"/>
    <mergeCell ref="D263:E263"/>
    <mergeCell ref="D264:E264"/>
    <mergeCell ref="D265:E265"/>
    <mergeCell ref="D266:E266"/>
    <mergeCell ref="D267:E267"/>
    <mergeCell ref="D268:E268"/>
    <mergeCell ref="D175:E175"/>
    <mergeCell ref="D176:E176"/>
    <mergeCell ref="D177:E177"/>
    <mergeCell ref="D196:E196"/>
    <mergeCell ref="D197:E197"/>
    <mergeCell ref="D198:E198"/>
    <mergeCell ref="D199:E199"/>
    <mergeCell ref="D200:E200"/>
    <mergeCell ref="D201:E201"/>
    <mergeCell ref="D202:E202"/>
    <mergeCell ref="D203:E203"/>
    <mergeCell ref="D204:E204"/>
    <mergeCell ref="D187:E187"/>
    <mergeCell ref="D188:E188"/>
    <mergeCell ref="D189:E189"/>
    <mergeCell ref="D190:E190"/>
    <mergeCell ref="D191:E191"/>
    <mergeCell ref="D192:E192"/>
    <mergeCell ref="D193:E193"/>
    <mergeCell ref="D194:E194"/>
    <mergeCell ref="D195:E195"/>
    <mergeCell ref="D154:E154"/>
    <mergeCell ref="D155:E155"/>
    <mergeCell ref="D156:E156"/>
    <mergeCell ref="D157:E157"/>
    <mergeCell ref="D158:E158"/>
    <mergeCell ref="D159:E159"/>
    <mergeCell ref="D144:E144"/>
    <mergeCell ref="D145:E145"/>
    <mergeCell ref="D146:E146"/>
    <mergeCell ref="D147:E147"/>
    <mergeCell ref="D148:E148"/>
    <mergeCell ref="D149:E149"/>
    <mergeCell ref="D150:E150"/>
    <mergeCell ref="D151:E151"/>
    <mergeCell ref="D152:E152"/>
    <mergeCell ref="D130:E130"/>
    <mergeCell ref="D131:E131"/>
    <mergeCell ref="D132:E132"/>
    <mergeCell ref="D133:E133"/>
    <mergeCell ref="D134:E134"/>
    <mergeCell ref="D135:E135"/>
    <mergeCell ref="D123:E123"/>
    <mergeCell ref="D124:E124"/>
    <mergeCell ref="D125:E125"/>
    <mergeCell ref="D126:E126"/>
    <mergeCell ref="D127:E127"/>
    <mergeCell ref="D128:E128"/>
    <mergeCell ref="D129:E129"/>
    <mergeCell ref="D112:E112"/>
    <mergeCell ref="D113:E113"/>
    <mergeCell ref="D114:E114"/>
    <mergeCell ref="D115:E115"/>
    <mergeCell ref="D116:E116"/>
    <mergeCell ref="D117:E117"/>
    <mergeCell ref="D118:E118"/>
    <mergeCell ref="D119:E119"/>
    <mergeCell ref="D120:E120"/>
    <mergeCell ref="D153:E153"/>
    <mergeCell ref="D136:E136"/>
    <mergeCell ref="D137:E137"/>
    <mergeCell ref="D138:E138"/>
    <mergeCell ref="D139:E139"/>
    <mergeCell ref="D140:E140"/>
    <mergeCell ref="D141:E141"/>
    <mergeCell ref="D121:E121"/>
    <mergeCell ref="D122:E122"/>
    <mergeCell ref="D142:E142"/>
    <mergeCell ref="D143:E143"/>
    <mergeCell ref="D53:E53"/>
    <mergeCell ref="D54:E54"/>
    <mergeCell ref="D55:E55"/>
    <mergeCell ref="D85:E85"/>
    <mergeCell ref="D86:E86"/>
    <mergeCell ref="D87:E87"/>
    <mergeCell ref="D88:E88"/>
    <mergeCell ref="D89:E89"/>
    <mergeCell ref="D90:E90"/>
    <mergeCell ref="D91:E91"/>
    <mergeCell ref="D92:E92"/>
    <mergeCell ref="D93:E93"/>
    <mergeCell ref="D76:E76"/>
    <mergeCell ref="D77:E77"/>
    <mergeCell ref="D78:E78"/>
    <mergeCell ref="D79:E79"/>
    <mergeCell ref="D80:E80"/>
    <mergeCell ref="D81:E81"/>
    <mergeCell ref="D82:E82"/>
    <mergeCell ref="D83:E83"/>
    <mergeCell ref="D84:E84"/>
    <mergeCell ref="D56:E56"/>
    <mergeCell ref="D57:E57"/>
    <mergeCell ref="D64:E64"/>
    <mergeCell ref="D65:E65"/>
    <mergeCell ref="D66:E66"/>
    <mergeCell ref="D58:E58"/>
    <mergeCell ref="D59:E59"/>
    <mergeCell ref="D60:E60"/>
    <mergeCell ref="D61:E61"/>
    <mergeCell ref="D62:E62"/>
    <mergeCell ref="D63:E63"/>
    <mergeCell ref="B37:L37"/>
    <mergeCell ref="D49:E49"/>
    <mergeCell ref="D50:E50"/>
    <mergeCell ref="D67:E67"/>
    <mergeCell ref="D68:E68"/>
    <mergeCell ref="D69:E69"/>
    <mergeCell ref="D70:E70"/>
    <mergeCell ref="D71:E71"/>
    <mergeCell ref="D72:E72"/>
    <mergeCell ref="D73:E73"/>
    <mergeCell ref="D74:E74"/>
    <mergeCell ref="D75:E75"/>
    <mergeCell ref="B1:L1"/>
    <mergeCell ref="A2:A36"/>
    <mergeCell ref="K39:L39"/>
    <mergeCell ref="D39:E39"/>
    <mergeCell ref="D40:E40"/>
    <mergeCell ref="D41:E41"/>
    <mergeCell ref="D42:E42"/>
    <mergeCell ref="D43:E43"/>
    <mergeCell ref="D44:E44"/>
    <mergeCell ref="D45:E45"/>
    <mergeCell ref="D46:E46"/>
    <mergeCell ref="D47:E47"/>
    <mergeCell ref="D48:E48"/>
    <mergeCell ref="K55:L55"/>
    <mergeCell ref="K56:L56"/>
    <mergeCell ref="K57:L57"/>
    <mergeCell ref="K53:L53"/>
    <mergeCell ref="K54:L54"/>
    <mergeCell ref="D51:E51"/>
    <mergeCell ref="D52:E52"/>
    <mergeCell ref="B2:L2"/>
    <mergeCell ref="B4:B5"/>
    <mergeCell ref="C4:C5"/>
    <mergeCell ref="D4:D5"/>
    <mergeCell ref="E4:E5"/>
    <mergeCell ref="F4:F5"/>
    <mergeCell ref="G4:G5"/>
    <mergeCell ref="H4:H5"/>
    <mergeCell ref="I4:I5"/>
    <mergeCell ref="J4:J5"/>
    <mergeCell ref="C21:C22"/>
    <mergeCell ref="D21:D22"/>
    <mergeCell ref="E21:E22"/>
    <mergeCell ref="F21:F22"/>
    <mergeCell ref="G21:G22"/>
    <mergeCell ref="H21:H22"/>
    <mergeCell ref="I21:I22"/>
    <mergeCell ref="J21:J22"/>
    <mergeCell ref="K21:K22"/>
    <mergeCell ref="L21:L22"/>
    <mergeCell ref="K4:K5"/>
    <mergeCell ref="L4:L5"/>
    <mergeCell ref="C20:L20"/>
    <mergeCell ref="B20:B22"/>
    <mergeCell ref="D103:E103"/>
    <mergeCell ref="D104:E104"/>
    <mergeCell ref="D105:E105"/>
    <mergeCell ref="D106:E106"/>
    <mergeCell ref="D107:E107"/>
    <mergeCell ref="D108:E108"/>
    <mergeCell ref="D109:E109"/>
    <mergeCell ref="D110:E110"/>
    <mergeCell ref="D111:E111"/>
    <mergeCell ref="D94:E94"/>
    <mergeCell ref="D95:E95"/>
    <mergeCell ref="D96:E96"/>
    <mergeCell ref="D97:E97"/>
    <mergeCell ref="D98:E98"/>
    <mergeCell ref="D99:E99"/>
    <mergeCell ref="D100:E100"/>
    <mergeCell ref="D101:E101"/>
    <mergeCell ref="D102:E102"/>
    <mergeCell ref="D162:E162"/>
    <mergeCell ref="D163:E163"/>
    <mergeCell ref="D164:E164"/>
    <mergeCell ref="D165:E165"/>
    <mergeCell ref="D166:E166"/>
    <mergeCell ref="D167:E167"/>
    <mergeCell ref="D168:E168"/>
    <mergeCell ref="D205:E205"/>
    <mergeCell ref="D206:E206"/>
    <mergeCell ref="D207:E207"/>
    <mergeCell ref="D208:E208"/>
    <mergeCell ref="D209:E209"/>
    <mergeCell ref="D210:E210"/>
    <mergeCell ref="D211:E211"/>
    <mergeCell ref="D212:E212"/>
    <mergeCell ref="D160:E160"/>
    <mergeCell ref="D161:E161"/>
    <mergeCell ref="D178:E178"/>
    <mergeCell ref="D179:E179"/>
    <mergeCell ref="D180:E180"/>
    <mergeCell ref="D181:E181"/>
    <mergeCell ref="D182:E182"/>
    <mergeCell ref="D183:E183"/>
    <mergeCell ref="D184:E184"/>
    <mergeCell ref="D185:E185"/>
    <mergeCell ref="D186:E186"/>
    <mergeCell ref="D169:E169"/>
    <mergeCell ref="D170:E170"/>
    <mergeCell ref="D171:E171"/>
    <mergeCell ref="D172:E172"/>
    <mergeCell ref="D173:E173"/>
    <mergeCell ref="D174:E174"/>
    <mergeCell ref="D213:E213"/>
    <mergeCell ref="D214:E214"/>
    <mergeCell ref="D215:E215"/>
    <mergeCell ref="D225:E225"/>
    <mergeCell ref="D226:E226"/>
    <mergeCell ref="D227:E227"/>
    <mergeCell ref="D228:E228"/>
    <mergeCell ref="D229:E229"/>
    <mergeCell ref="D230:E230"/>
    <mergeCell ref="D231:E231"/>
    <mergeCell ref="D232:E232"/>
    <mergeCell ref="D233:E233"/>
    <mergeCell ref="K228:L228"/>
    <mergeCell ref="K229:L229"/>
    <mergeCell ref="K230:L230"/>
    <mergeCell ref="K231:L231"/>
    <mergeCell ref="K232:L232"/>
    <mergeCell ref="D216:E216"/>
    <mergeCell ref="D217:E217"/>
    <mergeCell ref="D218:E218"/>
    <mergeCell ref="D219:E219"/>
    <mergeCell ref="D220:E220"/>
    <mergeCell ref="D221:E221"/>
    <mergeCell ref="D222:E222"/>
    <mergeCell ref="D223:E223"/>
    <mergeCell ref="D224:E224"/>
    <mergeCell ref="K219:L219"/>
    <mergeCell ref="K220:L220"/>
    <mergeCell ref="K221:L221"/>
    <mergeCell ref="K222:L222"/>
    <mergeCell ref="K223:L223"/>
    <mergeCell ref="K224:L224"/>
    <mergeCell ref="K253:L253"/>
    <mergeCell ref="K254:L254"/>
    <mergeCell ref="K255:L255"/>
    <mergeCell ref="K256:L256"/>
    <mergeCell ref="D257:E257"/>
    <mergeCell ref="D258:E258"/>
    <mergeCell ref="D259:E259"/>
    <mergeCell ref="K248:L248"/>
    <mergeCell ref="K249:L249"/>
    <mergeCell ref="K250:L250"/>
    <mergeCell ref="K251:L251"/>
    <mergeCell ref="D260:E260"/>
    <mergeCell ref="D261:E261"/>
    <mergeCell ref="D262:E262"/>
    <mergeCell ref="K257:L257"/>
    <mergeCell ref="K258:L258"/>
    <mergeCell ref="K259:L259"/>
    <mergeCell ref="K260:L260"/>
    <mergeCell ref="K261:L261"/>
    <mergeCell ref="K262:L262"/>
    <mergeCell ref="K263:L263"/>
    <mergeCell ref="K264:L264"/>
    <mergeCell ref="K265:L265"/>
    <mergeCell ref="K266:L266"/>
    <mergeCell ref="K267:L267"/>
    <mergeCell ref="K268:L268"/>
    <mergeCell ref="D269:E269"/>
    <mergeCell ref="D270:E270"/>
    <mergeCell ref="D271:E271"/>
    <mergeCell ref="D272:E272"/>
    <mergeCell ref="D273:E273"/>
    <mergeCell ref="D274:E274"/>
    <mergeCell ref="K269:L269"/>
    <mergeCell ref="K270:L270"/>
    <mergeCell ref="K271:L271"/>
    <mergeCell ref="K272:L272"/>
    <mergeCell ref="K273:L273"/>
    <mergeCell ref="K274:L274"/>
    <mergeCell ref="D284:E284"/>
    <mergeCell ref="D285:E285"/>
    <mergeCell ref="D286:E286"/>
    <mergeCell ref="D287:E287"/>
    <mergeCell ref="D288:E288"/>
    <mergeCell ref="D275:E275"/>
    <mergeCell ref="D276:E276"/>
    <mergeCell ref="D277:E277"/>
    <mergeCell ref="D278:E278"/>
    <mergeCell ref="D279:E279"/>
    <mergeCell ref="D280:E280"/>
    <mergeCell ref="D281:E281"/>
    <mergeCell ref="D282:E282"/>
    <mergeCell ref="D283:E283"/>
    <mergeCell ref="K284:L284"/>
    <mergeCell ref="K285:L285"/>
    <mergeCell ref="K286:L286"/>
    <mergeCell ref="K287:L287"/>
    <mergeCell ref="K288:L288"/>
    <mergeCell ref="D289:E289"/>
    <mergeCell ref="D290:E290"/>
    <mergeCell ref="D291:E291"/>
    <mergeCell ref="D292:E292"/>
    <mergeCell ref="D293:E293"/>
    <mergeCell ref="D294:E294"/>
    <mergeCell ref="D295:E295"/>
    <mergeCell ref="D296:E296"/>
    <mergeCell ref="D297:E297"/>
    <mergeCell ref="D298:E298"/>
    <mergeCell ref="D299:E299"/>
    <mergeCell ref="D300:E300"/>
    <mergeCell ref="D301:E301"/>
    <mergeCell ref="D302:E302"/>
    <mergeCell ref="D303:E303"/>
    <mergeCell ref="D304:E304"/>
    <mergeCell ref="D305:E305"/>
    <mergeCell ref="D306:E306"/>
    <mergeCell ref="K302:L302"/>
    <mergeCell ref="K303:L303"/>
    <mergeCell ref="K304:L304"/>
    <mergeCell ref="D307:E307"/>
    <mergeCell ref="D308:E308"/>
    <mergeCell ref="D309:E309"/>
    <mergeCell ref="D310:E310"/>
    <mergeCell ref="D311:E311"/>
    <mergeCell ref="D312:E312"/>
    <mergeCell ref="D313:E313"/>
    <mergeCell ref="D314:E314"/>
    <mergeCell ref="D315:E315"/>
    <mergeCell ref="K314:L314"/>
    <mergeCell ref="K315:L315"/>
    <mergeCell ref="K316:L316"/>
    <mergeCell ref="K317:L317"/>
    <mergeCell ref="K309:L309"/>
    <mergeCell ref="K310:L310"/>
    <mergeCell ref="K311:L311"/>
    <mergeCell ref="K312:L312"/>
    <mergeCell ref="K313:L313"/>
    <mergeCell ref="D600:E600"/>
    <mergeCell ref="K600:L600"/>
    <mergeCell ref="D601:E601"/>
    <mergeCell ref="K601:L601"/>
    <mergeCell ref="D602:E602"/>
    <mergeCell ref="K602:L602"/>
    <mergeCell ref="D603:E603"/>
    <mergeCell ref="K603:L603"/>
    <mergeCell ref="D604:E604"/>
    <mergeCell ref="K604:L604"/>
    <mergeCell ref="D605:E605"/>
    <mergeCell ref="K605:L605"/>
    <mergeCell ref="D606:E606"/>
    <mergeCell ref="K606:L606"/>
    <mergeCell ref="D607:E607"/>
    <mergeCell ref="K607:L607"/>
    <mergeCell ref="D608:E608"/>
    <mergeCell ref="K608:L608"/>
    <mergeCell ref="D609:E609"/>
    <mergeCell ref="K609:L609"/>
    <mergeCell ref="D610:E610"/>
    <mergeCell ref="K610:L610"/>
    <mergeCell ref="D611:E611"/>
    <mergeCell ref="K611:L611"/>
    <mergeCell ref="D612:E612"/>
    <mergeCell ref="K612:L612"/>
    <mergeCell ref="D613:E613"/>
    <mergeCell ref="K613:L613"/>
    <mergeCell ref="D614:E614"/>
    <mergeCell ref="K614:L614"/>
    <mergeCell ref="D615:E615"/>
    <mergeCell ref="K615:L615"/>
    <mergeCell ref="D616:E616"/>
    <mergeCell ref="K616:L616"/>
    <mergeCell ref="D617:E617"/>
    <mergeCell ref="K617:L617"/>
    <mergeCell ref="D618:E618"/>
    <mergeCell ref="K618:L618"/>
    <mergeCell ref="D619:E619"/>
    <mergeCell ref="K619:L619"/>
    <mergeCell ref="D620:E620"/>
    <mergeCell ref="K620:L620"/>
    <mergeCell ref="D621:E621"/>
    <mergeCell ref="K621:L621"/>
    <mergeCell ref="D622:E622"/>
    <mergeCell ref="K622:L622"/>
    <mergeCell ref="D623:E623"/>
    <mergeCell ref="K623:L623"/>
    <mergeCell ref="D624:E624"/>
    <mergeCell ref="K624:L624"/>
    <mergeCell ref="D625:E625"/>
    <mergeCell ref="K625:L625"/>
    <mergeCell ref="D626:E626"/>
    <mergeCell ref="K626:L626"/>
    <mergeCell ref="D627:E627"/>
    <mergeCell ref="K627:L627"/>
    <mergeCell ref="D628:E628"/>
    <mergeCell ref="K628:L628"/>
    <mergeCell ref="D629:E629"/>
    <mergeCell ref="K629:L629"/>
    <mergeCell ref="D630:E630"/>
    <mergeCell ref="K630:L630"/>
    <mergeCell ref="D631:E631"/>
    <mergeCell ref="K631:L631"/>
    <mergeCell ref="D632:E632"/>
    <mergeCell ref="K632:L632"/>
    <mergeCell ref="D633:E633"/>
    <mergeCell ref="K633:L633"/>
    <mergeCell ref="D634:E634"/>
    <mergeCell ref="K634:L634"/>
    <mergeCell ref="D635:E635"/>
    <mergeCell ref="K635:L635"/>
    <mergeCell ref="D636:E636"/>
    <mergeCell ref="K636:L636"/>
    <mergeCell ref="D637:E637"/>
    <mergeCell ref="K637:L637"/>
    <mergeCell ref="D638:E638"/>
    <mergeCell ref="K638:L638"/>
    <mergeCell ref="D639:E639"/>
    <mergeCell ref="K639:L639"/>
    <mergeCell ref="D640:E640"/>
    <mergeCell ref="K640:L640"/>
    <mergeCell ref="D641:E641"/>
    <mergeCell ref="K641:L641"/>
    <mergeCell ref="D642:E642"/>
    <mergeCell ref="K642:L642"/>
    <mergeCell ref="D643:E643"/>
    <mergeCell ref="K643:L643"/>
    <mergeCell ref="D644:E644"/>
    <mergeCell ref="K644:L644"/>
    <mergeCell ref="D645:E645"/>
    <mergeCell ref="K645:L645"/>
    <mergeCell ref="D646:E646"/>
    <mergeCell ref="K646:L646"/>
    <mergeCell ref="D647:E647"/>
    <mergeCell ref="K647:L647"/>
    <mergeCell ref="D648:E648"/>
    <mergeCell ref="K648:L648"/>
    <mergeCell ref="D649:E649"/>
    <mergeCell ref="K649:L649"/>
    <mergeCell ref="D650:E650"/>
    <mergeCell ref="K650:L650"/>
    <mergeCell ref="D651:E651"/>
    <mergeCell ref="K651:L651"/>
    <mergeCell ref="D652:E652"/>
    <mergeCell ref="K652:L652"/>
    <mergeCell ref="D653:E653"/>
    <mergeCell ref="K653:L653"/>
    <mergeCell ref="D654:E654"/>
    <mergeCell ref="K654:L654"/>
    <mergeCell ref="D655:E655"/>
    <mergeCell ref="K655:L655"/>
    <mergeCell ref="D656:E656"/>
    <mergeCell ref="K656:L656"/>
    <mergeCell ref="D657:E657"/>
    <mergeCell ref="K657:L657"/>
    <mergeCell ref="D658:E658"/>
    <mergeCell ref="K658:L658"/>
    <mergeCell ref="D659:E659"/>
    <mergeCell ref="K659:L659"/>
    <mergeCell ref="D660:E660"/>
    <mergeCell ref="K660:L660"/>
    <mergeCell ref="D661:E661"/>
    <mergeCell ref="K661:L661"/>
    <mergeCell ref="D662:E662"/>
    <mergeCell ref="K662:L662"/>
    <mergeCell ref="D663:E663"/>
    <mergeCell ref="K663:L663"/>
    <mergeCell ref="D664:E664"/>
    <mergeCell ref="K664:L664"/>
    <mergeCell ref="D665:E665"/>
    <mergeCell ref="K665:L665"/>
    <mergeCell ref="D666:E666"/>
    <mergeCell ref="K666:L666"/>
    <mergeCell ref="D667:E667"/>
    <mergeCell ref="K667:L667"/>
    <mergeCell ref="D668:E668"/>
    <mergeCell ref="K668:L668"/>
    <mergeCell ref="D669:E669"/>
    <mergeCell ref="K669:L669"/>
    <mergeCell ref="D670:E670"/>
    <mergeCell ref="K670:L670"/>
    <mergeCell ref="D671:E671"/>
    <mergeCell ref="K671:L671"/>
    <mergeCell ref="D672:E672"/>
    <mergeCell ref="K672:L672"/>
    <mergeCell ref="D673:E673"/>
    <mergeCell ref="K673:L673"/>
    <mergeCell ref="D674:E674"/>
    <mergeCell ref="K674:L674"/>
    <mergeCell ref="D675:E675"/>
    <mergeCell ref="K675:L675"/>
    <mergeCell ref="D676:E676"/>
    <mergeCell ref="K676:L676"/>
    <mergeCell ref="D677:E677"/>
    <mergeCell ref="K677:L677"/>
    <mergeCell ref="D678:E678"/>
    <mergeCell ref="K678:L678"/>
    <mergeCell ref="D679:E679"/>
    <mergeCell ref="K679:L679"/>
    <mergeCell ref="D680:E680"/>
    <mergeCell ref="K680:L680"/>
    <mergeCell ref="D681:E681"/>
    <mergeCell ref="K681:L681"/>
    <mergeCell ref="D682:E682"/>
    <mergeCell ref="K682:L682"/>
    <mergeCell ref="D683:E683"/>
    <mergeCell ref="K683:L683"/>
    <mergeCell ref="D684:E684"/>
    <mergeCell ref="K684:L684"/>
    <mergeCell ref="D685:E685"/>
    <mergeCell ref="K685:L685"/>
    <mergeCell ref="D686:E686"/>
    <mergeCell ref="K686:L686"/>
    <mergeCell ref="D687:E687"/>
    <mergeCell ref="K687:L687"/>
    <mergeCell ref="D688:E688"/>
    <mergeCell ref="K688:L688"/>
    <mergeCell ref="D689:E689"/>
    <mergeCell ref="K689:L689"/>
    <mergeCell ref="D690:E690"/>
    <mergeCell ref="K690:L690"/>
    <mergeCell ref="D691:E691"/>
    <mergeCell ref="K691:L691"/>
    <mergeCell ref="D692:E692"/>
    <mergeCell ref="K692:L692"/>
    <mergeCell ref="D693:E693"/>
    <mergeCell ref="K693:L693"/>
    <mergeCell ref="D694:E694"/>
    <mergeCell ref="K694:L694"/>
    <mergeCell ref="D695:E695"/>
    <mergeCell ref="K695:L695"/>
    <mergeCell ref="D696:E696"/>
    <mergeCell ref="K696:L696"/>
    <mergeCell ref="D697:E697"/>
    <mergeCell ref="K697:L697"/>
    <mergeCell ref="D698:E698"/>
    <mergeCell ref="K698:L698"/>
    <mergeCell ref="D699:E699"/>
    <mergeCell ref="K699:L699"/>
    <mergeCell ref="D700:E700"/>
    <mergeCell ref="K700:L700"/>
    <mergeCell ref="D701:E701"/>
    <mergeCell ref="K701:L701"/>
    <mergeCell ref="D702:E702"/>
    <mergeCell ref="K702:L702"/>
    <mergeCell ref="D703:E703"/>
    <mergeCell ref="K703:L703"/>
    <mergeCell ref="D704:E704"/>
    <mergeCell ref="K704:L704"/>
    <mergeCell ref="D705:E705"/>
    <mergeCell ref="K705:L705"/>
    <mergeCell ref="D706:E706"/>
    <mergeCell ref="K706:L706"/>
    <mergeCell ref="D707:E707"/>
    <mergeCell ref="K707:L707"/>
    <mergeCell ref="D708:E708"/>
    <mergeCell ref="K708:L708"/>
    <mergeCell ref="D709:E709"/>
    <mergeCell ref="K709:L709"/>
    <mergeCell ref="D710:E710"/>
    <mergeCell ref="K710:L710"/>
    <mergeCell ref="D711:E711"/>
    <mergeCell ref="K711:L711"/>
    <mergeCell ref="D712:E712"/>
    <mergeCell ref="K712:L712"/>
    <mergeCell ref="D713:E713"/>
    <mergeCell ref="K713:L713"/>
    <mergeCell ref="D714:E714"/>
    <mergeCell ref="K714:L714"/>
    <mergeCell ref="D715:E715"/>
    <mergeCell ref="K715:L715"/>
    <mergeCell ref="D716:E716"/>
    <mergeCell ref="K716:L716"/>
    <mergeCell ref="D717:E717"/>
    <mergeCell ref="K717:L717"/>
    <mergeCell ref="D718:E718"/>
    <mergeCell ref="K718:L718"/>
    <mergeCell ref="D719:E719"/>
    <mergeCell ref="K719:L719"/>
    <mergeCell ref="D720:E720"/>
    <mergeCell ref="K720:L720"/>
    <mergeCell ref="D721:E721"/>
    <mergeCell ref="K721:L721"/>
    <mergeCell ref="D722:E722"/>
    <mergeCell ref="K722:L722"/>
    <mergeCell ref="D723:E723"/>
    <mergeCell ref="K723:L723"/>
    <mergeCell ref="D724:E724"/>
    <mergeCell ref="K724:L724"/>
    <mergeCell ref="D725:E725"/>
    <mergeCell ref="K725:L725"/>
    <mergeCell ref="D726:E726"/>
    <mergeCell ref="K726:L726"/>
    <mergeCell ref="D727:E727"/>
    <mergeCell ref="K727:L727"/>
    <mergeCell ref="D728:E728"/>
    <mergeCell ref="K728:L728"/>
    <mergeCell ref="D729:E729"/>
    <mergeCell ref="K729:L729"/>
    <mergeCell ref="D730:E730"/>
    <mergeCell ref="K730:L730"/>
    <mergeCell ref="D731:E731"/>
    <mergeCell ref="K731:L731"/>
    <mergeCell ref="D732:E732"/>
    <mergeCell ref="K732:L732"/>
    <mergeCell ref="D733:E733"/>
    <mergeCell ref="K733:L733"/>
    <mergeCell ref="D734:E734"/>
    <mergeCell ref="K734:L734"/>
    <mergeCell ref="D744:E744"/>
    <mergeCell ref="K744:L744"/>
    <mergeCell ref="D745:E745"/>
    <mergeCell ref="K745:L745"/>
    <mergeCell ref="D746:E746"/>
    <mergeCell ref="K746:L746"/>
    <mergeCell ref="D747:E747"/>
    <mergeCell ref="K747:L747"/>
    <mergeCell ref="D748:E748"/>
    <mergeCell ref="K748:L748"/>
    <mergeCell ref="D749:E749"/>
    <mergeCell ref="K749:L749"/>
    <mergeCell ref="D735:E735"/>
    <mergeCell ref="K735:L735"/>
    <mergeCell ref="D736:E736"/>
    <mergeCell ref="K736:L736"/>
    <mergeCell ref="D737:E737"/>
    <mergeCell ref="K737:L737"/>
    <mergeCell ref="D738:E738"/>
    <mergeCell ref="K738:L738"/>
    <mergeCell ref="D739:E739"/>
    <mergeCell ref="K739:L739"/>
    <mergeCell ref="D740:E740"/>
    <mergeCell ref="K740:L740"/>
    <mergeCell ref="D741:E741"/>
    <mergeCell ref="K741:L741"/>
    <mergeCell ref="D742:E742"/>
    <mergeCell ref="K742:L742"/>
    <mergeCell ref="D743:E743"/>
    <mergeCell ref="K743:L743"/>
  </mergeCells>
  <conditionalFormatting sqref="H41:H599">
    <cfRule type="cellIs" dxfId="75" priority="25" operator="equal">
      <formula>"İptal Edildi"</formula>
    </cfRule>
    <cfRule type="cellIs" dxfId="74" priority="26" operator="equal">
      <formula>"Tamamlandı"</formula>
    </cfRule>
    <cfRule type="cellIs" dxfId="73" priority="27" operator="equal">
      <formula>"Devam Ediyor"</formula>
    </cfRule>
    <cfRule type="cellIs" dxfId="72" priority="28" operator="equal">
      <formula>"Başlamadı"</formula>
    </cfRule>
  </conditionalFormatting>
  <conditionalFormatting sqref="H40">
    <cfRule type="cellIs" dxfId="71" priority="21" operator="equal">
      <formula>"İptal Edildi"</formula>
    </cfRule>
    <cfRule type="cellIs" dxfId="70" priority="22" operator="equal">
      <formula>"Tamamlandı"</formula>
    </cfRule>
    <cfRule type="cellIs" dxfId="69" priority="23" operator="equal">
      <formula>"Devam Ediyor"</formula>
    </cfRule>
    <cfRule type="cellIs" dxfId="68" priority="24" operator="equal">
      <formula>"Başlamadı"</formula>
    </cfRule>
  </conditionalFormatting>
  <conditionalFormatting sqref="H600:H659">
    <cfRule type="cellIs" dxfId="67" priority="17" operator="equal">
      <formula>"İptal Edildi"</formula>
    </cfRule>
    <cfRule type="cellIs" dxfId="66" priority="18" operator="equal">
      <formula>"Tamamlandı"</formula>
    </cfRule>
    <cfRule type="cellIs" dxfId="65" priority="19" operator="equal">
      <formula>"Devam Ediyor"</formula>
    </cfRule>
    <cfRule type="cellIs" dxfId="64" priority="20" operator="equal">
      <formula>"Başlamadı"</formula>
    </cfRule>
  </conditionalFormatting>
  <conditionalFormatting sqref="H660:H719">
    <cfRule type="cellIs" dxfId="63" priority="13" operator="equal">
      <formula>"İptal Edildi"</formula>
    </cfRule>
    <cfRule type="cellIs" dxfId="62" priority="14" operator="equal">
      <formula>"Tamamlandı"</formula>
    </cfRule>
    <cfRule type="cellIs" dxfId="61" priority="15" operator="equal">
      <formula>"Devam Ediyor"</formula>
    </cfRule>
    <cfRule type="cellIs" dxfId="60" priority="16" operator="equal">
      <formula>"Başlamadı"</formula>
    </cfRule>
  </conditionalFormatting>
  <conditionalFormatting sqref="H720:H729">
    <cfRule type="cellIs" dxfId="59" priority="9" operator="equal">
      <formula>"İptal Edildi"</formula>
    </cfRule>
    <cfRule type="cellIs" dxfId="58" priority="10" operator="equal">
      <formula>"Tamamlandı"</formula>
    </cfRule>
    <cfRule type="cellIs" dxfId="57" priority="11" operator="equal">
      <formula>"Devam Ediyor"</formula>
    </cfRule>
    <cfRule type="cellIs" dxfId="56" priority="12" operator="equal">
      <formula>"Başlamadı"</formula>
    </cfRule>
  </conditionalFormatting>
  <conditionalFormatting sqref="H730:H739">
    <cfRule type="cellIs" dxfId="55" priority="5" operator="equal">
      <formula>"İptal Edildi"</formula>
    </cfRule>
    <cfRule type="cellIs" dxfId="54" priority="6" operator="equal">
      <formula>"Tamamlandı"</formula>
    </cfRule>
    <cfRule type="cellIs" dxfId="53" priority="7" operator="equal">
      <formula>"Devam Ediyor"</formula>
    </cfRule>
    <cfRule type="cellIs" dxfId="52" priority="8" operator="equal">
      <formula>"Başlamadı"</formula>
    </cfRule>
  </conditionalFormatting>
  <conditionalFormatting sqref="H740:H749">
    <cfRule type="cellIs" dxfId="51" priority="1" operator="equal">
      <formula>"İptal Edildi"</formula>
    </cfRule>
    <cfRule type="cellIs" dxfId="50" priority="2" operator="equal">
      <formula>"Tamamlandı"</formula>
    </cfRule>
    <cfRule type="cellIs" dxfId="49" priority="3" operator="equal">
      <formula>"Devam Ediyor"</formula>
    </cfRule>
    <cfRule type="cellIs" dxfId="48" priority="4" operator="equal">
      <formula>"Başlamadı"</formula>
    </cfRule>
  </conditionalFormatting>
  <dataValidations count="6">
    <dataValidation type="whole" operator="greaterThanOrEqual" allowBlank="1" showInputMessage="1" showErrorMessage="1" sqref="C23:L34">
      <formula1>0</formula1>
    </dataValidation>
    <dataValidation type="list" allowBlank="1" showInputMessage="1" showErrorMessage="1" sqref="F40:F749">
      <formula1>"Acil Durum Yönetimi,Altyapı Sistemleri,Cihaz-Ekipman-Malzeme Yönetimi,Emniyet,Güvenlik,İnşaat-Renovasyon,Tehlikeli Madde ve Atık Yönetimi,Tıbbi Cihazlar,Yangın Güvenliği,Diğer,"</formula1>
    </dataValidation>
    <dataValidation type="list" allowBlank="1" showInputMessage="1" showErrorMessage="1" sqref="H40:H749">
      <formula1>"Tamamlandı, Devam Ediyor, Başlamadı,İptal Edildi"</formula1>
    </dataValidation>
    <dataValidation type="date" errorStyle="information" operator="greaterThanOrEqual" allowBlank="1" showInputMessage="1" showErrorMessage="1" error="01.01.2025 formatında değer giriniz." sqref="I40:J749">
      <formula1>45658</formula1>
    </dataValidation>
    <dataValidation type="date" errorStyle="information" allowBlank="1" showInputMessage="1" showErrorMessage="1" error="01.01.2025 formatında değer giriniz." sqref="C40:C749">
      <formula1>45658</formula1>
      <formula2>46022</formula2>
    </dataValidation>
    <dataValidation type="list" allowBlank="1" showInputMessage="1" showErrorMessage="1" sqref="B40:B749">
      <formula1>"2026-01,2026-02,2026-03,2026-04,2026-05,2026-06,2026-07,2026-08,2026-09,2026-10,2026-11,2026-12,2026-13,2026-14,2026-15,2026-16,2026-17,2026-18,2026-19,2026-20,2026-21,2026-22,2026-23,2026-24,2026-25,2026-26,2026-27,2026-28,2026-29,2026-30"</formula1>
    </dataValidation>
  </dataValidations>
  <pageMargins left="0.23622047244094491" right="0.23622047244094491" top="0.35433070866141736" bottom="0.15748031496062992" header="0.31496062992125984" footer="0.11811023622047245"/>
  <pageSetup paperSize="9" scale="34" fitToHeight="0" orientation="landscape" r:id="rId1"/>
  <ignoredErrors>
    <ignoredError sqref="G18" 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ayfa13">
    <tabColor theme="4" tint="0.79998168889431442"/>
    <pageSetUpPr fitToPage="1"/>
  </sheetPr>
  <dimension ref="A1:M59"/>
  <sheetViews>
    <sheetView showGridLines="0" zoomScale="40" zoomScaleNormal="40" zoomScaleSheetLayoutView="40" workbookViewId="0">
      <selection activeCell="G6" sqref="G6"/>
    </sheetView>
  </sheetViews>
  <sheetFormatPr defaultColWidth="9.125" defaultRowHeight="20.25" x14ac:dyDescent="0.3"/>
  <cols>
    <col min="1" max="1" width="3.625" style="7" customWidth="1"/>
    <col min="2" max="12" width="34.625" style="7" customWidth="1"/>
    <col min="13" max="13" width="3.625" style="7" customWidth="1"/>
    <col min="14" max="16" width="9.125" style="7"/>
    <col min="17" max="17" width="15.375" style="7" customWidth="1"/>
    <col min="18" max="16384" width="9.125" style="7"/>
  </cols>
  <sheetData>
    <row r="1" spans="1:13" ht="22.5" customHeight="1" x14ac:dyDescent="0.3">
      <c r="A1" s="6"/>
      <c r="B1" s="298"/>
      <c r="C1" s="298"/>
      <c r="D1" s="298"/>
      <c r="E1" s="298"/>
      <c r="F1" s="298"/>
      <c r="G1" s="298"/>
      <c r="H1" s="298"/>
      <c r="I1" s="298"/>
      <c r="J1" s="298"/>
      <c r="K1" s="298"/>
      <c r="L1" s="298"/>
      <c r="M1" s="6"/>
    </row>
    <row r="2" spans="1:13" s="8" customFormat="1" ht="50.1" customHeight="1" x14ac:dyDescent="0.25">
      <c r="A2" s="285"/>
      <c r="B2" s="299" t="s">
        <v>264</v>
      </c>
      <c r="C2" s="299"/>
      <c r="D2" s="299"/>
      <c r="E2" s="299"/>
      <c r="F2" s="299"/>
      <c r="G2" s="299"/>
      <c r="H2" s="299"/>
      <c r="I2" s="299"/>
      <c r="J2" s="299"/>
      <c r="K2" s="299"/>
      <c r="L2" s="299"/>
    </row>
    <row r="3" spans="1:13" s="8" customFormat="1" ht="15" customHeight="1" x14ac:dyDescent="0.25">
      <c r="A3" s="285"/>
      <c r="M3" s="106"/>
    </row>
    <row r="4" spans="1:13" s="8" customFormat="1" ht="30" customHeight="1" x14ac:dyDescent="0.25">
      <c r="A4" s="285"/>
      <c r="B4" s="315" t="s">
        <v>174</v>
      </c>
      <c r="C4" s="319"/>
      <c r="D4" s="438" t="s">
        <v>172</v>
      </c>
      <c r="E4" s="439"/>
      <c r="F4" s="439"/>
      <c r="G4" s="440"/>
      <c r="H4" s="438" t="s">
        <v>173</v>
      </c>
      <c r="I4" s="439"/>
      <c r="J4" s="439"/>
      <c r="K4" s="440"/>
      <c r="L4" s="349" t="s">
        <v>65</v>
      </c>
    </row>
    <row r="5" spans="1:13" s="8" customFormat="1" ht="30" customHeight="1" x14ac:dyDescent="0.25">
      <c r="A5" s="285"/>
      <c r="B5" s="317"/>
      <c r="C5" s="462"/>
      <c r="D5" s="166" t="s">
        <v>171</v>
      </c>
      <c r="E5" s="167" t="s">
        <v>247</v>
      </c>
      <c r="F5" s="167" t="s">
        <v>109</v>
      </c>
      <c r="G5" s="186" t="s">
        <v>248</v>
      </c>
      <c r="H5" s="166" t="s">
        <v>171</v>
      </c>
      <c r="I5" s="167" t="s">
        <v>247</v>
      </c>
      <c r="J5" s="167" t="s">
        <v>109</v>
      </c>
      <c r="K5" s="186" t="s">
        <v>248</v>
      </c>
      <c r="L5" s="350"/>
    </row>
    <row r="6" spans="1:13" s="8" customFormat="1" ht="30" customHeight="1" x14ac:dyDescent="0.25">
      <c r="A6" s="285"/>
      <c r="B6" s="463" t="s">
        <v>170</v>
      </c>
      <c r="C6" s="464"/>
      <c r="D6" s="131"/>
      <c r="E6" s="136"/>
      <c r="F6" s="136"/>
      <c r="G6" s="137"/>
      <c r="H6" s="131"/>
      <c r="I6" s="136"/>
      <c r="J6" s="136"/>
      <c r="K6" s="137"/>
      <c r="L6" s="137"/>
    </row>
    <row r="7" spans="1:13" s="8" customFormat="1" ht="30" customHeight="1" x14ac:dyDescent="0.25">
      <c r="A7" s="285"/>
      <c r="B7" s="463" t="s">
        <v>277</v>
      </c>
      <c r="C7" s="464"/>
      <c r="D7" s="132"/>
      <c r="E7" s="138"/>
      <c r="F7" s="138"/>
      <c r="G7" s="139"/>
      <c r="H7" s="132"/>
      <c r="I7" s="138"/>
      <c r="J7" s="138"/>
      <c r="K7" s="139"/>
      <c r="L7" s="139"/>
    </row>
    <row r="8" spans="1:13" s="8" customFormat="1" ht="30" customHeight="1" x14ac:dyDescent="0.25">
      <c r="A8" s="285"/>
      <c r="B8" s="463" t="s">
        <v>278</v>
      </c>
      <c r="C8" s="464"/>
      <c r="D8" s="133"/>
      <c r="E8" s="140"/>
      <c r="F8" s="140"/>
      <c r="G8" s="139"/>
      <c r="H8" s="133"/>
      <c r="I8" s="140"/>
      <c r="J8" s="140"/>
      <c r="K8" s="139"/>
      <c r="L8" s="139"/>
    </row>
    <row r="9" spans="1:13" s="8" customFormat="1" ht="30" customHeight="1" x14ac:dyDescent="0.25">
      <c r="A9" s="285"/>
      <c r="B9" s="463" t="s">
        <v>279</v>
      </c>
      <c r="C9" s="464"/>
      <c r="D9" s="132"/>
      <c r="E9" s="140"/>
      <c r="F9" s="140"/>
      <c r="G9" s="139"/>
      <c r="H9" s="132"/>
      <c r="I9" s="140"/>
      <c r="J9" s="140"/>
      <c r="K9" s="139"/>
      <c r="L9" s="139"/>
    </row>
    <row r="10" spans="1:13" s="8" customFormat="1" ht="30" customHeight="1" x14ac:dyDescent="0.25">
      <c r="A10" s="285"/>
      <c r="B10" s="463" t="s">
        <v>280</v>
      </c>
      <c r="C10" s="464"/>
      <c r="D10" s="134"/>
      <c r="E10" s="140"/>
      <c r="F10" s="140"/>
      <c r="G10" s="139"/>
      <c r="H10" s="134"/>
      <c r="I10" s="140"/>
      <c r="J10" s="140"/>
      <c r="K10" s="139"/>
      <c r="L10" s="139"/>
    </row>
    <row r="11" spans="1:13" s="8" customFormat="1" ht="30" customHeight="1" x14ac:dyDescent="0.25">
      <c r="A11" s="285"/>
      <c r="B11" s="463" t="s">
        <v>202</v>
      </c>
      <c r="C11" s="464"/>
      <c r="D11" s="134"/>
      <c r="E11" s="140"/>
      <c r="F11" s="140"/>
      <c r="G11" s="139"/>
      <c r="H11" s="134"/>
      <c r="I11" s="140"/>
      <c r="J11" s="140"/>
      <c r="K11" s="139"/>
      <c r="L11" s="139"/>
    </row>
    <row r="12" spans="1:13" s="8" customFormat="1" ht="30" customHeight="1" x14ac:dyDescent="0.25">
      <c r="A12" s="285"/>
      <c r="B12" s="469" t="s">
        <v>281</v>
      </c>
      <c r="C12" s="470"/>
      <c r="D12" s="135"/>
      <c r="E12" s="245"/>
      <c r="F12" s="245"/>
      <c r="G12" s="144"/>
      <c r="H12" s="135"/>
      <c r="I12" s="245"/>
      <c r="J12" s="245"/>
      <c r="K12" s="144"/>
      <c r="L12" s="144"/>
    </row>
    <row r="13" spans="1:13" s="8" customFormat="1" ht="15" customHeight="1" x14ac:dyDescent="0.25">
      <c r="A13" s="285"/>
      <c r="M13" s="106"/>
    </row>
    <row r="14" spans="1:13" s="8" customFormat="1" ht="30" customHeight="1" x14ac:dyDescent="0.3">
      <c r="A14" s="7"/>
      <c r="B14" s="465" t="s">
        <v>175</v>
      </c>
      <c r="C14" s="466"/>
      <c r="D14" s="438" t="s">
        <v>172</v>
      </c>
      <c r="E14" s="439"/>
      <c r="F14" s="439"/>
      <c r="G14" s="440"/>
      <c r="H14" s="438" t="s">
        <v>173</v>
      </c>
      <c r="I14" s="439"/>
      <c r="J14" s="439"/>
      <c r="K14" s="440"/>
      <c r="L14" s="349" t="s">
        <v>65</v>
      </c>
    </row>
    <row r="15" spans="1:13" s="8" customFormat="1" ht="30" customHeight="1" x14ac:dyDescent="0.3">
      <c r="A15" s="7"/>
      <c r="B15" s="467"/>
      <c r="C15" s="468"/>
      <c r="D15" s="241" t="s">
        <v>171</v>
      </c>
      <c r="E15" s="242" t="s">
        <v>247</v>
      </c>
      <c r="F15" s="242" t="s">
        <v>109</v>
      </c>
      <c r="G15" s="243" t="s">
        <v>248</v>
      </c>
      <c r="H15" s="241" t="s">
        <v>171</v>
      </c>
      <c r="I15" s="242" t="s">
        <v>247</v>
      </c>
      <c r="J15" s="242" t="s">
        <v>109</v>
      </c>
      <c r="K15" s="243" t="s">
        <v>248</v>
      </c>
      <c r="L15" s="350"/>
    </row>
    <row r="16" spans="1:13" s="8" customFormat="1" ht="30" customHeight="1" x14ac:dyDescent="0.3">
      <c r="A16" s="7"/>
      <c r="B16" s="473" t="s">
        <v>192</v>
      </c>
      <c r="C16" s="474"/>
      <c r="D16" s="244"/>
      <c r="E16" s="136"/>
      <c r="F16" s="136"/>
      <c r="G16" s="235"/>
      <c r="H16" s="244"/>
      <c r="I16" s="136"/>
      <c r="J16" s="136"/>
      <c r="K16" s="235"/>
      <c r="L16" s="235"/>
    </row>
    <row r="17" spans="1:12" s="8" customFormat="1" ht="30" customHeight="1" x14ac:dyDescent="0.3">
      <c r="A17" s="7"/>
      <c r="B17" s="453" t="s">
        <v>276</v>
      </c>
      <c r="C17" s="454"/>
      <c r="D17" s="132"/>
      <c r="E17" s="138"/>
      <c r="F17" s="138"/>
      <c r="G17" s="236"/>
      <c r="H17" s="132"/>
      <c r="I17" s="138"/>
      <c r="J17" s="138"/>
      <c r="K17" s="236"/>
      <c r="L17" s="236"/>
    </row>
    <row r="18" spans="1:12" s="8" customFormat="1" ht="30" customHeight="1" x14ac:dyDescent="0.3">
      <c r="A18" s="7"/>
      <c r="B18" s="458" t="s">
        <v>204</v>
      </c>
      <c r="C18" s="459"/>
      <c r="D18" s="132"/>
      <c r="E18" s="138"/>
      <c r="F18" s="138"/>
      <c r="G18" s="236"/>
      <c r="H18" s="132"/>
      <c r="I18" s="138"/>
      <c r="J18" s="138"/>
      <c r="K18" s="236"/>
      <c r="L18" s="236"/>
    </row>
    <row r="19" spans="1:12" s="8" customFormat="1" ht="30" customHeight="1" x14ac:dyDescent="0.3">
      <c r="A19" s="7"/>
      <c r="B19" s="253" t="s">
        <v>210</v>
      </c>
      <c r="C19" s="254"/>
      <c r="D19" s="133"/>
      <c r="E19" s="140"/>
      <c r="F19" s="140"/>
      <c r="G19" s="236"/>
      <c r="H19" s="133"/>
      <c r="I19" s="140"/>
      <c r="J19" s="140"/>
      <c r="K19" s="236"/>
      <c r="L19" s="236"/>
    </row>
    <row r="20" spans="1:12" s="8" customFormat="1" ht="30" customHeight="1" x14ac:dyDescent="0.3">
      <c r="A20" s="7"/>
      <c r="B20" s="253" t="s">
        <v>193</v>
      </c>
      <c r="C20" s="254"/>
      <c r="D20" s="132"/>
      <c r="E20" s="140"/>
      <c r="F20" s="140"/>
      <c r="G20" s="236"/>
      <c r="H20" s="132"/>
      <c r="I20" s="140"/>
      <c r="J20" s="140"/>
      <c r="K20" s="236"/>
      <c r="L20" s="236"/>
    </row>
    <row r="21" spans="1:12" s="8" customFormat="1" ht="30" customHeight="1" x14ac:dyDescent="0.3">
      <c r="A21" s="7"/>
      <c r="B21" s="253" t="s">
        <v>211</v>
      </c>
      <c r="C21" s="254"/>
      <c r="D21" s="134"/>
      <c r="E21" s="140"/>
      <c r="F21" s="140"/>
      <c r="G21" s="236"/>
      <c r="H21" s="134"/>
      <c r="I21" s="140"/>
      <c r="J21" s="140"/>
      <c r="K21" s="236"/>
      <c r="L21" s="236"/>
    </row>
    <row r="22" spans="1:12" s="8" customFormat="1" ht="30" customHeight="1" x14ac:dyDescent="0.3">
      <c r="A22" s="7"/>
      <c r="B22" s="253" t="s">
        <v>205</v>
      </c>
      <c r="C22" s="254"/>
      <c r="D22" s="134"/>
      <c r="E22" s="140"/>
      <c r="F22" s="140"/>
      <c r="G22" s="236"/>
      <c r="H22" s="134"/>
      <c r="I22" s="140"/>
      <c r="J22" s="140"/>
      <c r="K22" s="236"/>
      <c r="L22" s="236"/>
    </row>
    <row r="23" spans="1:12" s="8" customFormat="1" ht="30" customHeight="1" x14ac:dyDescent="0.3">
      <c r="A23" s="7"/>
      <c r="B23" s="458" t="s">
        <v>208</v>
      </c>
      <c r="C23" s="459"/>
      <c r="D23" s="134"/>
      <c r="E23" s="140"/>
      <c r="F23" s="140"/>
      <c r="G23" s="236"/>
      <c r="H23" s="134"/>
      <c r="I23" s="140"/>
      <c r="J23" s="140"/>
      <c r="K23" s="236"/>
      <c r="L23" s="236"/>
    </row>
    <row r="24" spans="1:12" s="8" customFormat="1" ht="30" customHeight="1" x14ac:dyDescent="0.3">
      <c r="A24" s="7"/>
      <c r="B24" s="458" t="s">
        <v>203</v>
      </c>
      <c r="C24" s="459"/>
      <c r="D24" s="134"/>
      <c r="E24" s="140"/>
      <c r="F24" s="140"/>
      <c r="G24" s="236"/>
      <c r="H24" s="134"/>
      <c r="I24" s="140"/>
      <c r="J24" s="140"/>
      <c r="K24" s="236"/>
      <c r="L24" s="236"/>
    </row>
    <row r="25" spans="1:12" s="8" customFormat="1" ht="30" customHeight="1" x14ac:dyDescent="0.3">
      <c r="A25" s="7"/>
      <c r="B25" s="458" t="s">
        <v>209</v>
      </c>
      <c r="C25" s="459"/>
      <c r="D25" s="134"/>
      <c r="E25" s="140"/>
      <c r="F25" s="140"/>
      <c r="G25" s="236"/>
      <c r="H25" s="134"/>
      <c r="I25" s="140"/>
      <c r="J25" s="140"/>
      <c r="K25" s="236"/>
      <c r="L25" s="236"/>
    </row>
    <row r="26" spans="1:12" s="8" customFormat="1" ht="30" customHeight="1" x14ac:dyDescent="0.3">
      <c r="A26" s="7"/>
      <c r="B26" s="458" t="s">
        <v>206</v>
      </c>
      <c r="C26" s="459"/>
      <c r="D26" s="134"/>
      <c r="E26" s="140"/>
      <c r="F26" s="140"/>
      <c r="G26" s="236"/>
      <c r="H26" s="134"/>
      <c r="I26" s="140"/>
      <c r="J26" s="140"/>
      <c r="K26" s="236"/>
      <c r="L26" s="236"/>
    </row>
    <row r="27" spans="1:12" s="8" customFormat="1" ht="30" customHeight="1" x14ac:dyDescent="0.3">
      <c r="A27" s="7"/>
      <c r="B27" s="458" t="s">
        <v>207</v>
      </c>
      <c r="C27" s="459"/>
      <c r="D27" s="134"/>
      <c r="E27" s="140"/>
      <c r="F27" s="140"/>
      <c r="G27" s="236"/>
      <c r="H27" s="134"/>
      <c r="I27" s="140"/>
      <c r="J27" s="140"/>
      <c r="K27" s="236"/>
      <c r="L27" s="236"/>
    </row>
    <row r="28" spans="1:12" s="8" customFormat="1" ht="30" customHeight="1" x14ac:dyDescent="0.3">
      <c r="A28" s="7"/>
      <c r="B28" s="458" t="s">
        <v>275</v>
      </c>
      <c r="C28" s="459"/>
      <c r="D28" s="134"/>
      <c r="E28" s="140"/>
      <c r="F28" s="140"/>
      <c r="G28" s="236"/>
      <c r="H28" s="134"/>
      <c r="I28" s="140"/>
      <c r="J28" s="140"/>
      <c r="K28" s="236"/>
      <c r="L28" s="236"/>
    </row>
    <row r="29" spans="1:12" s="8" customFormat="1" ht="30" customHeight="1" x14ac:dyDescent="0.3">
      <c r="A29" s="7"/>
      <c r="B29" s="458" t="s">
        <v>290</v>
      </c>
      <c r="C29" s="459"/>
      <c r="D29" s="134"/>
      <c r="E29" s="140"/>
      <c r="F29" s="140"/>
      <c r="G29" s="236"/>
      <c r="H29" s="134"/>
      <c r="I29" s="140"/>
      <c r="J29" s="140"/>
      <c r="K29" s="236"/>
      <c r="L29" s="236"/>
    </row>
    <row r="30" spans="1:12" s="8" customFormat="1" ht="30" customHeight="1" x14ac:dyDescent="0.3">
      <c r="A30" s="7"/>
      <c r="B30" s="458" t="s">
        <v>292</v>
      </c>
      <c r="C30" s="459"/>
      <c r="D30" s="134"/>
      <c r="E30" s="140"/>
      <c r="F30" s="140"/>
      <c r="G30" s="236"/>
      <c r="H30" s="134"/>
      <c r="I30" s="140"/>
      <c r="J30" s="140"/>
      <c r="K30" s="236"/>
      <c r="L30" s="236"/>
    </row>
    <row r="31" spans="1:12" s="8" customFormat="1" ht="30" customHeight="1" x14ac:dyDescent="0.3">
      <c r="A31" s="7"/>
      <c r="B31" s="458" t="s">
        <v>282</v>
      </c>
      <c r="C31" s="459"/>
      <c r="D31" s="134"/>
      <c r="E31" s="140"/>
      <c r="F31" s="140"/>
      <c r="G31" s="236"/>
      <c r="H31" s="134"/>
      <c r="I31" s="140"/>
      <c r="J31" s="140"/>
      <c r="K31" s="236"/>
      <c r="L31" s="236"/>
    </row>
    <row r="32" spans="1:12" s="8" customFormat="1" ht="30" customHeight="1" x14ac:dyDescent="0.3">
      <c r="A32" s="7"/>
      <c r="B32" s="456" t="s">
        <v>291</v>
      </c>
      <c r="C32" s="457"/>
      <c r="D32" s="135"/>
      <c r="E32" s="245"/>
      <c r="F32" s="245"/>
      <c r="G32" s="246"/>
      <c r="H32" s="135"/>
      <c r="I32" s="245"/>
      <c r="J32" s="245"/>
      <c r="K32" s="246"/>
      <c r="L32" s="246"/>
    </row>
    <row r="34" spans="1:12" s="8" customFormat="1" ht="30" customHeight="1" x14ac:dyDescent="0.3">
      <c r="A34" s="7"/>
      <c r="B34" s="320" t="s">
        <v>284</v>
      </c>
      <c r="C34" s="324"/>
      <c r="D34" s="438" t="s">
        <v>172</v>
      </c>
      <c r="E34" s="439"/>
      <c r="F34" s="439"/>
      <c r="G34" s="440"/>
      <c r="H34" s="438" t="s">
        <v>173</v>
      </c>
      <c r="I34" s="439"/>
      <c r="J34" s="439"/>
      <c r="K34" s="440"/>
      <c r="L34" s="349" t="s">
        <v>65</v>
      </c>
    </row>
    <row r="35" spans="1:12" s="8" customFormat="1" ht="30" customHeight="1" x14ac:dyDescent="0.3">
      <c r="A35" s="7"/>
      <c r="B35" s="322"/>
      <c r="C35" s="455"/>
      <c r="D35" s="166" t="s">
        <v>171</v>
      </c>
      <c r="E35" s="167" t="s">
        <v>247</v>
      </c>
      <c r="F35" s="167" t="s">
        <v>109</v>
      </c>
      <c r="G35" s="186" t="s">
        <v>248</v>
      </c>
      <c r="H35" s="166" t="s">
        <v>171</v>
      </c>
      <c r="I35" s="167" t="s">
        <v>247</v>
      </c>
      <c r="J35" s="167" t="s">
        <v>109</v>
      </c>
      <c r="K35" s="186" t="s">
        <v>248</v>
      </c>
      <c r="L35" s="350"/>
    </row>
    <row r="36" spans="1:12" s="8" customFormat="1" ht="30" customHeight="1" x14ac:dyDescent="0.3">
      <c r="A36" s="7"/>
      <c r="B36" s="471" t="s">
        <v>198</v>
      </c>
      <c r="C36" s="472"/>
      <c r="D36" s="131"/>
      <c r="E36" s="136"/>
      <c r="F36" s="136"/>
      <c r="G36" s="137"/>
      <c r="H36" s="131"/>
      <c r="I36" s="136"/>
      <c r="J36" s="136"/>
      <c r="K36" s="137"/>
      <c r="L36" s="137"/>
    </row>
    <row r="37" spans="1:12" s="8" customFormat="1" ht="30" customHeight="1" x14ac:dyDescent="0.3">
      <c r="A37" s="7"/>
      <c r="B37" s="460" t="s">
        <v>271</v>
      </c>
      <c r="C37" s="461"/>
      <c r="D37" s="131"/>
      <c r="E37" s="231"/>
      <c r="F37" s="231"/>
      <c r="G37" s="232"/>
      <c r="H37" s="131"/>
      <c r="I37" s="231"/>
      <c r="J37" s="231"/>
      <c r="K37" s="232"/>
      <c r="L37" s="232"/>
    </row>
    <row r="38" spans="1:12" s="8" customFormat="1" ht="30" customHeight="1" x14ac:dyDescent="0.3">
      <c r="A38" s="7"/>
      <c r="B38" s="460" t="s">
        <v>272</v>
      </c>
      <c r="C38" s="461"/>
      <c r="D38" s="131"/>
      <c r="E38" s="231"/>
      <c r="F38" s="231"/>
      <c r="G38" s="232"/>
      <c r="H38" s="131"/>
      <c r="I38" s="231"/>
      <c r="J38" s="231"/>
      <c r="K38" s="232"/>
      <c r="L38" s="232"/>
    </row>
    <row r="39" spans="1:12" s="8" customFormat="1" ht="30" customHeight="1" x14ac:dyDescent="0.3">
      <c r="A39" s="7"/>
      <c r="B39" s="460" t="s">
        <v>273</v>
      </c>
      <c r="C39" s="461"/>
      <c r="D39" s="131"/>
      <c r="E39" s="231"/>
      <c r="F39" s="231"/>
      <c r="G39" s="232"/>
      <c r="H39" s="131"/>
      <c r="I39" s="231"/>
      <c r="J39" s="231"/>
      <c r="K39" s="232"/>
      <c r="L39" s="232"/>
    </row>
    <row r="40" spans="1:12" s="8" customFormat="1" ht="30" customHeight="1" x14ac:dyDescent="0.3">
      <c r="A40" s="7"/>
      <c r="B40" s="460" t="s">
        <v>199</v>
      </c>
      <c r="C40" s="461"/>
      <c r="D40" s="131"/>
      <c r="E40" s="231"/>
      <c r="F40" s="231"/>
      <c r="G40" s="232"/>
      <c r="H40" s="131"/>
      <c r="I40" s="231"/>
      <c r="J40" s="231"/>
      <c r="K40" s="232"/>
      <c r="L40" s="232"/>
    </row>
    <row r="41" spans="1:12" s="8" customFormat="1" ht="30" customHeight="1" x14ac:dyDescent="0.3">
      <c r="A41" s="7"/>
      <c r="B41" s="460" t="s">
        <v>200</v>
      </c>
      <c r="C41" s="461"/>
      <c r="D41" s="131"/>
      <c r="E41" s="231"/>
      <c r="F41" s="231"/>
      <c r="G41" s="232"/>
      <c r="H41" s="131"/>
      <c r="I41" s="231"/>
      <c r="J41" s="231"/>
      <c r="K41" s="232"/>
      <c r="L41" s="232"/>
    </row>
    <row r="42" spans="1:12" s="8" customFormat="1" ht="30" customHeight="1" x14ac:dyDescent="0.3">
      <c r="A42" s="7"/>
      <c r="B42" s="451" t="s">
        <v>201</v>
      </c>
      <c r="C42" s="452"/>
      <c r="D42" s="247"/>
      <c r="E42" s="248"/>
      <c r="F42" s="248"/>
      <c r="G42" s="249"/>
      <c r="H42" s="247"/>
      <c r="I42" s="248"/>
      <c r="J42" s="248"/>
      <c r="K42" s="249"/>
      <c r="L42" s="249"/>
    </row>
    <row r="43" spans="1:12" x14ac:dyDescent="0.3">
      <c r="B43" s="237"/>
      <c r="C43" s="238"/>
      <c r="D43" s="238"/>
      <c r="E43" s="238"/>
      <c r="F43" s="238"/>
      <c r="G43" s="238"/>
      <c r="H43" s="238"/>
      <c r="I43" s="238"/>
      <c r="J43" s="238"/>
      <c r="K43" s="238"/>
      <c r="L43" s="187"/>
    </row>
    <row r="44" spans="1:12" s="8" customFormat="1" ht="30" customHeight="1" x14ac:dyDescent="0.3">
      <c r="A44" s="7"/>
      <c r="B44" s="320" t="s">
        <v>283</v>
      </c>
      <c r="C44" s="324"/>
      <c r="D44" s="438" t="s">
        <v>172</v>
      </c>
      <c r="E44" s="439"/>
      <c r="F44" s="439"/>
      <c r="G44" s="440"/>
      <c r="H44" s="438" t="s">
        <v>173</v>
      </c>
      <c r="I44" s="439"/>
      <c r="J44" s="439"/>
      <c r="K44" s="440"/>
      <c r="L44" s="349" t="s">
        <v>65</v>
      </c>
    </row>
    <row r="45" spans="1:12" s="8" customFormat="1" ht="30" customHeight="1" x14ac:dyDescent="0.3">
      <c r="A45" s="7"/>
      <c r="B45" s="322"/>
      <c r="C45" s="455"/>
      <c r="D45" s="166" t="s">
        <v>171</v>
      </c>
      <c r="E45" s="167" t="s">
        <v>247</v>
      </c>
      <c r="F45" s="167" t="s">
        <v>109</v>
      </c>
      <c r="G45" s="186" t="s">
        <v>248</v>
      </c>
      <c r="H45" s="166" t="s">
        <v>171</v>
      </c>
      <c r="I45" s="167" t="s">
        <v>247</v>
      </c>
      <c r="J45" s="167" t="s">
        <v>109</v>
      </c>
      <c r="K45" s="186" t="s">
        <v>248</v>
      </c>
      <c r="L45" s="350"/>
    </row>
    <row r="46" spans="1:12" s="8" customFormat="1" ht="30" customHeight="1" x14ac:dyDescent="0.3">
      <c r="A46" s="7"/>
      <c r="B46" s="233" t="s">
        <v>194</v>
      </c>
      <c r="C46" s="234"/>
      <c r="D46" s="131"/>
      <c r="E46" s="231"/>
      <c r="F46" s="231"/>
      <c r="G46" s="232"/>
      <c r="H46" s="131"/>
      <c r="I46" s="231"/>
      <c r="J46" s="231"/>
      <c r="K46" s="232"/>
      <c r="L46" s="137"/>
    </row>
    <row r="47" spans="1:12" s="8" customFormat="1" ht="30" customHeight="1" x14ac:dyDescent="0.3">
      <c r="A47" s="7"/>
      <c r="B47" s="460" t="s">
        <v>285</v>
      </c>
      <c r="C47" s="461"/>
      <c r="D47" s="132"/>
      <c r="E47" s="138"/>
      <c r="F47" s="138"/>
      <c r="G47" s="139"/>
      <c r="H47" s="132"/>
      <c r="I47" s="138"/>
      <c r="J47" s="138"/>
      <c r="K47" s="139"/>
      <c r="L47" s="232"/>
    </row>
    <row r="48" spans="1:12" s="8" customFormat="1" ht="30" customHeight="1" x14ac:dyDescent="0.3">
      <c r="A48" s="7"/>
      <c r="B48" s="460" t="s">
        <v>286</v>
      </c>
      <c r="C48" s="461"/>
      <c r="D48" s="132"/>
      <c r="E48" s="138"/>
      <c r="F48" s="138"/>
      <c r="G48" s="139"/>
      <c r="H48" s="132"/>
      <c r="I48" s="138"/>
      <c r="J48" s="138"/>
      <c r="K48" s="139"/>
      <c r="L48" s="232"/>
    </row>
    <row r="49" spans="1:12" s="8" customFormat="1" ht="30" customHeight="1" x14ac:dyDescent="0.3">
      <c r="A49" s="7"/>
      <c r="B49" s="460" t="s">
        <v>287</v>
      </c>
      <c r="C49" s="461"/>
      <c r="D49" s="132"/>
      <c r="E49" s="138"/>
      <c r="F49" s="138"/>
      <c r="G49" s="139"/>
      <c r="H49" s="132"/>
      <c r="I49" s="138"/>
      <c r="J49" s="138"/>
      <c r="K49" s="139"/>
      <c r="L49" s="232"/>
    </row>
    <row r="50" spans="1:12" s="8" customFormat="1" ht="30" customHeight="1" x14ac:dyDescent="0.3">
      <c r="A50" s="7"/>
      <c r="B50" s="460" t="s">
        <v>288</v>
      </c>
      <c r="C50" s="461"/>
      <c r="D50" s="132"/>
      <c r="E50" s="138"/>
      <c r="F50" s="138"/>
      <c r="G50" s="139"/>
      <c r="H50" s="132"/>
      <c r="I50" s="138"/>
      <c r="J50" s="138"/>
      <c r="K50" s="139"/>
      <c r="L50" s="232"/>
    </row>
    <row r="51" spans="1:12" s="8" customFormat="1" ht="30" customHeight="1" x14ac:dyDescent="0.3">
      <c r="A51" s="7"/>
      <c r="B51" s="451" t="s">
        <v>289</v>
      </c>
      <c r="C51" s="452"/>
      <c r="D51" s="135"/>
      <c r="E51" s="143"/>
      <c r="F51" s="143"/>
      <c r="G51" s="144"/>
      <c r="H51" s="135"/>
      <c r="I51" s="143"/>
      <c r="J51" s="143"/>
      <c r="K51" s="144"/>
      <c r="L51" s="25"/>
    </row>
    <row r="52" spans="1:12" x14ac:dyDescent="0.3">
      <c r="B52" s="237"/>
      <c r="C52" s="238"/>
      <c r="D52" s="238"/>
      <c r="E52" s="238"/>
      <c r="F52" s="238"/>
      <c r="G52" s="238"/>
      <c r="H52" s="238"/>
      <c r="I52" s="238"/>
      <c r="J52" s="238"/>
      <c r="K52" s="238"/>
      <c r="L52" s="249"/>
    </row>
    <row r="53" spans="1:12" s="8" customFormat="1" ht="30" customHeight="1" x14ac:dyDescent="0.3">
      <c r="A53" s="7"/>
      <c r="B53" s="320" t="s">
        <v>293</v>
      </c>
      <c r="C53" s="324"/>
      <c r="D53" s="438" t="s">
        <v>172</v>
      </c>
      <c r="E53" s="439"/>
      <c r="F53" s="439"/>
      <c r="G53" s="440"/>
      <c r="H53" s="438" t="s">
        <v>173</v>
      </c>
      <c r="I53" s="439"/>
      <c r="J53" s="439"/>
      <c r="K53" s="440"/>
      <c r="L53" s="349" t="s">
        <v>65</v>
      </c>
    </row>
    <row r="54" spans="1:12" s="8" customFormat="1" ht="30" customHeight="1" x14ac:dyDescent="0.3">
      <c r="A54" s="7"/>
      <c r="B54" s="322"/>
      <c r="C54" s="455"/>
      <c r="D54" s="166" t="s">
        <v>171</v>
      </c>
      <c r="E54" s="167" t="s">
        <v>247</v>
      </c>
      <c r="F54" s="167" t="s">
        <v>109</v>
      </c>
      <c r="G54" s="186" t="s">
        <v>248</v>
      </c>
      <c r="H54" s="166" t="s">
        <v>171</v>
      </c>
      <c r="I54" s="167" t="s">
        <v>247</v>
      </c>
      <c r="J54" s="167" t="s">
        <v>109</v>
      </c>
      <c r="K54" s="186" t="s">
        <v>248</v>
      </c>
      <c r="L54" s="350"/>
    </row>
    <row r="55" spans="1:12" s="8" customFormat="1" ht="30" customHeight="1" x14ac:dyDescent="0.3">
      <c r="A55" s="7"/>
      <c r="B55" s="460" t="s">
        <v>195</v>
      </c>
      <c r="C55" s="461"/>
      <c r="D55" s="132"/>
      <c r="E55" s="138"/>
      <c r="F55" s="138"/>
      <c r="G55" s="139"/>
      <c r="H55" s="132"/>
      <c r="I55" s="138"/>
      <c r="J55" s="138"/>
      <c r="K55" s="139"/>
      <c r="L55" s="137"/>
    </row>
    <row r="56" spans="1:12" s="8" customFormat="1" ht="30" customHeight="1" x14ac:dyDescent="0.3">
      <c r="A56" s="7"/>
      <c r="B56" s="460" t="s">
        <v>196</v>
      </c>
      <c r="C56" s="461"/>
      <c r="D56" s="132"/>
      <c r="E56" s="140"/>
      <c r="F56" s="140"/>
      <c r="G56" s="139"/>
      <c r="H56" s="132"/>
      <c r="I56" s="140"/>
      <c r="J56" s="140"/>
      <c r="K56" s="139"/>
      <c r="L56" s="232"/>
    </row>
    <row r="57" spans="1:12" s="8" customFormat="1" ht="30" customHeight="1" x14ac:dyDescent="0.3">
      <c r="A57" s="7"/>
      <c r="B57" s="460" t="s">
        <v>197</v>
      </c>
      <c r="C57" s="461"/>
      <c r="D57" s="134"/>
      <c r="E57" s="140"/>
      <c r="F57" s="140"/>
      <c r="G57" s="139"/>
      <c r="H57" s="134"/>
      <c r="I57" s="140"/>
      <c r="J57" s="140"/>
      <c r="K57" s="139"/>
      <c r="L57" s="232"/>
    </row>
    <row r="58" spans="1:12" s="8" customFormat="1" ht="30" customHeight="1" x14ac:dyDescent="0.3">
      <c r="A58" s="7"/>
      <c r="B58" s="460" t="s">
        <v>294</v>
      </c>
      <c r="C58" s="461"/>
      <c r="D58" s="134"/>
      <c r="E58" s="140"/>
      <c r="F58" s="140"/>
      <c r="G58" s="139"/>
      <c r="H58" s="134"/>
      <c r="I58" s="140"/>
      <c r="J58" s="140"/>
      <c r="K58" s="139"/>
      <c r="L58" s="232"/>
    </row>
    <row r="59" spans="1:12" s="8" customFormat="1" ht="30" customHeight="1" x14ac:dyDescent="0.3">
      <c r="A59" s="7"/>
      <c r="B59" s="451" t="s">
        <v>295</v>
      </c>
      <c r="C59" s="452"/>
      <c r="D59" s="135"/>
      <c r="E59" s="245"/>
      <c r="F59" s="245"/>
      <c r="G59" s="144"/>
      <c r="H59" s="135"/>
      <c r="I59" s="245"/>
      <c r="J59" s="245"/>
      <c r="K59" s="144"/>
      <c r="L59" s="25"/>
    </row>
  </sheetData>
  <sheetProtection algorithmName="SHA-512" hashValue="vjCawv/CkayyKH+JdpfIIfMvTfdvw1dDo7T23fyt6Tgp1pS1QjWgK+zFyqKFc0x6d+551SfeaY1EIk0KZKvDXg==" saltValue="ZY0E5DVVjOqb/JQhFeyi3Q==" spinCount="100000" sheet="1" selectLockedCells="1"/>
  <sortState ref="B18:C34">
    <sortCondition ref="B17"/>
  </sortState>
  <mergeCells count="60">
    <mergeCell ref="A2:A13"/>
    <mergeCell ref="B2:L2"/>
    <mergeCell ref="B28:C28"/>
    <mergeCell ref="B29:C29"/>
    <mergeCell ref="B47:C47"/>
    <mergeCell ref="B8:C8"/>
    <mergeCell ref="B9:C9"/>
    <mergeCell ref="B10:C10"/>
    <mergeCell ref="B12:C12"/>
    <mergeCell ref="B36:C36"/>
    <mergeCell ref="B23:C23"/>
    <mergeCell ref="B24:C24"/>
    <mergeCell ref="B25:C25"/>
    <mergeCell ref="B26:C26"/>
    <mergeCell ref="B16:C16"/>
    <mergeCell ref="B18:C18"/>
    <mergeCell ref="B1:L1"/>
    <mergeCell ref="B4:C5"/>
    <mergeCell ref="B6:C6"/>
    <mergeCell ref="B7:C7"/>
    <mergeCell ref="L14:L15"/>
    <mergeCell ref="D14:G14"/>
    <mergeCell ref="H14:K14"/>
    <mergeCell ref="D4:G4"/>
    <mergeCell ref="H4:K4"/>
    <mergeCell ref="B14:C15"/>
    <mergeCell ref="B11:C11"/>
    <mergeCell ref="L4:L5"/>
    <mergeCell ref="B27:C27"/>
    <mergeCell ref="B30:C30"/>
    <mergeCell ref="B34:C35"/>
    <mergeCell ref="B55:C55"/>
    <mergeCell ref="B42:C42"/>
    <mergeCell ref="B44:C45"/>
    <mergeCell ref="B51:C51"/>
    <mergeCell ref="B57:C57"/>
    <mergeCell ref="B58:C58"/>
    <mergeCell ref="B48:C48"/>
    <mergeCell ref="B49:C49"/>
    <mergeCell ref="B37:C37"/>
    <mergeCell ref="B38:C38"/>
    <mergeCell ref="B39:C39"/>
    <mergeCell ref="B40:C40"/>
    <mergeCell ref="B41:C41"/>
    <mergeCell ref="L34:L35"/>
    <mergeCell ref="L44:L45"/>
    <mergeCell ref="L53:L54"/>
    <mergeCell ref="B59:C59"/>
    <mergeCell ref="B17:C17"/>
    <mergeCell ref="B53:C54"/>
    <mergeCell ref="D53:G53"/>
    <mergeCell ref="H53:K53"/>
    <mergeCell ref="D44:G44"/>
    <mergeCell ref="H44:K44"/>
    <mergeCell ref="B32:C32"/>
    <mergeCell ref="B31:C31"/>
    <mergeCell ref="D34:G34"/>
    <mergeCell ref="H34:K34"/>
    <mergeCell ref="B50:C50"/>
    <mergeCell ref="B56:C56"/>
  </mergeCells>
  <dataValidations count="3">
    <dataValidation type="whole" operator="greaterThanOrEqual" allowBlank="1" showInputMessage="1" showErrorMessage="1" sqref="I46:J51 I6:J12 I55:J59 I36:J42 E16:F32 I16:J32 E6:F12 E36:F42 E46:F51 E55:F59">
      <formula1>0</formula1>
    </dataValidation>
    <dataValidation type="date" errorStyle="information" operator="greaterThanOrEqual" allowBlank="1" showInputMessage="1" showErrorMessage="1" error="01.01.2025 formatında değer giriniz." sqref="H6:H12 D6:D12 D36:D42 H36:H42 D16:D32 H16:H32 H46:H51 D46:D51 H55:H59 D55:D59">
      <formula1>45658</formula1>
    </dataValidation>
    <dataValidation operator="greaterThanOrEqual" allowBlank="1" showInputMessage="1" showErrorMessage="1" sqref="G6:G12 K6:L12 G36:G42 K36:L42 L46:L52 K46:K51 G46:G51 K55:L59 G55:G59"/>
  </dataValidations>
  <pageMargins left="0.23622047244094491" right="0.23622047244094491" top="0.35433070866141736" bottom="0.15748031496062992" header="0.31496062992125984" footer="0.11811023622047245"/>
  <pageSetup paperSize="9" scale="34"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ayfa11">
    <tabColor theme="4" tint="0.79998168889431442"/>
    <pageSetUpPr fitToPage="1"/>
  </sheetPr>
  <dimension ref="A1:U253"/>
  <sheetViews>
    <sheetView showGridLines="0" zoomScale="40" zoomScaleNormal="40" zoomScaleSheetLayoutView="40" workbookViewId="0">
      <selection activeCell="D102" sqref="D102:D119"/>
    </sheetView>
  </sheetViews>
  <sheetFormatPr defaultColWidth="9.125" defaultRowHeight="20.25" x14ac:dyDescent="0.3"/>
  <cols>
    <col min="1" max="1" width="3.625" style="7" customWidth="1"/>
    <col min="2" max="12" width="34.625" style="7" customWidth="1"/>
    <col min="13" max="13" width="3.625" style="7" customWidth="1"/>
    <col min="14" max="16" width="9.125" style="7"/>
    <col min="17" max="17" width="15.375" style="7" customWidth="1"/>
    <col min="18" max="16384" width="9.125" style="7"/>
  </cols>
  <sheetData>
    <row r="1" spans="1:21" ht="22.5" customHeight="1" x14ac:dyDescent="0.3">
      <c r="A1" s="6"/>
      <c r="B1" s="298"/>
      <c r="C1" s="298"/>
      <c r="D1" s="298"/>
      <c r="E1" s="298"/>
      <c r="F1" s="298"/>
      <c r="G1" s="298"/>
      <c r="H1" s="298"/>
      <c r="I1" s="298"/>
      <c r="J1" s="298"/>
      <c r="K1" s="298"/>
      <c r="L1" s="298"/>
      <c r="M1" s="6"/>
    </row>
    <row r="2" spans="1:21" s="8" customFormat="1" ht="50.1" customHeight="1" x14ac:dyDescent="0.25">
      <c r="A2" s="285"/>
      <c r="B2" s="299" t="s">
        <v>20</v>
      </c>
      <c r="C2" s="299"/>
      <c r="D2" s="299"/>
      <c r="E2" s="299"/>
      <c r="F2" s="299"/>
      <c r="G2" s="299"/>
      <c r="H2" s="299"/>
      <c r="I2" s="299"/>
      <c r="J2" s="299"/>
      <c r="K2" s="299"/>
      <c r="L2" s="299"/>
      <c r="M2" s="71"/>
    </row>
    <row r="3" spans="1:21" s="8" customFormat="1" ht="15" customHeight="1" x14ac:dyDescent="0.25">
      <c r="A3" s="285"/>
      <c r="M3" s="71"/>
    </row>
    <row r="4" spans="1:21" s="8" customFormat="1" ht="30" customHeight="1" x14ac:dyDescent="0.25">
      <c r="A4" s="285"/>
      <c r="B4" s="345" t="s">
        <v>176</v>
      </c>
      <c r="C4" s="373"/>
      <c r="D4" s="325" t="s">
        <v>178</v>
      </c>
      <c r="E4" s="326" t="s">
        <v>177</v>
      </c>
      <c r="F4" s="326" t="s">
        <v>109</v>
      </c>
      <c r="G4" s="325" t="s">
        <v>179</v>
      </c>
      <c r="H4" s="326" t="s">
        <v>177</v>
      </c>
      <c r="I4" s="326" t="s">
        <v>109</v>
      </c>
      <c r="J4" s="325" t="s">
        <v>180</v>
      </c>
      <c r="K4" s="326" t="s">
        <v>177</v>
      </c>
      <c r="L4" s="327" t="s">
        <v>109</v>
      </c>
    </row>
    <row r="5" spans="1:21" s="13" customFormat="1" ht="30" customHeight="1" x14ac:dyDescent="0.3">
      <c r="A5" s="285"/>
      <c r="B5" s="346"/>
      <c r="C5" s="374"/>
      <c r="D5" s="328"/>
      <c r="E5" s="392"/>
      <c r="F5" s="392"/>
      <c r="G5" s="328"/>
      <c r="H5" s="392"/>
      <c r="I5" s="392"/>
      <c r="J5" s="328"/>
      <c r="K5" s="392"/>
      <c r="L5" s="329"/>
    </row>
    <row r="6" spans="1:21" s="2" customFormat="1" ht="30" customHeight="1" x14ac:dyDescent="0.25">
      <c r="A6" s="285"/>
      <c r="B6" s="544" t="s">
        <v>184</v>
      </c>
      <c r="C6" s="545"/>
      <c r="D6" s="131"/>
      <c r="E6" s="136"/>
      <c r="F6" s="137"/>
      <c r="G6" s="131"/>
      <c r="H6" s="136"/>
      <c r="I6" s="137"/>
      <c r="J6" s="131"/>
      <c r="K6" s="136"/>
      <c r="L6" s="137"/>
      <c r="M6" s="6"/>
      <c r="N6" s="8"/>
      <c r="O6" s="8"/>
      <c r="P6" s="8"/>
      <c r="Q6" s="8"/>
      <c r="R6" s="8"/>
      <c r="S6" s="6"/>
      <c r="T6" s="275"/>
      <c r="U6" s="275"/>
    </row>
    <row r="7" spans="1:21" s="2" customFormat="1" ht="30" customHeight="1" x14ac:dyDescent="0.25">
      <c r="A7" s="285"/>
      <c r="B7" s="546" t="s">
        <v>183</v>
      </c>
      <c r="C7" s="547"/>
      <c r="D7" s="132"/>
      <c r="E7" s="138"/>
      <c r="F7" s="139"/>
      <c r="G7" s="132"/>
      <c r="H7" s="138"/>
      <c r="I7" s="139"/>
      <c r="J7" s="132"/>
      <c r="K7" s="138"/>
      <c r="L7" s="139"/>
      <c r="M7" s="6"/>
      <c r="N7" s="8"/>
      <c r="O7" s="8"/>
      <c r="P7" s="8"/>
      <c r="Q7" s="8"/>
      <c r="R7" s="8"/>
      <c r="S7" s="6"/>
      <c r="T7" s="275"/>
      <c r="U7" s="275"/>
    </row>
    <row r="8" spans="1:21" s="2" customFormat="1" ht="30" customHeight="1" x14ac:dyDescent="0.25">
      <c r="A8" s="285"/>
      <c r="B8" s="546" t="s">
        <v>181</v>
      </c>
      <c r="C8" s="547"/>
      <c r="D8" s="133"/>
      <c r="E8" s="140"/>
      <c r="F8" s="141"/>
      <c r="G8" s="133"/>
      <c r="H8" s="140"/>
      <c r="I8" s="141"/>
      <c r="J8" s="133"/>
      <c r="K8" s="140"/>
      <c r="L8" s="139"/>
      <c r="M8" s="6"/>
      <c r="N8" s="8"/>
      <c r="O8" s="8"/>
      <c r="P8" s="8"/>
      <c r="Q8" s="8"/>
      <c r="R8" s="8"/>
      <c r="S8" s="6"/>
      <c r="T8" s="275"/>
      <c r="U8" s="275"/>
    </row>
    <row r="9" spans="1:21" s="2" customFormat="1" ht="30" customHeight="1" x14ac:dyDescent="0.25">
      <c r="A9" s="285"/>
      <c r="B9" s="546" t="s">
        <v>185</v>
      </c>
      <c r="C9" s="547"/>
      <c r="D9" s="132"/>
      <c r="E9" s="140"/>
      <c r="F9" s="141"/>
      <c r="G9" s="132"/>
      <c r="H9" s="140"/>
      <c r="I9" s="141"/>
      <c r="J9" s="132"/>
      <c r="K9" s="140"/>
      <c r="L9" s="168"/>
      <c r="M9" s="6"/>
      <c r="N9" s="8"/>
      <c r="O9" s="8"/>
      <c r="P9" s="8"/>
      <c r="Q9" s="8"/>
      <c r="R9" s="8"/>
      <c r="S9" s="6"/>
      <c r="T9" s="275"/>
      <c r="U9" s="275"/>
    </row>
    <row r="10" spans="1:21" s="2" customFormat="1" ht="30" customHeight="1" x14ac:dyDescent="0.25">
      <c r="A10" s="285"/>
      <c r="B10" s="546" t="s">
        <v>182</v>
      </c>
      <c r="C10" s="547"/>
      <c r="D10" s="134"/>
      <c r="E10" s="140"/>
      <c r="F10" s="142"/>
      <c r="G10" s="134"/>
      <c r="H10" s="140"/>
      <c r="I10" s="142"/>
      <c r="J10" s="134"/>
      <c r="K10" s="140"/>
      <c r="L10" s="169"/>
      <c r="M10" s="6"/>
      <c r="N10" s="8"/>
      <c r="O10" s="8"/>
      <c r="P10" s="8"/>
      <c r="Q10" s="8"/>
      <c r="R10" s="8"/>
      <c r="S10" s="6"/>
      <c r="T10" s="105"/>
      <c r="U10" s="105"/>
    </row>
    <row r="11" spans="1:21" s="2" customFormat="1" ht="30" customHeight="1" x14ac:dyDescent="0.25">
      <c r="A11" s="285"/>
      <c r="B11" s="546" t="s">
        <v>186</v>
      </c>
      <c r="C11" s="547"/>
      <c r="D11" s="134"/>
      <c r="E11" s="140"/>
      <c r="F11" s="142"/>
      <c r="G11" s="134"/>
      <c r="H11" s="140"/>
      <c r="I11" s="142"/>
      <c r="J11" s="134"/>
      <c r="K11" s="140"/>
      <c r="L11" s="169"/>
      <c r="M11" s="6"/>
      <c r="N11" s="8"/>
      <c r="O11" s="8"/>
      <c r="P11" s="8"/>
      <c r="Q11" s="8"/>
      <c r="R11" s="8"/>
      <c r="S11" s="6"/>
      <c r="T11" s="105"/>
      <c r="U11" s="105"/>
    </row>
    <row r="12" spans="1:21" s="2" customFormat="1" ht="30" customHeight="1" x14ac:dyDescent="0.25">
      <c r="A12" s="285"/>
      <c r="B12" s="546" t="s">
        <v>187</v>
      </c>
      <c r="C12" s="547"/>
      <c r="D12" s="134"/>
      <c r="E12" s="140"/>
      <c r="F12" s="142"/>
      <c r="G12" s="134"/>
      <c r="H12" s="140"/>
      <c r="I12" s="142"/>
      <c r="J12" s="134"/>
      <c r="K12" s="140"/>
      <c r="L12" s="139"/>
      <c r="M12" s="6"/>
      <c r="N12" s="8"/>
      <c r="O12" s="8"/>
      <c r="P12" s="8"/>
      <c r="Q12" s="8"/>
      <c r="R12" s="8"/>
      <c r="S12" s="6"/>
      <c r="T12" s="127"/>
      <c r="U12" s="127"/>
    </row>
    <row r="13" spans="1:21" s="2" customFormat="1" ht="30" customHeight="1" x14ac:dyDescent="0.25">
      <c r="A13" s="285"/>
      <c r="B13" s="546" t="s">
        <v>188</v>
      </c>
      <c r="C13" s="547"/>
      <c r="D13" s="134"/>
      <c r="E13" s="140"/>
      <c r="F13" s="142"/>
      <c r="G13" s="134"/>
      <c r="H13" s="140"/>
      <c r="I13" s="142"/>
      <c r="J13" s="134"/>
      <c r="K13" s="140"/>
      <c r="L13" s="169"/>
      <c r="M13" s="6"/>
      <c r="N13" s="8"/>
      <c r="O13" s="8"/>
      <c r="P13" s="8"/>
      <c r="Q13" s="8"/>
      <c r="R13" s="8"/>
      <c r="S13" s="6"/>
      <c r="T13" s="127"/>
      <c r="U13" s="127"/>
    </row>
    <row r="14" spans="1:21" s="2" customFormat="1" ht="30" customHeight="1" x14ac:dyDescent="0.25">
      <c r="A14" s="285"/>
      <c r="B14" s="548" t="s">
        <v>189</v>
      </c>
      <c r="C14" s="549"/>
      <c r="D14" s="135"/>
      <c r="E14" s="143"/>
      <c r="F14" s="144"/>
      <c r="G14" s="135"/>
      <c r="H14" s="143"/>
      <c r="I14" s="144"/>
      <c r="J14" s="135"/>
      <c r="K14" s="143"/>
      <c r="L14" s="144"/>
      <c r="M14" s="6"/>
      <c r="N14" s="8"/>
      <c r="O14" s="8"/>
      <c r="P14" s="8"/>
      <c r="Q14" s="8"/>
      <c r="R14" s="8"/>
      <c r="S14" s="6"/>
      <c r="T14" s="105"/>
      <c r="U14" s="105"/>
    </row>
    <row r="15" spans="1:21" s="8" customFormat="1" ht="15" customHeight="1" x14ac:dyDescent="0.25">
      <c r="A15" s="285"/>
      <c r="M15" s="126"/>
    </row>
    <row r="16" spans="1:21" s="8" customFormat="1" ht="30" customHeight="1" x14ac:dyDescent="0.25">
      <c r="A16" s="285"/>
      <c r="B16" s="565" t="s">
        <v>34</v>
      </c>
      <c r="C16" s="566"/>
      <c r="D16" s="566"/>
      <c r="E16" s="566"/>
      <c r="F16" s="567"/>
      <c r="G16" s="495" t="s">
        <v>37</v>
      </c>
      <c r="H16" s="496"/>
      <c r="I16" s="497"/>
      <c r="J16" s="495" t="s">
        <v>167</v>
      </c>
      <c r="K16" s="496"/>
      <c r="L16" s="497"/>
    </row>
    <row r="17" spans="1:12" s="8" customFormat="1" ht="30" customHeight="1" x14ac:dyDescent="0.25">
      <c r="A17" s="285"/>
      <c r="B17" s="282" t="s">
        <v>22</v>
      </c>
      <c r="C17" s="284"/>
      <c r="D17" s="562" t="s">
        <v>21</v>
      </c>
      <c r="E17" s="563"/>
      <c r="F17" s="564"/>
      <c r="G17" s="500" t="s">
        <v>22</v>
      </c>
      <c r="H17" s="501"/>
      <c r="I17" s="16" t="s">
        <v>21</v>
      </c>
      <c r="J17" s="386" t="s">
        <v>165</v>
      </c>
      <c r="K17" s="505" t="s">
        <v>164</v>
      </c>
      <c r="L17" s="118" t="s">
        <v>21</v>
      </c>
    </row>
    <row r="18" spans="1:12" s="8" customFormat="1" ht="30" customHeight="1" x14ac:dyDescent="0.25">
      <c r="A18" s="285"/>
      <c r="B18" s="498"/>
      <c r="C18" s="499"/>
      <c r="D18" s="159" t="s">
        <v>35</v>
      </c>
      <c r="E18" s="160" t="s">
        <v>45</v>
      </c>
      <c r="F18" s="128" t="s">
        <v>23</v>
      </c>
      <c r="G18" s="502"/>
      <c r="H18" s="503"/>
      <c r="I18" s="116" t="s">
        <v>17</v>
      </c>
      <c r="J18" s="504"/>
      <c r="K18" s="506"/>
      <c r="L18" s="119" t="s">
        <v>17</v>
      </c>
    </row>
    <row r="19" spans="1:12" s="8" customFormat="1" ht="30" customHeight="1" x14ac:dyDescent="0.25">
      <c r="A19" s="285"/>
      <c r="B19" s="488"/>
      <c r="C19" s="489"/>
      <c r="D19" s="113"/>
      <c r="E19" s="114"/>
      <c r="F19" s="86"/>
      <c r="G19" s="507" t="s">
        <v>169</v>
      </c>
      <c r="H19" s="508"/>
      <c r="I19" s="115"/>
      <c r="J19" s="120"/>
      <c r="K19" s="121"/>
      <c r="L19" s="68"/>
    </row>
    <row r="20" spans="1:12" s="8" customFormat="1" ht="30" customHeight="1" x14ac:dyDescent="0.25">
      <c r="A20" s="285"/>
      <c r="B20" s="488"/>
      <c r="C20" s="489"/>
      <c r="D20" s="87"/>
      <c r="E20" s="88"/>
      <c r="F20" s="89"/>
      <c r="G20" s="484"/>
      <c r="H20" s="485"/>
      <c r="I20" s="93"/>
      <c r="J20" s="123"/>
      <c r="K20" s="122"/>
      <c r="L20" s="19"/>
    </row>
    <row r="21" spans="1:12" s="8" customFormat="1" ht="30" customHeight="1" x14ac:dyDescent="0.25">
      <c r="A21" s="285"/>
      <c r="B21" s="488"/>
      <c r="C21" s="489"/>
      <c r="D21" s="87"/>
      <c r="E21" s="88"/>
      <c r="F21" s="89"/>
      <c r="G21" s="484"/>
      <c r="H21" s="485"/>
      <c r="I21" s="93"/>
      <c r="J21" s="101"/>
      <c r="K21" s="124"/>
      <c r="L21" s="19"/>
    </row>
    <row r="22" spans="1:12" s="8" customFormat="1" ht="30" customHeight="1" x14ac:dyDescent="0.25">
      <c r="A22" s="285"/>
      <c r="B22" s="488"/>
      <c r="C22" s="489"/>
      <c r="D22" s="87"/>
      <c r="E22" s="88"/>
      <c r="F22" s="89"/>
      <c r="G22" s="484"/>
      <c r="H22" s="485"/>
      <c r="I22" s="93"/>
      <c r="J22" s="101"/>
      <c r="K22" s="124"/>
      <c r="L22" s="19"/>
    </row>
    <row r="23" spans="1:12" s="8" customFormat="1" ht="30" customHeight="1" x14ac:dyDescent="0.25">
      <c r="A23" s="285"/>
      <c r="B23" s="488"/>
      <c r="C23" s="489"/>
      <c r="D23" s="58"/>
      <c r="E23" s="88"/>
      <c r="F23" s="89"/>
      <c r="G23" s="484"/>
      <c r="H23" s="485"/>
      <c r="I23" s="93"/>
      <c r="J23" s="101"/>
      <c r="K23" s="124"/>
      <c r="L23" s="19"/>
    </row>
    <row r="24" spans="1:12" s="8" customFormat="1" ht="30" customHeight="1" x14ac:dyDescent="0.25">
      <c r="A24" s="285"/>
      <c r="B24" s="488"/>
      <c r="C24" s="489"/>
      <c r="D24" s="87"/>
      <c r="E24" s="88"/>
      <c r="F24" s="89"/>
      <c r="G24" s="484"/>
      <c r="H24" s="485"/>
      <c r="I24" s="93"/>
      <c r="J24" s="123"/>
      <c r="K24" s="122"/>
      <c r="L24" s="19"/>
    </row>
    <row r="25" spans="1:12" s="8" customFormat="1" ht="30" customHeight="1" x14ac:dyDescent="0.25">
      <c r="A25" s="285"/>
      <c r="B25" s="488"/>
      <c r="C25" s="489"/>
      <c r="D25" s="87"/>
      <c r="E25" s="88"/>
      <c r="F25" s="89"/>
      <c r="G25" s="484"/>
      <c r="H25" s="485"/>
      <c r="I25" s="93"/>
      <c r="J25" s="123"/>
      <c r="K25" s="122"/>
      <c r="L25" s="19"/>
    </row>
    <row r="26" spans="1:12" s="8" customFormat="1" ht="30" customHeight="1" x14ac:dyDescent="0.25">
      <c r="A26" s="285"/>
      <c r="B26" s="488"/>
      <c r="C26" s="489"/>
      <c r="D26" s="87"/>
      <c r="E26" s="88"/>
      <c r="F26" s="89"/>
      <c r="G26" s="484"/>
      <c r="H26" s="485"/>
      <c r="I26" s="93"/>
      <c r="J26" s="123"/>
      <c r="K26" s="122"/>
      <c r="L26" s="19"/>
    </row>
    <row r="27" spans="1:12" s="8" customFormat="1" ht="30" customHeight="1" x14ac:dyDescent="0.25">
      <c r="A27" s="285"/>
      <c r="B27" s="488"/>
      <c r="C27" s="489"/>
      <c r="D27" s="87"/>
      <c r="E27" s="88"/>
      <c r="F27" s="89"/>
      <c r="G27" s="484"/>
      <c r="H27" s="485"/>
      <c r="I27" s="93"/>
      <c r="J27" s="123"/>
      <c r="K27" s="122"/>
      <c r="L27" s="19"/>
    </row>
    <row r="28" spans="1:12" s="8" customFormat="1" ht="30" customHeight="1" x14ac:dyDescent="0.25">
      <c r="A28" s="285"/>
      <c r="B28" s="488"/>
      <c r="C28" s="489"/>
      <c r="D28" s="87"/>
      <c r="E28" s="88"/>
      <c r="F28" s="89"/>
      <c r="G28" s="484"/>
      <c r="H28" s="485"/>
      <c r="I28" s="93"/>
      <c r="J28" s="123"/>
      <c r="K28" s="122"/>
      <c r="L28" s="19"/>
    </row>
    <row r="29" spans="1:12" s="8" customFormat="1" ht="30" customHeight="1" x14ac:dyDescent="0.25">
      <c r="A29" s="285"/>
      <c r="B29" s="488"/>
      <c r="C29" s="489"/>
      <c r="D29" s="87"/>
      <c r="E29" s="88"/>
      <c r="F29" s="89"/>
      <c r="G29" s="484"/>
      <c r="H29" s="485"/>
      <c r="I29" s="93"/>
      <c r="J29" s="123"/>
      <c r="K29" s="122"/>
      <c r="L29" s="19"/>
    </row>
    <row r="30" spans="1:12" s="8" customFormat="1" ht="30" customHeight="1" x14ac:dyDescent="0.25">
      <c r="A30" s="285"/>
      <c r="B30" s="488"/>
      <c r="C30" s="489"/>
      <c r="D30" s="87"/>
      <c r="E30" s="88"/>
      <c r="F30" s="89"/>
      <c r="G30" s="484"/>
      <c r="H30" s="485"/>
      <c r="I30" s="93"/>
      <c r="J30" s="123"/>
      <c r="K30" s="122"/>
      <c r="L30" s="19"/>
    </row>
    <row r="31" spans="1:12" s="8" customFormat="1" ht="30" customHeight="1" x14ac:dyDescent="0.25">
      <c r="A31" s="285"/>
      <c r="B31" s="488"/>
      <c r="C31" s="489"/>
      <c r="D31" s="87"/>
      <c r="E31" s="59"/>
      <c r="F31" s="89"/>
      <c r="G31" s="484"/>
      <c r="H31" s="485"/>
      <c r="I31" s="93"/>
      <c r="J31" s="123"/>
      <c r="K31" s="122"/>
      <c r="L31" s="19"/>
    </row>
    <row r="32" spans="1:12" s="8" customFormat="1" ht="30" customHeight="1" x14ac:dyDescent="0.25">
      <c r="A32" s="285"/>
      <c r="B32" s="488"/>
      <c r="C32" s="489"/>
      <c r="D32" s="87"/>
      <c r="E32" s="88"/>
      <c r="F32" s="89"/>
      <c r="G32" s="484"/>
      <c r="H32" s="485"/>
      <c r="I32" s="93"/>
      <c r="J32" s="123"/>
      <c r="K32" s="122"/>
      <c r="L32" s="19"/>
    </row>
    <row r="33" spans="1:12" s="8" customFormat="1" ht="30" customHeight="1" x14ac:dyDescent="0.25">
      <c r="A33" s="285"/>
      <c r="B33" s="488"/>
      <c r="C33" s="489"/>
      <c r="D33" s="87"/>
      <c r="E33" s="88"/>
      <c r="F33" s="89"/>
      <c r="G33" s="484"/>
      <c r="H33" s="485"/>
      <c r="I33" s="93"/>
      <c r="J33" s="123"/>
      <c r="K33" s="122"/>
      <c r="L33" s="19"/>
    </row>
    <row r="34" spans="1:12" s="8" customFormat="1" ht="30" customHeight="1" x14ac:dyDescent="0.25">
      <c r="A34" s="285"/>
      <c r="B34" s="488"/>
      <c r="C34" s="489"/>
      <c r="D34" s="87"/>
      <c r="E34" s="88"/>
      <c r="F34" s="89"/>
      <c r="G34" s="484"/>
      <c r="H34" s="485"/>
      <c r="I34" s="93"/>
      <c r="J34" s="123"/>
      <c r="K34" s="122"/>
      <c r="L34" s="19"/>
    </row>
    <row r="35" spans="1:12" s="8" customFormat="1" ht="30" customHeight="1" x14ac:dyDescent="0.25">
      <c r="A35" s="285"/>
      <c r="B35" s="488"/>
      <c r="C35" s="489"/>
      <c r="D35" s="87"/>
      <c r="E35" s="59"/>
      <c r="F35" s="89"/>
      <c r="G35" s="484"/>
      <c r="H35" s="485"/>
      <c r="I35" s="93"/>
      <c r="J35" s="123"/>
      <c r="K35" s="122"/>
      <c r="L35" s="19"/>
    </row>
    <row r="36" spans="1:12" s="8" customFormat="1" ht="30" customHeight="1" x14ac:dyDescent="0.25">
      <c r="A36" s="285"/>
      <c r="B36" s="488"/>
      <c r="C36" s="489"/>
      <c r="D36" s="87"/>
      <c r="E36" s="88"/>
      <c r="F36" s="89"/>
      <c r="G36" s="484"/>
      <c r="H36" s="485"/>
      <c r="I36" s="93"/>
      <c r="J36" s="123"/>
      <c r="K36" s="122"/>
      <c r="L36" s="19"/>
    </row>
    <row r="37" spans="1:12" s="8" customFormat="1" ht="30" customHeight="1" x14ac:dyDescent="0.25">
      <c r="A37" s="285"/>
      <c r="B37" s="488"/>
      <c r="C37" s="489"/>
      <c r="D37" s="87"/>
      <c r="E37" s="59"/>
      <c r="F37" s="89"/>
      <c r="G37" s="484"/>
      <c r="H37" s="485"/>
      <c r="I37" s="93"/>
      <c r="J37" s="123"/>
      <c r="K37" s="122"/>
      <c r="L37" s="19"/>
    </row>
    <row r="38" spans="1:12" s="8" customFormat="1" ht="30" customHeight="1" x14ac:dyDescent="0.25">
      <c r="A38" s="285"/>
      <c r="B38" s="488"/>
      <c r="C38" s="489"/>
      <c r="D38" s="87"/>
      <c r="E38" s="88"/>
      <c r="F38" s="89"/>
      <c r="G38" s="484"/>
      <c r="H38" s="485"/>
      <c r="I38" s="93"/>
      <c r="J38" s="123"/>
      <c r="K38" s="122"/>
      <c r="L38" s="19"/>
    </row>
    <row r="39" spans="1:12" s="8" customFormat="1" ht="30" customHeight="1" x14ac:dyDescent="0.25">
      <c r="A39" s="285"/>
      <c r="B39" s="488"/>
      <c r="C39" s="489"/>
      <c r="D39" s="87"/>
      <c r="E39" s="59"/>
      <c r="F39" s="89"/>
      <c r="G39" s="484"/>
      <c r="H39" s="485"/>
      <c r="I39" s="93"/>
      <c r="J39" s="123"/>
      <c r="K39" s="122"/>
      <c r="L39" s="19"/>
    </row>
    <row r="40" spans="1:12" s="8" customFormat="1" ht="30" customHeight="1" x14ac:dyDescent="0.25">
      <c r="A40" s="285"/>
      <c r="B40" s="488"/>
      <c r="C40" s="489"/>
      <c r="D40" s="87"/>
      <c r="E40" s="88"/>
      <c r="F40" s="89"/>
      <c r="G40" s="484"/>
      <c r="H40" s="485"/>
      <c r="I40" s="93"/>
      <c r="J40" s="123"/>
      <c r="K40" s="122"/>
      <c r="L40" s="19"/>
    </row>
    <row r="41" spans="1:12" s="8" customFormat="1" ht="30" customHeight="1" x14ac:dyDescent="0.25">
      <c r="A41" s="285"/>
      <c r="B41" s="488"/>
      <c r="C41" s="489"/>
      <c r="D41" s="87"/>
      <c r="E41" s="59"/>
      <c r="F41" s="89"/>
      <c r="G41" s="484"/>
      <c r="H41" s="485"/>
      <c r="I41" s="93"/>
      <c r="J41" s="123"/>
      <c r="K41" s="122"/>
      <c r="L41" s="19"/>
    </row>
    <row r="42" spans="1:12" s="8" customFormat="1" ht="30" customHeight="1" x14ac:dyDescent="0.25">
      <c r="A42" s="285"/>
      <c r="B42" s="488"/>
      <c r="C42" s="489"/>
      <c r="D42" s="87"/>
      <c r="E42" s="88"/>
      <c r="F42" s="89"/>
      <c r="G42" s="484"/>
      <c r="H42" s="485"/>
      <c r="I42" s="93"/>
      <c r="J42" s="123"/>
      <c r="K42" s="122"/>
      <c r="L42" s="19"/>
    </row>
    <row r="43" spans="1:12" s="8" customFormat="1" ht="30" customHeight="1" x14ac:dyDescent="0.25">
      <c r="A43" s="285"/>
      <c r="B43" s="488"/>
      <c r="C43" s="489"/>
      <c r="D43" s="87"/>
      <c r="E43" s="59"/>
      <c r="F43" s="89"/>
      <c r="G43" s="484"/>
      <c r="H43" s="485"/>
      <c r="I43" s="93"/>
      <c r="J43" s="123"/>
      <c r="K43" s="122"/>
      <c r="L43" s="19"/>
    </row>
    <row r="44" spans="1:12" s="8" customFormat="1" ht="30" customHeight="1" x14ac:dyDescent="0.25">
      <c r="A44" s="285"/>
      <c r="B44" s="488"/>
      <c r="C44" s="489"/>
      <c r="D44" s="87"/>
      <c r="E44" s="88"/>
      <c r="F44" s="89"/>
      <c r="G44" s="484"/>
      <c r="H44" s="485"/>
      <c r="I44" s="93"/>
      <c r="J44" s="123"/>
      <c r="K44" s="122"/>
      <c r="L44" s="19"/>
    </row>
    <row r="45" spans="1:12" s="8" customFormat="1" ht="30" customHeight="1" x14ac:dyDescent="0.25">
      <c r="A45" s="285"/>
      <c r="B45" s="488"/>
      <c r="C45" s="489"/>
      <c r="D45" s="87"/>
      <c r="E45" s="59"/>
      <c r="F45" s="89"/>
      <c r="G45" s="484"/>
      <c r="H45" s="485"/>
      <c r="I45" s="93"/>
      <c r="J45" s="123"/>
      <c r="K45" s="122"/>
      <c r="L45" s="19"/>
    </row>
    <row r="46" spans="1:12" s="8" customFormat="1" ht="30" customHeight="1" x14ac:dyDescent="0.25">
      <c r="A46" s="285"/>
      <c r="B46" s="488"/>
      <c r="C46" s="489"/>
      <c r="D46" s="87"/>
      <c r="E46" s="88"/>
      <c r="F46" s="89"/>
      <c r="G46" s="484"/>
      <c r="H46" s="485"/>
      <c r="I46" s="93"/>
      <c r="J46" s="123"/>
      <c r="K46" s="122"/>
      <c r="L46" s="19"/>
    </row>
    <row r="47" spans="1:12" s="8" customFormat="1" ht="30" customHeight="1" x14ac:dyDescent="0.25">
      <c r="A47" s="285"/>
      <c r="B47" s="488"/>
      <c r="C47" s="489"/>
      <c r="D47" s="87"/>
      <c r="E47" s="88"/>
      <c r="F47" s="89"/>
      <c r="G47" s="484"/>
      <c r="H47" s="485"/>
      <c r="I47" s="93"/>
      <c r="J47" s="123"/>
      <c r="K47" s="122"/>
      <c r="L47" s="19"/>
    </row>
    <row r="48" spans="1:12" s="8" customFormat="1" ht="30" customHeight="1" x14ac:dyDescent="0.25">
      <c r="A48" s="285"/>
      <c r="B48" s="488"/>
      <c r="C48" s="489"/>
      <c r="D48" s="87"/>
      <c r="E48" s="88"/>
      <c r="F48" s="89"/>
      <c r="G48" s="484"/>
      <c r="H48" s="485"/>
      <c r="I48" s="93"/>
      <c r="J48" s="123"/>
      <c r="K48" s="122"/>
      <c r="L48" s="19"/>
    </row>
    <row r="49" spans="1:12" s="8" customFormat="1" ht="30" customHeight="1" x14ac:dyDescent="0.25">
      <c r="A49" s="285"/>
      <c r="B49" s="488"/>
      <c r="C49" s="489"/>
      <c r="D49" s="58"/>
      <c r="E49" s="88"/>
      <c r="F49" s="89"/>
      <c r="G49" s="484"/>
      <c r="H49" s="485"/>
      <c r="I49" s="93"/>
      <c r="J49" s="123"/>
      <c r="K49" s="122"/>
      <c r="L49" s="19"/>
    </row>
    <row r="50" spans="1:12" s="8" customFormat="1" ht="30" customHeight="1" x14ac:dyDescent="0.25">
      <c r="A50" s="285"/>
      <c r="B50" s="488"/>
      <c r="C50" s="489"/>
      <c r="D50" s="87"/>
      <c r="E50" s="88"/>
      <c r="F50" s="89"/>
      <c r="G50" s="484"/>
      <c r="H50" s="485"/>
      <c r="I50" s="93"/>
      <c r="J50" s="123"/>
      <c r="K50" s="122"/>
      <c r="L50" s="19"/>
    </row>
    <row r="51" spans="1:12" s="8" customFormat="1" ht="30" customHeight="1" x14ac:dyDescent="0.25">
      <c r="A51" s="285"/>
      <c r="B51" s="488"/>
      <c r="C51" s="489"/>
      <c r="D51" s="87"/>
      <c r="E51" s="88"/>
      <c r="F51" s="89"/>
      <c r="G51" s="484"/>
      <c r="H51" s="485"/>
      <c r="I51" s="93"/>
      <c r="J51" s="123"/>
      <c r="K51" s="122"/>
      <c r="L51" s="19"/>
    </row>
    <row r="52" spans="1:12" s="8" customFormat="1" ht="30" customHeight="1" x14ac:dyDescent="0.25">
      <c r="A52" s="285"/>
      <c r="B52" s="488"/>
      <c r="C52" s="489"/>
      <c r="D52" s="87"/>
      <c r="E52" s="88"/>
      <c r="F52" s="89"/>
      <c r="G52" s="484"/>
      <c r="H52" s="485"/>
      <c r="I52" s="93"/>
      <c r="J52" s="123"/>
      <c r="K52" s="122"/>
      <c r="L52" s="19"/>
    </row>
    <row r="53" spans="1:12" s="8" customFormat="1" ht="30" customHeight="1" x14ac:dyDescent="0.25">
      <c r="A53" s="285"/>
      <c r="B53" s="488"/>
      <c r="C53" s="489"/>
      <c r="D53" s="87"/>
      <c r="E53" s="88"/>
      <c r="F53" s="89"/>
      <c r="G53" s="484"/>
      <c r="H53" s="485"/>
      <c r="I53" s="93"/>
      <c r="J53" s="123"/>
      <c r="K53" s="122"/>
      <c r="L53" s="19"/>
    </row>
    <row r="54" spans="1:12" s="8" customFormat="1" ht="30" customHeight="1" x14ac:dyDescent="0.25">
      <c r="A54" s="285"/>
      <c r="B54" s="488"/>
      <c r="C54" s="489"/>
      <c r="D54" s="87"/>
      <c r="E54" s="88"/>
      <c r="F54" s="89"/>
      <c r="G54" s="484"/>
      <c r="H54" s="485"/>
      <c r="I54" s="93"/>
      <c r="J54" s="123"/>
      <c r="K54" s="122"/>
      <c r="L54" s="19"/>
    </row>
    <row r="55" spans="1:12" s="8" customFormat="1" ht="30" customHeight="1" x14ac:dyDescent="0.25">
      <c r="A55" s="285"/>
      <c r="B55" s="488"/>
      <c r="C55" s="489"/>
      <c r="D55" s="87"/>
      <c r="E55" s="88"/>
      <c r="F55" s="89"/>
      <c r="G55" s="484"/>
      <c r="H55" s="485"/>
      <c r="I55" s="93"/>
      <c r="J55" s="123"/>
      <c r="K55" s="122"/>
      <c r="L55" s="19"/>
    </row>
    <row r="56" spans="1:12" s="8" customFormat="1" ht="30" customHeight="1" x14ac:dyDescent="0.25">
      <c r="A56" s="285"/>
      <c r="B56" s="488"/>
      <c r="C56" s="489"/>
      <c r="D56" s="87"/>
      <c r="E56" s="88"/>
      <c r="F56" s="89"/>
      <c r="G56" s="484"/>
      <c r="H56" s="485"/>
      <c r="I56" s="93"/>
      <c r="J56" s="123"/>
      <c r="K56" s="122"/>
      <c r="L56" s="19"/>
    </row>
    <row r="57" spans="1:12" s="8" customFormat="1" ht="30" customHeight="1" x14ac:dyDescent="0.25">
      <c r="A57" s="285"/>
      <c r="B57" s="488"/>
      <c r="C57" s="489"/>
      <c r="D57" s="87"/>
      <c r="E57" s="59"/>
      <c r="F57" s="89"/>
      <c r="G57" s="484"/>
      <c r="H57" s="485"/>
      <c r="I57" s="93"/>
      <c r="J57" s="123"/>
      <c r="K57" s="122"/>
      <c r="L57" s="19"/>
    </row>
    <row r="58" spans="1:12" s="8" customFormat="1" ht="30" customHeight="1" x14ac:dyDescent="0.25">
      <c r="A58" s="285"/>
      <c r="B58" s="488"/>
      <c r="C58" s="489"/>
      <c r="D58" s="87"/>
      <c r="E58" s="88"/>
      <c r="F58" s="89"/>
      <c r="G58" s="484"/>
      <c r="H58" s="485"/>
      <c r="I58" s="93"/>
      <c r="J58" s="123"/>
      <c r="K58" s="122"/>
      <c r="L58" s="19"/>
    </row>
    <row r="59" spans="1:12" s="8" customFormat="1" ht="30" customHeight="1" x14ac:dyDescent="0.25">
      <c r="A59" s="285"/>
      <c r="B59" s="488"/>
      <c r="C59" s="489"/>
      <c r="D59" s="87"/>
      <c r="E59" s="88"/>
      <c r="F59" s="89"/>
      <c r="G59" s="484"/>
      <c r="H59" s="485"/>
      <c r="I59" s="93"/>
      <c r="J59" s="123"/>
      <c r="K59" s="122"/>
      <c r="L59" s="19"/>
    </row>
    <row r="60" spans="1:12" s="8" customFormat="1" ht="30" customHeight="1" x14ac:dyDescent="0.25">
      <c r="A60" s="285"/>
      <c r="B60" s="488"/>
      <c r="C60" s="489"/>
      <c r="D60" s="87"/>
      <c r="E60" s="88"/>
      <c r="F60" s="89"/>
      <c r="G60" s="484"/>
      <c r="H60" s="485"/>
      <c r="I60" s="93"/>
      <c r="J60" s="123"/>
      <c r="K60" s="122"/>
      <c r="L60" s="19"/>
    </row>
    <row r="61" spans="1:12" s="8" customFormat="1" ht="30" customHeight="1" x14ac:dyDescent="0.25">
      <c r="A61" s="285"/>
      <c r="B61" s="488"/>
      <c r="C61" s="489"/>
      <c r="D61" s="87"/>
      <c r="E61" s="88"/>
      <c r="F61" s="89"/>
      <c r="G61" s="484"/>
      <c r="H61" s="485"/>
      <c r="I61" s="93"/>
      <c r="J61" s="123"/>
      <c r="K61" s="122"/>
      <c r="L61" s="19"/>
    </row>
    <row r="62" spans="1:12" s="8" customFormat="1" ht="30" customHeight="1" x14ac:dyDescent="0.25">
      <c r="A62" s="285"/>
      <c r="B62" s="488"/>
      <c r="C62" s="489"/>
      <c r="D62" s="87"/>
      <c r="E62" s="88"/>
      <c r="F62" s="89"/>
      <c r="G62" s="484"/>
      <c r="H62" s="485"/>
      <c r="I62" s="93"/>
      <c r="J62" s="123"/>
      <c r="K62" s="122"/>
      <c r="L62" s="19"/>
    </row>
    <row r="63" spans="1:12" s="8" customFormat="1" ht="30" customHeight="1" x14ac:dyDescent="0.25">
      <c r="A63" s="285"/>
      <c r="B63" s="488"/>
      <c r="C63" s="489"/>
      <c r="D63" s="87"/>
      <c r="E63" s="88"/>
      <c r="F63" s="89"/>
      <c r="G63" s="484"/>
      <c r="H63" s="485"/>
      <c r="I63" s="93"/>
      <c r="J63" s="123"/>
      <c r="K63" s="122"/>
      <c r="L63" s="19"/>
    </row>
    <row r="64" spans="1:12" s="8" customFormat="1" ht="30" customHeight="1" x14ac:dyDescent="0.25">
      <c r="A64" s="285"/>
      <c r="B64" s="488"/>
      <c r="C64" s="489"/>
      <c r="D64" s="87"/>
      <c r="E64" s="88"/>
      <c r="F64" s="89"/>
      <c r="G64" s="484"/>
      <c r="H64" s="485"/>
      <c r="I64" s="93"/>
      <c r="J64" s="123"/>
      <c r="K64" s="122"/>
      <c r="L64" s="19"/>
    </row>
    <row r="65" spans="1:13" s="8" customFormat="1" ht="30" customHeight="1" x14ac:dyDescent="0.25">
      <c r="A65" s="285"/>
      <c r="B65" s="488"/>
      <c r="C65" s="489"/>
      <c r="D65" s="87"/>
      <c r="E65" s="88"/>
      <c r="F65" s="89"/>
      <c r="G65" s="484"/>
      <c r="H65" s="485"/>
      <c r="I65" s="93"/>
      <c r="J65" s="123"/>
      <c r="K65" s="122"/>
      <c r="L65" s="19"/>
    </row>
    <row r="66" spans="1:13" s="8" customFormat="1" ht="30" customHeight="1" x14ac:dyDescent="0.25">
      <c r="A66" s="285"/>
      <c r="B66" s="488"/>
      <c r="C66" s="489"/>
      <c r="D66" s="87"/>
      <c r="E66" s="88"/>
      <c r="F66" s="89"/>
      <c r="G66" s="484"/>
      <c r="H66" s="485"/>
      <c r="I66" s="93"/>
      <c r="J66" s="123"/>
      <c r="K66" s="122"/>
      <c r="L66" s="19"/>
    </row>
    <row r="67" spans="1:13" s="8" customFormat="1" ht="30" customHeight="1" x14ac:dyDescent="0.25">
      <c r="A67" s="285"/>
      <c r="B67" s="488"/>
      <c r="C67" s="489"/>
      <c r="D67" s="87"/>
      <c r="E67" s="88"/>
      <c r="F67" s="89"/>
      <c r="G67" s="484"/>
      <c r="H67" s="485"/>
      <c r="I67" s="93"/>
      <c r="J67" s="123"/>
      <c r="K67" s="122"/>
      <c r="L67" s="19"/>
    </row>
    <row r="68" spans="1:13" s="8" customFormat="1" ht="30" customHeight="1" x14ac:dyDescent="0.25">
      <c r="A68" s="285"/>
      <c r="B68" s="490"/>
      <c r="C68" s="491"/>
      <c r="D68" s="90"/>
      <c r="E68" s="91"/>
      <c r="F68" s="92"/>
      <c r="G68" s="492"/>
      <c r="H68" s="493"/>
      <c r="I68" s="94"/>
      <c r="J68" s="102"/>
      <c r="K68" s="125"/>
      <c r="L68" s="20"/>
    </row>
    <row r="69" spans="1:13" s="8" customFormat="1" ht="99.95" customHeight="1" x14ac:dyDescent="0.25">
      <c r="A69" s="285"/>
      <c r="B69" s="574" t="s">
        <v>212</v>
      </c>
      <c r="C69" s="575"/>
      <c r="D69" s="129"/>
      <c r="E69" s="129"/>
      <c r="F69" s="130"/>
      <c r="G69" s="494" t="s">
        <v>225</v>
      </c>
      <c r="H69" s="486"/>
      <c r="I69" s="486"/>
      <c r="J69" s="486" t="s">
        <v>226</v>
      </c>
      <c r="K69" s="486"/>
      <c r="L69" s="487"/>
    </row>
    <row r="70" spans="1:13" s="8" customFormat="1" ht="19.5" x14ac:dyDescent="0.25">
      <c r="A70" s="285"/>
      <c r="M70" s="71"/>
    </row>
    <row r="71" spans="1:13" s="8" customFormat="1" ht="30" customHeight="1" x14ac:dyDescent="0.25">
      <c r="A71" s="285"/>
      <c r="B71" s="550" t="s">
        <v>168</v>
      </c>
      <c r="C71" s="551"/>
      <c r="D71" s="552"/>
      <c r="E71" s="476" t="s">
        <v>191</v>
      </c>
      <c r="F71" s="477"/>
      <c r="G71" s="477"/>
      <c r="H71" s="477"/>
      <c r="I71" s="476" t="s">
        <v>190</v>
      </c>
      <c r="J71" s="477"/>
      <c r="K71" s="477"/>
      <c r="L71" s="477"/>
    </row>
    <row r="72" spans="1:13" s="8" customFormat="1" ht="30" customHeight="1" x14ac:dyDescent="0.25">
      <c r="A72" s="285"/>
      <c r="B72" s="315" t="s">
        <v>165</v>
      </c>
      <c r="C72" s="554" t="s">
        <v>164</v>
      </c>
      <c r="D72" s="17" t="s">
        <v>21</v>
      </c>
      <c r="E72" s="568" t="s">
        <v>22</v>
      </c>
      <c r="F72" s="569"/>
      <c r="G72" s="369" t="s">
        <v>176</v>
      </c>
      <c r="H72" s="9" t="s">
        <v>21</v>
      </c>
      <c r="I72" s="325" t="s">
        <v>166</v>
      </c>
      <c r="J72" s="482" t="s">
        <v>164</v>
      </c>
      <c r="K72" s="369" t="s">
        <v>176</v>
      </c>
      <c r="L72" s="9" t="s">
        <v>21</v>
      </c>
    </row>
    <row r="73" spans="1:13" s="8" customFormat="1" ht="30" customHeight="1" x14ac:dyDescent="0.25">
      <c r="A73" s="285"/>
      <c r="B73" s="553"/>
      <c r="C73" s="555"/>
      <c r="D73" s="117" t="s">
        <v>95</v>
      </c>
      <c r="E73" s="304"/>
      <c r="F73" s="570"/>
      <c r="G73" s="475"/>
      <c r="H73" s="145" t="s">
        <v>36</v>
      </c>
      <c r="I73" s="328"/>
      <c r="J73" s="483"/>
      <c r="K73" s="475"/>
      <c r="L73" s="145" t="s">
        <v>36</v>
      </c>
    </row>
    <row r="74" spans="1:13" s="8" customFormat="1" ht="30" customHeight="1" x14ac:dyDescent="0.25">
      <c r="A74" s="285"/>
      <c r="B74" s="146"/>
      <c r="C74" s="147"/>
      <c r="D74" s="68"/>
      <c r="E74" s="571"/>
      <c r="F74" s="572"/>
      <c r="G74" s="148"/>
      <c r="H74" s="68"/>
      <c r="I74" s="152"/>
      <c r="J74" s="156"/>
      <c r="K74" s="155"/>
      <c r="L74" s="68"/>
    </row>
    <row r="75" spans="1:13" s="8" customFormat="1" ht="30" customHeight="1" x14ac:dyDescent="0.25">
      <c r="A75" s="285"/>
      <c r="B75" s="146"/>
      <c r="C75" s="147"/>
      <c r="D75" s="19"/>
      <c r="E75" s="478"/>
      <c r="F75" s="573"/>
      <c r="G75" s="149"/>
      <c r="H75" s="19"/>
      <c r="I75" s="153"/>
      <c r="J75" s="157"/>
      <c r="K75" s="150"/>
      <c r="L75" s="19"/>
    </row>
    <row r="76" spans="1:13" s="8" customFormat="1" ht="30" customHeight="1" x14ac:dyDescent="0.25">
      <c r="A76" s="285"/>
      <c r="B76" s="146"/>
      <c r="C76" s="147"/>
      <c r="D76" s="19"/>
      <c r="E76" s="478"/>
      <c r="F76" s="479"/>
      <c r="G76" s="150"/>
      <c r="H76" s="19"/>
      <c r="I76" s="153"/>
      <c r="J76" s="157"/>
      <c r="K76" s="150"/>
      <c r="L76" s="19"/>
    </row>
    <row r="77" spans="1:13" s="8" customFormat="1" ht="30" customHeight="1" x14ac:dyDescent="0.25">
      <c r="A77" s="285"/>
      <c r="B77" s="146"/>
      <c r="C77" s="147"/>
      <c r="D77" s="19"/>
      <c r="E77" s="478"/>
      <c r="F77" s="479"/>
      <c r="G77" s="150"/>
      <c r="H77" s="19"/>
      <c r="I77" s="153"/>
      <c r="J77" s="157"/>
      <c r="K77" s="150"/>
      <c r="L77" s="19"/>
    </row>
    <row r="78" spans="1:13" s="8" customFormat="1" ht="30" customHeight="1" x14ac:dyDescent="0.25">
      <c r="A78" s="285"/>
      <c r="B78" s="146"/>
      <c r="C78" s="147"/>
      <c r="D78" s="19"/>
      <c r="E78" s="478"/>
      <c r="F78" s="479"/>
      <c r="G78" s="150"/>
      <c r="H78" s="19"/>
      <c r="I78" s="153"/>
      <c r="J78" s="157"/>
      <c r="K78" s="150"/>
      <c r="L78" s="19"/>
    </row>
    <row r="79" spans="1:13" s="8" customFormat="1" ht="30" customHeight="1" x14ac:dyDescent="0.25">
      <c r="A79" s="285"/>
      <c r="B79" s="146"/>
      <c r="C79" s="147"/>
      <c r="D79" s="19"/>
      <c r="E79" s="478"/>
      <c r="F79" s="479"/>
      <c r="G79" s="150"/>
      <c r="H79" s="19"/>
      <c r="I79" s="153"/>
      <c r="J79" s="157"/>
      <c r="K79" s="150"/>
      <c r="L79" s="19"/>
    </row>
    <row r="80" spans="1:13" s="8" customFormat="1" ht="30" customHeight="1" x14ac:dyDescent="0.25">
      <c r="A80" s="285"/>
      <c r="B80" s="146"/>
      <c r="C80" s="147"/>
      <c r="D80" s="19"/>
      <c r="E80" s="478"/>
      <c r="F80" s="479"/>
      <c r="G80" s="150"/>
      <c r="H80" s="19"/>
      <c r="I80" s="153"/>
      <c r="J80" s="157"/>
      <c r="K80" s="150"/>
      <c r="L80" s="19"/>
    </row>
    <row r="81" spans="1:12" s="8" customFormat="1" ht="30" customHeight="1" x14ac:dyDescent="0.25">
      <c r="A81" s="285"/>
      <c r="B81" s="146"/>
      <c r="C81" s="147"/>
      <c r="D81" s="19"/>
      <c r="E81" s="478"/>
      <c r="F81" s="479"/>
      <c r="G81" s="150"/>
      <c r="H81" s="19"/>
      <c r="I81" s="153"/>
      <c r="J81" s="157"/>
      <c r="K81" s="150"/>
      <c r="L81" s="19"/>
    </row>
    <row r="82" spans="1:12" s="8" customFormat="1" ht="30" customHeight="1" x14ac:dyDescent="0.25">
      <c r="A82" s="285"/>
      <c r="B82" s="146"/>
      <c r="C82" s="147"/>
      <c r="D82" s="19"/>
      <c r="E82" s="478"/>
      <c r="F82" s="479"/>
      <c r="G82" s="150"/>
      <c r="H82" s="19"/>
      <c r="I82" s="153"/>
      <c r="J82" s="157"/>
      <c r="K82" s="150"/>
      <c r="L82" s="19"/>
    </row>
    <row r="83" spans="1:12" s="8" customFormat="1" ht="30" customHeight="1" x14ac:dyDescent="0.25">
      <c r="A83" s="285"/>
      <c r="B83" s="146"/>
      <c r="C83" s="147"/>
      <c r="D83" s="19"/>
      <c r="E83" s="478"/>
      <c r="F83" s="479"/>
      <c r="G83" s="150"/>
      <c r="H83" s="19"/>
      <c r="I83" s="153"/>
      <c r="J83" s="157"/>
      <c r="K83" s="150"/>
      <c r="L83" s="19"/>
    </row>
    <row r="84" spans="1:12" s="8" customFormat="1" ht="30" customHeight="1" x14ac:dyDescent="0.25">
      <c r="A84" s="285"/>
      <c r="B84" s="146"/>
      <c r="C84" s="147"/>
      <c r="D84" s="19"/>
      <c r="E84" s="478"/>
      <c r="F84" s="479"/>
      <c r="G84" s="150"/>
      <c r="H84" s="19"/>
      <c r="I84" s="153"/>
      <c r="J84" s="157"/>
      <c r="K84" s="150"/>
      <c r="L84" s="19"/>
    </row>
    <row r="85" spans="1:12" s="8" customFormat="1" ht="30" customHeight="1" x14ac:dyDescent="0.25">
      <c r="A85" s="285"/>
      <c r="B85" s="146"/>
      <c r="C85" s="147"/>
      <c r="D85" s="19"/>
      <c r="E85" s="478"/>
      <c r="F85" s="479"/>
      <c r="G85" s="150"/>
      <c r="H85" s="19"/>
      <c r="I85" s="153"/>
      <c r="J85" s="157"/>
      <c r="K85" s="150"/>
      <c r="L85" s="19"/>
    </row>
    <row r="86" spans="1:12" s="8" customFormat="1" ht="30" customHeight="1" x14ac:dyDescent="0.25">
      <c r="A86" s="285"/>
      <c r="B86" s="146"/>
      <c r="C86" s="147"/>
      <c r="D86" s="19"/>
      <c r="E86" s="478"/>
      <c r="F86" s="479"/>
      <c r="G86" s="150"/>
      <c r="H86" s="19"/>
      <c r="I86" s="153"/>
      <c r="J86" s="157"/>
      <c r="K86" s="150"/>
      <c r="L86" s="19"/>
    </row>
    <row r="87" spans="1:12" s="8" customFormat="1" ht="30" customHeight="1" x14ac:dyDescent="0.25">
      <c r="A87" s="285"/>
      <c r="B87" s="146"/>
      <c r="C87" s="147"/>
      <c r="D87" s="19"/>
      <c r="E87" s="478"/>
      <c r="F87" s="479"/>
      <c r="G87" s="150"/>
      <c r="H87" s="19"/>
      <c r="I87" s="153"/>
      <c r="J87" s="157"/>
      <c r="K87" s="150"/>
      <c r="L87" s="19"/>
    </row>
    <row r="88" spans="1:12" s="8" customFormat="1" ht="30" customHeight="1" x14ac:dyDescent="0.25">
      <c r="A88" s="285"/>
      <c r="B88" s="146"/>
      <c r="C88" s="147"/>
      <c r="D88" s="19"/>
      <c r="E88" s="478"/>
      <c r="F88" s="479"/>
      <c r="G88" s="150"/>
      <c r="H88" s="19"/>
      <c r="I88" s="153"/>
      <c r="J88" s="157"/>
      <c r="K88" s="150"/>
      <c r="L88" s="19"/>
    </row>
    <row r="89" spans="1:12" s="8" customFormat="1" ht="30" customHeight="1" x14ac:dyDescent="0.25">
      <c r="A89" s="285"/>
      <c r="B89" s="146"/>
      <c r="C89" s="147"/>
      <c r="D89" s="19"/>
      <c r="E89" s="478"/>
      <c r="F89" s="479"/>
      <c r="G89" s="150"/>
      <c r="H89" s="19"/>
      <c r="I89" s="153"/>
      <c r="J89" s="157"/>
      <c r="K89" s="150"/>
      <c r="L89" s="19"/>
    </row>
    <row r="90" spans="1:12" s="8" customFormat="1" ht="30" customHeight="1" x14ac:dyDescent="0.25">
      <c r="A90" s="285"/>
      <c r="B90" s="146"/>
      <c r="C90" s="147"/>
      <c r="D90" s="19"/>
      <c r="E90" s="478"/>
      <c r="F90" s="479"/>
      <c r="G90" s="150"/>
      <c r="H90" s="19"/>
      <c r="I90" s="153"/>
      <c r="J90" s="157"/>
      <c r="K90" s="150"/>
      <c r="L90" s="19"/>
    </row>
    <row r="91" spans="1:12" s="8" customFormat="1" ht="30" customHeight="1" x14ac:dyDescent="0.25">
      <c r="A91" s="285"/>
      <c r="B91" s="146"/>
      <c r="C91" s="147"/>
      <c r="D91" s="19"/>
      <c r="E91" s="478"/>
      <c r="F91" s="479"/>
      <c r="G91" s="150"/>
      <c r="H91" s="19"/>
      <c r="I91" s="153"/>
      <c r="J91" s="157"/>
      <c r="K91" s="150"/>
      <c r="L91" s="19"/>
    </row>
    <row r="92" spans="1:12" s="8" customFormat="1" ht="30" customHeight="1" x14ac:dyDescent="0.25">
      <c r="A92" s="285"/>
      <c r="B92" s="146"/>
      <c r="C92" s="147"/>
      <c r="D92" s="19"/>
      <c r="E92" s="478"/>
      <c r="F92" s="479"/>
      <c r="G92" s="150"/>
      <c r="H92" s="19"/>
      <c r="I92" s="153"/>
      <c r="J92" s="157"/>
      <c r="K92" s="150"/>
      <c r="L92" s="19"/>
    </row>
    <row r="93" spans="1:12" s="8" customFormat="1" ht="30" customHeight="1" x14ac:dyDescent="0.25">
      <c r="A93" s="285"/>
      <c r="B93" s="146"/>
      <c r="C93" s="147"/>
      <c r="D93" s="19"/>
      <c r="E93" s="478"/>
      <c r="F93" s="479"/>
      <c r="G93" s="150"/>
      <c r="H93" s="19"/>
      <c r="I93" s="153"/>
      <c r="J93" s="157"/>
      <c r="K93" s="150"/>
      <c r="L93" s="19"/>
    </row>
    <row r="94" spans="1:12" s="8" customFormat="1" ht="30" customHeight="1" x14ac:dyDescent="0.25">
      <c r="A94" s="285"/>
      <c r="B94" s="146"/>
      <c r="C94" s="147"/>
      <c r="D94" s="19"/>
      <c r="E94" s="478"/>
      <c r="F94" s="479"/>
      <c r="G94" s="150"/>
      <c r="H94" s="19"/>
      <c r="I94" s="153"/>
      <c r="J94" s="157"/>
      <c r="K94" s="150"/>
      <c r="L94" s="19"/>
    </row>
    <row r="95" spans="1:12" s="8" customFormat="1" ht="30" customHeight="1" x14ac:dyDescent="0.25">
      <c r="A95" s="285"/>
      <c r="B95" s="146"/>
      <c r="C95" s="147"/>
      <c r="D95" s="19"/>
      <c r="E95" s="478"/>
      <c r="F95" s="479"/>
      <c r="G95" s="150"/>
      <c r="H95" s="19"/>
      <c r="I95" s="153"/>
      <c r="J95" s="157"/>
      <c r="K95" s="150"/>
      <c r="L95" s="19"/>
    </row>
    <row r="96" spans="1:12" s="8" customFormat="1" ht="30" customHeight="1" x14ac:dyDescent="0.25">
      <c r="A96" s="285"/>
      <c r="B96" s="146"/>
      <c r="C96" s="147"/>
      <c r="D96" s="19"/>
      <c r="E96" s="478"/>
      <c r="F96" s="479"/>
      <c r="G96" s="150"/>
      <c r="H96" s="19"/>
      <c r="I96" s="153"/>
      <c r="J96" s="157"/>
      <c r="K96" s="150"/>
      <c r="L96" s="19"/>
    </row>
    <row r="97" spans="1:12" s="8" customFormat="1" ht="30" customHeight="1" x14ac:dyDescent="0.25">
      <c r="A97" s="285"/>
      <c r="B97" s="556" t="s">
        <v>96</v>
      </c>
      <c r="C97" s="557"/>
      <c r="D97" s="558"/>
      <c r="E97" s="478"/>
      <c r="F97" s="479"/>
      <c r="G97" s="150"/>
      <c r="H97" s="19"/>
      <c r="I97" s="153"/>
      <c r="J97" s="157"/>
      <c r="K97" s="150"/>
      <c r="L97" s="19"/>
    </row>
    <row r="98" spans="1:12" s="8" customFormat="1" ht="30" customHeight="1" x14ac:dyDescent="0.25">
      <c r="A98" s="285"/>
      <c r="B98" s="559"/>
      <c r="C98" s="560"/>
      <c r="D98" s="561"/>
      <c r="E98" s="480"/>
      <c r="F98" s="481"/>
      <c r="G98" s="151"/>
      <c r="H98" s="20"/>
      <c r="I98" s="154"/>
      <c r="J98" s="158"/>
      <c r="K98" s="151"/>
      <c r="L98" s="20"/>
    </row>
    <row r="99" spans="1:12" s="8" customFormat="1" ht="20.100000000000001" customHeight="1" x14ac:dyDescent="0.25">
      <c r="A99" s="285"/>
    </row>
    <row r="100" spans="1:12" s="8" customFormat="1" ht="30" customHeight="1" x14ac:dyDescent="0.3">
      <c r="A100" s="7"/>
      <c r="B100" s="524" t="s">
        <v>46</v>
      </c>
      <c r="C100" s="525"/>
      <c r="D100" s="525"/>
      <c r="E100" s="525"/>
      <c r="F100" s="525"/>
      <c r="G100" s="525"/>
      <c r="H100" s="525"/>
      <c r="I100" s="526"/>
      <c r="J100" s="513" t="s">
        <v>47</v>
      </c>
      <c r="K100" s="514"/>
      <c r="L100" s="515"/>
    </row>
    <row r="101" spans="1:12" s="13" customFormat="1" ht="30" customHeight="1" x14ac:dyDescent="0.3">
      <c r="A101" s="7"/>
      <c r="B101" s="530" t="s">
        <v>22</v>
      </c>
      <c r="C101" s="531"/>
      <c r="D101" s="527" t="s">
        <v>40</v>
      </c>
      <c r="E101" s="528"/>
      <c r="F101" s="528"/>
      <c r="G101" s="528"/>
      <c r="H101" s="528"/>
      <c r="I101" s="529"/>
      <c r="J101" s="516" t="s">
        <v>22</v>
      </c>
      <c r="K101" s="517"/>
      <c r="L101" s="18" t="s">
        <v>21</v>
      </c>
    </row>
    <row r="102" spans="1:12" s="13" customFormat="1" ht="30" customHeight="1" x14ac:dyDescent="0.3">
      <c r="A102" s="7"/>
      <c r="B102" s="532"/>
      <c r="C102" s="533"/>
      <c r="D102" s="100" t="s">
        <v>44</v>
      </c>
      <c r="E102" s="162" t="s">
        <v>43</v>
      </c>
      <c r="F102" s="162" t="s">
        <v>42</v>
      </c>
      <c r="G102" s="162" t="s">
        <v>41</v>
      </c>
      <c r="H102" s="162" t="s">
        <v>39</v>
      </c>
      <c r="I102" s="161" t="s">
        <v>38</v>
      </c>
      <c r="J102" s="518"/>
      <c r="K102" s="519"/>
      <c r="L102" s="18" t="s">
        <v>36</v>
      </c>
    </row>
    <row r="103" spans="1:12" s="13" customFormat="1" ht="24.95" customHeight="1" x14ac:dyDescent="0.3">
      <c r="A103" s="7"/>
      <c r="B103" s="509"/>
      <c r="C103" s="510"/>
      <c r="D103" s="83"/>
      <c r="E103" s="80"/>
      <c r="F103" s="80"/>
      <c r="G103" s="80"/>
      <c r="H103" s="80"/>
      <c r="I103" s="163"/>
      <c r="J103" s="520"/>
      <c r="K103" s="521"/>
      <c r="L103" s="44"/>
    </row>
    <row r="104" spans="1:12" s="13" customFormat="1" ht="24.95" customHeight="1" x14ac:dyDescent="0.3">
      <c r="A104" s="7"/>
      <c r="B104" s="511"/>
      <c r="C104" s="512"/>
      <c r="D104" s="84"/>
      <c r="E104" s="81"/>
      <c r="F104" s="81"/>
      <c r="G104" s="81"/>
      <c r="H104" s="81"/>
      <c r="I104" s="164"/>
      <c r="J104" s="522"/>
      <c r="K104" s="523"/>
      <c r="L104" s="45"/>
    </row>
    <row r="105" spans="1:12" s="13" customFormat="1" ht="24.95" customHeight="1" x14ac:dyDescent="0.3">
      <c r="A105" s="7"/>
      <c r="B105" s="511"/>
      <c r="C105" s="512"/>
      <c r="D105" s="84"/>
      <c r="E105" s="81"/>
      <c r="F105" s="81"/>
      <c r="G105" s="81"/>
      <c r="H105" s="81"/>
      <c r="I105" s="164"/>
      <c r="J105" s="522"/>
      <c r="K105" s="523"/>
      <c r="L105" s="45"/>
    </row>
    <row r="106" spans="1:12" s="13" customFormat="1" ht="24.95" customHeight="1" x14ac:dyDescent="0.3">
      <c r="A106" s="7"/>
      <c r="B106" s="511"/>
      <c r="C106" s="512"/>
      <c r="D106" s="84"/>
      <c r="E106" s="81"/>
      <c r="F106" s="81"/>
      <c r="G106" s="81"/>
      <c r="H106" s="81"/>
      <c r="I106" s="164"/>
      <c r="J106" s="522"/>
      <c r="K106" s="523"/>
      <c r="L106" s="45"/>
    </row>
    <row r="107" spans="1:12" s="13" customFormat="1" ht="24.95" customHeight="1" x14ac:dyDescent="0.3">
      <c r="A107" s="7"/>
      <c r="B107" s="511"/>
      <c r="C107" s="512"/>
      <c r="D107" s="84"/>
      <c r="E107" s="81"/>
      <c r="F107" s="81"/>
      <c r="G107" s="81"/>
      <c r="H107" s="81"/>
      <c r="I107" s="164"/>
      <c r="J107" s="522"/>
      <c r="K107" s="523"/>
      <c r="L107" s="45"/>
    </row>
    <row r="108" spans="1:12" s="13" customFormat="1" ht="24.95" customHeight="1" x14ac:dyDescent="0.3">
      <c r="A108" s="7"/>
      <c r="B108" s="511"/>
      <c r="C108" s="512"/>
      <c r="D108" s="84"/>
      <c r="E108" s="81"/>
      <c r="F108" s="81"/>
      <c r="G108" s="81"/>
      <c r="H108" s="81"/>
      <c r="I108" s="164"/>
      <c r="J108" s="522"/>
      <c r="K108" s="523"/>
      <c r="L108" s="45"/>
    </row>
    <row r="109" spans="1:12" s="13" customFormat="1" ht="24.95" customHeight="1" x14ac:dyDescent="0.3">
      <c r="A109" s="7"/>
      <c r="B109" s="511"/>
      <c r="C109" s="512"/>
      <c r="D109" s="84"/>
      <c r="E109" s="81"/>
      <c r="F109" s="81"/>
      <c r="G109" s="81"/>
      <c r="H109" s="81"/>
      <c r="I109" s="164"/>
      <c r="J109" s="522"/>
      <c r="K109" s="523"/>
      <c r="L109" s="45"/>
    </row>
    <row r="110" spans="1:12" s="13" customFormat="1" ht="24.95" customHeight="1" x14ac:dyDescent="0.3">
      <c r="A110" s="7"/>
      <c r="B110" s="511"/>
      <c r="C110" s="512"/>
      <c r="D110" s="84"/>
      <c r="E110" s="81"/>
      <c r="F110" s="81"/>
      <c r="G110" s="81"/>
      <c r="H110" s="81"/>
      <c r="I110" s="164"/>
      <c r="J110" s="522"/>
      <c r="K110" s="523"/>
      <c r="L110" s="45"/>
    </row>
    <row r="111" spans="1:12" s="13" customFormat="1" ht="24.95" customHeight="1" x14ac:dyDescent="0.3">
      <c r="A111" s="7"/>
      <c r="B111" s="511"/>
      <c r="C111" s="512"/>
      <c r="D111" s="84"/>
      <c r="E111" s="81"/>
      <c r="F111" s="81"/>
      <c r="G111" s="81"/>
      <c r="H111" s="81"/>
      <c r="I111" s="164"/>
      <c r="J111" s="522"/>
      <c r="K111" s="523"/>
      <c r="L111" s="45"/>
    </row>
    <row r="112" spans="1:12" s="13" customFormat="1" ht="24.95" customHeight="1" x14ac:dyDescent="0.3">
      <c r="A112" s="7"/>
      <c r="B112" s="511"/>
      <c r="C112" s="512"/>
      <c r="D112" s="84"/>
      <c r="E112" s="81"/>
      <c r="F112" s="81"/>
      <c r="G112" s="81"/>
      <c r="H112" s="81"/>
      <c r="I112" s="164"/>
      <c r="J112" s="522"/>
      <c r="K112" s="523"/>
      <c r="L112" s="45"/>
    </row>
    <row r="113" spans="1:12" s="13" customFormat="1" ht="24.95" customHeight="1" x14ac:dyDescent="0.3">
      <c r="A113" s="7"/>
      <c r="B113" s="511"/>
      <c r="C113" s="512"/>
      <c r="D113" s="84"/>
      <c r="E113" s="81"/>
      <c r="F113" s="81"/>
      <c r="G113" s="81"/>
      <c r="H113" s="81"/>
      <c r="I113" s="164"/>
      <c r="J113" s="522"/>
      <c r="K113" s="523"/>
      <c r="L113" s="45"/>
    </row>
    <row r="114" spans="1:12" s="13" customFormat="1" ht="24.95" customHeight="1" x14ac:dyDescent="0.3">
      <c r="A114" s="7"/>
      <c r="B114" s="511"/>
      <c r="C114" s="512"/>
      <c r="D114" s="84"/>
      <c r="E114" s="81"/>
      <c r="F114" s="81"/>
      <c r="G114" s="81"/>
      <c r="H114" s="81"/>
      <c r="I114" s="164"/>
      <c r="J114" s="522"/>
      <c r="K114" s="523"/>
      <c r="L114" s="45"/>
    </row>
    <row r="115" spans="1:12" s="13" customFormat="1" ht="24.95" customHeight="1" x14ac:dyDescent="0.3">
      <c r="A115" s="7"/>
      <c r="B115" s="511"/>
      <c r="C115" s="512"/>
      <c r="D115" s="84"/>
      <c r="E115" s="81"/>
      <c r="F115" s="81"/>
      <c r="G115" s="81"/>
      <c r="H115" s="81"/>
      <c r="I115" s="164"/>
      <c r="J115" s="522"/>
      <c r="K115" s="523"/>
      <c r="L115" s="45"/>
    </row>
    <row r="116" spans="1:12" s="13" customFormat="1" ht="24.95" customHeight="1" x14ac:dyDescent="0.3">
      <c r="A116" s="7"/>
      <c r="B116" s="511"/>
      <c r="C116" s="512"/>
      <c r="D116" s="84"/>
      <c r="E116" s="81"/>
      <c r="F116" s="81"/>
      <c r="G116" s="81"/>
      <c r="H116" s="81"/>
      <c r="I116" s="164"/>
      <c r="J116" s="522"/>
      <c r="K116" s="523"/>
      <c r="L116" s="45"/>
    </row>
    <row r="117" spans="1:12" s="13" customFormat="1" ht="24.95" customHeight="1" x14ac:dyDescent="0.3">
      <c r="A117" s="7"/>
      <c r="B117" s="511"/>
      <c r="C117" s="512"/>
      <c r="D117" s="84"/>
      <c r="E117" s="81"/>
      <c r="F117" s="81"/>
      <c r="G117" s="81"/>
      <c r="H117" s="81"/>
      <c r="I117" s="164"/>
      <c r="J117" s="522"/>
      <c r="K117" s="523"/>
      <c r="L117" s="45"/>
    </row>
    <row r="118" spans="1:12" s="13" customFormat="1" ht="24.95" customHeight="1" x14ac:dyDescent="0.3">
      <c r="A118" s="7"/>
      <c r="B118" s="511"/>
      <c r="C118" s="512"/>
      <c r="D118" s="84"/>
      <c r="E118" s="81"/>
      <c r="F118" s="81"/>
      <c r="G118" s="81"/>
      <c r="H118" s="81"/>
      <c r="I118" s="164"/>
      <c r="J118" s="522"/>
      <c r="K118" s="523"/>
      <c r="L118" s="45"/>
    </row>
    <row r="119" spans="1:12" s="13" customFormat="1" ht="24.95" customHeight="1" x14ac:dyDescent="0.3">
      <c r="A119" s="7"/>
      <c r="B119" s="511"/>
      <c r="C119" s="512"/>
      <c r="D119" s="84"/>
      <c r="E119" s="81"/>
      <c r="F119" s="81"/>
      <c r="G119" s="81"/>
      <c r="H119" s="81"/>
      <c r="I119" s="164"/>
      <c r="J119" s="522"/>
      <c r="K119" s="523"/>
      <c r="L119" s="45"/>
    </row>
    <row r="120" spans="1:12" s="13" customFormat="1" ht="24.95" customHeight="1" x14ac:dyDescent="0.3">
      <c r="A120" s="7"/>
      <c r="B120" s="511"/>
      <c r="C120" s="512"/>
      <c r="D120" s="84"/>
      <c r="E120" s="81"/>
      <c r="F120" s="81"/>
      <c r="G120" s="81"/>
      <c r="H120" s="81"/>
      <c r="I120" s="164"/>
      <c r="J120" s="522"/>
      <c r="K120" s="523"/>
      <c r="L120" s="45"/>
    </row>
    <row r="121" spans="1:12" s="13" customFormat="1" ht="24.95" customHeight="1" x14ac:dyDescent="0.3">
      <c r="A121" s="7"/>
      <c r="B121" s="511"/>
      <c r="C121" s="512"/>
      <c r="D121" s="84"/>
      <c r="E121" s="81"/>
      <c r="F121" s="81"/>
      <c r="G121" s="81"/>
      <c r="H121" s="81"/>
      <c r="I121" s="164"/>
      <c r="J121" s="522"/>
      <c r="K121" s="523"/>
      <c r="L121" s="45"/>
    </row>
    <row r="122" spans="1:12" s="13" customFormat="1" ht="24.95" customHeight="1" x14ac:dyDescent="0.3">
      <c r="A122" s="7"/>
      <c r="B122" s="511"/>
      <c r="C122" s="512"/>
      <c r="D122" s="84"/>
      <c r="E122" s="81"/>
      <c r="F122" s="81"/>
      <c r="G122" s="81"/>
      <c r="H122" s="81"/>
      <c r="I122" s="164"/>
      <c r="J122" s="522"/>
      <c r="K122" s="523"/>
      <c r="L122" s="45"/>
    </row>
    <row r="123" spans="1:12" s="13" customFormat="1" ht="24.95" customHeight="1" x14ac:dyDescent="0.3">
      <c r="A123" s="7"/>
      <c r="B123" s="511"/>
      <c r="C123" s="512"/>
      <c r="D123" s="84"/>
      <c r="E123" s="81"/>
      <c r="F123" s="81"/>
      <c r="G123" s="81"/>
      <c r="H123" s="81"/>
      <c r="I123" s="164"/>
      <c r="J123" s="522"/>
      <c r="K123" s="523"/>
      <c r="L123" s="45"/>
    </row>
    <row r="124" spans="1:12" s="13" customFormat="1" ht="24.95" customHeight="1" x14ac:dyDescent="0.3">
      <c r="A124" s="7"/>
      <c r="B124" s="511"/>
      <c r="C124" s="512"/>
      <c r="D124" s="84"/>
      <c r="E124" s="81"/>
      <c r="F124" s="81"/>
      <c r="G124" s="81"/>
      <c r="H124" s="81"/>
      <c r="I124" s="164"/>
      <c r="J124" s="522"/>
      <c r="K124" s="523"/>
      <c r="L124" s="45"/>
    </row>
    <row r="125" spans="1:12" s="13" customFormat="1" ht="24.95" customHeight="1" x14ac:dyDescent="0.3">
      <c r="A125" s="7"/>
      <c r="B125" s="511"/>
      <c r="C125" s="512"/>
      <c r="D125" s="84"/>
      <c r="E125" s="81"/>
      <c r="F125" s="81"/>
      <c r="G125" s="81"/>
      <c r="H125" s="81"/>
      <c r="I125" s="164"/>
      <c r="J125" s="522"/>
      <c r="K125" s="523"/>
      <c r="L125" s="45"/>
    </row>
    <row r="126" spans="1:12" s="13" customFormat="1" ht="24.95" customHeight="1" x14ac:dyDescent="0.3">
      <c r="A126" s="7"/>
      <c r="B126" s="511"/>
      <c r="C126" s="512"/>
      <c r="D126" s="84"/>
      <c r="E126" s="81"/>
      <c r="F126" s="81"/>
      <c r="G126" s="81"/>
      <c r="H126" s="81"/>
      <c r="I126" s="164"/>
      <c r="J126" s="522"/>
      <c r="K126" s="523"/>
      <c r="L126" s="45"/>
    </row>
    <row r="127" spans="1:12" s="13" customFormat="1" ht="24.95" customHeight="1" x14ac:dyDescent="0.3">
      <c r="A127" s="7"/>
      <c r="B127" s="511"/>
      <c r="C127" s="512"/>
      <c r="D127" s="84"/>
      <c r="E127" s="81"/>
      <c r="F127" s="81"/>
      <c r="G127" s="81"/>
      <c r="H127" s="81"/>
      <c r="I127" s="164"/>
      <c r="J127" s="534"/>
      <c r="K127" s="535"/>
      <c r="L127" s="46"/>
    </row>
    <row r="128" spans="1:12" s="13" customFormat="1" ht="24.95" customHeight="1" x14ac:dyDescent="0.3">
      <c r="A128" s="7"/>
      <c r="B128" s="511"/>
      <c r="C128" s="512"/>
      <c r="D128" s="84"/>
      <c r="E128" s="81"/>
      <c r="F128" s="81"/>
      <c r="G128" s="81"/>
      <c r="H128" s="81"/>
      <c r="I128" s="164"/>
      <c r="J128" s="538"/>
      <c r="K128" s="538"/>
      <c r="L128" s="539"/>
    </row>
    <row r="129" spans="1:12" s="13" customFormat="1" ht="24.95" customHeight="1" x14ac:dyDescent="0.3">
      <c r="A129" s="7"/>
      <c r="B129" s="511"/>
      <c r="C129" s="512"/>
      <c r="D129" s="84"/>
      <c r="E129" s="81"/>
      <c r="F129" s="81"/>
      <c r="G129" s="81"/>
      <c r="H129" s="81"/>
      <c r="I129" s="164"/>
      <c r="J129" s="540"/>
      <c r="K129" s="540"/>
      <c r="L129" s="541"/>
    </row>
    <row r="130" spans="1:12" s="13" customFormat="1" ht="24.95" customHeight="1" x14ac:dyDescent="0.3">
      <c r="A130" s="7"/>
      <c r="B130" s="511"/>
      <c r="C130" s="512"/>
      <c r="D130" s="84"/>
      <c r="E130" s="81"/>
      <c r="F130" s="81"/>
      <c r="G130" s="81"/>
      <c r="H130" s="81"/>
      <c r="I130" s="164"/>
      <c r="J130" s="540"/>
      <c r="K130" s="540"/>
      <c r="L130" s="541"/>
    </row>
    <row r="131" spans="1:12" s="13" customFormat="1" ht="24.95" customHeight="1" x14ac:dyDescent="0.3">
      <c r="A131" s="7"/>
      <c r="B131" s="511"/>
      <c r="C131" s="512"/>
      <c r="D131" s="84"/>
      <c r="E131" s="81"/>
      <c r="F131" s="81"/>
      <c r="G131" s="81"/>
      <c r="H131" s="81"/>
      <c r="I131" s="164"/>
      <c r="J131" s="540"/>
      <c r="K131" s="540"/>
      <c r="L131" s="541"/>
    </row>
    <row r="132" spans="1:12" s="13" customFormat="1" ht="24.95" customHeight="1" x14ac:dyDescent="0.3">
      <c r="A132" s="7"/>
      <c r="B132" s="511"/>
      <c r="C132" s="512"/>
      <c r="D132" s="84"/>
      <c r="E132" s="81"/>
      <c r="F132" s="81"/>
      <c r="G132" s="81"/>
      <c r="H132" s="81"/>
      <c r="I132" s="164"/>
      <c r="J132" s="540"/>
      <c r="K132" s="540"/>
      <c r="L132" s="541"/>
    </row>
    <row r="133" spans="1:12" s="13" customFormat="1" ht="24.95" customHeight="1" x14ac:dyDescent="0.3">
      <c r="A133" s="7"/>
      <c r="B133" s="511"/>
      <c r="C133" s="512"/>
      <c r="D133" s="84"/>
      <c r="E133" s="81"/>
      <c r="F133" s="81"/>
      <c r="G133" s="81"/>
      <c r="H133" s="81"/>
      <c r="I133" s="164"/>
      <c r="J133" s="540"/>
      <c r="K133" s="540"/>
      <c r="L133" s="541"/>
    </row>
    <row r="134" spans="1:12" s="13" customFormat="1" ht="24.95" customHeight="1" x14ac:dyDescent="0.3">
      <c r="A134" s="7"/>
      <c r="B134" s="511"/>
      <c r="C134" s="512"/>
      <c r="D134" s="84"/>
      <c r="E134" s="81"/>
      <c r="F134" s="81"/>
      <c r="G134" s="81"/>
      <c r="H134" s="81"/>
      <c r="I134" s="164"/>
      <c r="J134" s="540"/>
      <c r="K134" s="540"/>
      <c r="L134" s="541"/>
    </row>
    <row r="135" spans="1:12" s="13" customFormat="1" ht="24.95" customHeight="1" x14ac:dyDescent="0.3">
      <c r="A135" s="7"/>
      <c r="B135" s="511"/>
      <c r="C135" s="512"/>
      <c r="D135" s="84"/>
      <c r="E135" s="81"/>
      <c r="F135" s="81"/>
      <c r="G135" s="81"/>
      <c r="H135" s="81"/>
      <c r="I135" s="164"/>
      <c r="J135" s="540"/>
      <c r="K135" s="540"/>
      <c r="L135" s="541"/>
    </row>
    <row r="136" spans="1:12" s="13" customFormat="1" ht="24.95" customHeight="1" x14ac:dyDescent="0.3">
      <c r="A136" s="7"/>
      <c r="B136" s="511"/>
      <c r="C136" s="512"/>
      <c r="D136" s="84"/>
      <c r="E136" s="81"/>
      <c r="F136" s="81"/>
      <c r="G136" s="81"/>
      <c r="H136" s="81"/>
      <c r="I136" s="164"/>
      <c r="J136" s="540"/>
      <c r="K136" s="540"/>
      <c r="L136" s="541"/>
    </row>
    <row r="137" spans="1:12" s="13" customFormat="1" ht="24.95" customHeight="1" x14ac:dyDescent="0.3">
      <c r="A137" s="7"/>
      <c r="B137" s="511"/>
      <c r="C137" s="512"/>
      <c r="D137" s="84"/>
      <c r="E137" s="81"/>
      <c r="F137" s="81"/>
      <c r="G137" s="81"/>
      <c r="H137" s="81"/>
      <c r="I137" s="164"/>
      <c r="J137" s="540"/>
      <c r="K137" s="540"/>
      <c r="L137" s="541"/>
    </row>
    <row r="138" spans="1:12" s="13" customFormat="1" ht="24.95" customHeight="1" x14ac:dyDescent="0.3">
      <c r="A138" s="7"/>
      <c r="B138" s="511"/>
      <c r="C138" s="512"/>
      <c r="D138" s="84"/>
      <c r="E138" s="81"/>
      <c r="F138" s="81"/>
      <c r="G138" s="81"/>
      <c r="H138" s="81"/>
      <c r="I138" s="164"/>
      <c r="J138" s="540"/>
      <c r="K138" s="540"/>
      <c r="L138" s="541"/>
    </row>
    <row r="139" spans="1:12" s="13" customFormat="1" ht="24.95" customHeight="1" x14ac:dyDescent="0.3">
      <c r="A139" s="7"/>
      <c r="B139" s="511"/>
      <c r="C139" s="512"/>
      <c r="D139" s="84"/>
      <c r="E139" s="81"/>
      <c r="F139" s="81"/>
      <c r="G139" s="81"/>
      <c r="H139" s="81"/>
      <c r="I139" s="164"/>
      <c r="J139" s="540"/>
      <c r="K139" s="540"/>
      <c r="L139" s="541"/>
    </row>
    <row r="140" spans="1:12" s="13" customFormat="1" ht="24.95" customHeight="1" x14ac:dyDescent="0.3">
      <c r="A140" s="7"/>
      <c r="B140" s="511"/>
      <c r="C140" s="512"/>
      <c r="D140" s="84"/>
      <c r="E140" s="81"/>
      <c r="F140" s="81"/>
      <c r="G140" s="81"/>
      <c r="H140" s="81"/>
      <c r="I140" s="164"/>
      <c r="J140" s="540"/>
      <c r="K140" s="540"/>
      <c r="L140" s="541"/>
    </row>
    <row r="141" spans="1:12" s="13" customFormat="1" ht="24.95" customHeight="1" x14ac:dyDescent="0.3">
      <c r="A141" s="7"/>
      <c r="B141" s="511"/>
      <c r="C141" s="512"/>
      <c r="D141" s="84"/>
      <c r="E141" s="81"/>
      <c r="F141" s="81"/>
      <c r="G141" s="81"/>
      <c r="H141" s="81"/>
      <c r="I141" s="164"/>
      <c r="J141" s="540"/>
      <c r="K141" s="540"/>
      <c r="L141" s="541"/>
    </row>
    <row r="142" spans="1:12" s="13" customFormat="1" ht="24.95" customHeight="1" x14ac:dyDescent="0.3">
      <c r="A142" s="7"/>
      <c r="B142" s="511"/>
      <c r="C142" s="512"/>
      <c r="D142" s="84"/>
      <c r="E142" s="81"/>
      <c r="F142" s="81"/>
      <c r="G142" s="81"/>
      <c r="H142" s="81"/>
      <c r="I142" s="164"/>
      <c r="J142" s="540"/>
      <c r="K142" s="540"/>
      <c r="L142" s="541"/>
    </row>
    <row r="143" spans="1:12" s="13" customFormat="1" ht="24.95" customHeight="1" x14ac:dyDescent="0.3">
      <c r="A143" s="7"/>
      <c r="B143" s="511"/>
      <c r="C143" s="512"/>
      <c r="D143" s="84"/>
      <c r="E143" s="81"/>
      <c r="F143" s="81"/>
      <c r="G143" s="81"/>
      <c r="H143" s="81"/>
      <c r="I143" s="164"/>
      <c r="J143" s="540"/>
      <c r="K143" s="540"/>
      <c r="L143" s="541"/>
    </row>
    <row r="144" spans="1:12" s="13" customFormat="1" ht="24.95" customHeight="1" x14ac:dyDescent="0.3">
      <c r="A144" s="7"/>
      <c r="B144" s="511"/>
      <c r="C144" s="512"/>
      <c r="D144" s="84"/>
      <c r="E144" s="81"/>
      <c r="F144" s="81"/>
      <c r="G144" s="81"/>
      <c r="H144" s="81"/>
      <c r="I144" s="164"/>
      <c r="J144" s="540"/>
      <c r="K144" s="540"/>
      <c r="L144" s="541"/>
    </row>
    <row r="145" spans="1:12" s="13" customFormat="1" ht="24.95" customHeight="1" x14ac:dyDescent="0.3">
      <c r="A145" s="7"/>
      <c r="B145" s="511"/>
      <c r="C145" s="512"/>
      <c r="D145" s="84"/>
      <c r="E145" s="81"/>
      <c r="F145" s="81"/>
      <c r="G145" s="81"/>
      <c r="H145" s="81"/>
      <c r="I145" s="164"/>
      <c r="J145" s="540"/>
      <c r="K145" s="540"/>
      <c r="L145" s="541"/>
    </row>
    <row r="146" spans="1:12" s="13" customFormat="1" ht="24.95" customHeight="1" x14ac:dyDescent="0.3">
      <c r="A146" s="7"/>
      <c r="B146" s="511"/>
      <c r="C146" s="512"/>
      <c r="D146" s="84"/>
      <c r="E146" s="81"/>
      <c r="F146" s="81"/>
      <c r="G146" s="81"/>
      <c r="H146" s="81"/>
      <c r="I146" s="164"/>
      <c r="J146" s="540"/>
      <c r="K146" s="540"/>
      <c r="L146" s="541"/>
    </row>
    <row r="147" spans="1:12" s="13" customFormat="1" ht="24.95" customHeight="1" x14ac:dyDescent="0.3">
      <c r="A147" s="7"/>
      <c r="B147" s="511"/>
      <c r="C147" s="512"/>
      <c r="D147" s="84"/>
      <c r="E147" s="81"/>
      <c r="F147" s="81"/>
      <c r="G147" s="81"/>
      <c r="H147" s="81"/>
      <c r="I147" s="164"/>
      <c r="J147" s="540"/>
      <c r="K147" s="540"/>
      <c r="L147" s="541"/>
    </row>
    <row r="148" spans="1:12" s="13" customFormat="1" ht="24.95" customHeight="1" x14ac:dyDescent="0.3">
      <c r="A148" s="7"/>
      <c r="B148" s="511"/>
      <c r="C148" s="512"/>
      <c r="D148" s="84"/>
      <c r="E148" s="81"/>
      <c r="F148" s="81"/>
      <c r="G148" s="81"/>
      <c r="H148" s="81"/>
      <c r="I148" s="164"/>
      <c r="J148" s="540"/>
      <c r="K148" s="540"/>
      <c r="L148" s="541"/>
    </row>
    <row r="149" spans="1:12" s="13" customFormat="1" ht="24.95" customHeight="1" x14ac:dyDescent="0.3">
      <c r="A149" s="7"/>
      <c r="B149" s="511"/>
      <c r="C149" s="512"/>
      <c r="D149" s="84"/>
      <c r="E149" s="81"/>
      <c r="F149" s="81"/>
      <c r="G149" s="81"/>
      <c r="H149" s="81"/>
      <c r="I149" s="164"/>
      <c r="J149" s="540"/>
      <c r="K149" s="540"/>
      <c r="L149" s="541"/>
    </row>
    <row r="150" spans="1:12" s="13" customFormat="1" ht="24.95" customHeight="1" x14ac:dyDescent="0.3">
      <c r="A150" s="7"/>
      <c r="B150" s="511"/>
      <c r="C150" s="512"/>
      <c r="D150" s="84"/>
      <c r="E150" s="81"/>
      <c r="F150" s="81"/>
      <c r="G150" s="81"/>
      <c r="H150" s="81"/>
      <c r="I150" s="164"/>
      <c r="J150" s="540"/>
      <c r="K150" s="540"/>
      <c r="L150" s="541"/>
    </row>
    <row r="151" spans="1:12" s="13" customFormat="1" ht="24.95" customHeight="1" x14ac:dyDescent="0.3">
      <c r="A151" s="7"/>
      <c r="B151" s="511"/>
      <c r="C151" s="512"/>
      <c r="D151" s="84"/>
      <c r="E151" s="81"/>
      <c r="F151" s="81"/>
      <c r="G151" s="81"/>
      <c r="H151" s="81"/>
      <c r="I151" s="164"/>
      <c r="J151" s="540"/>
      <c r="K151" s="540"/>
      <c r="L151" s="541"/>
    </row>
    <row r="152" spans="1:12" s="13" customFormat="1" ht="24.95" customHeight="1" x14ac:dyDescent="0.3">
      <c r="A152" s="7"/>
      <c r="B152" s="511"/>
      <c r="C152" s="512"/>
      <c r="D152" s="84"/>
      <c r="E152" s="81"/>
      <c r="F152" s="81"/>
      <c r="G152" s="81"/>
      <c r="H152" s="81"/>
      <c r="I152" s="164"/>
      <c r="J152" s="540"/>
      <c r="K152" s="540"/>
      <c r="L152" s="541"/>
    </row>
    <row r="153" spans="1:12" s="13" customFormat="1" ht="24.95" customHeight="1" x14ac:dyDescent="0.3">
      <c r="A153" s="7"/>
      <c r="B153" s="511"/>
      <c r="C153" s="512"/>
      <c r="D153" s="84"/>
      <c r="E153" s="81"/>
      <c r="F153" s="81"/>
      <c r="G153" s="81"/>
      <c r="H153" s="81"/>
      <c r="I153" s="164"/>
      <c r="J153" s="540"/>
      <c r="K153" s="540"/>
      <c r="L153" s="541"/>
    </row>
    <row r="154" spans="1:12" s="13" customFormat="1" ht="24.95" customHeight="1" x14ac:dyDescent="0.3">
      <c r="A154" s="7"/>
      <c r="B154" s="511"/>
      <c r="C154" s="512"/>
      <c r="D154" s="84"/>
      <c r="E154" s="81"/>
      <c r="F154" s="81"/>
      <c r="G154" s="81"/>
      <c r="H154" s="81"/>
      <c r="I154" s="164"/>
      <c r="J154" s="540"/>
      <c r="K154" s="540"/>
      <c r="L154" s="541"/>
    </row>
    <row r="155" spans="1:12" s="13" customFormat="1" ht="24.95" customHeight="1" x14ac:dyDescent="0.3">
      <c r="A155" s="7"/>
      <c r="B155" s="511"/>
      <c r="C155" s="512"/>
      <c r="D155" s="84"/>
      <c r="E155" s="81"/>
      <c r="F155" s="81"/>
      <c r="G155" s="81"/>
      <c r="H155" s="81"/>
      <c r="I155" s="164"/>
      <c r="J155" s="540"/>
      <c r="K155" s="540"/>
      <c r="L155" s="541"/>
    </row>
    <row r="156" spans="1:12" s="13" customFormat="1" ht="24.95" customHeight="1" x14ac:dyDescent="0.3">
      <c r="A156" s="7"/>
      <c r="B156" s="511"/>
      <c r="C156" s="512"/>
      <c r="D156" s="84"/>
      <c r="E156" s="81"/>
      <c r="F156" s="81"/>
      <c r="G156" s="81"/>
      <c r="H156" s="81"/>
      <c r="I156" s="164"/>
      <c r="J156" s="540"/>
      <c r="K156" s="540"/>
      <c r="L156" s="541"/>
    </row>
    <row r="157" spans="1:12" s="13" customFormat="1" ht="24.95" customHeight="1" x14ac:dyDescent="0.3">
      <c r="A157" s="7"/>
      <c r="B157" s="511"/>
      <c r="C157" s="512"/>
      <c r="D157" s="84"/>
      <c r="E157" s="81"/>
      <c r="F157" s="81"/>
      <c r="G157" s="81"/>
      <c r="H157" s="81"/>
      <c r="I157" s="164"/>
      <c r="J157" s="540"/>
      <c r="K157" s="540"/>
      <c r="L157" s="541"/>
    </row>
    <row r="158" spans="1:12" s="13" customFormat="1" ht="24.95" customHeight="1" x14ac:dyDescent="0.3">
      <c r="A158" s="7"/>
      <c r="B158" s="511"/>
      <c r="C158" s="512"/>
      <c r="D158" s="84"/>
      <c r="E158" s="81"/>
      <c r="F158" s="81"/>
      <c r="G158" s="81"/>
      <c r="H158" s="81"/>
      <c r="I158" s="164"/>
      <c r="J158" s="540"/>
      <c r="K158" s="540"/>
      <c r="L158" s="541"/>
    </row>
    <row r="159" spans="1:12" s="13" customFormat="1" ht="24.95" customHeight="1" x14ac:dyDescent="0.3">
      <c r="A159" s="7"/>
      <c r="B159" s="511"/>
      <c r="C159" s="512"/>
      <c r="D159" s="84"/>
      <c r="E159" s="81"/>
      <c r="F159" s="81"/>
      <c r="G159" s="81"/>
      <c r="H159" s="81"/>
      <c r="I159" s="164"/>
      <c r="J159" s="540"/>
      <c r="K159" s="540"/>
      <c r="L159" s="541"/>
    </row>
    <row r="160" spans="1:12" s="13" customFormat="1" ht="24.95" customHeight="1" x14ac:dyDescent="0.3">
      <c r="A160" s="7"/>
      <c r="B160" s="511"/>
      <c r="C160" s="512"/>
      <c r="D160" s="84"/>
      <c r="E160" s="81"/>
      <c r="F160" s="81"/>
      <c r="G160" s="81"/>
      <c r="H160" s="81"/>
      <c r="I160" s="164"/>
      <c r="J160" s="540"/>
      <c r="K160" s="540"/>
      <c r="L160" s="541"/>
    </row>
    <row r="161" spans="1:12" s="13" customFormat="1" ht="24.95" customHeight="1" x14ac:dyDescent="0.3">
      <c r="A161" s="7"/>
      <c r="B161" s="511"/>
      <c r="C161" s="512"/>
      <c r="D161" s="84"/>
      <c r="E161" s="81"/>
      <c r="F161" s="81"/>
      <c r="G161" s="81"/>
      <c r="H161" s="81"/>
      <c r="I161" s="164"/>
      <c r="J161" s="540"/>
      <c r="K161" s="540"/>
      <c r="L161" s="541"/>
    </row>
    <row r="162" spans="1:12" s="13" customFormat="1" ht="24.95" customHeight="1" x14ac:dyDescent="0.3">
      <c r="A162" s="7"/>
      <c r="B162" s="511"/>
      <c r="C162" s="512"/>
      <c r="D162" s="84"/>
      <c r="E162" s="81"/>
      <c r="F162" s="81"/>
      <c r="G162" s="81"/>
      <c r="H162" s="81"/>
      <c r="I162" s="164"/>
      <c r="J162" s="540"/>
      <c r="K162" s="540"/>
      <c r="L162" s="541"/>
    </row>
    <row r="163" spans="1:12" s="13" customFormat="1" ht="24.95" customHeight="1" x14ac:dyDescent="0.3">
      <c r="A163" s="7"/>
      <c r="B163" s="511"/>
      <c r="C163" s="512"/>
      <c r="D163" s="84"/>
      <c r="E163" s="81"/>
      <c r="F163" s="81"/>
      <c r="G163" s="81"/>
      <c r="H163" s="81"/>
      <c r="I163" s="164"/>
      <c r="J163" s="540"/>
      <c r="K163" s="540"/>
      <c r="L163" s="541"/>
    </row>
    <row r="164" spans="1:12" s="13" customFormat="1" ht="24.95" customHeight="1" x14ac:dyDescent="0.3">
      <c r="A164" s="7"/>
      <c r="B164" s="511"/>
      <c r="C164" s="512"/>
      <c r="D164" s="84"/>
      <c r="E164" s="81"/>
      <c r="F164" s="81"/>
      <c r="G164" s="81"/>
      <c r="H164" s="81"/>
      <c r="I164" s="164"/>
      <c r="J164" s="540"/>
      <c r="K164" s="540"/>
      <c r="L164" s="541"/>
    </row>
    <row r="165" spans="1:12" s="13" customFormat="1" ht="24.95" customHeight="1" x14ac:dyDescent="0.3">
      <c r="A165" s="7"/>
      <c r="B165" s="511"/>
      <c r="C165" s="512"/>
      <c r="D165" s="84"/>
      <c r="E165" s="81"/>
      <c r="F165" s="81"/>
      <c r="G165" s="81"/>
      <c r="H165" s="81"/>
      <c r="I165" s="164"/>
      <c r="J165" s="540"/>
      <c r="K165" s="540"/>
      <c r="L165" s="541"/>
    </row>
    <row r="166" spans="1:12" s="13" customFormat="1" ht="24.95" customHeight="1" x14ac:dyDescent="0.3">
      <c r="A166" s="7"/>
      <c r="B166" s="511"/>
      <c r="C166" s="512"/>
      <c r="D166" s="84"/>
      <c r="E166" s="81"/>
      <c r="F166" s="81"/>
      <c r="G166" s="81"/>
      <c r="H166" s="81"/>
      <c r="I166" s="164"/>
      <c r="J166" s="540"/>
      <c r="K166" s="540"/>
      <c r="L166" s="541"/>
    </row>
    <row r="167" spans="1:12" s="13" customFormat="1" ht="24.95" customHeight="1" x14ac:dyDescent="0.3">
      <c r="A167" s="7"/>
      <c r="B167" s="511"/>
      <c r="C167" s="512"/>
      <c r="D167" s="84"/>
      <c r="E167" s="81"/>
      <c r="F167" s="81"/>
      <c r="G167" s="81"/>
      <c r="H167" s="81"/>
      <c r="I167" s="164"/>
      <c r="J167" s="540"/>
      <c r="K167" s="540"/>
      <c r="L167" s="541"/>
    </row>
    <row r="168" spans="1:12" s="13" customFormat="1" ht="24.95" customHeight="1" x14ac:dyDescent="0.3">
      <c r="A168" s="7"/>
      <c r="B168" s="511"/>
      <c r="C168" s="512"/>
      <c r="D168" s="84"/>
      <c r="E168" s="81"/>
      <c r="F168" s="81"/>
      <c r="G168" s="81"/>
      <c r="H168" s="81"/>
      <c r="I168" s="164"/>
      <c r="J168" s="540"/>
      <c r="K168" s="540"/>
      <c r="L168" s="541"/>
    </row>
    <row r="169" spans="1:12" s="13" customFormat="1" ht="24.95" customHeight="1" x14ac:dyDescent="0.3">
      <c r="A169" s="7"/>
      <c r="B169" s="511"/>
      <c r="C169" s="512"/>
      <c r="D169" s="84"/>
      <c r="E169" s="81"/>
      <c r="F169" s="81"/>
      <c r="G169" s="81"/>
      <c r="H169" s="81"/>
      <c r="I169" s="164"/>
      <c r="J169" s="540"/>
      <c r="K169" s="540"/>
      <c r="L169" s="541"/>
    </row>
    <row r="170" spans="1:12" s="13" customFormat="1" ht="24.95" customHeight="1" x14ac:dyDescent="0.3">
      <c r="A170" s="7"/>
      <c r="B170" s="511"/>
      <c r="C170" s="512"/>
      <c r="D170" s="84"/>
      <c r="E170" s="81"/>
      <c r="F170" s="81"/>
      <c r="G170" s="81"/>
      <c r="H170" s="81"/>
      <c r="I170" s="164"/>
      <c r="J170" s="540"/>
      <c r="K170" s="540"/>
      <c r="L170" s="541"/>
    </row>
    <row r="171" spans="1:12" s="13" customFormat="1" ht="24.95" customHeight="1" x14ac:dyDescent="0.3">
      <c r="A171" s="7"/>
      <c r="B171" s="511"/>
      <c r="C171" s="512"/>
      <c r="D171" s="84"/>
      <c r="E171" s="81"/>
      <c r="F171" s="81"/>
      <c r="G171" s="81"/>
      <c r="H171" s="81"/>
      <c r="I171" s="164"/>
      <c r="J171" s="540"/>
      <c r="K171" s="540"/>
      <c r="L171" s="541"/>
    </row>
    <row r="172" spans="1:12" s="13" customFormat="1" ht="24.95" customHeight="1" x14ac:dyDescent="0.3">
      <c r="A172" s="7"/>
      <c r="B172" s="511"/>
      <c r="C172" s="512"/>
      <c r="D172" s="84"/>
      <c r="E172" s="81"/>
      <c r="F172" s="81"/>
      <c r="G172" s="81"/>
      <c r="H172" s="81"/>
      <c r="I172" s="164"/>
      <c r="J172" s="540"/>
      <c r="K172" s="540"/>
      <c r="L172" s="541"/>
    </row>
    <row r="173" spans="1:12" s="13" customFormat="1" ht="24.95" customHeight="1" x14ac:dyDescent="0.3">
      <c r="A173" s="7"/>
      <c r="B173" s="511"/>
      <c r="C173" s="512"/>
      <c r="D173" s="84"/>
      <c r="E173" s="81"/>
      <c r="F173" s="81"/>
      <c r="G173" s="81"/>
      <c r="H173" s="81"/>
      <c r="I173" s="164"/>
      <c r="J173" s="540"/>
      <c r="K173" s="540"/>
      <c r="L173" s="541"/>
    </row>
    <row r="174" spans="1:12" s="13" customFormat="1" ht="24.95" customHeight="1" x14ac:dyDescent="0.3">
      <c r="A174" s="7"/>
      <c r="B174" s="511"/>
      <c r="C174" s="512"/>
      <c r="D174" s="84"/>
      <c r="E174" s="81"/>
      <c r="F174" s="81"/>
      <c r="G174" s="81"/>
      <c r="H174" s="81"/>
      <c r="I174" s="164"/>
      <c r="J174" s="540"/>
      <c r="K174" s="540"/>
      <c r="L174" s="541"/>
    </row>
    <row r="175" spans="1:12" s="13" customFormat="1" ht="24.95" customHeight="1" x14ac:dyDescent="0.3">
      <c r="A175" s="7"/>
      <c r="B175" s="511"/>
      <c r="C175" s="512"/>
      <c r="D175" s="84"/>
      <c r="E175" s="81"/>
      <c r="F175" s="81"/>
      <c r="G175" s="81"/>
      <c r="H175" s="81"/>
      <c r="I175" s="164"/>
      <c r="J175" s="540"/>
      <c r="K175" s="540"/>
      <c r="L175" s="541"/>
    </row>
    <row r="176" spans="1:12" s="13" customFormat="1" ht="24.95" customHeight="1" x14ac:dyDescent="0.3">
      <c r="A176" s="7"/>
      <c r="B176" s="511"/>
      <c r="C176" s="512"/>
      <c r="D176" s="84"/>
      <c r="E176" s="81"/>
      <c r="F176" s="81"/>
      <c r="G176" s="81"/>
      <c r="H176" s="81"/>
      <c r="I176" s="164"/>
      <c r="J176" s="540"/>
      <c r="K176" s="540"/>
      <c r="L176" s="541"/>
    </row>
    <row r="177" spans="1:12" s="13" customFormat="1" ht="24.95" customHeight="1" x14ac:dyDescent="0.3">
      <c r="A177" s="7"/>
      <c r="B177" s="511"/>
      <c r="C177" s="512"/>
      <c r="D177" s="84"/>
      <c r="E177" s="81"/>
      <c r="F177" s="81"/>
      <c r="G177" s="81"/>
      <c r="H177" s="81"/>
      <c r="I177" s="164"/>
      <c r="J177" s="540"/>
      <c r="K177" s="540"/>
      <c r="L177" s="541"/>
    </row>
    <row r="178" spans="1:12" s="13" customFormat="1" ht="24.95" customHeight="1" x14ac:dyDescent="0.3">
      <c r="A178" s="7"/>
      <c r="B178" s="511"/>
      <c r="C178" s="512"/>
      <c r="D178" s="84"/>
      <c r="E178" s="81"/>
      <c r="F178" s="81"/>
      <c r="G178" s="81"/>
      <c r="H178" s="81"/>
      <c r="I178" s="164"/>
      <c r="J178" s="540"/>
      <c r="K178" s="540"/>
      <c r="L178" s="541"/>
    </row>
    <row r="179" spans="1:12" s="13" customFormat="1" ht="24.95" customHeight="1" x14ac:dyDescent="0.3">
      <c r="A179" s="7"/>
      <c r="B179" s="511"/>
      <c r="C179" s="512"/>
      <c r="D179" s="84"/>
      <c r="E179" s="81"/>
      <c r="F179" s="81"/>
      <c r="G179" s="81"/>
      <c r="H179" s="81"/>
      <c r="I179" s="164"/>
      <c r="J179" s="540"/>
      <c r="K179" s="540"/>
      <c r="L179" s="541"/>
    </row>
    <row r="180" spans="1:12" s="13" customFormat="1" ht="24.95" customHeight="1" x14ac:dyDescent="0.3">
      <c r="A180" s="7"/>
      <c r="B180" s="511"/>
      <c r="C180" s="512"/>
      <c r="D180" s="84"/>
      <c r="E180" s="81"/>
      <c r="F180" s="81"/>
      <c r="G180" s="81"/>
      <c r="H180" s="81"/>
      <c r="I180" s="164"/>
      <c r="J180" s="540"/>
      <c r="K180" s="540"/>
      <c r="L180" s="541"/>
    </row>
    <row r="181" spans="1:12" s="13" customFormat="1" ht="24.95" customHeight="1" x14ac:dyDescent="0.3">
      <c r="A181" s="7"/>
      <c r="B181" s="511"/>
      <c r="C181" s="512"/>
      <c r="D181" s="84"/>
      <c r="E181" s="81"/>
      <c r="F181" s="81"/>
      <c r="G181" s="81"/>
      <c r="H181" s="81"/>
      <c r="I181" s="164"/>
      <c r="J181" s="540"/>
      <c r="K181" s="540"/>
      <c r="L181" s="541"/>
    </row>
    <row r="182" spans="1:12" s="13" customFormat="1" ht="24.95" customHeight="1" x14ac:dyDescent="0.3">
      <c r="A182" s="7"/>
      <c r="B182" s="511"/>
      <c r="C182" s="512"/>
      <c r="D182" s="84"/>
      <c r="E182" s="81"/>
      <c r="F182" s="81"/>
      <c r="G182" s="81"/>
      <c r="H182" s="81"/>
      <c r="I182" s="164"/>
      <c r="J182" s="540"/>
      <c r="K182" s="540"/>
      <c r="L182" s="541"/>
    </row>
    <row r="183" spans="1:12" s="13" customFormat="1" ht="24.95" customHeight="1" x14ac:dyDescent="0.3">
      <c r="A183" s="7"/>
      <c r="B183" s="511"/>
      <c r="C183" s="512"/>
      <c r="D183" s="84"/>
      <c r="E183" s="81"/>
      <c r="F183" s="81"/>
      <c r="G183" s="81"/>
      <c r="H183" s="81"/>
      <c r="I183" s="164"/>
      <c r="J183" s="540"/>
      <c r="K183" s="540"/>
      <c r="L183" s="541"/>
    </row>
    <row r="184" spans="1:12" s="13" customFormat="1" ht="24.95" customHeight="1" x14ac:dyDescent="0.3">
      <c r="A184" s="7"/>
      <c r="B184" s="511"/>
      <c r="C184" s="512"/>
      <c r="D184" s="84"/>
      <c r="E184" s="81"/>
      <c r="F184" s="81"/>
      <c r="G184" s="81"/>
      <c r="H184" s="81"/>
      <c r="I184" s="164"/>
      <c r="J184" s="540"/>
      <c r="K184" s="540"/>
      <c r="L184" s="541"/>
    </row>
    <row r="185" spans="1:12" s="13" customFormat="1" ht="24.95" customHeight="1" x14ac:dyDescent="0.3">
      <c r="A185" s="7"/>
      <c r="B185" s="511"/>
      <c r="C185" s="512"/>
      <c r="D185" s="84"/>
      <c r="E185" s="81"/>
      <c r="F185" s="81"/>
      <c r="G185" s="81"/>
      <c r="H185" s="81"/>
      <c r="I185" s="164"/>
      <c r="J185" s="540"/>
      <c r="K185" s="540"/>
      <c r="L185" s="541"/>
    </row>
    <row r="186" spans="1:12" s="13" customFormat="1" ht="24.95" customHeight="1" x14ac:dyDescent="0.3">
      <c r="A186" s="7"/>
      <c r="B186" s="511"/>
      <c r="C186" s="512"/>
      <c r="D186" s="84"/>
      <c r="E186" s="81"/>
      <c r="F186" s="81"/>
      <c r="G186" s="81"/>
      <c r="H186" s="81"/>
      <c r="I186" s="164"/>
      <c r="J186" s="540"/>
      <c r="K186" s="540"/>
      <c r="L186" s="541"/>
    </row>
    <row r="187" spans="1:12" s="13" customFormat="1" ht="24.95" customHeight="1" x14ac:dyDescent="0.3">
      <c r="A187" s="7"/>
      <c r="B187" s="511"/>
      <c r="C187" s="512"/>
      <c r="D187" s="84"/>
      <c r="E187" s="81"/>
      <c r="F187" s="81"/>
      <c r="G187" s="81"/>
      <c r="H187" s="81"/>
      <c r="I187" s="164"/>
      <c r="J187" s="540"/>
      <c r="K187" s="540"/>
      <c r="L187" s="541"/>
    </row>
    <row r="188" spans="1:12" s="13" customFormat="1" ht="24.95" customHeight="1" x14ac:dyDescent="0.3">
      <c r="A188" s="7"/>
      <c r="B188" s="511"/>
      <c r="C188" s="512"/>
      <c r="D188" s="84"/>
      <c r="E188" s="81"/>
      <c r="F188" s="81"/>
      <c r="G188" s="81"/>
      <c r="H188" s="81"/>
      <c r="I188" s="164"/>
      <c r="J188" s="540"/>
      <c r="K188" s="540"/>
      <c r="L188" s="541"/>
    </row>
    <row r="189" spans="1:12" s="13" customFormat="1" ht="24.95" customHeight="1" x14ac:dyDescent="0.3">
      <c r="A189" s="7"/>
      <c r="B189" s="511"/>
      <c r="C189" s="512"/>
      <c r="D189" s="84"/>
      <c r="E189" s="81"/>
      <c r="F189" s="81"/>
      <c r="G189" s="81"/>
      <c r="H189" s="81"/>
      <c r="I189" s="164"/>
      <c r="J189" s="540"/>
      <c r="K189" s="540"/>
      <c r="L189" s="541"/>
    </row>
    <row r="190" spans="1:12" s="13" customFormat="1" ht="24.95" customHeight="1" x14ac:dyDescent="0.3">
      <c r="A190" s="7"/>
      <c r="B190" s="511"/>
      <c r="C190" s="512"/>
      <c r="D190" s="84"/>
      <c r="E190" s="81"/>
      <c r="F190" s="81"/>
      <c r="G190" s="81"/>
      <c r="H190" s="81"/>
      <c r="I190" s="164"/>
      <c r="J190" s="540"/>
      <c r="K190" s="540"/>
      <c r="L190" s="541"/>
    </row>
    <row r="191" spans="1:12" s="13" customFormat="1" ht="24.95" customHeight="1" x14ac:dyDescent="0.3">
      <c r="A191" s="7"/>
      <c r="B191" s="511"/>
      <c r="C191" s="512"/>
      <c r="D191" s="84"/>
      <c r="E191" s="81"/>
      <c r="F191" s="81"/>
      <c r="G191" s="81"/>
      <c r="H191" s="81"/>
      <c r="I191" s="164"/>
      <c r="J191" s="540"/>
      <c r="K191" s="540"/>
      <c r="L191" s="541"/>
    </row>
    <row r="192" spans="1:12" s="13" customFormat="1" ht="24.95" customHeight="1" x14ac:dyDescent="0.3">
      <c r="A192" s="7"/>
      <c r="B192" s="511"/>
      <c r="C192" s="512"/>
      <c r="D192" s="84"/>
      <c r="E192" s="81"/>
      <c r="F192" s="81"/>
      <c r="G192" s="81"/>
      <c r="H192" s="81"/>
      <c r="I192" s="164"/>
      <c r="J192" s="540"/>
      <c r="K192" s="540"/>
      <c r="L192" s="541"/>
    </row>
    <row r="193" spans="1:12" s="13" customFormat="1" ht="24.95" customHeight="1" x14ac:dyDescent="0.3">
      <c r="A193" s="7"/>
      <c r="B193" s="511"/>
      <c r="C193" s="512"/>
      <c r="D193" s="84"/>
      <c r="E193" s="81"/>
      <c r="F193" s="81"/>
      <c r="G193" s="81"/>
      <c r="H193" s="81"/>
      <c r="I193" s="164"/>
      <c r="J193" s="540"/>
      <c r="K193" s="540"/>
      <c r="L193" s="541"/>
    </row>
    <row r="194" spans="1:12" s="13" customFormat="1" ht="24.95" customHeight="1" x14ac:dyDescent="0.3">
      <c r="A194" s="7"/>
      <c r="B194" s="511"/>
      <c r="C194" s="512"/>
      <c r="D194" s="84"/>
      <c r="E194" s="81"/>
      <c r="F194" s="81"/>
      <c r="G194" s="81"/>
      <c r="H194" s="81"/>
      <c r="I194" s="164"/>
      <c r="J194" s="540"/>
      <c r="K194" s="540"/>
      <c r="L194" s="541"/>
    </row>
    <row r="195" spans="1:12" s="13" customFormat="1" ht="24.95" customHeight="1" x14ac:dyDescent="0.3">
      <c r="A195" s="7"/>
      <c r="B195" s="511"/>
      <c r="C195" s="512"/>
      <c r="D195" s="84"/>
      <c r="E195" s="81"/>
      <c r="F195" s="81"/>
      <c r="G195" s="81"/>
      <c r="H195" s="81"/>
      <c r="I195" s="164"/>
      <c r="J195" s="540"/>
      <c r="K195" s="540"/>
      <c r="L195" s="541"/>
    </row>
    <row r="196" spans="1:12" s="13" customFormat="1" ht="24.95" customHeight="1" x14ac:dyDescent="0.3">
      <c r="A196" s="7"/>
      <c r="B196" s="511"/>
      <c r="C196" s="512"/>
      <c r="D196" s="84"/>
      <c r="E196" s="81"/>
      <c r="F196" s="81"/>
      <c r="G196" s="81"/>
      <c r="H196" s="81"/>
      <c r="I196" s="164"/>
      <c r="J196" s="540"/>
      <c r="K196" s="540"/>
      <c r="L196" s="541"/>
    </row>
    <row r="197" spans="1:12" s="13" customFormat="1" ht="24.95" customHeight="1" x14ac:dyDescent="0.3">
      <c r="A197" s="7"/>
      <c r="B197" s="511"/>
      <c r="C197" s="512"/>
      <c r="D197" s="84"/>
      <c r="E197" s="81"/>
      <c r="F197" s="81"/>
      <c r="G197" s="81"/>
      <c r="H197" s="81"/>
      <c r="I197" s="164"/>
      <c r="J197" s="540"/>
      <c r="K197" s="540"/>
      <c r="L197" s="541"/>
    </row>
    <row r="198" spans="1:12" s="13" customFormat="1" ht="24.95" customHeight="1" x14ac:dyDescent="0.3">
      <c r="A198" s="7"/>
      <c r="B198" s="511"/>
      <c r="C198" s="512"/>
      <c r="D198" s="84"/>
      <c r="E198" s="81"/>
      <c r="F198" s="81"/>
      <c r="G198" s="81"/>
      <c r="H198" s="81"/>
      <c r="I198" s="164"/>
      <c r="J198" s="540"/>
      <c r="K198" s="540"/>
      <c r="L198" s="541"/>
    </row>
    <row r="199" spans="1:12" s="13" customFormat="1" ht="24.95" customHeight="1" x14ac:dyDescent="0.3">
      <c r="A199" s="7"/>
      <c r="B199" s="511"/>
      <c r="C199" s="512"/>
      <c r="D199" s="84"/>
      <c r="E199" s="81"/>
      <c r="F199" s="81"/>
      <c r="G199" s="81"/>
      <c r="H199" s="81"/>
      <c r="I199" s="164"/>
      <c r="J199" s="540"/>
      <c r="K199" s="540"/>
      <c r="L199" s="541"/>
    </row>
    <row r="200" spans="1:12" s="13" customFormat="1" ht="24.95" customHeight="1" x14ac:dyDescent="0.3">
      <c r="A200" s="7"/>
      <c r="B200" s="511"/>
      <c r="C200" s="512"/>
      <c r="D200" s="84"/>
      <c r="E200" s="81"/>
      <c r="F200" s="81"/>
      <c r="G200" s="81"/>
      <c r="H200" s="81"/>
      <c r="I200" s="164"/>
      <c r="J200" s="540"/>
      <c r="K200" s="540"/>
      <c r="L200" s="541"/>
    </row>
    <row r="201" spans="1:12" s="13" customFormat="1" ht="24.95" customHeight="1" x14ac:dyDescent="0.3">
      <c r="A201" s="7"/>
      <c r="B201" s="511"/>
      <c r="C201" s="512"/>
      <c r="D201" s="84"/>
      <c r="E201" s="81"/>
      <c r="F201" s="81"/>
      <c r="G201" s="81"/>
      <c r="H201" s="81"/>
      <c r="I201" s="164"/>
      <c r="J201" s="540"/>
      <c r="K201" s="540"/>
      <c r="L201" s="541"/>
    </row>
    <row r="202" spans="1:12" s="13" customFormat="1" ht="24.95" customHeight="1" x14ac:dyDescent="0.3">
      <c r="A202" s="7"/>
      <c r="B202" s="511"/>
      <c r="C202" s="512"/>
      <c r="D202" s="84"/>
      <c r="E202" s="81"/>
      <c r="F202" s="81"/>
      <c r="G202" s="81"/>
      <c r="H202" s="81"/>
      <c r="I202" s="164"/>
      <c r="J202" s="540"/>
      <c r="K202" s="540"/>
      <c r="L202" s="541"/>
    </row>
    <row r="203" spans="1:12" s="13" customFormat="1" ht="24.95" customHeight="1" x14ac:dyDescent="0.3">
      <c r="A203" s="7"/>
      <c r="B203" s="511"/>
      <c r="C203" s="512"/>
      <c r="D203" s="84"/>
      <c r="E203" s="81"/>
      <c r="F203" s="81"/>
      <c r="G203" s="81"/>
      <c r="H203" s="81"/>
      <c r="I203" s="164"/>
      <c r="J203" s="540"/>
      <c r="K203" s="540"/>
      <c r="L203" s="541"/>
    </row>
    <row r="204" spans="1:12" s="13" customFormat="1" ht="24.95" customHeight="1" x14ac:dyDescent="0.3">
      <c r="A204" s="7"/>
      <c r="B204" s="511"/>
      <c r="C204" s="512"/>
      <c r="D204" s="84"/>
      <c r="E204" s="81"/>
      <c r="F204" s="81"/>
      <c r="G204" s="81"/>
      <c r="H204" s="81"/>
      <c r="I204" s="164"/>
      <c r="J204" s="540"/>
      <c r="K204" s="540"/>
      <c r="L204" s="541"/>
    </row>
    <row r="205" spans="1:12" s="13" customFormat="1" ht="24.95" customHeight="1" x14ac:dyDescent="0.3">
      <c r="A205" s="7"/>
      <c r="B205" s="511"/>
      <c r="C205" s="512"/>
      <c r="D205" s="84"/>
      <c r="E205" s="81"/>
      <c r="F205" s="81"/>
      <c r="G205" s="81"/>
      <c r="H205" s="81"/>
      <c r="I205" s="164"/>
      <c r="J205" s="540"/>
      <c r="K205" s="540"/>
      <c r="L205" s="541"/>
    </row>
    <row r="206" spans="1:12" s="13" customFormat="1" ht="24.95" customHeight="1" x14ac:dyDescent="0.3">
      <c r="A206" s="7"/>
      <c r="B206" s="511"/>
      <c r="C206" s="512"/>
      <c r="D206" s="84"/>
      <c r="E206" s="81"/>
      <c r="F206" s="81"/>
      <c r="G206" s="81"/>
      <c r="H206" s="81"/>
      <c r="I206" s="164"/>
      <c r="J206" s="540"/>
      <c r="K206" s="540"/>
      <c r="L206" s="541"/>
    </row>
    <row r="207" spans="1:12" s="13" customFormat="1" ht="24.95" customHeight="1" x14ac:dyDescent="0.3">
      <c r="A207" s="7"/>
      <c r="B207" s="511"/>
      <c r="C207" s="512"/>
      <c r="D207" s="84"/>
      <c r="E207" s="81"/>
      <c r="F207" s="81"/>
      <c r="G207" s="81"/>
      <c r="H207" s="81"/>
      <c r="I207" s="164"/>
      <c r="J207" s="540"/>
      <c r="K207" s="540"/>
      <c r="L207" s="541"/>
    </row>
    <row r="208" spans="1:12" s="13" customFormat="1" ht="24.95" customHeight="1" x14ac:dyDescent="0.3">
      <c r="A208" s="7"/>
      <c r="B208" s="511"/>
      <c r="C208" s="512"/>
      <c r="D208" s="84"/>
      <c r="E208" s="81"/>
      <c r="F208" s="81"/>
      <c r="G208" s="81"/>
      <c r="H208" s="81"/>
      <c r="I208" s="164"/>
      <c r="J208" s="540"/>
      <c r="K208" s="540"/>
      <c r="L208" s="541"/>
    </row>
    <row r="209" spans="1:12" s="13" customFormat="1" ht="24.95" customHeight="1" x14ac:dyDescent="0.3">
      <c r="A209" s="7"/>
      <c r="B209" s="511"/>
      <c r="C209" s="512"/>
      <c r="D209" s="84"/>
      <c r="E209" s="81"/>
      <c r="F209" s="81"/>
      <c r="G209" s="81"/>
      <c r="H209" s="81"/>
      <c r="I209" s="164"/>
      <c r="J209" s="540"/>
      <c r="K209" s="540"/>
      <c r="L209" s="541"/>
    </row>
    <row r="210" spans="1:12" s="13" customFormat="1" ht="24.95" customHeight="1" x14ac:dyDescent="0.3">
      <c r="A210" s="7"/>
      <c r="B210" s="511"/>
      <c r="C210" s="512"/>
      <c r="D210" s="84"/>
      <c r="E210" s="81"/>
      <c r="F210" s="81"/>
      <c r="G210" s="81"/>
      <c r="H210" s="81"/>
      <c r="I210" s="164"/>
      <c r="J210" s="540"/>
      <c r="K210" s="540"/>
      <c r="L210" s="541"/>
    </row>
    <row r="211" spans="1:12" s="13" customFormat="1" ht="24.95" customHeight="1" x14ac:dyDescent="0.3">
      <c r="A211" s="7"/>
      <c r="B211" s="511"/>
      <c r="C211" s="512"/>
      <c r="D211" s="84"/>
      <c r="E211" s="81"/>
      <c r="F211" s="81"/>
      <c r="G211" s="81"/>
      <c r="H211" s="81"/>
      <c r="I211" s="164"/>
      <c r="J211" s="540"/>
      <c r="K211" s="540"/>
      <c r="L211" s="541"/>
    </row>
    <row r="212" spans="1:12" s="13" customFormat="1" ht="24.95" customHeight="1" x14ac:dyDescent="0.3">
      <c r="A212" s="7"/>
      <c r="B212" s="511"/>
      <c r="C212" s="512"/>
      <c r="D212" s="84"/>
      <c r="E212" s="81"/>
      <c r="F212" s="81"/>
      <c r="G212" s="81"/>
      <c r="H212" s="81"/>
      <c r="I212" s="164"/>
      <c r="J212" s="540"/>
      <c r="K212" s="540"/>
      <c r="L212" s="541"/>
    </row>
    <row r="213" spans="1:12" s="13" customFormat="1" ht="24.95" customHeight="1" x14ac:dyDescent="0.3">
      <c r="A213" s="7"/>
      <c r="B213" s="511"/>
      <c r="C213" s="512"/>
      <c r="D213" s="84"/>
      <c r="E213" s="81"/>
      <c r="F213" s="81"/>
      <c r="G213" s="81"/>
      <c r="H213" s="81"/>
      <c r="I213" s="164"/>
      <c r="J213" s="540"/>
      <c r="K213" s="540"/>
      <c r="L213" s="541"/>
    </row>
    <row r="214" spans="1:12" s="13" customFormat="1" ht="24.95" customHeight="1" x14ac:dyDescent="0.3">
      <c r="A214" s="7"/>
      <c r="B214" s="511"/>
      <c r="C214" s="512"/>
      <c r="D214" s="84"/>
      <c r="E214" s="81"/>
      <c r="F214" s="81"/>
      <c r="G214" s="81"/>
      <c r="H214" s="81"/>
      <c r="I214" s="164"/>
      <c r="J214" s="540"/>
      <c r="K214" s="540"/>
      <c r="L214" s="541"/>
    </row>
    <row r="215" spans="1:12" s="13" customFormat="1" ht="24.95" customHeight="1" x14ac:dyDescent="0.3">
      <c r="A215" s="7"/>
      <c r="B215" s="511"/>
      <c r="C215" s="512"/>
      <c r="D215" s="84"/>
      <c r="E215" s="81"/>
      <c r="F215" s="81"/>
      <c r="G215" s="81"/>
      <c r="H215" s="81"/>
      <c r="I215" s="164"/>
      <c r="J215" s="540"/>
      <c r="K215" s="540"/>
      <c r="L215" s="541"/>
    </row>
    <row r="216" spans="1:12" s="13" customFormat="1" ht="24.95" customHeight="1" x14ac:dyDescent="0.3">
      <c r="A216" s="7"/>
      <c r="B216" s="511"/>
      <c r="C216" s="512"/>
      <c r="D216" s="84"/>
      <c r="E216" s="81"/>
      <c r="F216" s="81"/>
      <c r="G216" s="81"/>
      <c r="H216" s="81"/>
      <c r="I216" s="164"/>
      <c r="J216" s="540"/>
      <c r="K216" s="540"/>
      <c r="L216" s="541"/>
    </row>
    <row r="217" spans="1:12" s="13" customFormat="1" ht="24.95" customHeight="1" x14ac:dyDescent="0.3">
      <c r="A217" s="7"/>
      <c r="B217" s="511"/>
      <c r="C217" s="512"/>
      <c r="D217" s="84"/>
      <c r="E217" s="81"/>
      <c r="F217" s="81"/>
      <c r="G217" s="81"/>
      <c r="H217" s="81"/>
      <c r="I217" s="164"/>
      <c r="J217" s="540"/>
      <c r="K217" s="540"/>
      <c r="L217" s="541"/>
    </row>
    <row r="218" spans="1:12" s="13" customFormat="1" ht="24.95" customHeight="1" x14ac:dyDescent="0.3">
      <c r="A218" s="7"/>
      <c r="B218" s="511"/>
      <c r="C218" s="512"/>
      <c r="D218" s="84"/>
      <c r="E218" s="81"/>
      <c r="F218" s="81"/>
      <c r="G218" s="81"/>
      <c r="H218" s="81"/>
      <c r="I218" s="164"/>
      <c r="J218" s="540"/>
      <c r="K218" s="540"/>
      <c r="L218" s="541"/>
    </row>
    <row r="219" spans="1:12" s="13" customFormat="1" ht="24.95" customHeight="1" x14ac:dyDescent="0.3">
      <c r="A219" s="7"/>
      <c r="B219" s="511"/>
      <c r="C219" s="512"/>
      <c r="D219" s="84"/>
      <c r="E219" s="81"/>
      <c r="F219" s="81"/>
      <c r="G219" s="81"/>
      <c r="H219" s="81"/>
      <c r="I219" s="164"/>
      <c r="J219" s="540"/>
      <c r="K219" s="540"/>
      <c r="L219" s="541"/>
    </row>
    <row r="220" spans="1:12" s="13" customFormat="1" ht="24.95" customHeight="1" x14ac:dyDescent="0.3">
      <c r="A220" s="7"/>
      <c r="B220" s="511"/>
      <c r="C220" s="512"/>
      <c r="D220" s="84"/>
      <c r="E220" s="81"/>
      <c r="F220" s="81"/>
      <c r="G220" s="81"/>
      <c r="H220" s="81"/>
      <c r="I220" s="164"/>
      <c r="J220" s="540"/>
      <c r="K220" s="540"/>
      <c r="L220" s="541"/>
    </row>
    <row r="221" spans="1:12" s="13" customFormat="1" ht="24.95" customHeight="1" x14ac:dyDescent="0.3">
      <c r="A221" s="7"/>
      <c r="B221" s="511"/>
      <c r="C221" s="512"/>
      <c r="D221" s="84"/>
      <c r="E221" s="81"/>
      <c r="F221" s="81"/>
      <c r="G221" s="81"/>
      <c r="H221" s="81"/>
      <c r="I221" s="164"/>
      <c r="J221" s="540"/>
      <c r="K221" s="540"/>
      <c r="L221" s="541"/>
    </row>
    <row r="222" spans="1:12" s="13" customFormat="1" ht="24.95" customHeight="1" x14ac:dyDescent="0.3">
      <c r="A222" s="7"/>
      <c r="B222" s="511"/>
      <c r="C222" s="512"/>
      <c r="D222" s="84"/>
      <c r="E222" s="81"/>
      <c r="F222" s="81"/>
      <c r="G222" s="81"/>
      <c r="H222" s="81"/>
      <c r="I222" s="164"/>
      <c r="J222" s="540"/>
      <c r="K222" s="540"/>
      <c r="L222" s="541"/>
    </row>
    <row r="223" spans="1:12" s="13" customFormat="1" ht="24.95" customHeight="1" x14ac:dyDescent="0.3">
      <c r="A223" s="7"/>
      <c r="B223" s="511"/>
      <c r="C223" s="512"/>
      <c r="D223" s="84"/>
      <c r="E223" s="81"/>
      <c r="F223" s="81"/>
      <c r="G223" s="81"/>
      <c r="H223" s="81"/>
      <c r="I223" s="164"/>
      <c r="J223" s="540"/>
      <c r="K223" s="540"/>
      <c r="L223" s="541"/>
    </row>
    <row r="224" spans="1:12" s="13" customFormat="1" ht="24.95" customHeight="1" x14ac:dyDescent="0.3">
      <c r="A224" s="7"/>
      <c r="B224" s="511"/>
      <c r="C224" s="512"/>
      <c r="D224" s="84"/>
      <c r="E224" s="81"/>
      <c r="F224" s="81"/>
      <c r="G224" s="81"/>
      <c r="H224" s="81"/>
      <c r="I224" s="164"/>
      <c r="J224" s="540"/>
      <c r="K224" s="540"/>
      <c r="L224" s="541"/>
    </row>
    <row r="225" spans="1:12" s="13" customFormat="1" ht="24.95" customHeight="1" x14ac:dyDescent="0.3">
      <c r="A225" s="7"/>
      <c r="B225" s="511"/>
      <c r="C225" s="512"/>
      <c r="D225" s="84"/>
      <c r="E225" s="81"/>
      <c r="F225" s="81"/>
      <c r="G225" s="81"/>
      <c r="H225" s="81"/>
      <c r="I225" s="164"/>
      <c r="J225" s="540"/>
      <c r="K225" s="540"/>
      <c r="L225" s="541"/>
    </row>
    <row r="226" spans="1:12" s="13" customFormat="1" ht="24.95" customHeight="1" x14ac:dyDescent="0.3">
      <c r="A226" s="7"/>
      <c r="B226" s="511"/>
      <c r="C226" s="512"/>
      <c r="D226" s="84"/>
      <c r="E226" s="81"/>
      <c r="F226" s="81"/>
      <c r="G226" s="81"/>
      <c r="H226" s="81"/>
      <c r="I226" s="164"/>
      <c r="J226" s="540"/>
      <c r="K226" s="540"/>
      <c r="L226" s="541"/>
    </row>
    <row r="227" spans="1:12" s="13" customFormat="1" ht="24.95" customHeight="1" x14ac:dyDescent="0.3">
      <c r="A227" s="7"/>
      <c r="B227" s="511"/>
      <c r="C227" s="512"/>
      <c r="D227" s="84"/>
      <c r="E227" s="81"/>
      <c r="F227" s="81"/>
      <c r="G227" s="81"/>
      <c r="H227" s="81"/>
      <c r="I227" s="164"/>
      <c r="J227" s="540"/>
      <c r="K227" s="540"/>
      <c r="L227" s="541"/>
    </row>
    <row r="228" spans="1:12" s="13" customFormat="1" ht="24.95" customHeight="1" x14ac:dyDescent="0.3">
      <c r="A228" s="7"/>
      <c r="B228" s="511"/>
      <c r="C228" s="512"/>
      <c r="D228" s="84"/>
      <c r="E228" s="81"/>
      <c r="F228" s="81"/>
      <c r="G228" s="81"/>
      <c r="H228" s="81"/>
      <c r="I228" s="164"/>
      <c r="J228" s="540"/>
      <c r="K228" s="540"/>
      <c r="L228" s="541"/>
    </row>
    <row r="229" spans="1:12" s="13" customFormat="1" ht="24.95" customHeight="1" x14ac:dyDescent="0.3">
      <c r="A229" s="7"/>
      <c r="B229" s="511"/>
      <c r="C229" s="512"/>
      <c r="D229" s="84"/>
      <c r="E229" s="81"/>
      <c r="F229" s="81"/>
      <c r="G229" s="81"/>
      <c r="H229" s="81"/>
      <c r="I229" s="164"/>
      <c r="J229" s="540"/>
      <c r="K229" s="540"/>
      <c r="L229" s="541"/>
    </row>
    <row r="230" spans="1:12" s="13" customFormat="1" ht="24.95" customHeight="1" x14ac:dyDescent="0.3">
      <c r="A230" s="7"/>
      <c r="B230" s="511"/>
      <c r="C230" s="512"/>
      <c r="D230" s="84"/>
      <c r="E230" s="81"/>
      <c r="F230" s="81"/>
      <c r="G230" s="81"/>
      <c r="H230" s="81"/>
      <c r="I230" s="164"/>
      <c r="J230" s="540"/>
      <c r="K230" s="540"/>
      <c r="L230" s="541"/>
    </row>
    <row r="231" spans="1:12" s="13" customFormat="1" ht="24.95" customHeight="1" x14ac:dyDescent="0.3">
      <c r="A231" s="7"/>
      <c r="B231" s="511"/>
      <c r="C231" s="512"/>
      <c r="D231" s="84"/>
      <c r="E231" s="81"/>
      <c r="F231" s="81"/>
      <c r="G231" s="81"/>
      <c r="H231" s="81"/>
      <c r="I231" s="164"/>
      <c r="J231" s="540"/>
      <c r="K231" s="540"/>
      <c r="L231" s="541"/>
    </row>
    <row r="232" spans="1:12" s="13" customFormat="1" ht="24.95" customHeight="1" x14ac:dyDescent="0.3">
      <c r="A232" s="7"/>
      <c r="B232" s="511"/>
      <c r="C232" s="512"/>
      <c r="D232" s="84"/>
      <c r="E232" s="81"/>
      <c r="F232" s="81"/>
      <c r="G232" s="81"/>
      <c r="H232" s="81"/>
      <c r="I232" s="164"/>
      <c r="J232" s="540"/>
      <c r="K232" s="540"/>
      <c r="L232" s="541"/>
    </row>
    <row r="233" spans="1:12" s="13" customFormat="1" ht="24.95" customHeight="1" x14ac:dyDescent="0.3">
      <c r="A233" s="7"/>
      <c r="B233" s="511"/>
      <c r="C233" s="512"/>
      <c r="D233" s="84"/>
      <c r="E233" s="81"/>
      <c r="F233" s="81"/>
      <c r="G233" s="81"/>
      <c r="H233" s="81"/>
      <c r="I233" s="164"/>
      <c r="J233" s="540"/>
      <c r="K233" s="540"/>
      <c r="L233" s="541"/>
    </row>
    <row r="234" spans="1:12" s="13" customFormat="1" ht="24.95" customHeight="1" x14ac:dyDescent="0.3">
      <c r="A234" s="7"/>
      <c r="B234" s="511"/>
      <c r="C234" s="512"/>
      <c r="D234" s="84"/>
      <c r="E234" s="81"/>
      <c r="F234" s="81"/>
      <c r="G234" s="81"/>
      <c r="H234" s="81"/>
      <c r="I234" s="164"/>
      <c r="J234" s="540"/>
      <c r="K234" s="540"/>
      <c r="L234" s="541"/>
    </row>
    <row r="235" spans="1:12" s="13" customFormat="1" ht="24.95" customHeight="1" x14ac:dyDescent="0.3">
      <c r="A235" s="7"/>
      <c r="B235" s="511"/>
      <c r="C235" s="512"/>
      <c r="D235" s="84"/>
      <c r="E235" s="81"/>
      <c r="F235" s="81"/>
      <c r="G235" s="81"/>
      <c r="H235" s="81"/>
      <c r="I235" s="164"/>
      <c r="J235" s="540"/>
      <c r="K235" s="540"/>
      <c r="L235" s="541"/>
    </row>
    <row r="236" spans="1:12" s="13" customFormat="1" ht="24.95" customHeight="1" x14ac:dyDescent="0.3">
      <c r="A236" s="7"/>
      <c r="B236" s="511"/>
      <c r="C236" s="512"/>
      <c r="D236" s="84"/>
      <c r="E236" s="81"/>
      <c r="F236" s="81"/>
      <c r="G236" s="81"/>
      <c r="H236" s="81"/>
      <c r="I236" s="164"/>
      <c r="J236" s="540"/>
      <c r="K236" s="540"/>
      <c r="L236" s="541"/>
    </row>
    <row r="237" spans="1:12" s="13" customFormat="1" ht="24.95" customHeight="1" x14ac:dyDescent="0.3">
      <c r="A237" s="7"/>
      <c r="B237" s="511"/>
      <c r="C237" s="512"/>
      <c r="D237" s="84"/>
      <c r="E237" s="81"/>
      <c r="F237" s="81"/>
      <c r="G237" s="81"/>
      <c r="H237" s="81"/>
      <c r="I237" s="164"/>
      <c r="J237" s="540"/>
      <c r="K237" s="540"/>
      <c r="L237" s="541"/>
    </row>
    <row r="238" spans="1:12" s="13" customFormat="1" ht="24.95" customHeight="1" x14ac:dyDescent="0.3">
      <c r="A238" s="7"/>
      <c r="B238" s="511"/>
      <c r="C238" s="512"/>
      <c r="D238" s="84"/>
      <c r="E238" s="81"/>
      <c r="F238" s="81"/>
      <c r="G238" s="81"/>
      <c r="H238" s="81"/>
      <c r="I238" s="164"/>
      <c r="J238" s="540"/>
      <c r="K238" s="540"/>
      <c r="L238" s="541"/>
    </row>
    <row r="239" spans="1:12" s="13" customFormat="1" ht="24.95" customHeight="1" x14ac:dyDescent="0.3">
      <c r="A239" s="7"/>
      <c r="B239" s="511"/>
      <c r="C239" s="512"/>
      <c r="D239" s="84"/>
      <c r="E239" s="81"/>
      <c r="F239" s="81"/>
      <c r="G239" s="81"/>
      <c r="H239" s="81"/>
      <c r="I239" s="164"/>
      <c r="J239" s="540"/>
      <c r="K239" s="540"/>
      <c r="L239" s="541"/>
    </row>
    <row r="240" spans="1:12" s="13" customFormat="1" ht="24.95" customHeight="1" x14ac:dyDescent="0.3">
      <c r="A240" s="7"/>
      <c r="B240" s="511"/>
      <c r="C240" s="512"/>
      <c r="D240" s="84"/>
      <c r="E240" s="81"/>
      <c r="F240" s="81"/>
      <c r="G240" s="81"/>
      <c r="H240" s="81"/>
      <c r="I240" s="164"/>
      <c r="J240" s="540"/>
      <c r="K240" s="540"/>
      <c r="L240" s="541"/>
    </row>
    <row r="241" spans="1:13" s="13" customFormat="1" ht="24.95" customHeight="1" x14ac:dyDescent="0.3">
      <c r="A241" s="7"/>
      <c r="B241" s="511"/>
      <c r="C241" s="512"/>
      <c r="D241" s="84"/>
      <c r="E241" s="81"/>
      <c r="F241" s="81"/>
      <c r="G241" s="81"/>
      <c r="H241" s="81"/>
      <c r="I241" s="164"/>
      <c r="J241" s="540"/>
      <c r="K241" s="540"/>
      <c r="L241" s="541"/>
    </row>
    <row r="242" spans="1:13" s="13" customFormat="1" ht="24.95" customHeight="1" x14ac:dyDescent="0.3">
      <c r="A242" s="7"/>
      <c r="B242" s="511"/>
      <c r="C242" s="512"/>
      <c r="D242" s="84"/>
      <c r="E242" s="81"/>
      <c r="F242" s="81"/>
      <c r="G242" s="81"/>
      <c r="H242" s="81"/>
      <c r="I242" s="164"/>
      <c r="J242" s="540"/>
      <c r="K242" s="540"/>
      <c r="L242" s="541"/>
    </row>
    <row r="243" spans="1:13" s="13" customFormat="1" ht="24.95" customHeight="1" x14ac:dyDescent="0.3">
      <c r="A243" s="7"/>
      <c r="B243" s="511"/>
      <c r="C243" s="512"/>
      <c r="D243" s="84"/>
      <c r="E243" s="81"/>
      <c r="F243" s="81"/>
      <c r="G243" s="81"/>
      <c r="H243" s="81"/>
      <c r="I243" s="164"/>
      <c r="J243" s="540"/>
      <c r="K243" s="540"/>
      <c r="L243" s="541"/>
    </row>
    <row r="244" spans="1:13" s="13" customFormat="1" ht="24.95" customHeight="1" x14ac:dyDescent="0.3">
      <c r="A244" s="7"/>
      <c r="B244" s="511"/>
      <c r="C244" s="512"/>
      <c r="D244" s="84"/>
      <c r="E244" s="81"/>
      <c r="F244" s="81"/>
      <c r="G244" s="81"/>
      <c r="H244" s="81"/>
      <c r="I244" s="164"/>
      <c r="J244" s="540"/>
      <c r="K244" s="540"/>
      <c r="L244" s="541"/>
    </row>
    <row r="245" spans="1:13" s="13" customFormat="1" ht="24.95" customHeight="1" x14ac:dyDescent="0.3">
      <c r="A245" s="7"/>
      <c r="B245" s="511"/>
      <c r="C245" s="512"/>
      <c r="D245" s="84"/>
      <c r="E245" s="81"/>
      <c r="F245" s="81"/>
      <c r="G245" s="81"/>
      <c r="H245" s="81"/>
      <c r="I245" s="164"/>
      <c r="J245" s="540"/>
      <c r="K245" s="540"/>
      <c r="L245" s="541"/>
    </row>
    <row r="246" spans="1:13" s="13" customFormat="1" ht="24.95" customHeight="1" x14ac:dyDescent="0.3">
      <c r="A246" s="7"/>
      <c r="B246" s="511"/>
      <c r="C246" s="512"/>
      <c r="D246" s="84"/>
      <c r="E246" s="81"/>
      <c r="F246" s="81"/>
      <c r="G246" s="81"/>
      <c r="H246" s="81"/>
      <c r="I246" s="164"/>
      <c r="J246" s="540"/>
      <c r="K246" s="540"/>
      <c r="L246" s="541"/>
    </row>
    <row r="247" spans="1:13" s="13" customFormat="1" ht="24.95" customHeight="1" x14ac:dyDescent="0.3">
      <c r="A247" s="7"/>
      <c r="B247" s="511"/>
      <c r="C247" s="512"/>
      <c r="D247" s="84"/>
      <c r="E247" s="81"/>
      <c r="F247" s="81"/>
      <c r="G247" s="81"/>
      <c r="H247" s="81"/>
      <c r="I247" s="164"/>
      <c r="J247" s="540"/>
      <c r="K247" s="540"/>
      <c r="L247" s="541"/>
    </row>
    <row r="248" spans="1:13" s="13" customFormat="1" ht="24.95" customHeight="1" x14ac:dyDescent="0.3">
      <c r="A248" s="7"/>
      <c r="B248" s="511"/>
      <c r="C248" s="512"/>
      <c r="D248" s="84"/>
      <c r="E248" s="81"/>
      <c r="F248" s="81"/>
      <c r="G248" s="81"/>
      <c r="H248" s="81"/>
      <c r="I248" s="164"/>
      <c r="J248" s="540"/>
      <c r="K248" s="540"/>
      <c r="L248" s="541"/>
    </row>
    <row r="249" spans="1:13" s="13" customFormat="1" ht="24.95" customHeight="1" x14ac:dyDescent="0.3">
      <c r="A249" s="7"/>
      <c r="B249" s="511"/>
      <c r="C249" s="512"/>
      <c r="D249" s="84"/>
      <c r="E249" s="81"/>
      <c r="F249" s="81"/>
      <c r="G249" s="81"/>
      <c r="H249" s="81"/>
      <c r="I249" s="164"/>
      <c r="J249" s="540"/>
      <c r="K249" s="540"/>
      <c r="L249" s="541"/>
    </row>
    <row r="250" spans="1:13" s="13" customFormat="1" ht="24.95" customHeight="1" x14ac:dyDescent="0.3">
      <c r="A250" s="7"/>
      <c r="B250" s="511"/>
      <c r="C250" s="512"/>
      <c r="D250" s="84"/>
      <c r="E250" s="81"/>
      <c r="F250" s="81"/>
      <c r="G250" s="81"/>
      <c r="H250" s="81"/>
      <c r="I250" s="164"/>
      <c r="J250" s="540"/>
      <c r="K250" s="540"/>
      <c r="L250" s="541"/>
    </row>
    <row r="251" spans="1:13" s="13" customFormat="1" ht="24.95" customHeight="1" x14ac:dyDescent="0.3">
      <c r="A251" s="7"/>
      <c r="B251" s="511"/>
      <c r="C251" s="512"/>
      <c r="D251" s="84"/>
      <c r="E251" s="81"/>
      <c r="F251" s="81"/>
      <c r="G251" s="81"/>
      <c r="H251" s="81"/>
      <c r="I251" s="164"/>
      <c r="J251" s="540"/>
      <c r="K251" s="540"/>
      <c r="L251" s="541"/>
    </row>
    <row r="252" spans="1:13" s="13" customFormat="1" ht="24.95" customHeight="1" x14ac:dyDescent="0.3">
      <c r="A252" s="7"/>
      <c r="B252" s="536"/>
      <c r="C252" s="537"/>
      <c r="D252" s="85"/>
      <c r="E252" s="82"/>
      <c r="F252" s="82"/>
      <c r="G252" s="82"/>
      <c r="H252" s="82"/>
      <c r="I252" s="165"/>
      <c r="J252" s="542"/>
      <c r="K252" s="542"/>
      <c r="L252" s="543"/>
    </row>
    <row r="253" spans="1:13" s="8" customFormat="1" x14ac:dyDescent="0.3">
      <c r="A253" s="7"/>
      <c r="M253" s="99"/>
    </row>
  </sheetData>
  <sheetProtection selectLockedCells="1"/>
  <mergeCells count="354">
    <mergeCell ref="B97:D98"/>
    <mergeCell ref="D17:F17"/>
    <mergeCell ref="B16:F16"/>
    <mergeCell ref="B29:C29"/>
    <mergeCell ref="B54:C54"/>
    <mergeCell ref="E82:F82"/>
    <mergeCell ref="E83:F83"/>
    <mergeCell ref="E84:F84"/>
    <mergeCell ref="E85:F85"/>
    <mergeCell ref="E86:F86"/>
    <mergeCell ref="E87:F87"/>
    <mergeCell ref="E88:F88"/>
    <mergeCell ref="E89:F89"/>
    <mergeCell ref="E90:F90"/>
    <mergeCell ref="E72:F73"/>
    <mergeCell ref="E74:F74"/>
    <mergeCell ref="E75:F75"/>
    <mergeCell ref="E76:F76"/>
    <mergeCell ref="E77:F77"/>
    <mergeCell ref="E78:F78"/>
    <mergeCell ref="E79:F79"/>
    <mergeCell ref="E80:F80"/>
    <mergeCell ref="E81:F81"/>
    <mergeCell ref="B69:C69"/>
    <mergeCell ref="G41:H41"/>
    <mergeCell ref="B42:C42"/>
    <mergeCell ref="G42:H42"/>
    <mergeCell ref="B43:C43"/>
    <mergeCell ref="E91:F91"/>
    <mergeCell ref="E92:F92"/>
    <mergeCell ref="E93:F93"/>
    <mergeCell ref="B71:D71"/>
    <mergeCell ref="B72:B73"/>
    <mergeCell ref="C72:C73"/>
    <mergeCell ref="G54:H54"/>
    <mergeCell ref="B55:C55"/>
    <mergeCell ref="G55:H55"/>
    <mergeCell ref="B62:C62"/>
    <mergeCell ref="G62:H62"/>
    <mergeCell ref="B63:C63"/>
    <mergeCell ref="G63:H63"/>
    <mergeCell ref="B64:C64"/>
    <mergeCell ref="G64:H64"/>
    <mergeCell ref="B59:C59"/>
    <mergeCell ref="G59:H59"/>
    <mergeCell ref="B60:C60"/>
    <mergeCell ref="G60:H60"/>
    <mergeCell ref="B61:C61"/>
    <mergeCell ref="B4:C5"/>
    <mergeCell ref="B6:C6"/>
    <mergeCell ref="B7:C7"/>
    <mergeCell ref="B8:C8"/>
    <mergeCell ref="B9:C9"/>
    <mergeCell ref="B10:C10"/>
    <mergeCell ref="B11:C11"/>
    <mergeCell ref="B14:C14"/>
    <mergeCell ref="B12:C12"/>
    <mergeCell ref="B13:C13"/>
    <mergeCell ref="B251:C251"/>
    <mergeCell ref="B252:C252"/>
    <mergeCell ref="B246:C246"/>
    <mergeCell ref="B247:C247"/>
    <mergeCell ref="B248:C248"/>
    <mergeCell ref="B249:C249"/>
    <mergeCell ref="B250:C250"/>
    <mergeCell ref="J128:L252"/>
    <mergeCell ref="B241:C241"/>
    <mergeCell ref="B242:C242"/>
    <mergeCell ref="B243:C243"/>
    <mergeCell ref="B244:C244"/>
    <mergeCell ref="B245:C245"/>
    <mergeCell ref="B236:C236"/>
    <mergeCell ref="B237:C237"/>
    <mergeCell ref="B238:C238"/>
    <mergeCell ref="B239:C239"/>
    <mergeCell ref="B240:C240"/>
    <mergeCell ref="B231:C231"/>
    <mergeCell ref="B232:C232"/>
    <mergeCell ref="B233:C233"/>
    <mergeCell ref="B234:C234"/>
    <mergeCell ref="B235:C235"/>
    <mergeCell ref="B226:C226"/>
    <mergeCell ref="B227:C227"/>
    <mergeCell ref="B228:C228"/>
    <mergeCell ref="B229:C229"/>
    <mergeCell ref="B230:C230"/>
    <mergeCell ref="B221:C221"/>
    <mergeCell ref="B222:C222"/>
    <mergeCell ref="B223:C223"/>
    <mergeCell ref="B224:C224"/>
    <mergeCell ref="B225:C225"/>
    <mergeCell ref="B216:C216"/>
    <mergeCell ref="B217:C217"/>
    <mergeCell ref="B218:C218"/>
    <mergeCell ref="B219:C219"/>
    <mergeCell ref="B220:C220"/>
    <mergeCell ref="B211:C211"/>
    <mergeCell ref="B212:C212"/>
    <mergeCell ref="B213:C213"/>
    <mergeCell ref="B214:C214"/>
    <mergeCell ref="B215:C215"/>
    <mergeCell ref="B206:C206"/>
    <mergeCell ref="B207:C207"/>
    <mergeCell ref="B208:C208"/>
    <mergeCell ref="B209:C209"/>
    <mergeCell ref="B210:C210"/>
    <mergeCell ref="B201:C201"/>
    <mergeCell ref="B202:C202"/>
    <mergeCell ref="B203:C203"/>
    <mergeCell ref="B204:C204"/>
    <mergeCell ref="B205:C205"/>
    <mergeCell ref="B196:C196"/>
    <mergeCell ref="B197:C197"/>
    <mergeCell ref="B198:C198"/>
    <mergeCell ref="B199:C199"/>
    <mergeCell ref="B200:C200"/>
    <mergeCell ref="B191:C191"/>
    <mergeCell ref="B192:C192"/>
    <mergeCell ref="B193:C193"/>
    <mergeCell ref="B194:C194"/>
    <mergeCell ref="B195:C195"/>
    <mergeCell ref="B186:C186"/>
    <mergeCell ref="B187:C187"/>
    <mergeCell ref="B188:C188"/>
    <mergeCell ref="B189:C189"/>
    <mergeCell ref="B190:C190"/>
    <mergeCell ref="B181:C181"/>
    <mergeCell ref="B182:C182"/>
    <mergeCell ref="B183:C183"/>
    <mergeCell ref="B184:C184"/>
    <mergeCell ref="B185:C185"/>
    <mergeCell ref="B176:C176"/>
    <mergeCell ref="B177:C177"/>
    <mergeCell ref="B178:C178"/>
    <mergeCell ref="B179:C179"/>
    <mergeCell ref="B180:C180"/>
    <mergeCell ref="B171:C171"/>
    <mergeCell ref="B172:C172"/>
    <mergeCell ref="B173:C173"/>
    <mergeCell ref="B174:C174"/>
    <mergeCell ref="B175:C175"/>
    <mergeCell ref="B166:C166"/>
    <mergeCell ref="B167:C167"/>
    <mergeCell ref="B168:C168"/>
    <mergeCell ref="B169:C169"/>
    <mergeCell ref="B170:C170"/>
    <mergeCell ref="B161:C161"/>
    <mergeCell ref="B162:C162"/>
    <mergeCell ref="B163:C163"/>
    <mergeCell ref="B164:C164"/>
    <mergeCell ref="B165:C165"/>
    <mergeCell ref="B156:C156"/>
    <mergeCell ref="B157:C157"/>
    <mergeCell ref="B158:C158"/>
    <mergeCell ref="B159:C159"/>
    <mergeCell ref="B160:C160"/>
    <mergeCell ref="B151:C151"/>
    <mergeCell ref="B152:C152"/>
    <mergeCell ref="B153:C153"/>
    <mergeCell ref="B154:C154"/>
    <mergeCell ref="B155:C155"/>
    <mergeCell ref="B146:C146"/>
    <mergeCell ref="B147:C147"/>
    <mergeCell ref="B148:C148"/>
    <mergeCell ref="B149:C149"/>
    <mergeCell ref="B150:C150"/>
    <mergeCell ref="B141:C141"/>
    <mergeCell ref="B142:C142"/>
    <mergeCell ref="B143:C143"/>
    <mergeCell ref="B144:C144"/>
    <mergeCell ref="B145:C145"/>
    <mergeCell ref="B136:C136"/>
    <mergeCell ref="B137:C137"/>
    <mergeCell ref="B138:C138"/>
    <mergeCell ref="B139:C139"/>
    <mergeCell ref="B140:C140"/>
    <mergeCell ref="B131:C131"/>
    <mergeCell ref="B132:C132"/>
    <mergeCell ref="B133:C133"/>
    <mergeCell ref="B134:C134"/>
    <mergeCell ref="B135:C135"/>
    <mergeCell ref="B126:C126"/>
    <mergeCell ref="B127:C127"/>
    <mergeCell ref="B128:C128"/>
    <mergeCell ref="B129:C129"/>
    <mergeCell ref="B130:C130"/>
    <mergeCell ref="J126:K126"/>
    <mergeCell ref="J127:K127"/>
    <mergeCell ref="B121:C121"/>
    <mergeCell ref="B122:C122"/>
    <mergeCell ref="B123:C123"/>
    <mergeCell ref="B124:C124"/>
    <mergeCell ref="B125:C125"/>
    <mergeCell ref="J121:K121"/>
    <mergeCell ref="J122:K122"/>
    <mergeCell ref="J123:K123"/>
    <mergeCell ref="J124:K124"/>
    <mergeCell ref="J125:K125"/>
    <mergeCell ref="B116:C116"/>
    <mergeCell ref="B117:C117"/>
    <mergeCell ref="B118:C118"/>
    <mergeCell ref="B119:C119"/>
    <mergeCell ref="B120:C120"/>
    <mergeCell ref="J116:K116"/>
    <mergeCell ref="J117:K117"/>
    <mergeCell ref="J118:K118"/>
    <mergeCell ref="J119:K119"/>
    <mergeCell ref="J120:K120"/>
    <mergeCell ref="B111:C111"/>
    <mergeCell ref="B112:C112"/>
    <mergeCell ref="B113:C113"/>
    <mergeCell ref="B114:C114"/>
    <mergeCell ref="B115:C115"/>
    <mergeCell ref="J111:K111"/>
    <mergeCell ref="J112:K112"/>
    <mergeCell ref="J113:K113"/>
    <mergeCell ref="J114:K114"/>
    <mergeCell ref="J115:K115"/>
    <mergeCell ref="B106:C106"/>
    <mergeCell ref="B107:C107"/>
    <mergeCell ref="B108:C108"/>
    <mergeCell ref="B109:C109"/>
    <mergeCell ref="B110:C110"/>
    <mergeCell ref="J106:K106"/>
    <mergeCell ref="J107:K107"/>
    <mergeCell ref="J108:K108"/>
    <mergeCell ref="J109:K109"/>
    <mergeCell ref="J110:K110"/>
    <mergeCell ref="B103:C103"/>
    <mergeCell ref="B104:C104"/>
    <mergeCell ref="B105:C105"/>
    <mergeCell ref="J100:L100"/>
    <mergeCell ref="J101:K102"/>
    <mergeCell ref="J103:K103"/>
    <mergeCell ref="J104:K104"/>
    <mergeCell ref="J105:K105"/>
    <mergeCell ref="B100:I100"/>
    <mergeCell ref="D101:I101"/>
    <mergeCell ref="B101:C102"/>
    <mergeCell ref="B30:C30"/>
    <mergeCell ref="G30:H30"/>
    <mergeCell ref="B31:C31"/>
    <mergeCell ref="G31:H31"/>
    <mergeCell ref="B32:C32"/>
    <mergeCell ref="G32:H32"/>
    <mergeCell ref="B33:C33"/>
    <mergeCell ref="G33:H33"/>
    <mergeCell ref="G43:H43"/>
    <mergeCell ref="B34:C34"/>
    <mergeCell ref="G34:H34"/>
    <mergeCell ref="B35:C35"/>
    <mergeCell ref="G35:H35"/>
    <mergeCell ref="B36:C36"/>
    <mergeCell ref="G36:H36"/>
    <mergeCell ref="B37:C37"/>
    <mergeCell ref="G37:H37"/>
    <mergeCell ref="B38:C38"/>
    <mergeCell ref="G38:H38"/>
    <mergeCell ref="B39:C39"/>
    <mergeCell ref="G39:H39"/>
    <mergeCell ref="B40:C40"/>
    <mergeCell ref="G40:H40"/>
    <mergeCell ref="B41:C41"/>
    <mergeCell ref="B25:C25"/>
    <mergeCell ref="G25:H25"/>
    <mergeCell ref="B26:C26"/>
    <mergeCell ref="G26:H26"/>
    <mergeCell ref="B27:C27"/>
    <mergeCell ref="G27:H27"/>
    <mergeCell ref="B28:C28"/>
    <mergeCell ref="G28:H28"/>
    <mergeCell ref="G29:H29"/>
    <mergeCell ref="A2:A99"/>
    <mergeCell ref="G23:H23"/>
    <mergeCell ref="B50:C50"/>
    <mergeCell ref="G50:H50"/>
    <mergeCell ref="B51:C51"/>
    <mergeCell ref="G51:H51"/>
    <mergeCell ref="B52:C52"/>
    <mergeCell ref="G52:H52"/>
    <mergeCell ref="B47:C47"/>
    <mergeCell ref="G47:H47"/>
    <mergeCell ref="B48:C48"/>
    <mergeCell ref="G48:H48"/>
    <mergeCell ref="B49:C49"/>
    <mergeCell ref="G49:H49"/>
    <mergeCell ref="B56:C56"/>
    <mergeCell ref="G56:H56"/>
    <mergeCell ref="B24:C24"/>
    <mergeCell ref="B57:C57"/>
    <mergeCell ref="G57:H57"/>
    <mergeCell ref="B58:C58"/>
    <mergeCell ref="G58:H58"/>
    <mergeCell ref="B53:C53"/>
    <mergeCell ref="G53:H53"/>
    <mergeCell ref="G24:H24"/>
    <mergeCell ref="B1:L1"/>
    <mergeCell ref="B44:C44"/>
    <mergeCell ref="G44:H44"/>
    <mergeCell ref="B45:C45"/>
    <mergeCell ref="G45:H45"/>
    <mergeCell ref="B46:C46"/>
    <mergeCell ref="G46:H46"/>
    <mergeCell ref="G16:I16"/>
    <mergeCell ref="J16:L16"/>
    <mergeCell ref="B17:C18"/>
    <mergeCell ref="G17:H18"/>
    <mergeCell ref="J17:J18"/>
    <mergeCell ref="K17:K18"/>
    <mergeCell ref="B19:C19"/>
    <mergeCell ref="G19:H19"/>
    <mergeCell ref="B20:C20"/>
    <mergeCell ref="G20:H20"/>
    <mergeCell ref="B21:C21"/>
    <mergeCell ref="G21:H21"/>
    <mergeCell ref="B22:C22"/>
    <mergeCell ref="G22:H22"/>
    <mergeCell ref="B23:C23"/>
    <mergeCell ref="D4:D5"/>
    <mergeCell ref="B2:L2"/>
    <mergeCell ref="G61:H61"/>
    <mergeCell ref="J69:L69"/>
    <mergeCell ref="B65:C65"/>
    <mergeCell ref="G65:H65"/>
    <mergeCell ref="B66:C66"/>
    <mergeCell ref="G66:H66"/>
    <mergeCell ref="B67:C67"/>
    <mergeCell ref="G67:H67"/>
    <mergeCell ref="B68:C68"/>
    <mergeCell ref="G68:H68"/>
    <mergeCell ref="G69:I69"/>
    <mergeCell ref="I72:I73"/>
    <mergeCell ref="G72:G73"/>
    <mergeCell ref="E71:H71"/>
    <mergeCell ref="I71:L71"/>
    <mergeCell ref="E94:F94"/>
    <mergeCell ref="E95:F95"/>
    <mergeCell ref="E96:F96"/>
    <mergeCell ref="E97:F97"/>
    <mergeCell ref="E98:F98"/>
    <mergeCell ref="J72:J73"/>
    <mergeCell ref="K72:K73"/>
    <mergeCell ref="T8:U8"/>
    <mergeCell ref="E4:E5"/>
    <mergeCell ref="T9:U9"/>
    <mergeCell ref="F4:F5"/>
    <mergeCell ref="G4:G5"/>
    <mergeCell ref="H4:H5"/>
    <mergeCell ref="I4:I5"/>
    <mergeCell ref="J4:J5"/>
    <mergeCell ref="K4:K5"/>
    <mergeCell ref="T6:U6"/>
    <mergeCell ref="T7:U7"/>
    <mergeCell ref="L4:L5"/>
  </mergeCells>
  <conditionalFormatting sqref="D47:D68">
    <cfRule type="cellIs" dxfId="47" priority="340" operator="lessThan">
      <formula>15</formula>
    </cfRule>
    <cfRule type="cellIs" dxfId="46" priority="341" operator="greaterThan">
      <formula>30</formula>
    </cfRule>
  </conditionalFormatting>
  <conditionalFormatting sqref="E47:E68">
    <cfRule type="cellIs" dxfId="45" priority="338" operator="greaterThan">
      <formula>0.6</formula>
    </cfRule>
    <cfRule type="cellIs" dxfId="44" priority="339" operator="lessThan">
      <formula>0.3</formula>
    </cfRule>
  </conditionalFormatting>
  <conditionalFormatting sqref="I47:I68">
    <cfRule type="cellIs" dxfId="43" priority="328" operator="greaterThan">
      <formula>86</formula>
    </cfRule>
    <cfRule type="cellIs" dxfId="42" priority="329" operator="between">
      <formula>85</formula>
      <formula>86</formula>
    </cfRule>
    <cfRule type="cellIs" dxfId="41" priority="330" operator="between">
      <formula>80</formula>
      <formula>84</formula>
    </cfRule>
  </conditionalFormatting>
  <conditionalFormatting sqref="D19:D32">
    <cfRule type="cellIs" dxfId="40" priority="312" operator="lessThan">
      <formula>15</formula>
    </cfRule>
    <cfRule type="cellIs" dxfId="39" priority="313" operator="greaterThan">
      <formula>30</formula>
    </cfRule>
  </conditionalFormatting>
  <conditionalFormatting sqref="E19:E32">
    <cfRule type="cellIs" dxfId="38" priority="310" operator="greaterThan">
      <formula>0.6</formula>
    </cfRule>
    <cfRule type="cellIs" dxfId="37" priority="311" operator="lessThan">
      <formula>0.3</formula>
    </cfRule>
  </conditionalFormatting>
  <conditionalFormatting sqref="I20:I32">
    <cfRule type="cellIs" dxfId="36" priority="307" operator="greaterThan">
      <formula>86</formula>
    </cfRule>
    <cfRule type="cellIs" dxfId="35" priority="308" operator="between">
      <formula>85</formula>
      <formula>86</formula>
    </cfRule>
    <cfRule type="cellIs" dxfId="34" priority="309" operator="between">
      <formula>80</formula>
      <formula>84</formula>
    </cfRule>
  </conditionalFormatting>
  <conditionalFormatting sqref="D33:D34">
    <cfRule type="cellIs" dxfId="33" priority="305" operator="lessThan">
      <formula>15</formula>
    </cfRule>
    <cfRule type="cellIs" dxfId="32" priority="306" operator="greaterThan">
      <formula>30</formula>
    </cfRule>
  </conditionalFormatting>
  <conditionalFormatting sqref="E33:E34">
    <cfRule type="cellIs" dxfId="31" priority="303" operator="greaterThan">
      <formula>0.6</formula>
    </cfRule>
    <cfRule type="cellIs" dxfId="30" priority="304" operator="lessThan">
      <formula>0.3</formula>
    </cfRule>
  </conditionalFormatting>
  <conditionalFormatting sqref="I33:I34">
    <cfRule type="cellIs" dxfId="29" priority="300" operator="greaterThan">
      <formula>86</formula>
    </cfRule>
    <cfRule type="cellIs" dxfId="28" priority="301" operator="between">
      <formula>85</formula>
      <formula>86</formula>
    </cfRule>
    <cfRule type="cellIs" dxfId="27" priority="302" operator="between">
      <formula>80</formula>
      <formula>84</formula>
    </cfRule>
  </conditionalFormatting>
  <conditionalFormatting sqref="D35:D46">
    <cfRule type="cellIs" dxfId="26" priority="280" operator="lessThan">
      <formula>15</formula>
    </cfRule>
    <cfRule type="cellIs" dxfId="25" priority="281" operator="greaterThan">
      <formula>30</formula>
    </cfRule>
  </conditionalFormatting>
  <conditionalFormatting sqref="E35:E46">
    <cfRule type="cellIs" dxfId="24" priority="278" operator="greaterThan">
      <formula>0.6</formula>
    </cfRule>
    <cfRule type="cellIs" dxfId="23" priority="279" operator="lessThan">
      <formula>0.3</formula>
    </cfRule>
  </conditionalFormatting>
  <conditionalFormatting sqref="I35:I46">
    <cfRule type="cellIs" dxfId="22" priority="275" operator="greaterThan">
      <formula>86</formula>
    </cfRule>
    <cfRule type="cellIs" dxfId="21" priority="276" operator="between">
      <formula>85</formula>
      <formula>86</formula>
    </cfRule>
    <cfRule type="cellIs" dxfId="20" priority="277" operator="between">
      <formula>80</formula>
      <formula>84</formula>
    </cfRule>
  </conditionalFormatting>
  <conditionalFormatting sqref="D103:D105">
    <cfRule type="cellIs" dxfId="19" priority="250" operator="lessThan">
      <formula>50</formula>
    </cfRule>
  </conditionalFormatting>
  <conditionalFormatting sqref="E103:E105">
    <cfRule type="cellIs" dxfId="18" priority="249" operator="lessThan">
      <formula>100</formula>
    </cfRule>
  </conditionalFormatting>
  <conditionalFormatting sqref="F103:F105">
    <cfRule type="cellIs" dxfId="17" priority="248" operator="lessThan">
      <formula>200</formula>
    </cfRule>
  </conditionalFormatting>
  <conditionalFormatting sqref="G103:G105">
    <cfRule type="cellIs" dxfId="16" priority="247" operator="lessThan">
      <formula>300</formula>
    </cfRule>
  </conditionalFormatting>
  <conditionalFormatting sqref="H103:H105">
    <cfRule type="cellIs" dxfId="15" priority="246" operator="lessThan">
      <formula>500</formula>
    </cfRule>
  </conditionalFormatting>
  <conditionalFormatting sqref="I103:I105">
    <cfRule type="cellIs" dxfId="14" priority="245" operator="lessThan">
      <formula>1000</formula>
    </cfRule>
  </conditionalFormatting>
  <conditionalFormatting sqref="D106:D247 D252">
    <cfRule type="cellIs" dxfId="13" priority="244" operator="lessThan">
      <formula>50</formula>
    </cfRule>
  </conditionalFormatting>
  <conditionalFormatting sqref="E106:E247 E252">
    <cfRule type="cellIs" dxfId="12" priority="243" operator="lessThan">
      <formula>100</formula>
    </cfRule>
  </conditionalFormatting>
  <conditionalFormatting sqref="F106:F247 F252">
    <cfRule type="cellIs" dxfId="11" priority="242" operator="lessThan">
      <formula>200</formula>
    </cfRule>
  </conditionalFormatting>
  <conditionalFormatting sqref="G106:G247 G252">
    <cfRule type="cellIs" dxfId="10" priority="241" operator="lessThan">
      <formula>300</formula>
    </cfRule>
  </conditionalFormatting>
  <conditionalFormatting sqref="H106:H247 H252">
    <cfRule type="cellIs" dxfId="9" priority="240" operator="lessThan">
      <formula>500</formula>
    </cfRule>
  </conditionalFormatting>
  <conditionalFormatting sqref="I106:I247 I252">
    <cfRule type="cellIs" dxfId="8" priority="239" operator="lessThan">
      <formula>1000</formula>
    </cfRule>
  </conditionalFormatting>
  <conditionalFormatting sqref="D248:D251">
    <cfRule type="cellIs" dxfId="7" priority="238" operator="lessThan">
      <formula>50</formula>
    </cfRule>
  </conditionalFormatting>
  <conditionalFormatting sqref="E248:E251">
    <cfRule type="cellIs" dxfId="6" priority="237" operator="lessThan">
      <formula>100</formula>
    </cfRule>
  </conditionalFormatting>
  <conditionalFormatting sqref="F248:F251">
    <cfRule type="cellIs" dxfId="5" priority="236" operator="lessThan">
      <formula>200</formula>
    </cfRule>
  </conditionalFormatting>
  <conditionalFormatting sqref="G248:G251">
    <cfRule type="cellIs" dxfId="4" priority="235" operator="lessThan">
      <formula>300</formula>
    </cfRule>
  </conditionalFormatting>
  <conditionalFormatting sqref="H248:H251">
    <cfRule type="cellIs" dxfId="3" priority="234" operator="lessThan">
      <formula>500</formula>
    </cfRule>
  </conditionalFormatting>
  <conditionalFormatting sqref="I248:I251">
    <cfRule type="cellIs" dxfId="2" priority="233" operator="lessThan">
      <formula>1000</formula>
    </cfRule>
  </conditionalFormatting>
  <conditionalFormatting sqref="I19">
    <cfRule type="cellIs" dxfId="1" priority="1" operator="between">
      <formula>45</formula>
      <formula>55</formula>
    </cfRule>
    <cfRule type="cellIs" dxfId="0" priority="2" operator="greaterThan">
      <formula>55</formula>
    </cfRule>
  </conditionalFormatting>
  <dataValidations count="5">
    <dataValidation type="decimal" allowBlank="1" showInputMessage="1" showErrorMessage="1" sqref="D19:F68">
      <formula1>0</formula1>
      <formula2>100000000000000</formula2>
    </dataValidation>
    <dataValidation type="decimal" allowBlank="1" showInputMessage="1" showErrorMessage="1" sqref="L19:L68 I19:I68 D74:D96 L74:L98 H74:H98">
      <formula1>0</formula1>
      <formula2>1E+21</formula2>
    </dataValidation>
    <dataValidation type="whole" allowBlank="1" showInputMessage="1" showErrorMessage="1" sqref="D103:I252 J128">
      <formula1>0</formula1>
      <formula2>10000000</formula2>
    </dataValidation>
    <dataValidation type="date" errorStyle="information" operator="greaterThanOrEqual" allowBlank="1" showInputMessage="1" showErrorMessage="1" error="01.01.2025 formatında değer giriniz." sqref="D6:D14 G6:G14 J6:J14">
      <formula1>45658</formula1>
    </dataValidation>
    <dataValidation type="whole" operator="greaterThanOrEqual" allowBlank="1" showInputMessage="1" showErrorMessage="1" sqref="E6:F14 H6:I14 K6:L14">
      <formula1>0</formula1>
    </dataValidation>
  </dataValidations>
  <pageMargins left="0.23622047244094491" right="0.23622047244094491" top="0.35433070866141736" bottom="0.15748031496062992" header="0.31496062992125984" footer="0.11811023622047245"/>
  <pageSetup paperSize="9" scale="34" fitToHeight="0" orientation="landscape" r:id="rId1"/>
  <rowBreaks count="2" manualBreakCount="2">
    <brk id="1" min="1" max="11" man="1"/>
    <brk id="98" max="12" man="1"/>
  </rowBreak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tint="0.79998168889431442"/>
    <pageSetUpPr fitToPage="1"/>
  </sheetPr>
  <dimension ref="A1:M714"/>
  <sheetViews>
    <sheetView showGridLines="0" zoomScale="40" zoomScaleNormal="40" zoomScaleSheetLayoutView="40" workbookViewId="0">
      <pane xSplit="12" ySplit="4" topLeftCell="M5" activePane="bottomRight" state="frozen"/>
      <selection pane="topRight" activeCell="M1" sqref="M1"/>
      <selection pane="bottomLeft" activeCell="A5" sqref="A5"/>
      <selection pane="bottomRight" activeCell="C5" sqref="C5:I5"/>
    </sheetView>
  </sheetViews>
  <sheetFormatPr defaultColWidth="9.125" defaultRowHeight="20.25" x14ac:dyDescent="0.3"/>
  <cols>
    <col min="1" max="1" width="3.625" style="7" customWidth="1"/>
    <col min="2" max="3" width="34.625" style="103" customWidth="1"/>
    <col min="4" max="5" width="34.625" style="104" customWidth="1"/>
    <col min="6" max="6" width="34.625" style="103" customWidth="1"/>
    <col min="7" max="7" width="34.625" style="107" customWidth="1"/>
    <col min="8" max="9" width="34.625" style="103" customWidth="1"/>
    <col min="10" max="12" width="34.625" style="266" customWidth="1"/>
    <col min="13" max="13" width="3.625" style="7" customWidth="1"/>
    <col min="14" max="16" width="9.125" style="7"/>
    <col min="17" max="17" width="15.375" style="7" customWidth="1"/>
    <col min="18" max="16384" width="9.125" style="7"/>
  </cols>
  <sheetData>
    <row r="1" spans="1:13" ht="22.5" customHeight="1" x14ac:dyDescent="0.3">
      <c r="A1" s="6"/>
      <c r="B1" s="298"/>
      <c r="C1" s="298"/>
      <c r="D1" s="298"/>
      <c r="E1" s="298"/>
      <c r="F1" s="298"/>
      <c r="G1" s="298"/>
      <c r="H1" s="298"/>
      <c r="I1" s="298"/>
      <c r="J1" s="298"/>
      <c r="K1" s="298"/>
      <c r="L1" s="298"/>
      <c r="M1" s="6"/>
    </row>
    <row r="2" spans="1:13" s="8" customFormat="1" ht="50.1" customHeight="1" x14ac:dyDescent="0.25">
      <c r="A2" s="285"/>
      <c r="B2" s="299" t="s">
        <v>328</v>
      </c>
      <c r="C2" s="299"/>
      <c r="D2" s="299"/>
      <c r="E2" s="299"/>
      <c r="F2" s="299"/>
      <c r="G2" s="299"/>
      <c r="H2" s="299"/>
      <c r="I2" s="299"/>
      <c r="J2" s="299"/>
      <c r="K2" s="299"/>
      <c r="L2" s="299"/>
    </row>
    <row r="3" spans="1:13" s="8" customFormat="1" ht="16.5" customHeight="1" x14ac:dyDescent="0.25">
      <c r="A3" s="285"/>
      <c r="J3" s="265"/>
      <c r="K3" s="265"/>
      <c r="L3" s="265"/>
      <c r="M3" s="264"/>
    </row>
    <row r="4" spans="1:13" ht="60" customHeight="1" x14ac:dyDescent="0.3">
      <c r="B4" s="97" t="s">
        <v>329</v>
      </c>
      <c r="C4" s="449" t="s">
        <v>330</v>
      </c>
      <c r="D4" s="580"/>
      <c r="E4" s="580"/>
      <c r="F4" s="580"/>
      <c r="G4" s="580"/>
      <c r="H4" s="580"/>
      <c r="I4" s="580"/>
      <c r="J4" s="97" t="s">
        <v>331</v>
      </c>
      <c r="K4" s="580" t="s">
        <v>163</v>
      </c>
      <c r="L4" s="450"/>
    </row>
    <row r="5" spans="1:13" ht="120" customHeight="1" x14ac:dyDescent="0.3">
      <c r="B5" s="110"/>
      <c r="C5" s="576"/>
      <c r="D5" s="577"/>
      <c r="E5" s="577"/>
      <c r="F5" s="577"/>
      <c r="G5" s="577"/>
      <c r="H5" s="577"/>
      <c r="I5" s="577"/>
      <c r="J5" s="267"/>
      <c r="K5" s="578"/>
      <c r="L5" s="579"/>
    </row>
    <row r="6" spans="1:13" ht="120" customHeight="1" x14ac:dyDescent="0.3">
      <c r="B6" s="110"/>
      <c r="C6" s="576"/>
      <c r="D6" s="577"/>
      <c r="E6" s="577"/>
      <c r="F6" s="577"/>
      <c r="G6" s="577"/>
      <c r="H6" s="577"/>
      <c r="I6" s="577"/>
      <c r="J6" s="268"/>
      <c r="K6" s="578"/>
      <c r="L6" s="579"/>
    </row>
    <row r="7" spans="1:13" ht="120" customHeight="1" x14ac:dyDescent="0.3">
      <c r="B7" s="110"/>
      <c r="C7" s="576"/>
      <c r="D7" s="577"/>
      <c r="E7" s="577"/>
      <c r="F7" s="577"/>
      <c r="G7" s="577"/>
      <c r="H7" s="577"/>
      <c r="I7" s="577"/>
      <c r="J7" s="268"/>
      <c r="K7" s="578"/>
      <c r="L7" s="579"/>
    </row>
    <row r="8" spans="1:13" ht="120" customHeight="1" x14ac:dyDescent="0.3">
      <c r="B8" s="110"/>
      <c r="C8" s="576"/>
      <c r="D8" s="577"/>
      <c r="E8" s="577"/>
      <c r="F8" s="577"/>
      <c r="G8" s="577"/>
      <c r="H8" s="577"/>
      <c r="I8" s="577"/>
      <c r="J8" s="268"/>
      <c r="K8" s="578"/>
      <c r="L8" s="579"/>
    </row>
    <row r="9" spans="1:13" ht="120" customHeight="1" x14ac:dyDescent="0.3">
      <c r="B9" s="110"/>
      <c r="C9" s="576"/>
      <c r="D9" s="577"/>
      <c r="E9" s="577"/>
      <c r="F9" s="577"/>
      <c r="G9" s="577"/>
      <c r="H9" s="577"/>
      <c r="I9" s="577"/>
      <c r="J9" s="268"/>
      <c r="K9" s="578"/>
      <c r="L9" s="579"/>
    </row>
    <row r="10" spans="1:13" ht="120" customHeight="1" x14ac:dyDescent="0.3">
      <c r="B10" s="110"/>
      <c r="C10" s="576"/>
      <c r="D10" s="577"/>
      <c r="E10" s="577"/>
      <c r="F10" s="577"/>
      <c r="G10" s="577"/>
      <c r="H10" s="577"/>
      <c r="I10" s="577"/>
      <c r="J10" s="268"/>
      <c r="K10" s="578"/>
      <c r="L10" s="579"/>
    </row>
    <row r="11" spans="1:13" ht="120" customHeight="1" x14ac:dyDescent="0.3">
      <c r="B11" s="110"/>
      <c r="C11" s="576"/>
      <c r="D11" s="577"/>
      <c r="E11" s="577"/>
      <c r="F11" s="577"/>
      <c r="G11" s="577"/>
      <c r="H11" s="577"/>
      <c r="I11" s="577"/>
      <c r="J11" s="268"/>
      <c r="K11" s="578"/>
      <c r="L11" s="579"/>
    </row>
    <row r="12" spans="1:13" ht="120" customHeight="1" x14ac:dyDescent="0.3">
      <c r="B12" s="110"/>
      <c r="C12" s="576"/>
      <c r="D12" s="577"/>
      <c r="E12" s="577"/>
      <c r="F12" s="577"/>
      <c r="G12" s="577"/>
      <c r="H12" s="577"/>
      <c r="I12" s="577"/>
      <c r="J12" s="268"/>
      <c r="K12" s="578"/>
      <c r="L12" s="579"/>
    </row>
    <row r="13" spans="1:13" ht="120" customHeight="1" x14ac:dyDescent="0.3">
      <c r="B13" s="110"/>
      <c r="C13" s="576"/>
      <c r="D13" s="577"/>
      <c r="E13" s="577"/>
      <c r="F13" s="577"/>
      <c r="G13" s="577"/>
      <c r="H13" s="577"/>
      <c r="I13" s="577"/>
      <c r="J13" s="268"/>
      <c r="K13" s="578"/>
      <c r="L13" s="579"/>
    </row>
    <row r="14" spans="1:13" ht="120" customHeight="1" x14ac:dyDescent="0.3">
      <c r="B14" s="110"/>
      <c r="C14" s="576"/>
      <c r="D14" s="577"/>
      <c r="E14" s="577"/>
      <c r="F14" s="577"/>
      <c r="G14" s="577"/>
      <c r="H14" s="577"/>
      <c r="I14" s="577"/>
      <c r="J14" s="268"/>
      <c r="K14" s="578"/>
      <c r="L14" s="579"/>
    </row>
    <row r="15" spans="1:13" ht="120" customHeight="1" x14ac:dyDescent="0.3">
      <c r="B15" s="110"/>
      <c r="C15" s="576"/>
      <c r="D15" s="577"/>
      <c r="E15" s="577"/>
      <c r="F15" s="577"/>
      <c r="G15" s="577"/>
      <c r="H15" s="577"/>
      <c r="I15" s="577"/>
      <c r="J15" s="268"/>
      <c r="K15" s="578"/>
      <c r="L15" s="579"/>
    </row>
    <row r="16" spans="1:13" ht="120" customHeight="1" x14ac:dyDescent="0.3">
      <c r="B16" s="110"/>
      <c r="C16" s="576"/>
      <c r="D16" s="577"/>
      <c r="E16" s="577"/>
      <c r="F16" s="577"/>
      <c r="G16" s="577"/>
      <c r="H16" s="577"/>
      <c r="I16" s="577"/>
      <c r="J16" s="268"/>
      <c r="K16" s="578"/>
      <c r="L16" s="579"/>
    </row>
    <row r="17" spans="2:12" ht="120" customHeight="1" x14ac:dyDescent="0.3">
      <c r="B17" s="110"/>
      <c r="C17" s="576"/>
      <c r="D17" s="577"/>
      <c r="E17" s="577"/>
      <c r="F17" s="577"/>
      <c r="G17" s="577"/>
      <c r="H17" s="577"/>
      <c r="I17" s="577"/>
      <c r="J17" s="268"/>
      <c r="K17" s="578"/>
      <c r="L17" s="579"/>
    </row>
    <row r="18" spans="2:12" ht="120" customHeight="1" x14ac:dyDescent="0.3">
      <c r="B18" s="110"/>
      <c r="C18" s="576"/>
      <c r="D18" s="577"/>
      <c r="E18" s="577"/>
      <c r="F18" s="577"/>
      <c r="G18" s="577"/>
      <c r="H18" s="577"/>
      <c r="I18" s="577"/>
      <c r="J18" s="268"/>
      <c r="K18" s="578"/>
      <c r="L18" s="579"/>
    </row>
    <row r="19" spans="2:12" ht="120" customHeight="1" x14ac:dyDescent="0.3">
      <c r="B19" s="110"/>
      <c r="C19" s="576"/>
      <c r="D19" s="577"/>
      <c r="E19" s="577"/>
      <c r="F19" s="577"/>
      <c r="G19" s="577"/>
      <c r="H19" s="577"/>
      <c r="I19" s="577"/>
      <c r="J19" s="268"/>
      <c r="K19" s="578"/>
      <c r="L19" s="579"/>
    </row>
    <row r="20" spans="2:12" ht="120" customHeight="1" x14ac:dyDescent="0.3">
      <c r="B20" s="110"/>
      <c r="C20" s="576"/>
      <c r="D20" s="577"/>
      <c r="E20" s="577"/>
      <c r="F20" s="577"/>
      <c r="G20" s="577"/>
      <c r="H20" s="577"/>
      <c r="I20" s="577"/>
      <c r="J20" s="268"/>
      <c r="K20" s="578"/>
      <c r="L20" s="579"/>
    </row>
    <row r="21" spans="2:12" ht="120" customHeight="1" x14ac:dyDescent="0.3">
      <c r="B21" s="110"/>
      <c r="C21" s="576"/>
      <c r="D21" s="577"/>
      <c r="E21" s="577"/>
      <c r="F21" s="577"/>
      <c r="G21" s="577"/>
      <c r="H21" s="577"/>
      <c r="I21" s="577"/>
      <c r="J21" s="268"/>
      <c r="K21" s="578"/>
      <c r="L21" s="579"/>
    </row>
    <row r="22" spans="2:12" ht="120" customHeight="1" x14ac:dyDescent="0.3">
      <c r="B22" s="110"/>
      <c r="C22" s="576"/>
      <c r="D22" s="577"/>
      <c r="E22" s="577"/>
      <c r="F22" s="577"/>
      <c r="G22" s="577"/>
      <c r="H22" s="577"/>
      <c r="I22" s="577"/>
      <c r="J22" s="268"/>
      <c r="K22" s="578"/>
      <c r="L22" s="579"/>
    </row>
    <row r="23" spans="2:12" ht="120" customHeight="1" x14ac:dyDescent="0.3">
      <c r="B23" s="110"/>
      <c r="C23" s="576"/>
      <c r="D23" s="577"/>
      <c r="E23" s="577"/>
      <c r="F23" s="577"/>
      <c r="G23" s="577"/>
      <c r="H23" s="577"/>
      <c r="I23" s="577"/>
      <c r="J23" s="268"/>
      <c r="K23" s="578"/>
      <c r="L23" s="579"/>
    </row>
    <row r="24" spans="2:12" ht="120" customHeight="1" x14ac:dyDescent="0.3">
      <c r="B24" s="110"/>
      <c r="C24" s="576"/>
      <c r="D24" s="577"/>
      <c r="E24" s="577"/>
      <c r="F24" s="577"/>
      <c r="G24" s="577"/>
      <c r="H24" s="577"/>
      <c r="I24" s="577"/>
      <c r="J24" s="268"/>
      <c r="K24" s="578"/>
      <c r="L24" s="579"/>
    </row>
    <row r="25" spans="2:12" ht="120" customHeight="1" x14ac:dyDescent="0.3">
      <c r="B25" s="110"/>
      <c r="C25" s="576"/>
      <c r="D25" s="577"/>
      <c r="E25" s="577"/>
      <c r="F25" s="577"/>
      <c r="G25" s="577"/>
      <c r="H25" s="577"/>
      <c r="I25" s="577"/>
      <c r="J25" s="268"/>
      <c r="K25" s="578"/>
      <c r="L25" s="579"/>
    </row>
    <row r="26" spans="2:12" ht="120" customHeight="1" x14ac:dyDescent="0.3">
      <c r="B26" s="110"/>
      <c r="C26" s="576"/>
      <c r="D26" s="577"/>
      <c r="E26" s="577"/>
      <c r="F26" s="577"/>
      <c r="G26" s="577"/>
      <c r="H26" s="577"/>
      <c r="I26" s="577"/>
      <c r="J26" s="268"/>
      <c r="K26" s="578"/>
      <c r="L26" s="579"/>
    </row>
    <row r="27" spans="2:12" ht="120" customHeight="1" x14ac:dyDescent="0.3">
      <c r="B27" s="110"/>
      <c r="C27" s="576"/>
      <c r="D27" s="577"/>
      <c r="E27" s="577"/>
      <c r="F27" s="577"/>
      <c r="G27" s="577"/>
      <c r="H27" s="577"/>
      <c r="I27" s="577"/>
      <c r="J27" s="268"/>
      <c r="K27" s="578"/>
      <c r="L27" s="579"/>
    </row>
    <row r="28" spans="2:12" ht="120" customHeight="1" x14ac:dyDescent="0.3">
      <c r="B28" s="110"/>
      <c r="C28" s="576"/>
      <c r="D28" s="577"/>
      <c r="E28" s="577"/>
      <c r="F28" s="577"/>
      <c r="G28" s="577"/>
      <c r="H28" s="577"/>
      <c r="I28" s="577"/>
      <c r="J28" s="268"/>
      <c r="K28" s="578"/>
      <c r="L28" s="579"/>
    </row>
    <row r="29" spans="2:12" ht="120" customHeight="1" x14ac:dyDescent="0.3">
      <c r="B29" s="110"/>
      <c r="C29" s="576"/>
      <c r="D29" s="577"/>
      <c r="E29" s="577"/>
      <c r="F29" s="577"/>
      <c r="G29" s="577"/>
      <c r="H29" s="577"/>
      <c r="I29" s="577"/>
      <c r="J29" s="268"/>
      <c r="K29" s="578"/>
      <c r="L29" s="579"/>
    </row>
    <row r="30" spans="2:12" ht="120" customHeight="1" x14ac:dyDescent="0.3">
      <c r="B30" s="110"/>
      <c r="C30" s="576"/>
      <c r="D30" s="577"/>
      <c r="E30" s="577"/>
      <c r="F30" s="577"/>
      <c r="G30" s="577"/>
      <c r="H30" s="577"/>
      <c r="I30" s="577"/>
      <c r="J30" s="268"/>
      <c r="K30" s="578"/>
      <c r="L30" s="579"/>
    </row>
    <row r="31" spans="2:12" ht="120" customHeight="1" x14ac:dyDescent="0.3">
      <c r="B31" s="110"/>
      <c r="C31" s="576"/>
      <c r="D31" s="577"/>
      <c r="E31" s="577"/>
      <c r="F31" s="577"/>
      <c r="G31" s="577"/>
      <c r="H31" s="577"/>
      <c r="I31" s="577"/>
      <c r="J31" s="268"/>
      <c r="K31" s="578"/>
      <c r="L31" s="579"/>
    </row>
    <row r="32" spans="2:12" ht="120" customHeight="1" x14ac:dyDescent="0.3">
      <c r="B32" s="110"/>
      <c r="C32" s="576"/>
      <c r="D32" s="577"/>
      <c r="E32" s="577"/>
      <c r="F32" s="577"/>
      <c r="G32" s="577"/>
      <c r="H32" s="577"/>
      <c r="I32" s="577"/>
      <c r="J32" s="268"/>
      <c r="K32" s="578"/>
      <c r="L32" s="579"/>
    </row>
    <row r="33" spans="2:12" ht="120" customHeight="1" x14ac:dyDescent="0.3">
      <c r="B33" s="110"/>
      <c r="C33" s="576"/>
      <c r="D33" s="577"/>
      <c r="E33" s="577"/>
      <c r="F33" s="577"/>
      <c r="G33" s="577"/>
      <c r="H33" s="577"/>
      <c r="I33" s="577"/>
      <c r="J33" s="268"/>
      <c r="K33" s="578"/>
      <c r="L33" s="579"/>
    </row>
    <row r="34" spans="2:12" ht="120" customHeight="1" x14ac:dyDescent="0.3">
      <c r="B34" s="110"/>
      <c r="C34" s="576"/>
      <c r="D34" s="577"/>
      <c r="E34" s="577"/>
      <c r="F34" s="577"/>
      <c r="G34" s="577"/>
      <c r="H34" s="577"/>
      <c r="I34" s="577"/>
      <c r="J34" s="268"/>
      <c r="K34" s="578"/>
      <c r="L34" s="579"/>
    </row>
    <row r="35" spans="2:12" ht="120" customHeight="1" x14ac:dyDescent="0.3">
      <c r="B35" s="110"/>
      <c r="C35" s="576"/>
      <c r="D35" s="577"/>
      <c r="E35" s="577"/>
      <c r="F35" s="577"/>
      <c r="G35" s="577"/>
      <c r="H35" s="577"/>
      <c r="I35" s="577"/>
      <c r="J35" s="268"/>
      <c r="K35" s="578"/>
      <c r="L35" s="579"/>
    </row>
    <row r="36" spans="2:12" ht="120" customHeight="1" x14ac:dyDescent="0.3">
      <c r="B36" s="110"/>
      <c r="C36" s="576"/>
      <c r="D36" s="577"/>
      <c r="E36" s="577"/>
      <c r="F36" s="577"/>
      <c r="G36" s="577"/>
      <c r="H36" s="577"/>
      <c r="I36" s="577"/>
      <c r="J36" s="268"/>
      <c r="K36" s="578"/>
      <c r="L36" s="579"/>
    </row>
    <row r="37" spans="2:12" ht="120" customHeight="1" x14ac:dyDescent="0.3">
      <c r="B37" s="110"/>
      <c r="C37" s="576"/>
      <c r="D37" s="577"/>
      <c r="E37" s="577"/>
      <c r="F37" s="577"/>
      <c r="G37" s="577"/>
      <c r="H37" s="577"/>
      <c r="I37" s="577"/>
      <c r="J37" s="268"/>
      <c r="K37" s="578"/>
      <c r="L37" s="579"/>
    </row>
    <row r="38" spans="2:12" ht="120" customHeight="1" x14ac:dyDescent="0.3">
      <c r="B38" s="110"/>
      <c r="C38" s="576"/>
      <c r="D38" s="577"/>
      <c r="E38" s="577"/>
      <c r="F38" s="577"/>
      <c r="G38" s="577"/>
      <c r="H38" s="577"/>
      <c r="I38" s="577"/>
      <c r="J38" s="268"/>
      <c r="K38" s="578"/>
      <c r="L38" s="579"/>
    </row>
    <row r="39" spans="2:12" ht="120" customHeight="1" x14ac:dyDescent="0.3">
      <c r="B39" s="110"/>
      <c r="C39" s="576"/>
      <c r="D39" s="577"/>
      <c r="E39" s="577"/>
      <c r="F39" s="577"/>
      <c r="G39" s="577"/>
      <c r="H39" s="577"/>
      <c r="I39" s="577"/>
      <c r="J39" s="268"/>
      <c r="K39" s="578"/>
      <c r="L39" s="579"/>
    </row>
    <row r="40" spans="2:12" ht="120" customHeight="1" x14ac:dyDescent="0.3">
      <c r="B40" s="110"/>
      <c r="C40" s="576"/>
      <c r="D40" s="577"/>
      <c r="E40" s="577"/>
      <c r="F40" s="577"/>
      <c r="G40" s="577"/>
      <c r="H40" s="577"/>
      <c r="I40" s="577"/>
      <c r="J40" s="268"/>
      <c r="K40" s="578"/>
      <c r="L40" s="579"/>
    </row>
    <row r="41" spans="2:12" ht="120" customHeight="1" x14ac:dyDescent="0.3">
      <c r="B41" s="110"/>
      <c r="C41" s="576"/>
      <c r="D41" s="577"/>
      <c r="E41" s="577"/>
      <c r="F41" s="577"/>
      <c r="G41" s="577"/>
      <c r="H41" s="577"/>
      <c r="I41" s="577"/>
      <c r="J41" s="268"/>
      <c r="K41" s="578"/>
      <c r="L41" s="579"/>
    </row>
    <row r="42" spans="2:12" ht="120" customHeight="1" x14ac:dyDescent="0.3">
      <c r="B42" s="110"/>
      <c r="C42" s="576"/>
      <c r="D42" s="577"/>
      <c r="E42" s="577"/>
      <c r="F42" s="577"/>
      <c r="G42" s="577"/>
      <c r="H42" s="577"/>
      <c r="I42" s="577"/>
      <c r="J42" s="268"/>
      <c r="K42" s="578"/>
      <c r="L42" s="579"/>
    </row>
    <row r="43" spans="2:12" ht="120" customHeight="1" x14ac:dyDescent="0.3">
      <c r="B43" s="110"/>
      <c r="C43" s="576"/>
      <c r="D43" s="577"/>
      <c r="E43" s="577"/>
      <c r="F43" s="577"/>
      <c r="G43" s="577"/>
      <c r="H43" s="577"/>
      <c r="I43" s="577"/>
      <c r="J43" s="268"/>
      <c r="K43" s="578"/>
      <c r="L43" s="579"/>
    </row>
    <row r="44" spans="2:12" ht="120" customHeight="1" x14ac:dyDescent="0.3">
      <c r="B44" s="110"/>
      <c r="C44" s="576"/>
      <c r="D44" s="577"/>
      <c r="E44" s="577"/>
      <c r="F44" s="577"/>
      <c r="G44" s="577"/>
      <c r="H44" s="577"/>
      <c r="I44" s="577"/>
      <c r="J44" s="268"/>
      <c r="K44" s="578"/>
      <c r="L44" s="579"/>
    </row>
    <row r="45" spans="2:12" ht="120" customHeight="1" x14ac:dyDescent="0.3">
      <c r="B45" s="110"/>
      <c r="C45" s="576"/>
      <c r="D45" s="577"/>
      <c r="E45" s="577"/>
      <c r="F45" s="577"/>
      <c r="G45" s="577"/>
      <c r="H45" s="577"/>
      <c r="I45" s="577"/>
      <c r="J45" s="268"/>
      <c r="K45" s="578"/>
      <c r="L45" s="579"/>
    </row>
    <row r="46" spans="2:12" ht="120" customHeight="1" x14ac:dyDescent="0.3">
      <c r="B46" s="110"/>
      <c r="C46" s="576"/>
      <c r="D46" s="577"/>
      <c r="E46" s="577"/>
      <c r="F46" s="577"/>
      <c r="G46" s="577"/>
      <c r="H46" s="577"/>
      <c r="I46" s="577"/>
      <c r="J46" s="268"/>
      <c r="K46" s="578"/>
      <c r="L46" s="579"/>
    </row>
    <row r="47" spans="2:12" ht="120" customHeight="1" x14ac:dyDescent="0.3">
      <c r="B47" s="110"/>
      <c r="C47" s="576"/>
      <c r="D47" s="577"/>
      <c r="E47" s="577"/>
      <c r="F47" s="577"/>
      <c r="G47" s="577"/>
      <c r="H47" s="577"/>
      <c r="I47" s="577"/>
      <c r="J47" s="268"/>
      <c r="K47" s="578"/>
      <c r="L47" s="579"/>
    </row>
    <row r="48" spans="2:12" ht="120" customHeight="1" x14ac:dyDescent="0.3">
      <c r="B48" s="110"/>
      <c r="C48" s="576"/>
      <c r="D48" s="577"/>
      <c r="E48" s="577"/>
      <c r="F48" s="577"/>
      <c r="G48" s="577"/>
      <c r="H48" s="577"/>
      <c r="I48" s="577"/>
      <c r="J48" s="268"/>
      <c r="K48" s="578"/>
      <c r="L48" s="579"/>
    </row>
    <row r="49" spans="2:12" ht="120" customHeight="1" x14ac:dyDescent="0.3">
      <c r="B49" s="110"/>
      <c r="C49" s="576"/>
      <c r="D49" s="577"/>
      <c r="E49" s="577"/>
      <c r="F49" s="577"/>
      <c r="G49" s="577"/>
      <c r="H49" s="577"/>
      <c r="I49" s="577"/>
      <c r="J49" s="268"/>
      <c r="K49" s="578"/>
      <c r="L49" s="579"/>
    </row>
    <row r="50" spans="2:12" ht="120" customHeight="1" x14ac:dyDescent="0.3">
      <c r="B50" s="110"/>
      <c r="C50" s="576"/>
      <c r="D50" s="577"/>
      <c r="E50" s="577"/>
      <c r="F50" s="577"/>
      <c r="G50" s="577"/>
      <c r="H50" s="577"/>
      <c r="I50" s="577"/>
      <c r="J50" s="268"/>
      <c r="K50" s="578"/>
      <c r="L50" s="579"/>
    </row>
    <row r="51" spans="2:12" ht="120" customHeight="1" x14ac:dyDescent="0.3">
      <c r="B51" s="110"/>
      <c r="C51" s="576"/>
      <c r="D51" s="577"/>
      <c r="E51" s="577"/>
      <c r="F51" s="577"/>
      <c r="G51" s="577"/>
      <c r="H51" s="577"/>
      <c r="I51" s="577"/>
      <c r="J51" s="268"/>
      <c r="K51" s="578"/>
      <c r="L51" s="579"/>
    </row>
    <row r="52" spans="2:12" ht="120" customHeight="1" x14ac:dyDescent="0.3">
      <c r="B52" s="110"/>
      <c r="C52" s="576"/>
      <c r="D52" s="577"/>
      <c r="E52" s="577"/>
      <c r="F52" s="577"/>
      <c r="G52" s="577"/>
      <c r="H52" s="577"/>
      <c r="I52" s="577"/>
      <c r="J52" s="268"/>
      <c r="K52" s="578"/>
      <c r="L52" s="579"/>
    </row>
    <row r="53" spans="2:12" ht="120" customHeight="1" x14ac:dyDescent="0.3">
      <c r="B53" s="110"/>
      <c r="C53" s="576"/>
      <c r="D53" s="577"/>
      <c r="E53" s="577"/>
      <c r="F53" s="577"/>
      <c r="G53" s="577"/>
      <c r="H53" s="577"/>
      <c r="I53" s="577"/>
      <c r="J53" s="268"/>
      <c r="K53" s="578"/>
      <c r="L53" s="579"/>
    </row>
    <row r="54" spans="2:12" ht="120" customHeight="1" x14ac:dyDescent="0.3">
      <c r="B54" s="110"/>
      <c r="C54" s="576"/>
      <c r="D54" s="577"/>
      <c r="E54" s="577"/>
      <c r="F54" s="577"/>
      <c r="G54" s="577"/>
      <c r="H54" s="577"/>
      <c r="I54" s="577"/>
      <c r="J54" s="268"/>
      <c r="K54" s="578"/>
      <c r="L54" s="579"/>
    </row>
    <row r="55" spans="2:12" ht="120" customHeight="1" x14ac:dyDescent="0.3">
      <c r="B55" s="110"/>
      <c r="C55" s="576"/>
      <c r="D55" s="577"/>
      <c r="E55" s="577"/>
      <c r="F55" s="577"/>
      <c r="G55" s="577"/>
      <c r="H55" s="577"/>
      <c r="I55" s="577"/>
      <c r="J55" s="268"/>
      <c r="K55" s="578"/>
      <c r="L55" s="579"/>
    </row>
    <row r="56" spans="2:12" ht="120" customHeight="1" x14ac:dyDescent="0.3">
      <c r="B56" s="110"/>
      <c r="C56" s="576"/>
      <c r="D56" s="577"/>
      <c r="E56" s="577"/>
      <c r="F56" s="577"/>
      <c r="G56" s="577"/>
      <c r="H56" s="577"/>
      <c r="I56" s="577"/>
      <c r="J56" s="268"/>
      <c r="K56" s="578"/>
      <c r="L56" s="579"/>
    </row>
    <row r="57" spans="2:12" ht="120" customHeight="1" x14ac:dyDescent="0.3">
      <c r="B57" s="110"/>
      <c r="C57" s="576"/>
      <c r="D57" s="577"/>
      <c r="E57" s="577"/>
      <c r="F57" s="577"/>
      <c r="G57" s="577"/>
      <c r="H57" s="577"/>
      <c r="I57" s="577"/>
      <c r="J57" s="268"/>
      <c r="K57" s="578"/>
      <c r="L57" s="579"/>
    </row>
    <row r="58" spans="2:12" ht="120" customHeight="1" x14ac:dyDescent="0.3">
      <c r="B58" s="110"/>
      <c r="C58" s="576"/>
      <c r="D58" s="577"/>
      <c r="E58" s="577"/>
      <c r="F58" s="577"/>
      <c r="G58" s="577"/>
      <c r="H58" s="577"/>
      <c r="I58" s="577"/>
      <c r="J58" s="268"/>
      <c r="K58" s="578"/>
      <c r="L58" s="579"/>
    </row>
    <row r="59" spans="2:12" ht="120" customHeight="1" x14ac:dyDescent="0.3">
      <c r="B59" s="110"/>
      <c r="C59" s="576"/>
      <c r="D59" s="577"/>
      <c r="E59" s="577"/>
      <c r="F59" s="577"/>
      <c r="G59" s="577"/>
      <c r="H59" s="577"/>
      <c r="I59" s="577"/>
      <c r="J59" s="268"/>
      <c r="K59" s="578"/>
      <c r="L59" s="579"/>
    </row>
    <row r="60" spans="2:12" ht="120" customHeight="1" x14ac:dyDescent="0.3">
      <c r="B60" s="110"/>
      <c r="C60" s="576"/>
      <c r="D60" s="577"/>
      <c r="E60" s="577"/>
      <c r="F60" s="577"/>
      <c r="G60" s="577"/>
      <c r="H60" s="577"/>
      <c r="I60" s="577"/>
      <c r="J60" s="268"/>
      <c r="K60" s="578"/>
      <c r="L60" s="579"/>
    </row>
    <row r="61" spans="2:12" ht="120" customHeight="1" x14ac:dyDescent="0.3">
      <c r="B61" s="110"/>
      <c r="C61" s="576"/>
      <c r="D61" s="577"/>
      <c r="E61" s="577"/>
      <c r="F61" s="577"/>
      <c r="G61" s="577"/>
      <c r="H61" s="577"/>
      <c r="I61" s="577"/>
      <c r="J61" s="268"/>
      <c r="K61" s="578"/>
      <c r="L61" s="579"/>
    </row>
    <row r="62" spans="2:12" ht="120" customHeight="1" x14ac:dyDescent="0.3">
      <c r="B62" s="110"/>
      <c r="C62" s="576"/>
      <c r="D62" s="577"/>
      <c r="E62" s="577"/>
      <c r="F62" s="577"/>
      <c r="G62" s="577"/>
      <c r="H62" s="577"/>
      <c r="I62" s="577"/>
      <c r="J62" s="268"/>
      <c r="K62" s="578"/>
      <c r="L62" s="579"/>
    </row>
    <row r="63" spans="2:12" ht="120" customHeight="1" x14ac:dyDescent="0.3">
      <c r="B63" s="110"/>
      <c r="C63" s="576"/>
      <c r="D63" s="577"/>
      <c r="E63" s="577"/>
      <c r="F63" s="577"/>
      <c r="G63" s="577"/>
      <c r="H63" s="577"/>
      <c r="I63" s="577"/>
      <c r="J63" s="268"/>
      <c r="K63" s="578"/>
      <c r="L63" s="579"/>
    </row>
    <row r="64" spans="2:12" ht="120" customHeight="1" x14ac:dyDescent="0.3">
      <c r="B64" s="110"/>
      <c r="C64" s="576"/>
      <c r="D64" s="577"/>
      <c r="E64" s="577"/>
      <c r="F64" s="577"/>
      <c r="G64" s="577"/>
      <c r="H64" s="577"/>
      <c r="I64" s="577"/>
      <c r="J64" s="268"/>
      <c r="K64" s="578"/>
      <c r="L64" s="579"/>
    </row>
    <row r="65" spans="2:12" ht="120" customHeight="1" x14ac:dyDescent="0.3">
      <c r="B65" s="110"/>
      <c r="C65" s="576"/>
      <c r="D65" s="577"/>
      <c r="E65" s="577"/>
      <c r="F65" s="577"/>
      <c r="G65" s="577"/>
      <c r="H65" s="577"/>
      <c r="I65" s="577"/>
      <c r="J65" s="268"/>
      <c r="K65" s="578"/>
      <c r="L65" s="579"/>
    </row>
    <row r="66" spans="2:12" ht="120" customHeight="1" x14ac:dyDescent="0.3">
      <c r="B66" s="110"/>
      <c r="C66" s="576"/>
      <c r="D66" s="577"/>
      <c r="E66" s="577"/>
      <c r="F66" s="577"/>
      <c r="G66" s="577"/>
      <c r="H66" s="577"/>
      <c r="I66" s="577"/>
      <c r="J66" s="268"/>
      <c r="K66" s="578"/>
      <c r="L66" s="579"/>
    </row>
    <row r="67" spans="2:12" ht="120" customHeight="1" x14ac:dyDescent="0.3">
      <c r="B67" s="110"/>
      <c r="C67" s="576"/>
      <c r="D67" s="577"/>
      <c r="E67" s="577"/>
      <c r="F67" s="577"/>
      <c r="G67" s="577"/>
      <c r="H67" s="577"/>
      <c r="I67" s="577"/>
      <c r="J67" s="268"/>
      <c r="K67" s="578"/>
      <c r="L67" s="579"/>
    </row>
    <row r="68" spans="2:12" ht="120" customHeight="1" x14ac:dyDescent="0.3">
      <c r="B68" s="110"/>
      <c r="C68" s="576"/>
      <c r="D68" s="577"/>
      <c r="E68" s="577"/>
      <c r="F68" s="577"/>
      <c r="G68" s="577"/>
      <c r="H68" s="577"/>
      <c r="I68" s="577"/>
      <c r="J68" s="268"/>
      <c r="K68" s="578"/>
      <c r="L68" s="579"/>
    </row>
    <row r="69" spans="2:12" ht="120" customHeight="1" x14ac:dyDescent="0.3">
      <c r="B69" s="110"/>
      <c r="C69" s="576"/>
      <c r="D69" s="577"/>
      <c r="E69" s="577"/>
      <c r="F69" s="577"/>
      <c r="G69" s="577"/>
      <c r="H69" s="577"/>
      <c r="I69" s="577"/>
      <c r="J69" s="268"/>
      <c r="K69" s="578"/>
      <c r="L69" s="579"/>
    </row>
    <row r="70" spans="2:12" ht="120" customHeight="1" x14ac:dyDescent="0.3">
      <c r="B70" s="110"/>
      <c r="C70" s="576"/>
      <c r="D70" s="577"/>
      <c r="E70" s="577"/>
      <c r="F70" s="577"/>
      <c r="G70" s="577"/>
      <c r="H70" s="577"/>
      <c r="I70" s="577"/>
      <c r="J70" s="268"/>
      <c r="K70" s="578"/>
      <c r="L70" s="579"/>
    </row>
    <row r="71" spans="2:12" ht="120" customHeight="1" x14ac:dyDescent="0.3">
      <c r="B71" s="110"/>
      <c r="C71" s="576"/>
      <c r="D71" s="577"/>
      <c r="E71" s="577"/>
      <c r="F71" s="577"/>
      <c r="G71" s="577"/>
      <c r="H71" s="577"/>
      <c r="I71" s="577"/>
      <c r="J71" s="268"/>
      <c r="K71" s="578"/>
      <c r="L71" s="579"/>
    </row>
    <row r="72" spans="2:12" ht="120" customHeight="1" x14ac:dyDescent="0.3">
      <c r="B72" s="110"/>
      <c r="C72" s="576"/>
      <c r="D72" s="577"/>
      <c r="E72" s="577"/>
      <c r="F72" s="577"/>
      <c r="G72" s="577"/>
      <c r="H72" s="577"/>
      <c r="I72" s="577"/>
      <c r="J72" s="268"/>
      <c r="K72" s="578"/>
      <c r="L72" s="579"/>
    </row>
    <row r="73" spans="2:12" ht="120" customHeight="1" x14ac:dyDescent="0.3">
      <c r="B73" s="110"/>
      <c r="C73" s="576"/>
      <c r="D73" s="577"/>
      <c r="E73" s="577"/>
      <c r="F73" s="577"/>
      <c r="G73" s="577"/>
      <c r="H73" s="577"/>
      <c r="I73" s="577"/>
      <c r="J73" s="268"/>
      <c r="K73" s="578"/>
      <c r="L73" s="579"/>
    </row>
    <row r="74" spans="2:12" ht="120" customHeight="1" x14ac:dyDescent="0.3">
      <c r="B74" s="110"/>
      <c r="C74" s="576"/>
      <c r="D74" s="577"/>
      <c r="E74" s="577"/>
      <c r="F74" s="577"/>
      <c r="G74" s="577"/>
      <c r="H74" s="577"/>
      <c r="I74" s="577"/>
      <c r="J74" s="268"/>
      <c r="K74" s="578"/>
      <c r="L74" s="579"/>
    </row>
    <row r="75" spans="2:12" ht="120" customHeight="1" x14ac:dyDescent="0.3">
      <c r="B75" s="110"/>
      <c r="C75" s="576"/>
      <c r="D75" s="577"/>
      <c r="E75" s="577"/>
      <c r="F75" s="577"/>
      <c r="G75" s="577"/>
      <c r="H75" s="577"/>
      <c r="I75" s="577"/>
      <c r="J75" s="268"/>
      <c r="K75" s="578"/>
      <c r="L75" s="579"/>
    </row>
    <row r="76" spans="2:12" ht="120" customHeight="1" x14ac:dyDescent="0.3">
      <c r="B76" s="110"/>
      <c r="C76" s="576"/>
      <c r="D76" s="577"/>
      <c r="E76" s="577"/>
      <c r="F76" s="577"/>
      <c r="G76" s="577"/>
      <c r="H76" s="577"/>
      <c r="I76" s="577"/>
      <c r="J76" s="268"/>
      <c r="K76" s="578"/>
      <c r="L76" s="579"/>
    </row>
    <row r="77" spans="2:12" ht="120" customHeight="1" x14ac:dyDescent="0.3">
      <c r="B77" s="110"/>
      <c r="C77" s="576"/>
      <c r="D77" s="577"/>
      <c r="E77" s="577"/>
      <c r="F77" s="577"/>
      <c r="G77" s="577"/>
      <c r="H77" s="577"/>
      <c r="I77" s="577"/>
      <c r="J77" s="268"/>
      <c r="K77" s="578"/>
      <c r="L77" s="579"/>
    </row>
    <row r="78" spans="2:12" ht="120" customHeight="1" x14ac:dyDescent="0.3">
      <c r="B78" s="110"/>
      <c r="C78" s="576"/>
      <c r="D78" s="577"/>
      <c r="E78" s="577"/>
      <c r="F78" s="577"/>
      <c r="G78" s="577"/>
      <c r="H78" s="577"/>
      <c r="I78" s="577"/>
      <c r="J78" s="268"/>
      <c r="K78" s="578"/>
      <c r="L78" s="579"/>
    </row>
    <row r="79" spans="2:12" ht="120" customHeight="1" x14ac:dyDescent="0.3">
      <c r="B79" s="110"/>
      <c r="C79" s="576"/>
      <c r="D79" s="577"/>
      <c r="E79" s="577"/>
      <c r="F79" s="577"/>
      <c r="G79" s="577"/>
      <c r="H79" s="577"/>
      <c r="I79" s="577"/>
      <c r="J79" s="268"/>
      <c r="K79" s="578"/>
      <c r="L79" s="579"/>
    </row>
    <row r="80" spans="2:12" ht="120" customHeight="1" x14ac:dyDescent="0.3">
      <c r="B80" s="110"/>
      <c r="C80" s="576"/>
      <c r="D80" s="577"/>
      <c r="E80" s="577"/>
      <c r="F80" s="577"/>
      <c r="G80" s="577"/>
      <c r="H80" s="577"/>
      <c r="I80" s="577"/>
      <c r="J80" s="268"/>
      <c r="K80" s="578"/>
      <c r="L80" s="579"/>
    </row>
    <row r="81" spans="2:12" ht="120" customHeight="1" x14ac:dyDescent="0.3">
      <c r="B81" s="110"/>
      <c r="C81" s="576"/>
      <c r="D81" s="577"/>
      <c r="E81" s="577"/>
      <c r="F81" s="577"/>
      <c r="G81" s="577"/>
      <c r="H81" s="577"/>
      <c r="I81" s="577"/>
      <c r="J81" s="268"/>
      <c r="K81" s="578"/>
      <c r="L81" s="579"/>
    </row>
    <row r="82" spans="2:12" ht="120" customHeight="1" x14ac:dyDescent="0.3">
      <c r="B82" s="110"/>
      <c r="C82" s="576"/>
      <c r="D82" s="577"/>
      <c r="E82" s="577"/>
      <c r="F82" s="577"/>
      <c r="G82" s="577"/>
      <c r="H82" s="577"/>
      <c r="I82" s="577"/>
      <c r="J82" s="268"/>
      <c r="K82" s="578"/>
      <c r="L82" s="579"/>
    </row>
    <row r="83" spans="2:12" ht="120" customHeight="1" x14ac:dyDescent="0.3">
      <c r="B83" s="110"/>
      <c r="C83" s="576"/>
      <c r="D83" s="577"/>
      <c r="E83" s="577"/>
      <c r="F83" s="577"/>
      <c r="G83" s="577"/>
      <c r="H83" s="577"/>
      <c r="I83" s="577"/>
      <c r="J83" s="268"/>
      <c r="K83" s="578"/>
      <c r="L83" s="579"/>
    </row>
    <row r="84" spans="2:12" ht="120" customHeight="1" x14ac:dyDescent="0.3">
      <c r="B84" s="110"/>
      <c r="C84" s="576"/>
      <c r="D84" s="577"/>
      <c r="E84" s="577"/>
      <c r="F84" s="577"/>
      <c r="G84" s="577"/>
      <c r="H84" s="577"/>
      <c r="I84" s="577"/>
      <c r="J84" s="268"/>
      <c r="K84" s="578"/>
      <c r="L84" s="579"/>
    </row>
    <row r="85" spans="2:12" ht="120" customHeight="1" x14ac:dyDescent="0.3">
      <c r="B85" s="110"/>
      <c r="C85" s="576"/>
      <c r="D85" s="577"/>
      <c r="E85" s="577"/>
      <c r="F85" s="577"/>
      <c r="G85" s="577"/>
      <c r="H85" s="577"/>
      <c r="I85" s="577"/>
      <c r="J85" s="268"/>
      <c r="K85" s="578"/>
      <c r="L85" s="579"/>
    </row>
    <row r="86" spans="2:12" ht="120" customHeight="1" x14ac:dyDescent="0.3">
      <c r="B86" s="110"/>
      <c r="C86" s="576"/>
      <c r="D86" s="577"/>
      <c r="E86" s="577"/>
      <c r="F86" s="577"/>
      <c r="G86" s="577"/>
      <c r="H86" s="577"/>
      <c r="I86" s="577"/>
      <c r="J86" s="268"/>
      <c r="K86" s="578"/>
      <c r="L86" s="579"/>
    </row>
    <row r="87" spans="2:12" ht="120" customHeight="1" x14ac:dyDescent="0.3">
      <c r="B87" s="110"/>
      <c r="C87" s="576"/>
      <c r="D87" s="577"/>
      <c r="E87" s="577"/>
      <c r="F87" s="577"/>
      <c r="G87" s="577"/>
      <c r="H87" s="577"/>
      <c r="I87" s="577"/>
      <c r="J87" s="268"/>
      <c r="K87" s="578"/>
      <c r="L87" s="579"/>
    </row>
    <row r="88" spans="2:12" ht="120" customHeight="1" x14ac:dyDescent="0.3">
      <c r="B88" s="110"/>
      <c r="C88" s="576"/>
      <c r="D88" s="577"/>
      <c r="E88" s="577"/>
      <c r="F88" s="577"/>
      <c r="G88" s="577"/>
      <c r="H88" s="577"/>
      <c r="I88" s="577"/>
      <c r="J88" s="268"/>
      <c r="K88" s="578"/>
      <c r="L88" s="579"/>
    </row>
    <row r="89" spans="2:12" ht="120" customHeight="1" x14ac:dyDescent="0.3">
      <c r="B89" s="110"/>
      <c r="C89" s="576"/>
      <c r="D89" s="577"/>
      <c r="E89" s="577"/>
      <c r="F89" s="577"/>
      <c r="G89" s="577"/>
      <c r="H89" s="577"/>
      <c r="I89" s="577"/>
      <c r="J89" s="268"/>
      <c r="K89" s="578"/>
      <c r="L89" s="579"/>
    </row>
    <row r="90" spans="2:12" ht="120" customHeight="1" x14ac:dyDescent="0.3">
      <c r="B90" s="110"/>
      <c r="C90" s="576"/>
      <c r="D90" s="577"/>
      <c r="E90" s="577"/>
      <c r="F90" s="577"/>
      <c r="G90" s="577"/>
      <c r="H90" s="577"/>
      <c r="I90" s="577"/>
      <c r="J90" s="268"/>
      <c r="K90" s="578"/>
      <c r="L90" s="579"/>
    </row>
    <row r="91" spans="2:12" ht="120" customHeight="1" x14ac:dyDescent="0.3">
      <c r="B91" s="110"/>
      <c r="C91" s="576"/>
      <c r="D91" s="577"/>
      <c r="E91" s="577"/>
      <c r="F91" s="577"/>
      <c r="G91" s="577"/>
      <c r="H91" s="577"/>
      <c r="I91" s="577"/>
      <c r="J91" s="268"/>
      <c r="K91" s="578"/>
      <c r="L91" s="579"/>
    </row>
    <row r="92" spans="2:12" ht="120" customHeight="1" x14ac:dyDescent="0.3">
      <c r="B92" s="110"/>
      <c r="C92" s="576"/>
      <c r="D92" s="577"/>
      <c r="E92" s="577"/>
      <c r="F92" s="577"/>
      <c r="G92" s="577"/>
      <c r="H92" s="577"/>
      <c r="I92" s="577"/>
      <c r="J92" s="268"/>
      <c r="K92" s="578"/>
      <c r="L92" s="579"/>
    </row>
    <row r="93" spans="2:12" ht="120" customHeight="1" x14ac:dyDescent="0.3">
      <c r="B93" s="110"/>
      <c r="C93" s="576"/>
      <c r="D93" s="577"/>
      <c r="E93" s="577"/>
      <c r="F93" s="577"/>
      <c r="G93" s="577"/>
      <c r="H93" s="577"/>
      <c r="I93" s="577"/>
      <c r="J93" s="268"/>
      <c r="K93" s="578"/>
      <c r="L93" s="579"/>
    </row>
    <row r="94" spans="2:12" ht="120" customHeight="1" x14ac:dyDescent="0.3">
      <c r="B94" s="110"/>
      <c r="C94" s="576"/>
      <c r="D94" s="577"/>
      <c r="E94" s="577"/>
      <c r="F94" s="577"/>
      <c r="G94" s="577"/>
      <c r="H94" s="577"/>
      <c r="I94" s="577"/>
      <c r="J94" s="268"/>
      <c r="K94" s="578"/>
      <c r="L94" s="579"/>
    </row>
    <row r="95" spans="2:12" ht="120" customHeight="1" x14ac:dyDescent="0.3">
      <c r="B95" s="110"/>
      <c r="C95" s="576"/>
      <c r="D95" s="577"/>
      <c r="E95" s="577"/>
      <c r="F95" s="577"/>
      <c r="G95" s="577"/>
      <c r="H95" s="577"/>
      <c r="I95" s="577"/>
      <c r="J95" s="268"/>
      <c r="K95" s="578"/>
      <c r="L95" s="579"/>
    </row>
    <row r="96" spans="2:12" ht="120" customHeight="1" x14ac:dyDescent="0.3">
      <c r="B96" s="110"/>
      <c r="C96" s="576"/>
      <c r="D96" s="577"/>
      <c r="E96" s="577"/>
      <c r="F96" s="577"/>
      <c r="G96" s="577"/>
      <c r="H96" s="577"/>
      <c r="I96" s="577"/>
      <c r="J96" s="268"/>
      <c r="K96" s="578"/>
      <c r="L96" s="579"/>
    </row>
    <row r="97" spans="2:12" ht="120" customHeight="1" x14ac:dyDescent="0.3">
      <c r="B97" s="110"/>
      <c r="C97" s="576"/>
      <c r="D97" s="577"/>
      <c r="E97" s="577"/>
      <c r="F97" s="577"/>
      <c r="G97" s="577"/>
      <c r="H97" s="577"/>
      <c r="I97" s="577"/>
      <c r="J97" s="268"/>
      <c r="K97" s="578"/>
      <c r="L97" s="579"/>
    </row>
    <row r="98" spans="2:12" ht="120" customHeight="1" x14ac:dyDescent="0.3">
      <c r="B98" s="110"/>
      <c r="C98" s="576"/>
      <c r="D98" s="577"/>
      <c r="E98" s="577"/>
      <c r="F98" s="577"/>
      <c r="G98" s="577"/>
      <c r="H98" s="577"/>
      <c r="I98" s="577"/>
      <c r="J98" s="268"/>
      <c r="K98" s="578"/>
      <c r="L98" s="579"/>
    </row>
    <row r="99" spans="2:12" ht="120" customHeight="1" x14ac:dyDescent="0.3">
      <c r="B99" s="110"/>
      <c r="C99" s="576"/>
      <c r="D99" s="577"/>
      <c r="E99" s="577"/>
      <c r="F99" s="577"/>
      <c r="G99" s="577"/>
      <c r="H99" s="577"/>
      <c r="I99" s="577"/>
      <c r="J99" s="268"/>
      <c r="K99" s="578"/>
      <c r="L99" s="579"/>
    </row>
    <row r="100" spans="2:12" ht="120" customHeight="1" x14ac:dyDescent="0.3">
      <c r="B100" s="110"/>
      <c r="C100" s="576"/>
      <c r="D100" s="577"/>
      <c r="E100" s="577"/>
      <c r="F100" s="577"/>
      <c r="G100" s="577"/>
      <c r="H100" s="577"/>
      <c r="I100" s="577"/>
      <c r="J100" s="268"/>
      <c r="K100" s="578"/>
      <c r="L100" s="579"/>
    </row>
    <row r="101" spans="2:12" ht="120" customHeight="1" x14ac:dyDescent="0.3">
      <c r="B101" s="110"/>
      <c r="C101" s="576"/>
      <c r="D101" s="577"/>
      <c r="E101" s="577"/>
      <c r="F101" s="577"/>
      <c r="G101" s="577"/>
      <c r="H101" s="577"/>
      <c r="I101" s="577"/>
      <c r="J101" s="268"/>
      <c r="K101" s="578"/>
      <c r="L101" s="579"/>
    </row>
    <row r="102" spans="2:12" ht="120" customHeight="1" x14ac:dyDescent="0.3">
      <c r="B102" s="110"/>
      <c r="C102" s="576"/>
      <c r="D102" s="577"/>
      <c r="E102" s="577"/>
      <c r="F102" s="577"/>
      <c r="G102" s="577"/>
      <c r="H102" s="577"/>
      <c r="I102" s="577"/>
      <c r="J102" s="268"/>
      <c r="K102" s="578"/>
      <c r="L102" s="579"/>
    </row>
    <row r="103" spans="2:12" ht="120" customHeight="1" x14ac:dyDescent="0.3">
      <c r="B103" s="110"/>
      <c r="C103" s="576"/>
      <c r="D103" s="577"/>
      <c r="E103" s="577"/>
      <c r="F103" s="577"/>
      <c r="G103" s="577"/>
      <c r="H103" s="577"/>
      <c r="I103" s="577"/>
      <c r="J103" s="268"/>
      <c r="K103" s="578"/>
      <c r="L103" s="579"/>
    </row>
    <row r="104" spans="2:12" ht="120" customHeight="1" x14ac:dyDescent="0.3">
      <c r="B104" s="110"/>
      <c r="C104" s="576"/>
      <c r="D104" s="577"/>
      <c r="E104" s="577"/>
      <c r="F104" s="577"/>
      <c r="G104" s="577"/>
      <c r="H104" s="577"/>
      <c r="I104" s="577"/>
      <c r="J104" s="268"/>
      <c r="K104" s="578"/>
      <c r="L104" s="579"/>
    </row>
    <row r="105" spans="2:12" ht="120" customHeight="1" x14ac:dyDescent="0.3">
      <c r="B105" s="110"/>
      <c r="C105" s="576"/>
      <c r="D105" s="577"/>
      <c r="E105" s="577"/>
      <c r="F105" s="577"/>
      <c r="G105" s="577"/>
      <c r="H105" s="577"/>
      <c r="I105" s="577"/>
      <c r="J105" s="268"/>
      <c r="K105" s="578"/>
      <c r="L105" s="579"/>
    </row>
    <row r="106" spans="2:12" ht="120" customHeight="1" x14ac:dyDescent="0.3">
      <c r="B106" s="110"/>
      <c r="C106" s="576"/>
      <c r="D106" s="577"/>
      <c r="E106" s="577"/>
      <c r="F106" s="577"/>
      <c r="G106" s="577"/>
      <c r="H106" s="577"/>
      <c r="I106" s="577"/>
      <c r="J106" s="268"/>
      <c r="K106" s="578"/>
      <c r="L106" s="579"/>
    </row>
    <row r="107" spans="2:12" ht="120" customHeight="1" x14ac:dyDescent="0.3">
      <c r="B107" s="110"/>
      <c r="C107" s="576"/>
      <c r="D107" s="577"/>
      <c r="E107" s="577"/>
      <c r="F107" s="577"/>
      <c r="G107" s="577"/>
      <c r="H107" s="577"/>
      <c r="I107" s="577"/>
      <c r="J107" s="268"/>
      <c r="K107" s="578"/>
      <c r="L107" s="579"/>
    </row>
    <row r="108" spans="2:12" ht="120" customHeight="1" x14ac:dyDescent="0.3">
      <c r="B108" s="110"/>
      <c r="C108" s="576"/>
      <c r="D108" s="577"/>
      <c r="E108" s="577"/>
      <c r="F108" s="577"/>
      <c r="G108" s="577"/>
      <c r="H108" s="577"/>
      <c r="I108" s="577"/>
      <c r="J108" s="268"/>
      <c r="K108" s="578"/>
      <c r="L108" s="579"/>
    </row>
    <row r="109" spans="2:12" ht="120" customHeight="1" x14ac:dyDescent="0.3">
      <c r="B109" s="110"/>
      <c r="C109" s="576"/>
      <c r="D109" s="577"/>
      <c r="E109" s="577"/>
      <c r="F109" s="577"/>
      <c r="G109" s="577"/>
      <c r="H109" s="577"/>
      <c r="I109" s="577"/>
      <c r="J109" s="268"/>
      <c r="K109" s="578"/>
      <c r="L109" s="579"/>
    </row>
    <row r="110" spans="2:12" ht="120" customHeight="1" x14ac:dyDescent="0.3">
      <c r="B110" s="110"/>
      <c r="C110" s="576"/>
      <c r="D110" s="577"/>
      <c r="E110" s="577"/>
      <c r="F110" s="577"/>
      <c r="G110" s="577"/>
      <c r="H110" s="577"/>
      <c r="I110" s="577"/>
      <c r="J110" s="268"/>
      <c r="K110" s="578"/>
      <c r="L110" s="579"/>
    </row>
    <row r="111" spans="2:12" ht="120" customHeight="1" x14ac:dyDescent="0.3">
      <c r="B111" s="110"/>
      <c r="C111" s="576"/>
      <c r="D111" s="577"/>
      <c r="E111" s="577"/>
      <c r="F111" s="577"/>
      <c r="G111" s="577"/>
      <c r="H111" s="577"/>
      <c r="I111" s="577"/>
      <c r="J111" s="268"/>
      <c r="K111" s="578"/>
      <c r="L111" s="579"/>
    </row>
    <row r="112" spans="2:12" ht="120" customHeight="1" x14ac:dyDescent="0.3">
      <c r="B112" s="110"/>
      <c r="C112" s="576"/>
      <c r="D112" s="577"/>
      <c r="E112" s="577"/>
      <c r="F112" s="577"/>
      <c r="G112" s="577"/>
      <c r="H112" s="577"/>
      <c r="I112" s="577"/>
      <c r="J112" s="268"/>
      <c r="K112" s="578"/>
      <c r="L112" s="579"/>
    </row>
    <row r="113" spans="2:12" ht="120" customHeight="1" x14ac:dyDescent="0.3">
      <c r="B113" s="110"/>
      <c r="C113" s="576"/>
      <c r="D113" s="577"/>
      <c r="E113" s="577"/>
      <c r="F113" s="577"/>
      <c r="G113" s="577"/>
      <c r="H113" s="577"/>
      <c r="I113" s="577"/>
      <c r="J113" s="268"/>
      <c r="K113" s="578"/>
      <c r="L113" s="579"/>
    </row>
    <row r="114" spans="2:12" ht="120" customHeight="1" x14ac:dyDescent="0.3">
      <c r="B114" s="110"/>
      <c r="C114" s="576"/>
      <c r="D114" s="577"/>
      <c r="E114" s="577"/>
      <c r="F114" s="577"/>
      <c r="G114" s="577"/>
      <c r="H114" s="577"/>
      <c r="I114" s="577"/>
      <c r="J114" s="268"/>
      <c r="K114" s="578"/>
      <c r="L114" s="579"/>
    </row>
    <row r="115" spans="2:12" ht="120" customHeight="1" x14ac:dyDescent="0.3">
      <c r="B115" s="110"/>
      <c r="C115" s="576"/>
      <c r="D115" s="577"/>
      <c r="E115" s="577"/>
      <c r="F115" s="577"/>
      <c r="G115" s="577"/>
      <c r="H115" s="577"/>
      <c r="I115" s="577"/>
      <c r="J115" s="268"/>
      <c r="K115" s="578"/>
      <c r="L115" s="579"/>
    </row>
    <row r="116" spans="2:12" ht="120" customHeight="1" x14ac:dyDescent="0.3">
      <c r="B116" s="110"/>
      <c r="C116" s="576"/>
      <c r="D116" s="577"/>
      <c r="E116" s="577"/>
      <c r="F116" s="577"/>
      <c r="G116" s="577"/>
      <c r="H116" s="577"/>
      <c r="I116" s="577"/>
      <c r="J116" s="268"/>
      <c r="K116" s="578"/>
      <c r="L116" s="579"/>
    </row>
    <row r="117" spans="2:12" ht="120" customHeight="1" x14ac:dyDescent="0.3">
      <c r="B117" s="110"/>
      <c r="C117" s="576"/>
      <c r="D117" s="577"/>
      <c r="E117" s="577"/>
      <c r="F117" s="577"/>
      <c r="G117" s="577"/>
      <c r="H117" s="577"/>
      <c r="I117" s="577"/>
      <c r="J117" s="268"/>
      <c r="K117" s="578"/>
      <c r="L117" s="579"/>
    </row>
    <row r="118" spans="2:12" ht="120" customHeight="1" x14ac:dyDescent="0.3">
      <c r="B118" s="110"/>
      <c r="C118" s="576"/>
      <c r="D118" s="577"/>
      <c r="E118" s="577"/>
      <c r="F118" s="577"/>
      <c r="G118" s="577"/>
      <c r="H118" s="577"/>
      <c r="I118" s="577"/>
      <c r="J118" s="268"/>
      <c r="K118" s="578"/>
      <c r="L118" s="579"/>
    </row>
    <row r="119" spans="2:12" ht="120" customHeight="1" x14ac:dyDescent="0.3">
      <c r="B119" s="110"/>
      <c r="C119" s="576"/>
      <c r="D119" s="577"/>
      <c r="E119" s="577"/>
      <c r="F119" s="577"/>
      <c r="G119" s="577"/>
      <c r="H119" s="577"/>
      <c r="I119" s="577"/>
      <c r="J119" s="268"/>
      <c r="K119" s="578"/>
      <c r="L119" s="579"/>
    </row>
    <row r="120" spans="2:12" ht="120" customHeight="1" x14ac:dyDescent="0.3">
      <c r="B120" s="110"/>
      <c r="C120" s="576"/>
      <c r="D120" s="577"/>
      <c r="E120" s="577"/>
      <c r="F120" s="577"/>
      <c r="G120" s="577"/>
      <c r="H120" s="577"/>
      <c r="I120" s="577"/>
      <c r="J120" s="268"/>
      <c r="K120" s="578"/>
      <c r="L120" s="579"/>
    </row>
    <row r="121" spans="2:12" ht="120" customHeight="1" x14ac:dyDescent="0.3">
      <c r="B121" s="110"/>
      <c r="C121" s="576"/>
      <c r="D121" s="577"/>
      <c r="E121" s="577"/>
      <c r="F121" s="577"/>
      <c r="G121" s="577"/>
      <c r="H121" s="577"/>
      <c r="I121" s="577"/>
      <c r="J121" s="268"/>
      <c r="K121" s="578"/>
      <c r="L121" s="579"/>
    </row>
    <row r="122" spans="2:12" ht="120" customHeight="1" x14ac:dyDescent="0.3">
      <c r="B122" s="110"/>
      <c r="C122" s="576"/>
      <c r="D122" s="577"/>
      <c r="E122" s="577"/>
      <c r="F122" s="577"/>
      <c r="G122" s="577"/>
      <c r="H122" s="577"/>
      <c r="I122" s="577"/>
      <c r="J122" s="268"/>
      <c r="K122" s="578"/>
      <c r="L122" s="579"/>
    </row>
    <row r="123" spans="2:12" ht="120" customHeight="1" x14ac:dyDescent="0.3">
      <c r="B123" s="110"/>
      <c r="C123" s="576"/>
      <c r="D123" s="577"/>
      <c r="E123" s="577"/>
      <c r="F123" s="577"/>
      <c r="G123" s="577"/>
      <c r="H123" s="577"/>
      <c r="I123" s="577"/>
      <c r="J123" s="268"/>
      <c r="K123" s="578"/>
      <c r="L123" s="579"/>
    </row>
    <row r="124" spans="2:12" ht="120" customHeight="1" x14ac:dyDescent="0.3">
      <c r="B124" s="110"/>
      <c r="C124" s="576"/>
      <c r="D124" s="577"/>
      <c r="E124" s="577"/>
      <c r="F124" s="577"/>
      <c r="G124" s="577"/>
      <c r="H124" s="577"/>
      <c r="I124" s="577"/>
      <c r="J124" s="268"/>
      <c r="K124" s="578"/>
      <c r="L124" s="579"/>
    </row>
    <row r="125" spans="2:12" ht="120" customHeight="1" x14ac:dyDescent="0.3">
      <c r="B125" s="110"/>
      <c r="C125" s="576"/>
      <c r="D125" s="577"/>
      <c r="E125" s="577"/>
      <c r="F125" s="577"/>
      <c r="G125" s="577"/>
      <c r="H125" s="577"/>
      <c r="I125" s="577"/>
      <c r="J125" s="268"/>
      <c r="K125" s="578"/>
      <c r="L125" s="579"/>
    </row>
    <row r="126" spans="2:12" ht="120" customHeight="1" x14ac:dyDescent="0.3">
      <c r="B126" s="110"/>
      <c r="C126" s="576"/>
      <c r="D126" s="577"/>
      <c r="E126" s="577"/>
      <c r="F126" s="577"/>
      <c r="G126" s="577"/>
      <c r="H126" s="577"/>
      <c r="I126" s="577"/>
      <c r="J126" s="268"/>
      <c r="K126" s="578"/>
      <c r="L126" s="579"/>
    </row>
    <row r="127" spans="2:12" ht="120" customHeight="1" x14ac:dyDescent="0.3">
      <c r="B127" s="110"/>
      <c r="C127" s="576"/>
      <c r="D127" s="577"/>
      <c r="E127" s="577"/>
      <c r="F127" s="577"/>
      <c r="G127" s="577"/>
      <c r="H127" s="577"/>
      <c r="I127" s="577"/>
      <c r="J127" s="268"/>
      <c r="K127" s="578"/>
      <c r="L127" s="579"/>
    </row>
    <row r="128" spans="2:12" ht="120" customHeight="1" x14ac:dyDescent="0.3">
      <c r="B128" s="110"/>
      <c r="C128" s="576"/>
      <c r="D128" s="577"/>
      <c r="E128" s="577"/>
      <c r="F128" s="577"/>
      <c r="G128" s="577"/>
      <c r="H128" s="577"/>
      <c r="I128" s="577"/>
      <c r="J128" s="268"/>
      <c r="K128" s="578"/>
      <c r="L128" s="579"/>
    </row>
    <row r="129" spans="2:12" ht="120" customHeight="1" x14ac:dyDescent="0.3">
      <c r="B129" s="110"/>
      <c r="C129" s="576"/>
      <c r="D129" s="577"/>
      <c r="E129" s="577"/>
      <c r="F129" s="577"/>
      <c r="G129" s="577"/>
      <c r="H129" s="577"/>
      <c r="I129" s="577"/>
      <c r="J129" s="268"/>
      <c r="K129" s="578"/>
      <c r="L129" s="579"/>
    </row>
    <row r="130" spans="2:12" ht="120" customHeight="1" x14ac:dyDescent="0.3">
      <c r="B130" s="110"/>
      <c r="C130" s="576"/>
      <c r="D130" s="577"/>
      <c r="E130" s="577"/>
      <c r="F130" s="577"/>
      <c r="G130" s="577"/>
      <c r="H130" s="577"/>
      <c r="I130" s="577"/>
      <c r="J130" s="268"/>
      <c r="K130" s="578"/>
      <c r="L130" s="579"/>
    </row>
    <row r="131" spans="2:12" ht="120" customHeight="1" x14ac:dyDescent="0.3">
      <c r="B131" s="110"/>
      <c r="C131" s="576"/>
      <c r="D131" s="577"/>
      <c r="E131" s="577"/>
      <c r="F131" s="577"/>
      <c r="G131" s="577"/>
      <c r="H131" s="577"/>
      <c r="I131" s="577"/>
      <c r="J131" s="268"/>
      <c r="K131" s="578"/>
      <c r="L131" s="579"/>
    </row>
    <row r="132" spans="2:12" ht="120" customHeight="1" x14ac:dyDescent="0.3">
      <c r="B132" s="110"/>
      <c r="C132" s="576"/>
      <c r="D132" s="577"/>
      <c r="E132" s="577"/>
      <c r="F132" s="577"/>
      <c r="G132" s="577"/>
      <c r="H132" s="577"/>
      <c r="I132" s="577"/>
      <c r="J132" s="268"/>
      <c r="K132" s="578"/>
      <c r="L132" s="579"/>
    </row>
    <row r="133" spans="2:12" ht="120" customHeight="1" x14ac:dyDescent="0.3">
      <c r="B133" s="110"/>
      <c r="C133" s="576"/>
      <c r="D133" s="577"/>
      <c r="E133" s="577"/>
      <c r="F133" s="577"/>
      <c r="G133" s="577"/>
      <c r="H133" s="577"/>
      <c r="I133" s="577"/>
      <c r="J133" s="268"/>
      <c r="K133" s="578"/>
      <c r="L133" s="579"/>
    </row>
    <row r="134" spans="2:12" ht="120" customHeight="1" x14ac:dyDescent="0.3">
      <c r="B134" s="110"/>
      <c r="C134" s="576"/>
      <c r="D134" s="577"/>
      <c r="E134" s="577"/>
      <c r="F134" s="577"/>
      <c r="G134" s="577"/>
      <c r="H134" s="577"/>
      <c r="I134" s="577"/>
      <c r="J134" s="268"/>
      <c r="K134" s="578"/>
      <c r="L134" s="579"/>
    </row>
    <row r="135" spans="2:12" ht="120" customHeight="1" x14ac:dyDescent="0.3">
      <c r="B135" s="110"/>
      <c r="C135" s="576"/>
      <c r="D135" s="577"/>
      <c r="E135" s="577"/>
      <c r="F135" s="577"/>
      <c r="G135" s="577"/>
      <c r="H135" s="577"/>
      <c r="I135" s="577"/>
      <c r="J135" s="268"/>
      <c r="K135" s="578"/>
      <c r="L135" s="579"/>
    </row>
    <row r="136" spans="2:12" ht="120" customHeight="1" x14ac:dyDescent="0.3">
      <c r="B136" s="110"/>
      <c r="C136" s="576"/>
      <c r="D136" s="577"/>
      <c r="E136" s="577"/>
      <c r="F136" s="577"/>
      <c r="G136" s="577"/>
      <c r="H136" s="577"/>
      <c r="I136" s="577"/>
      <c r="J136" s="268"/>
      <c r="K136" s="578"/>
      <c r="L136" s="579"/>
    </row>
    <row r="137" spans="2:12" ht="120" customHeight="1" x14ac:dyDescent="0.3">
      <c r="B137" s="110"/>
      <c r="C137" s="576"/>
      <c r="D137" s="577"/>
      <c r="E137" s="577"/>
      <c r="F137" s="577"/>
      <c r="G137" s="577"/>
      <c r="H137" s="577"/>
      <c r="I137" s="577"/>
      <c r="J137" s="268"/>
      <c r="K137" s="578"/>
      <c r="L137" s="579"/>
    </row>
    <row r="138" spans="2:12" ht="120" customHeight="1" x14ac:dyDescent="0.3">
      <c r="B138" s="110"/>
      <c r="C138" s="576"/>
      <c r="D138" s="577"/>
      <c r="E138" s="577"/>
      <c r="F138" s="577"/>
      <c r="G138" s="577"/>
      <c r="H138" s="577"/>
      <c r="I138" s="577"/>
      <c r="J138" s="268"/>
      <c r="K138" s="578"/>
      <c r="L138" s="579"/>
    </row>
    <row r="139" spans="2:12" ht="120" customHeight="1" x14ac:dyDescent="0.3">
      <c r="B139" s="110"/>
      <c r="C139" s="576"/>
      <c r="D139" s="577"/>
      <c r="E139" s="577"/>
      <c r="F139" s="577"/>
      <c r="G139" s="577"/>
      <c r="H139" s="577"/>
      <c r="I139" s="577"/>
      <c r="J139" s="268"/>
      <c r="K139" s="578"/>
      <c r="L139" s="579"/>
    </row>
    <row r="140" spans="2:12" ht="120" customHeight="1" x14ac:dyDescent="0.3">
      <c r="B140" s="110"/>
      <c r="C140" s="576"/>
      <c r="D140" s="577"/>
      <c r="E140" s="577"/>
      <c r="F140" s="577"/>
      <c r="G140" s="577"/>
      <c r="H140" s="577"/>
      <c r="I140" s="577"/>
      <c r="J140" s="268"/>
      <c r="K140" s="578"/>
      <c r="L140" s="579"/>
    </row>
    <row r="141" spans="2:12" ht="120" customHeight="1" x14ac:dyDescent="0.3">
      <c r="B141" s="110"/>
      <c r="C141" s="576"/>
      <c r="D141" s="577"/>
      <c r="E141" s="577"/>
      <c r="F141" s="577"/>
      <c r="G141" s="577"/>
      <c r="H141" s="577"/>
      <c r="I141" s="577"/>
      <c r="J141" s="268"/>
      <c r="K141" s="578"/>
      <c r="L141" s="579"/>
    </row>
    <row r="142" spans="2:12" ht="120" customHeight="1" x14ac:dyDescent="0.3">
      <c r="B142" s="110"/>
      <c r="C142" s="576"/>
      <c r="D142" s="577"/>
      <c r="E142" s="577"/>
      <c r="F142" s="577"/>
      <c r="G142" s="577"/>
      <c r="H142" s="577"/>
      <c r="I142" s="577"/>
      <c r="J142" s="268"/>
      <c r="K142" s="578"/>
      <c r="L142" s="579"/>
    </row>
    <row r="143" spans="2:12" ht="120" customHeight="1" x14ac:dyDescent="0.3">
      <c r="B143" s="110"/>
      <c r="C143" s="576"/>
      <c r="D143" s="577"/>
      <c r="E143" s="577"/>
      <c r="F143" s="577"/>
      <c r="G143" s="577"/>
      <c r="H143" s="577"/>
      <c r="I143" s="577"/>
      <c r="J143" s="268"/>
      <c r="K143" s="578"/>
      <c r="L143" s="579"/>
    </row>
    <row r="144" spans="2:12" ht="120" customHeight="1" x14ac:dyDescent="0.3">
      <c r="B144" s="110"/>
      <c r="C144" s="576"/>
      <c r="D144" s="577"/>
      <c r="E144" s="577"/>
      <c r="F144" s="577"/>
      <c r="G144" s="577"/>
      <c r="H144" s="577"/>
      <c r="I144" s="577"/>
      <c r="J144" s="268"/>
      <c r="K144" s="578"/>
      <c r="L144" s="579"/>
    </row>
    <row r="145" spans="2:12" ht="120" customHeight="1" x14ac:dyDescent="0.3">
      <c r="B145" s="110"/>
      <c r="C145" s="576"/>
      <c r="D145" s="577"/>
      <c r="E145" s="577"/>
      <c r="F145" s="577"/>
      <c r="G145" s="577"/>
      <c r="H145" s="577"/>
      <c r="I145" s="577"/>
      <c r="J145" s="268"/>
      <c r="K145" s="578"/>
      <c r="L145" s="579"/>
    </row>
    <row r="146" spans="2:12" ht="120" customHeight="1" x14ac:dyDescent="0.3">
      <c r="B146" s="110"/>
      <c r="C146" s="576"/>
      <c r="D146" s="577"/>
      <c r="E146" s="577"/>
      <c r="F146" s="577"/>
      <c r="G146" s="577"/>
      <c r="H146" s="577"/>
      <c r="I146" s="577"/>
      <c r="J146" s="268"/>
      <c r="K146" s="578"/>
      <c r="L146" s="579"/>
    </row>
    <row r="147" spans="2:12" ht="120" customHeight="1" x14ac:dyDescent="0.3">
      <c r="B147" s="110"/>
      <c r="C147" s="576"/>
      <c r="D147" s="577"/>
      <c r="E147" s="577"/>
      <c r="F147" s="577"/>
      <c r="G147" s="577"/>
      <c r="H147" s="577"/>
      <c r="I147" s="577"/>
      <c r="J147" s="268"/>
      <c r="K147" s="578"/>
      <c r="L147" s="579"/>
    </row>
    <row r="148" spans="2:12" ht="120" customHeight="1" x14ac:dyDescent="0.3">
      <c r="B148" s="110"/>
      <c r="C148" s="576"/>
      <c r="D148" s="577"/>
      <c r="E148" s="577"/>
      <c r="F148" s="577"/>
      <c r="G148" s="577"/>
      <c r="H148" s="577"/>
      <c r="I148" s="577"/>
      <c r="J148" s="268"/>
      <c r="K148" s="578"/>
      <c r="L148" s="579"/>
    </row>
    <row r="149" spans="2:12" ht="120" customHeight="1" x14ac:dyDescent="0.3">
      <c r="B149" s="110"/>
      <c r="C149" s="576"/>
      <c r="D149" s="577"/>
      <c r="E149" s="577"/>
      <c r="F149" s="577"/>
      <c r="G149" s="577"/>
      <c r="H149" s="577"/>
      <c r="I149" s="577"/>
      <c r="J149" s="268"/>
      <c r="K149" s="578"/>
      <c r="L149" s="579"/>
    </row>
    <row r="150" spans="2:12" ht="120" customHeight="1" x14ac:dyDescent="0.3">
      <c r="B150" s="110"/>
      <c r="C150" s="576"/>
      <c r="D150" s="577"/>
      <c r="E150" s="577"/>
      <c r="F150" s="577"/>
      <c r="G150" s="577"/>
      <c r="H150" s="577"/>
      <c r="I150" s="577"/>
      <c r="J150" s="268"/>
      <c r="K150" s="578"/>
      <c r="L150" s="579"/>
    </row>
    <row r="151" spans="2:12" ht="120" customHeight="1" x14ac:dyDescent="0.3">
      <c r="B151" s="110"/>
      <c r="C151" s="576"/>
      <c r="D151" s="577"/>
      <c r="E151" s="577"/>
      <c r="F151" s="577"/>
      <c r="G151" s="577"/>
      <c r="H151" s="577"/>
      <c r="I151" s="577"/>
      <c r="J151" s="268"/>
      <c r="K151" s="578"/>
      <c r="L151" s="579"/>
    </row>
    <row r="152" spans="2:12" ht="120" customHeight="1" x14ac:dyDescent="0.3">
      <c r="B152" s="110"/>
      <c r="C152" s="576"/>
      <c r="D152" s="577"/>
      <c r="E152" s="577"/>
      <c r="F152" s="577"/>
      <c r="G152" s="577"/>
      <c r="H152" s="577"/>
      <c r="I152" s="577"/>
      <c r="J152" s="268"/>
      <c r="K152" s="578"/>
      <c r="L152" s="579"/>
    </row>
    <row r="153" spans="2:12" ht="120" customHeight="1" x14ac:dyDescent="0.3">
      <c r="B153" s="110"/>
      <c r="C153" s="576"/>
      <c r="D153" s="577"/>
      <c r="E153" s="577"/>
      <c r="F153" s="577"/>
      <c r="G153" s="577"/>
      <c r="H153" s="577"/>
      <c r="I153" s="577"/>
      <c r="J153" s="268"/>
      <c r="K153" s="578"/>
      <c r="L153" s="579"/>
    </row>
    <row r="154" spans="2:12" ht="120" customHeight="1" x14ac:dyDescent="0.3">
      <c r="B154" s="110"/>
      <c r="C154" s="576"/>
      <c r="D154" s="577"/>
      <c r="E154" s="577"/>
      <c r="F154" s="577"/>
      <c r="G154" s="577"/>
      <c r="H154" s="577"/>
      <c r="I154" s="577"/>
      <c r="J154" s="268"/>
      <c r="K154" s="578"/>
      <c r="L154" s="579"/>
    </row>
    <row r="155" spans="2:12" ht="120" customHeight="1" x14ac:dyDescent="0.3">
      <c r="B155" s="110"/>
      <c r="C155" s="576"/>
      <c r="D155" s="577"/>
      <c r="E155" s="577"/>
      <c r="F155" s="577"/>
      <c r="G155" s="577"/>
      <c r="H155" s="577"/>
      <c r="I155" s="577"/>
      <c r="J155" s="268"/>
      <c r="K155" s="578"/>
      <c r="L155" s="579"/>
    </row>
    <row r="156" spans="2:12" ht="120" customHeight="1" x14ac:dyDescent="0.3">
      <c r="B156" s="110"/>
      <c r="C156" s="576"/>
      <c r="D156" s="577"/>
      <c r="E156" s="577"/>
      <c r="F156" s="577"/>
      <c r="G156" s="577"/>
      <c r="H156" s="577"/>
      <c r="I156" s="577"/>
      <c r="J156" s="268"/>
      <c r="K156" s="578"/>
      <c r="L156" s="579"/>
    </row>
    <row r="157" spans="2:12" ht="120" customHeight="1" x14ac:dyDescent="0.3">
      <c r="B157" s="110"/>
      <c r="C157" s="576"/>
      <c r="D157" s="577"/>
      <c r="E157" s="577"/>
      <c r="F157" s="577"/>
      <c r="G157" s="577"/>
      <c r="H157" s="577"/>
      <c r="I157" s="577"/>
      <c r="J157" s="268"/>
      <c r="K157" s="578"/>
      <c r="L157" s="579"/>
    </row>
    <row r="158" spans="2:12" ht="120" customHeight="1" x14ac:dyDescent="0.3">
      <c r="B158" s="110"/>
      <c r="C158" s="576"/>
      <c r="D158" s="577"/>
      <c r="E158" s="577"/>
      <c r="F158" s="577"/>
      <c r="G158" s="577"/>
      <c r="H158" s="577"/>
      <c r="I158" s="577"/>
      <c r="J158" s="268"/>
      <c r="K158" s="578"/>
      <c r="L158" s="579"/>
    </row>
    <row r="159" spans="2:12" ht="120" customHeight="1" x14ac:dyDescent="0.3">
      <c r="B159" s="110"/>
      <c r="C159" s="576"/>
      <c r="D159" s="577"/>
      <c r="E159" s="577"/>
      <c r="F159" s="577"/>
      <c r="G159" s="577"/>
      <c r="H159" s="577"/>
      <c r="I159" s="577"/>
      <c r="J159" s="268"/>
      <c r="K159" s="578"/>
      <c r="L159" s="579"/>
    </row>
    <row r="160" spans="2:12" ht="120" customHeight="1" x14ac:dyDescent="0.3">
      <c r="B160" s="110"/>
      <c r="C160" s="576"/>
      <c r="D160" s="577"/>
      <c r="E160" s="577"/>
      <c r="F160" s="577"/>
      <c r="G160" s="577"/>
      <c r="H160" s="577"/>
      <c r="I160" s="577"/>
      <c r="J160" s="268"/>
      <c r="K160" s="578"/>
      <c r="L160" s="579"/>
    </row>
    <row r="161" spans="2:12" ht="120" customHeight="1" x14ac:dyDescent="0.3">
      <c r="B161" s="110"/>
      <c r="C161" s="576"/>
      <c r="D161" s="577"/>
      <c r="E161" s="577"/>
      <c r="F161" s="577"/>
      <c r="G161" s="577"/>
      <c r="H161" s="577"/>
      <c r="I161" s="577"/>
      <c r="J161" s="268"/>
      <c r="K161" s="578"/>
      <c r="L161" s="579"/>
    </row>
    <row r="162" spans="2:12" ht="120" customHeight="1" x14ac:dyDescent="0.3">
      <c r="B162" s="110"/>
      <c r="C162" s="576"/>
      <c r="D162" s="577"/>
      <c r="E162" s="577"/>
      <c r="F162" s="577"/>
      <c r="G162" s="577"/>
      <c r="H162" s="577"/>
      <c r="I162" s="577"/>
      <c r="J162" s="268"/>
      <c r="K162" s="578"/>
      <c r="L162" s="579"/>
    </row>
    <row r="163" spans="2:12" ht="120" customHeight="1" x14ac:dyDescent="0.3">
      <c r="B163" s="110"/>
      <c r="C163" s="576"/>
      <c r="D163" s="577"/>
      <c r="E163" s="577"/>
      <c r="F163" s="577"/>
      <c r="G163" s="577"/>
      <c r="H163" s="577"/>
      <c r="I163" s="577"/>
      <c r="J163" s="268"/>
      <c r="K163" s="578"/>
      <c r="L163" s="579"/>
    </row>
    <row r="164" spans="2:12" ht="120" customHeight="1" x14ac:dyDescent="0.3">
      <c r="B164" s="110"/>
      <c r="C164" s="576"/>
      <c r="D164" s="577"/>
      <c r="E164" s="577"/>
      <c r="F164" s="577"/>
      <c r="G164" s="577"/>
      <c r="H164" s="577"/>
      <c r="I164" s="577"/>
      <c r="J164" s="268"/>
      <c r="K164" s="578"/>
      <c r="L164" s="579"/>
    </row>
    <row r="165" spans="2:12" ht="120" customHeight="1" x14ac:dyDescent="0.3">
      <c r="B165" s="110"/>
      <c r="C165" s="576"/>
      <c r="D165" s="577"/>
      <c r="E165" s="577"/>
      <c r="F165" s="577"/>
      <c r="G165" s="577"/>
      <c r="H165" s="577"/>
      <c r="I165" s="577"/>
      <c r="J165" s="268"/>
      <c r="K165" s="578"/>
      <c r="L165" s="579"/>
    </row>
    <row r="166" spans="2:12" ht="120" customHeight="1" x14ac:dyDescent="0.3">
      <c r="B166" s="110"/>
      <c r="C166" s="576"/>
      <c r="D166" s="577"/>
      <c r="E166" s="577"/>
      <c r="F166" s="577"/>
      <c r="G166" s="577"/>
      <c r="H166" s="577"/>
      <c r="I166" s="577"/>
      <c r="J166" s="268"/>
      <c r="K166" s="578"/>
      <c r="L166" s="579"/>
    </row>
    <row r="167" spans="2:12" ht="120" customHeight="1" x14ac:dyDescent="0.3">
      <c r="B167" s="110"/>
      <c r="C167" s="576"/>
      <c r="D167" s="577"/>
      <c r="E167" s="577"/>
      <c r="F167" s="577"/>
      <c r="G167" s="577"/>
      <c r="H167" s="577"/>
      <c r="I167" s="577"/>
      <c r="J167" s="268"/>
      <c r="K167" s="578"/>
      <c r="L167" s="579"/>
    </row>
    <row r="168" spans="2:12" ht="120" customHeight="1" x14ac:dyDescent="0.3">
      <c r="B168" s="110"/>
      <c r="C168" s="576"/>
      <c r="D168" s="577"/>
      <c r="E168" s="577"/>
      <c r="F168" s="577"/>
      <c r="G168" s="577"/>
      <c r="H168" s="577"/>
      <c r="I168" s="577"/>
      <c r="J168" s="268"/>
      <c r="K168" s="578"/>
      <c r="L168" s="579"/>
    </row>
    <row r="169" spans="2:12" ht="120" customHeight="1" x14ac:dyDescent="0.3">
      <c r="B169" s="110"/>
      <c r="C169" s="576"/>
      <c r="D169" s="577"/>
      <c r="E169" s="577"/>
      <c r="F169" s="577"/>
      <c r="G169" s="577"/>
      <c r="H169" s="577"/>
      <c r="I169" s="577"/>
      <c r="J169" s="268"/>
      <c r="K169" s="578"/>
      <c r="L169" s="579"/>
    </row>
    <row r="170" spans="2:12" ht="120" customHeight="1" x14ac:dyDescent="0.3">
      <c r="B170" s="110"/>
      <c r="C170" s="576"/>
      <c r="D170" s="577"/>
      <c r="E170" s="577"/>
      <c r="F170" s="577"/>
      <c r="G170" s="577"/>
      <c r="H170" s="577"/>
      <c r="I170" s="577"/>
      <c r="J170" s="268"/>
      <c r="K170" s="578"/>
      <c r="L170" s="579"/>
    </row>
    <row r="171" spans="2:12" ht="120" customHeight="1" x14ac:dyDescent="0.3">
      <c r="B171" s="110"/>
      <c r="C171" s="576"/>
      <c r="D171" s="577"/>
      <c r="E171" s="577"/>
      <c r="F171" s="577"/>
      <c r="G171" s="577"/>
      <c r="H171" s="577"/>
      <c r="I171" s="577"/>
      <c r="J171" s="268"/>
      <c r="K171" s="578"/>
      <c r="L171" s="579"/>
    </row>
    <row r="172" spans="2:12" ht="120" customHeight="1" x14ac:dyDescent="0.3">
      <c r="B172" s="110"/>
      <c r="C172" s="576"/>
      <c r="D172" s="577"/>
      <c r="E172" s="577"/>
      <c r="F172" s="577"/>
      <c r="G172" s="577"/>
      <c r="H172" s="577"/>
      <c r="I172" s="577"/>
      <c r="J172" s="268"/>
      <c r="K172" s="578"/>
      <c r="L172" s="579"/>
    </row>
    <row r="173" spans="2:12" ht="120" customHeight="1" x14ac:dyDescent="0.3">
      <c r="B173" s="110"/>
      <c r="C173" s="576"/>
      <c r="D173" s="577"/>
      <c r="E173" s="577"/>
      <c r="F173" s="577"/>
      <c r="G173" s="577"/>
      <c r="H173" s="577"/>
      <c r="I173" s="577"/>
      <c r="J173" s="268"/>
      <c r="K173" s="578"/>
      <c r="L173" s="579"/>
    </row>
    <row r="174" spans="2:12" ht="120" customHeight="1" x14ac:dyDescent="0.3">
      <c r="B174" s="110"/>
      <c r="C174" s="576"/>
      <c r="D174" s="577"/>
      <c r="E174" s="577"/>
      <c r="F174" s="577"/>
      <c r="G174" s="577"/>
      <c r="H174" s="577"/>
      <c r="I174" s="577"/>
      <c r="J174" s="268"/>
      <c r="K174" s="578"/>
      <c r="L174" s="579"/>
    </row>
    <row r="175" spans="2:12" ht="120" customHeight="1" x14ac:dyDescent="0.3">
      <c r="B175" s="110"/>
      <c r="C175" s="576"/>
      <c r="D175" s="577"/>
      <c r="E175" s="577"/>
      <c r="F175" s="577"/>
      <c r="G175" s="577"/>
      <c r="H175" s="577"/>
      <c r="I175" s="577"/>
      <c r="J175" s="268"/>
      <c r="K175" s="578"/>
      <c r="L175" s="579"/>
    </row>
    <row r="176" spans="2:12" ht="120" customHeight="1" x14ac:dyDescent="0.3">
      <c r="B176" s="110"/>
      <c r="C176" s="576"/>
      <c r="D176" s="577"/>
      <c r="E176" s="577"/>
      <c r="F176" s="577"/>
      <c r="G176" s="577"/>
      <c r="H176" s="577"/>
      <c r="I176" s="577"/>
      <c r="J176" s="268"/>
      <c r="K176" s="578"/>
      <c r="L176" s="579"/>
    </row>
    <row r="177" spans="2:12" ht="120" customHeight="1" x14ac:dyDescent="0.3">
      <c r="B177" s="110"/>
      <c r="C177" s="576"/>
      <c r="D177" s="577"/>
      <c r="E177" s="577"/>
      <c r="F177" s="577"/>
      <c r="G177" s="577"/>
      <c r="H177" s="577"/>
      <c r="I177" s="577"/>
      <c r="J177" s="268"/>
      <c r="K177" s="578"/>
      <c r="L177" s="579"/>
    </row>
    <row r="178" spans="2:12" ht="120" customHeight="1" x14ac:dyDescent="0.3">
      <c r="B178" s="110"/>
      <c r="C178" s="576"/>
      <c r="D178" s="577"/>
      <c r="E178" s="577"/>
      <c r="F178" s="577"/>
      <c r="G178" s="577"/>
      <c r="H178" s="577"/>
      <c r="I178" s="577"/>
      <c r="J178" s="268"/>
      <c r="K178" s="578"/>
      <c r="L178" s="579"/>
    </row>
    <row r="179" spans="2:12" ht="120" customHeight="1" x14ac:dyDescent="0.3">
      <c r="B179" s="110"/>
      <c r="C179" s="576"/>
      <c r="D179" s="577"/>
      <c r="E179" s="577"/>
      <c r="F179" s="577"/>
      <c r="G179" s="577"/>
      <c r="H179" s="577"/>
      <c r="I179" s="577"/>
      <c r="J179" s="268"/>
      <c r="K179" s="578"/>
      <c r="L179" s="579"/>
    </row>
    <row r="180" spans="2:12" ht="120" customHeight="1" x14ac:dyDescent="0.3">
      <c r="B180" s="110"/>
      <c r="C180" s="576"/>
      <c r="D180" s="577"/>
      <c r="E180" s="577"/>
      <c r="F180" s="577"/>
      <c r="G180" s="577"/>
      <c r="H180" s="577"/>
      <c r="I180" s="577"/>
      <c r="J180" s="268"/>
      <c r="K180" s="578"/>
      <c r="L180" s="579"/>
    </row>
    <row r="181" spans="2:12" ht="120" customHeight="1" x14ac:dyDescent="0.3">
      <c r="B181" s="110"/>
      <c r="C181" s="576"/>
      <c r="D181" s="577"/>
      <c r="E181" s="577"/>
      <c r="F181" s="577"/>
      <c r="G181" s="577"/>
      <c r="H181" s="577"/>
      <c r="I181" s="577"/>
      <c r="J181" s="268"/>
      <c r="K181" s="578"/>
      <c r="L181" s="579"/>
    </row>
    <row r="182" spans="2:12" ht="120" customHeight="1" x14ac:dyDescent="0.3">
      <c r="B182" s="110"/>
      <c r="C182" s="576"/>
      <c r="D182" s="577"/>
      <c r="E182" s="577"/>
      <c r="F182" s="577"/>
      <c r="G182" s="577"/>
      <c r="H182" s="577"/>
      <c r="I182" s="577"/>
      <c r="J182" s="268"/>
      <c r="K182" s="578"/>
      <c r="L182" s="579"/>
    </row>
    <row r="183" spans="2:12" ht="120" customHeight="1" x14ac:dyDescent="0.3">
      <c r="B183" s="110"/>
      <c r="C183" s="576"/>
      <c r="D183" s="577"/>
      <c r="E183" s="577"/>
      <c r="F183" s="577"/>
      <c r="G183" s="577"/>
      <c r="H183" s="577"/>
      <c r="I183" s="577"/>
      <c r="J183" s="268"/>
      <c r="K183" s="578"/>
      <c r="L183" s="579"/>
    </row>
    <row r="184" spans="2:12" ht="120" customHeight="1" x14ac:dyDescent="0.3">
      <c r="B184" s="110"/>
      <c r="C184" s="576"/>
      <c r="D184" s="577"/>
      <c r="E184" s="577"/>
      <c r="F184" s="577"/>
      <c r="G184" s="577"/>
      <c r="H184" s="577"/>
      <c r="I184" s="577"/>
      <c r="J184" s="268"/>
      <c r="K184" s="578"/>
      <c r="L184" s="579"/>
    </row>
    <row r="185" spans="2:12" ht="120" customHeight="1" x14ac:dyDescent="0.3">
      <c r="B185" s="110"/>
      <c r="C185" s="576"/>
      <c r="D185" s="577"/>
      <c r="E185" s="577"/>
      <c r="F185" s="577"/>
      <c r="G185" s="577"/>
      <c r="H185" s="577"/>
      <c r="I185" s="577"/>
      <c r="J185" s="268"/>
      <c r="K185" s="578"/>
      <c r="L185" s="579"/>
    </row>
    <row r="186" spans="2:12" ht="120" customHeight="1" x14ac:dyDescent="0.3">
      <c r="B186" s="110"/>
      <c r="C186" s="576"/>
      <c r="D186" s="577"/>
      <c r="E186" s="577"/>
      <c r="F186" s="577"/>
      <c r="G186" s="577"/>
      <c r="H186" s="577"/>
      <c r="I186" s="577"/>
      <c r="J186" s="268"/>
      <c r="K186" s="578"/>
      <c r="L186" s="579"/>
    </row>
    <row r="187" spans="2:12" ht="120" customHeight="1" x14ac:dyDescent="0.3">
      <c r="B187" s="110"/>
      <c r="C187" s="576"/>
      <c r="D187" s="577"/>
      <c r="E187" s="577"/>
      <c r="F187" s="577"/>
      <c r="G187" s="577"/>
      <c r="H187" s="577"/>
      <c r="I187" s="577"/>
      <c r="J187" s="268"/>
      <c r="K187" s="578"/>
      <c r="L187" s="579"/>
    </row>
    <row r="188" spans="2:12" ht="120" customHeight="1" x14ac:dyDescent="0.3">
      <c r="B188" s="110"/>
      <c r="C188" s="576"/>
      <c r="D188" s="577"/>
      <c r="E188" s="577"/>
      <c r="F188" s="577"/>
      <c r="G188" s="577"/>
      <c r="H188" s="577"/>
      <c r="I188" s="577"/>
      <c r="J188" s="268"/>
      <c r="K188" s="578"/>
      <c r="L188" s="579"/>
    </row>
    <row r="189" spans="2:12" ht="120" customHeight="1" x14ac:dyDescent="0.3">
      <c r="B189" s="110"/>
      <c r="C189" s="576"/>
      <c r="D189" s="577"/>
      <c r="E189" s="577"/>
      <c r="F189" s="577"/>
      <c r="G189" s="577"/>
      <c r="H189" s="577"/>
      <c r="I189" s="577"/>
      <c r="J189" s="268"/>
      <c r="K189" s="578"/>
      <c r="L189" s="579"/>
    </row>
    <row r="190" spans="2:12" ht="120" customHeight="1" x14ac:dyDescent="0.3">
      <c r="B190" s="110"/>
      <c r="C190" s="576"/>
      <c r="D190" s="577"/>
      <c r="E190" s="577"/>
      <c r="F190" s="577"/>
      <c r="G190" s="577"/>
      <c r="H190" s="577"/>
      <c r="I190" s="577"/>
      <c r="J190" s="268"/>
      <c r="K190" s="578"/>
      <c r="L190" s="579"/>
    </row>
    <row r="191" spans="2:12" ht="120" customHeight="1" x14ac:dyDescent="0.3">
      <c r="B191" s="110"/>
      <c r="C191" s="576"/>
      <c r="D191" s="577"/>
      <c r="E191" s="577"/>
      <c r="F191" s="577"/>
      <c r="G191" s="577"/>
      <c r="H191" s="577"/>
      <c r="I191" s="577"/>
      <c r="J191" s="268"/>
      <c r="K191" s="578"/>
      <c r="L191" s="579"/>
    </row>
    <row r="192" spans="2:12" ht="120" customHeight="1" x14ac:dyDescent="0.3">
      <c r="B192" s="110"/>
      <c r="C192" s="576"/>
      <c r="D192" s="577"/>
      <c r="E192" s="577"/>
      <c r="F192" s="577"/>
      <c r="G192" s="577"/>
      <c r="H192" s="577"/>
      <c r="I192" s="577"/>
      <c r="J192" s="268"/>
      <c r="K192" s="578"/>
      <c r="L192" s="579"/>
    </row>
    <row r="193" spans="2:12" ht="120" customHeight="1" x14ac:dyDescent="0.3">
      <c r="B193" s="110"/>
      <c r="C193" s="576"/>
      <c r="D193" s="577"/>
      <c r="E193" s="577"/>
      <c r="F193" s="577"/>
      <c r="G193" s="577"/>
      <c r="H193" s="577"/>
      <c r="I193" s="577"/>
      <c r="J193" s="268"/>
      <c r="K193" s="578"/>
      <c r="L193" s="579"/>
    </row>
    <row r="194" spans="2:12" ht="120" customHeight="1" x14ac:dyDescent="0.3">
      <c r="B194" s="110"/>
      <c r="C194" s="576"/>
      <c r="D194" s="577"/>
      <c r="E194" s="577"/>
      <c r="F194" s="577"/>
      <c r="G194" s="577"/>
      <c r="H194" s="577"/>
      <c r="I194" s="577"/>
      <c r="J194" s="268"/>
      <c r="K194" s="578"/>
      <c r="L194" s="579"/>
    </row>
    <row r="195" spans="2:12" ht="120" customHeight="1" x14ac:dyDescent="0.3">
      <c r="B195" s="110"/>
      <c r="C195" s="576"/>
      <c r="D195" s="577"/>
      <c r="E195" s="577"/>
      <c r="F195" s="577"/>
      <c r="G195" s="577"/>
      <c r="H195" s="577"/>
      <c r="I195" s="577"/>
      <c r="J195" s="268"/>
      <c r="K195" s="578"/>
      <c r="L195" s="579"/>
    </row>
    <row r="196" spans="2:12" ht="120" customHeight="1" x14ac:dyDescent="0.3">
      <c r="B196" s="110"/>
      <c r="C196" s="576"/>
      <c r="D196" s="577"/>
      <c r="E196" s="577"/>
      <c r="F196" s="577"/>
      <c r="G196" s="577"/>
      <c r="H196" s="577"/>
      <c r="I196" s="577"/>
      <c r="J196" s="268"/>
      <c r="K196" s="578"/>
      <c r="L196" s="579"/>
    </row>
    <row r="197" spans="2:12" ht="120" customHeight="1" x14ac:dyDescent="0.3">
      <c r="B197" s="110"/>
      <c r="C197" s="576"/>
      <c r="D197" s="577"/>
      <c r="E197" s="577"/>
      <c r="F197" s="577"/>
      <c r="G197" s="577"/>
      <c r="H197" s="577"/>
      <c r="I197" s="577"/>
      <c r="J197" s="268"/>
      <c r="K197" s="578"/>
      <c r="L197" s="579"/>
    </row>
    <row r="198" spans="2:12" ht="120" customHeight="1" x14ac:dyDescent="0.3">
      <c r="B198" s="110"/>
      <c r="C198" s="576"/>
      <c r="D198" s="577"/>
      <c r="E198" s="577"/>
      <c r="F198" s="577"/>
      <c r="G198" s="577"/>
      <c r="H198" s="577"/>
      <c r="I198" s="577"/>
      <c r="J198" s="268"/>
      <c r="K198" s="578"/>
      <c r="L198" s="579"/>
    </row>
    <row r="199" spans="2:12" ht="120" customHeight="1" x14ac:dyDescent="0.3">
      <c r="B199" s="110"/>
      <c r="C199" s="576"/>
      <c r="D199" s="577"/>
      <c r="E199" s="577"/>
      <c r="F199" s="577"/>
      <c r="G199" s="577"/>
      <c r="H199" s="577"/>
      <c r="I199" s="577"/>
      <c r="J199" s="268"/>
      <c r="K199" s="578"/>
      <c r="L199" s="579"/>
    </row>
    <row r="200" spans="2:12" ht="120" customHeight="1" x14ac:dyDescent="0.3">
      <c r="B200" s="110"/>
      <c r="C200" s="576"/>
      <c r="D200" s="577"/>
      <c r="E200" s="577"/>
      <c r="F200" s="577"/>
      <c r="G200" s="577"/>
      <c r="H200" s="577"/>
      <c r="I200" s="577"/>
      <c r="J200" s="268"/>
      <c r="K200" s="578"/>
      <c r="L200" s="579"/>
    </row>
    <row r="201" spans="2:12" ht="120" customHeight="1" x14ac:dyDescent="0.3">
      <c r="B201" s="110"/>
      <c r="C201" s="576"/>
      <c r="D201" s="577"/>
      <c r="E201" s="577"/>
      <c r="F201" s="577"/>
      <c r="G201" s="577"/>
      <c r="H201" s="577"/>
      <c r="I201" s="577"/>
      <c r="J201" s="268"/>
      <c r="K201" s="578"/>
      <c r="L201" s="579"/>
    </row>
    <row r="202" spans="2:12" ht="120" customHeight="1" x14ac:dyDescent="0.3">
      <c r="B202" s="110"/>
      <c r="C202" s="576"/>
      <c r="D202" s="577"/>
      <c r="E202" s="577"/>
      <c r="F202" s="577"/>
      <c r="G202" s="577"/>
      <c r="H202" s="577"/>
      <c r="I202" s="577"/>
      <c r="J202" s="268"/>
      <c r="K202" s="578"/>
      <c r="L202" s="579"/>
    </row>
    <row r="203" spans="2:12" ht="120" customHeight="1" x14ac:dyDescent="0.3">
      <c r="B203" s="110"/>
      <c r="C203" s="576"/>
      <c r="D203" s="577"/>
      <c r="E203" s="577"/>
      <c r="F203" s="577"/>
      <c r="G203" s="577"/>
      <c r="H203" s="577"/>
      <c r="I203" s="577"/>
      <c r="J203" s="268"/>
      <c r="K203" s="578"/>
      <c r="L203" s="579"/>
    </row>
    <row r="204" spans="2:12" ht="120" customHeight="1" x14ac:dyDescent="0.3">
      <c r="B204" s="110"/>
      <c r="C204" s="576"/>
      <c r="D204" s="577"/>
      <c r="E204" s="577"/>
      <c r="F204" s="577"/>
      <c r="G204" s="577"/>
      <c r="H204" s="577"/>
      <c r="I204" s="577"/>
      <c r="J204" s="268"/>
      <c r="K204" s="578"/>
      <c r="L204" s="579"/>
    </row>
    <row r="205" spans="2:12" ht="120" customHeight="1" x14ac:dyDescent="0.3">
      <c r="B205" s="110"/>
      <c r="C205" s="576"/>
      <c r="D205" s="577"/>
      <c r="E205" s="577"/>
      <c r="F205" s="577"/>
      <c r="G205" s="577"/>
      <c r="H205" s="577"/>
      <c r="I205" s="577"/>
      <c r="J205" s="268"/>
      <c r="K205" s="578"/>
      <c r="L205" s="579"/>
    </row>
    <row r="206" spans="2:12" ht="120" customHeight="1" x14ac:dyDescent="0.3">
      <c r="B206" s="110"/>
      <c r="C206" s="576"/>
      <c r="D206" s="577"/>
      <c r="E206" s="577"/>
      <c r="F206" s="577"/>
      <c r="G206" s="577"/>
      <c r="H206" s="577"/>
      <c r="I206" s="577"/>
      <c r="J206" s="268"/>
      <c r="K206" s="578"/>
      <c r="L206" s="579"/>
    </row>
    <row r="207" spans="2:12" ht="120" customHeight="1" x14ac:dyDescent="0.3">
      <c r="B207" s="110"/>
      <c r="C207" s="576"/>
      <c r="D207" s="577"/>
      <c r="E207" s="577"/>
      <c r="F207" s="577"/>
      <c r="G207" s="577"/>
      <c r="H207" s="577"/>
      <c r="I207" s="577"/>
      <c r="J207" s="268"/>
      <c r="K207" s="578"/>
      <c r="L207" s="579"/>
    </row>
    <row r="208" spans="2:12" ht="120" customHeight="1" x14ac:dyDescent="0.3">
      <c r="B208" s="110"/>
      <c r="C208" s="576"/>
      <c r="D208" s="577"/>
      <c r="E208" s="577"/>
      <c r="F208" s="577"/>
      <c r="G208" s="577"/>
      <c r="H208" s="577"/>
      <c r="I208" s="577"/>
      <c r="J208" s="268"/>
      <c r="K208" s="578"/>
      <c r="L208" s="579"/>
    </row>
    <row r="209" spans="2:12" ht="120" customHeight="1" x14ac:dyDescent="0.3">
      <c r="B209" s="110"/>
      <c r="C209" s="576"/>
      <c r="D209" s="577"/>
      <c r="E209" s="577"/>
      <c r="F209" s="577"/>
      <c r="G209" s="577"/>
      <c r="H209" s="577"/>
      <c r="I209" s="577"/>
      <c r="J209" s="268"/>
      <c r="K209" s="578"/>
      <c r="L209" s="579"/>
    </row>
    <row r="210" spans="2:12" ht="120" customHeight="1" x14ac:dyDescent="0.3">
      <c r="B210" s="110"/>
      <c r="C210" s="576"/>
      <c r="D210" s="577"/>
      <c r="E210" s="577"/>
      <c r="F210" s="577"/>
      <c r="G210" s="577"/>
      <c r="H210" s="577"/>
      <c r="I210" s="577"/>
      <c r="J210" s="268"/>
      <c r="K210" s="578"/>
      <c r="L210" s="579"/>
    </row>
    <row r="211" spans="2:12" ht="120" customHeight="1" x14ac:dyDescent="0.3">
      <c r="B211" s="110"/>
      <c r="C211" s="576"/>
      <c r="D211" s="577"/>
      <c r="E211" s="577"/>
      <c r="F211" s="577"/>
      <c r="G211" s="577"/>
      <c r="H211" s="577"/>
      <c r="I211" s="577"/>
      <c r="J211" s="268"/>
      <c r="K211" s="578"/>
      <c r="L211" s="579"/>
    </row>
    <row r="212" spans="2:12" ht="120" customHeight="1" x14ac:dyDescent="0.3">
      <c r="B212" s="110"/>
      <c r="C212" s="576"/>
      <c r="D212" s="577"/>
      <c r="E212" s="577"/>
      <c r="F212" s="577"/>
      <c r="G212" s="577"/>
      <c r="H212" s="577"/>
      <c r="I212" s="577"/>
      <c r="J212" s="268"/>
      <c r="K212" s="578"/>
      <c r="L212" s="579"/>
    </row>
    <row r="213" spans="2:12" ht="120" customHeight="1" x14ac:dyDescent="0.3">
      <c r="B213" s="110"/>
      <c r="C213" s="576"/>
      <c r="D213" s="577"/>
      <c r="E213" s="577"/>
      <c r="F213" s="577"/>
      <c r="G213" s="577"/>
      <c r="H213" s="577"/>
      <c r="I213" s="577"/>
      <c r="J213" s="268"/>
      <c r="K213" s="578"/>
      <c r="L213" s="579"/>
    </row>
    <row r="214" spans="2:12" ht="120" customHeight="1" x14ac:dyDescent="0.3">
      <c r="B214" s="110"/>
      <c r="C214" s="576"/>
      <c r="D214" s="577"/>
      <c r="E214" s="577"/>
      <c r="F214" s="577"/>
      <c r="G214" s="577"/>
      <c r="H214" s="577"/>
      <c r="I214" s="577"/>
      <c r="J214" s="268"/>
      <c r="K214" s="578"/>
      <c r="L214" s="579"/>
    </row>
    <row r="215" spans="2:12" ht="120" customHeight="1" x14ac:dyDescent="0.3">
      <c r="B215" s="110"/>
      <c r="C215" s="576"/>
      <c r="D215" s="577"/>
      <c r="E215" s="577"/>
      <c r="F215" s="577"/>
      <c r="G215" s="577"/>
      <c r="H215" s="577"/>
      <c r="I215" s="577"/>
      <c r="J215" s="268"/>
      <c r="K215" s="578"/>
      <c r="L215" s="579"/>
    </row>
    <row r="216" spans="2:12" ht="120" customHeight="1" x14ac:dyDescent="0.3">
      <c r="B216" s="110"/>
      <c r="C216" s="576"/>
      <c r="D216" s="577"/>
      <c r="E216" s="577"/>
      <c r="F216" s="577"/>
      <c r="G216" s="577"/>
      <c r="H216" s="577"/>
      <c r="I216" s="577"/>
      <c r="J216" s="268"/>
      <c r="K216" s="578"/>
      <c r="L216" s="579"/>
    </row>
    <row r="217" spans="2:12" ht="120" customHeight="1" x14ac:dyDescent="0.3">
      <c r="B217" s="110"/>
      <c r="C217" s="576"/>
      <c r="D217" s="577"/>
      <c r="E217" s="577"/>
      <c r="F217" s="577"/>
      <c r="G217" s="577"/>
      <c r="H217" s="577"/>
      <c r="I217" s="577"/>
      <c r="J217" s="268"/>
      <c r="K217" s="578"/>
      <c r="L217" s="579"/>
    </row>
    <row r="218" spans="2:12" ht="120" customHeight="1" x14ac:dyDescent="0.3">
      <c r="B218" s="110"/>
      <c r="C218" s="576"/>
      <c r="D218" s="577"/>
      <c r="E218" s="577"/>
      <c r="F218" s="577"/>
      <c r="G218" s="577"/>
      <c r="H218" s="577"/>
      <c r="I218" s="577"/>
      <c r="J218" s="268"/>
      <c r="K218" s="578"/>
      <c r="L218" s="579"/>
    </row>
    <row r="219" spans="2:12" ht="120" customHeight="1" x14ac:dyDescent="0.3">
      <c r="B219" s="110"/>
      <c r="C219" s="576"/>
      <c r="D219" s="577"/>
      <c r="E219" s="577"/>
      <c r="F219" s="577"/>
      <c r="G219" s="577"/>
      <c r="H219" s="577"/>
      <c r="I219" s="577"/>
      <c r="J219" s="268"/>
      <c r="K219" s="578"/>
      <c r="L219" s="579"/>
    </row>
    <row r="220" spans="2:12" ht="120" customHeight="1" x14ac:dyDescent="0.3">
      <c r="B220" s="110"/>
      <c r="C220" s="576"/>
      <c r="D220" s="577"/>
      <c r="E220" s="577"/>
      <c r="F220" s="577"/>
      <c r="G220" s="577"/>
      <c r="H220" s="577"/>
      <c r="I220" s="577"/>
      <c r="J220" s="268"/>
      <c r="K220" s="578"/>
      <c r="L220" s="579"/>
    </row>
    <row r="221" spans="2:12" ht="120" customHeight="1" x14ac:dyDescent="0.3">
      <c r="B221" s="110"/>
      <c r="C221" s="576"/>
      <c r="D221" s="577"/>
      <c r="E221" s="577"/>
      <c r="F221" s="577"/>
      <c r="G221" s="577"/>
      <c r="H221" s="577"/>
      <c r="I221" s="577"/>
      <c r="J221" s="268"/>
      <c r="K221" s="578"/>
      <c r="L221" s="579"/>
    </row>
    <row r="222" spans="2:12" ht="120" customHeight="1" x14ac:dyDescent="0.3">
      <c r="B222" s="110"/>
      <c r="C222" s="576"/>
      <c r="D222" s="577"/>
      <c r="E222" s="577"/>
      <c r="F222" s="577"/>
      <c r="G222" s="577"/>
      <c r="H222" s="577"/>
      <c r="I222" s="577"/>
      <c r="J222" s="268"/>
      <c r="K222" s="578"/>
      <c r="L222" s="579"/>
    </row>
    <row r="223" spans="2:12" ht="120" customHeight="1" x14ac:dyDescent="0.3">
      <c r="B223" s="110"/>
      <c r="C223" s="576"/>
      <c r="D223" s="577"/>
      <c r="E223" s="577"/>
      <c r="F223" s="577"/>
      <c r="G223" s="577"/>
      <c r="H223" s="577"/>
      <c r="I223" s="577"/>
      <c r="J223" s="268"/>
      <c r="K223" s="578"/>
      <c r="L223" s="579"/>
    </row>
    <row r="224" spans="2:12" ht="120" customHeight="1" x14ac:dyDescent="0.3">
      <c r="B224" s="110"/>
      <c r="C224" s="576"/>
      <c r="D224" s="577"/>
      <c r="E224" s="577"/>
      <c r="F224" s="577"/>
      <c r="G224" s="577"/>
      <c r="H224" s="577"/>
      <c r="I224" s="577"/>
      <c r="J224" s="268"/>
      <c r="K224" s="578"/>
      <c r="L224" s="579"/>
    </row>
    <row r="225" spans="2:12" ht="120" customHeight="1" x14ac:dyDescent="0.3">
      <c r="B225" s="110"/>
      <c r="C225" s="576"/>
      <c r="D225" s="577"/>
      <c r="E225" s="577"/>
      <c r="F225" s="577"/>
      <c r="G225" s="577"/>
      <c r="H225" s="577"/>
      <c r="I225" s="577"/>
      <c r="J225" s="268"/>
      <c r="K225" s="578"/>
      <c r="L225" s="579"/>
    </row>
    <row r="226" spans="2:12" ht="120" customHeight="1" x14ac:dyDescent="0.3">
      <c r="B226" s="110"/>
      <c r="C226" s="576"/>
      <c r="D226" s="577"/>
      <c r="E226" s="577"/>
      <c r="F226" s="577"/>
      <c r="G226" s="577"/>
      <c r="H226" s="577"/>
      <c r="I226" s="577"/>
      <c r="J226" s="268"/>
      <c r="K226" s="578"/>
      <c r="L226" s="579"/>
    </row>
    <row r="227" spans="2:12" ht="120" customHeight="1" x14ac:dyDescent="0.3">
      <c r="B227" s="110"/>
      <c r="C227" s="576"/>
      <c r="D227" s="577"/>
      <c r="E227" s="577"/>
      <c r="F227" s="577"/>
      <c r="G227" s="577"/>
      <c r="H227" s="577"/>
      <c r="I227" s="577"/>
      <c r="J227" s="268"/>
      <c r="K227" s="578"/>
      <c r="L227" s="579"/>
    </row>
    <row r="228" spans="2:12" ht="120" customHeight="1" x14ac:dyDescent="0.3">
      <c r="B228" s="110"/>
      <c r="C228" s="576"/>
      <c r="D228" s="577"/>
      <c r="E228" s="577"/>
      <c r="F228" s="577"/>
      <c r="G228" s="577"/>
      <c r="H228" s="577"/>
      <c r="I228" s="577"/>
      <c r="J228" s="268"/>
      <c r="K228" s="578"/>
      <c r="L228" s="579"/>
    </row>
    <row r="229" spans="2:12" ht="120" customHeight="1" x14ac:dyDescent="0.3">
      <c r="B229" s="110"/>
      <c r="C229" s="576"/>
      <c r="D229" s="577"/>
      <c r="E229" s="577"/>
      <c r="F229" s="577"/>
      <c r="G229" s="577"/>
      <c r="H229" s="577"/>
      <c r="I229" s="577"/>
      <c r="J229" s="268"/>
      <c r="K229" s="578"/>
      <c r="L229" s="579"/>
    </row>
    <row r="230" spans="2:12" ht="120" customHeight="1" x14ac:dyDescent="0.3">
      <c r="B230" s="110"/>
      <c r="C230" s="576"/>
      <c r="D230" s="577"/>
      <c r="E230" s="577"/>
      <c r="F230" s="577"/>
      <c r="G230" s="577"/>
      <c r="H230" s="577"/>
      <c r="I230" s="577"/>
      <c r="J230" s="268"/>
      <c r="K230" s="578"/>
      <c r="L230" s="579"/>
    </row>
    <row r="231" spans="2:12" ht="120" customHeight="1" x14ac:dyDescent="0.3">
      <c r="B231" s="110"/>
      <c r="C231" s="576"/>
      <c r="D231" s="577"/>
      <c r="E231" s="577"/>
      <c r="F231" s="577"/>
      <c r="G231" s="577"/>
      <c r="H231" s="577"/>
      <c r="I231" s="577"/>
      <c r="J231" s="268"/>
      <c r="K231" s="578"/>
      <c r="L231" s="579"/>
    </row>
    <row r="232" spans="2:12" ht="120" customHeight="1" x14ac:dyDescent="0.3">
      <c r="B232" s="110"/>
      <c r="C232" s="576"/>
      <c r="D232" s="577"/>
      <c r="E232" s="577"/>
      <c r="F232" s="577"/>
      <c r="G232" s="577"/>
      <c r="H232" s="577"/>
      <c r="I232" s="577"/>
      <c r="J232" s="268"/>
      <c r="K232" s="578"/>
      <c r="L232" s="579"/>
    </row>
    <row r="233" spans="2:12" ht="120" customHeight="1" x14ac:dyDescent="0.3">
      <c r="B233" s="110"/>
      <c r="C233" s="576"/>
      <c r="D233" s="577"/>
      <c r="E233" s="577"/>
      <c r="F233" s="577"/>
      <c r="G233" s="577"/>
      <c r="H233" s="577"/>
      <c r="I233" s="577"/>
      <c r="J233" s="268"/>
      <c r="K233" s="578"/>
      <c r="L233" s="579"/>
    </row>
    <row r="234" spans="2:12" ht="120" customHeight="1" x14ac:dyDescent="0.3">
      <c r="B234" s="110"/>
      <c r="C234" s="576"/>
      <c r="D234" s="577"/>
      <c r="E234" s="577"/>
      <c r="F234" s="577"/>
      <c r="G234" s="577"/>
      <c r="H234" s="577"/>
      <c r="I234" s="577"/>
      <c r="J234" s="268"/>
      <c r="K234" s="578"/>
      <c r="L234" s="579"/>
    </row>
    <row r="235" spans="2:12" ht="120" customHeight="1" x14ac:dyDescent="0.3">
      <c r="B235" s="110"/>
      <c r="C235" s="576"/>
      <c r="D235" s="577"/>
      <c r="E235" s="577"/>
      <c r="F235" s="577"/>
      <c r="G235" s="577"/>
      <c r="H235" s="577"/>
      <c r="I235" s="577"/>
      <c r="J235" s="268"/>
      <c r="K235" s="578"/>
      <c r="L235" s="579"/>
    </row>
    <row r="236" spans="2:12" ht="120" customHeight="1" x14ac:dyDescent="0.3">
      <c r="B236" s="110"/>
      <c r="C236" s="576"/>
      <c r="D236" s="577"/>
      <c r="E236" s="577"/>
      <c r="F236" s="577"/>
      <c r="G236" s="577"/>
      <c r="H236" s="577"/>
      <c r="I236" s="577"/>
      <c r="J236" s="268"/>
      <c r="K236" s="578"/>
      <c r="L236" s="579"/>
    </row>
    <row r="237" spans="2:12" ht="120" customHeight="1" x14ac:dyDescent="0.3">
      <c r="B237" s="110"/>
      <c r="C237" s="576"/>
      <c r="D237" s="577"/>
      <c r="E237" s="577"/>
      <c r="F237" s="577"/>
      <c r="G237" s="577"/>
      <c r="H237" s="577"/>
      <c r="I237" s="577"/>
      <c r="J237" s="268"/>
      <c r="K237" s="578"/>
      <c r="L237" s="579"/>
    </row>
    <row r="238" spans="2:12" ht="120" customHeight="1" x14ac:dyDescent="0.3">
      <c r="B238" s="110"/>
      <c r="C238" s="576"/>
      <c r="D238" s="577"/>
      <c r="E238" s="577"/>
      <c r="F238" s="577"/>
      <c r="G238" s="577"/>
      <c r="H238" s="577"/>
      <c r="I238" s="577"/>
      <c r="J238" s="268"/>
      <c r="K238" s="578"/>
      <c r="L238" s="579"/>
    </row>
    <row r="239" spans="2:12" ht="120" customHeight="1" x14ac:dyDescent="0.3">
      <c r="B239" s="110"/>
      <c r="C239" s="576"/>
      <c r="D239" s="577"/>
      <c r="E239" s="577"/>
      <c r="F239" s="577"/>
      <c r="G239" s="577"/>
      <c r="H239" s="577"/>
      <c r="I239" s="577"/>
      <c r="J239" s="268"/>
      <c r="K239" s="578"/>
      <c r="L239" s="579"/>
    </row>
    <row r="240" spans="2:12" ht="120" customHeight="1" x14ac:dyDescent="0.3">
      <c r="B240" s="110"/>
      <c r="C240" s="576"/>
      <c r="D240" s="577"/>
      <c r="E240" s="577"/>
      <c r="F240" s="577"/>
      <c r="G240" s="577"/>
      <c r="H240" s="577"/>
      <c r="I240" s="577"/>
      <c r="J240" s="268"/>
      <c r="K240" s="578"/>
      <c r="L240" s="579"/>
    </row>
    <row r="241" spans="2:12" ht="120" customHeight="1" x14ac:dyDescent="0.3">
      <c r="B241" s="110"/>
      <c r="C241" s="576"/>
      <c r="D241" s="577"/>
      <c r="E241" s="577"/>
      <c r="F241" s="577"/>
      <c r="G241" s="577"/>
      <c r="H241" s="577"/>
      <c r="I241" s="577"/>
      <c r="J241" s="268"/>
      <c r="K241" s="578"/>
      <c r="L241" s="579"/>
    </row>
    <row r="242" spans="2:12" ht="120" customHeight="1" x14ac:dyDescent="0.3">
      <c r="B242" s="110"/>
      <c r="C242" s="576"/>
      <c r="D242" s="577"/>
      <c r="E242" s="577"/>
      <c r="F242" s="577"/>
      <c r="G242" s="577"/>
      <c r="H242" s="577"/>
      <c r="I242" s="577"/>
      <c r="J242" s="268"/>
      <c r="K242" s="578"/>
      <c r="L242" s="579"/>
    </row>
    <row r="243" spans="2:12" ht="120" customHeight="1" x14ac:dyDescent="0.3">
      <c r="B243" s="110"/>
      <c r="C243" s="576"/>
      <c r="D243" s="577"/>
      <c r="E243" s="577"/>
      <c r="F243" s="577"/>
      <c r="G243" s="577"/>
      <c r="H243" s="577"/>
      <c r="I243" s="577"/>
      <c r="J243" s="268"/>
      <c r="K243" s="578"/>
      <c r="L243" s="579"/>
    </row>
    <row r="244" spans="2:12" ht="120" customHeight="1" x14ac:dyDescent="0.3">
      <c r="B244" s="110"/>
      <c r="C244" s="576"/>
      <c r="D244" s="577"/>
      <c r="E244" s="577"/>
      <c r="F244" s="577"/>
      <c r="G244" s="577"/>
      <c r="H244" s="577"/>
      <c r="I244" s="577"/>
      <c r="J244" s="268"/>
      <c r="K244" s="578"/>
      <c r="L244" s="579"/>
    </row>
    <row r="245" spans="2:12" ht="120" customHeight="1" x14ac:dyDescent="0.3">
      <c r="B245" s="110"/>
      <c r="C245" s="576"/>
      <c r="D245" s="577"/>
      <c r="E245" s="577"/>
      <c r="F245" s="577"/>
      <c r="G245" s="577"/>
      <c r="H245" s="577"/>
      <c r="I245" s="577"/>
      <c r="J245" s="268"/>
      <c r="K245" s="578"/>
      <c r="L245" s="579"/>
    </row>
    <row r="246" spans="2:12" ht="120" customHeight="1" x14ac:dyDescent="0.3">
      <c r="B246" s="110"/>
      <c r="C246" s="576"/>
      <c r="D246" s="577"/>
      <c r="E246" s="577"/>
      <c r="F246" s="577"/>
      <c r="G246" s="577"/>
      <c r="H246" s="577"/>
      <c r="I246" s="577"/>
      <c r="J246" s="268"/>
      <c r="K246" s="578"/>
      <c r="L246" s="579"/>
    </row>
    <row r="247" spans="2:12" ht="120" customHeight="1" x14ac:dyDescent="0.3">
      <c r="B247" s="110"/>
      <c r="C247" s="576"/>
      <c r="D247" s="577"/>
      <c r="E247" s="577"/>
      <c r="F247" s="577"/>
      <c r="G247" s="577"/>
      <c r="H247" s="577"/>
      <c r="I247" s="577"/>
      <c r="J247" s="268"/>
      <c r="K247" s="578"/>
      <c r="L247" s="579"/>
    </row>
    <row r="248" spans="2:12" ht="120" customHeight="1" x14ac:dyDescent="0.3">
      <c r="B248" s="110"/>
      <c r="C248" s="576"/>
      <c r="D248" s="577"/>
      <c r="E248" s="577"/>
      <c r="F248" s="577"/>
      <c r="G248" s="577"/>
      <c r="H248" s="577"/>
      <c r="I248" s="577"/>
      <c r="J248" s="268"/>
      <c r="K248" s="578"/>
      <c r="L248" s="579"/>
    </row>
    <row r="249" spans="2:12" ht="120" customHeight="1" x14ac:dyDescent="0.3">
      <c r="B249" s="110"/>
      <c r="C249" s="576"/>
      <c r="D249" s="577"/>
      <c r="E249" s="577"/>
      <c r="F249" s="577"/>
      <c r="G249" s="577"/>
      <c r="H249" s="577"/>
      <c r="I249" s="577"/>
      <c r="J249" s="268"/>
      <c r="K249" s="578"/>
      <c r="L249" s="579"/>
    </row>
    <row r="250" spans="2:12" ht="120" customHeight="1" x14ac:dyDescent="0.3">
      <c r="B250" s="110"/>
      <c r="C250" s="576"/>
      <c r="D250" s="577"/>
      <c r="E250" s="577"/>
      <c r="F250" s="577"/>
      <c r="G250" s="577"/>
      <c r="H250" s="577"/>
      <c r="I250" s="577"/>
      <c r="J250" s="268"/>
      <c r="K250" s="578"/>
      <c r="L250" s="579"/>
    </row>
    <row r="251" spans="2:12" ht="120" customHeight="1" x14ac:dyDescent="0.3">
      <c r="B251" s="110"/>
      <c r="C251" s="576"/>
      <c r="D251" s="577"/>
      <c r="E251" s="577"/>
      <c r="F251" s="577"/>
      <c r="G251" s="577"/>
      <c r="H251" s="577"/>
      <c r="I251" s="577"/>
      <c r="J251" s="268"/>
      <c r="K251" s="578"/>
      <c r="L251" s="579"/>
    </row>
    <row r="252" spans="2:12" ht="120" customHeight="1" x14ac:dyDescent="0.3">
      <c r="B252" s="110"/>
      <c r="C252" s="576"/>
      <c r="D252" s="577"/>
      <c r="E252" s="577"/>
      <c r="F252" s="577"/>
      <c r="G252" s="577"/>
      <c r="H252" s="577"/>
      <c r="I252" s="577"/>
      <c r="J252" s="268"/>
      <c r="K252" s="578"/>
      <c r="L252" s="579"/>
    </row>
    <row r="253" spans="2:12" ht="120" customHeight="1" x14ac:dyDescent="0.3">
      <c r="B253" s="110"/>
      <c r="C253" s="576"/>
      <c r="D253" s="577"/>
      <c r="E253" s="577"/>
      <c r="F253" s="577"/>
      <c r="G253" s="577"/>
      <c r="H253" s="577"/>
      <c r="I253" s="577"/>
      <c r="J253" s="268"/>
      <c r="K253" s="578"/>
      <c r="L253" s="579"/>
    </row>
    <row r="254" spans="2:12" ht="120" customHeight="1" x14ac:dyDescent="0.3">
      <c r="B254" s="110"/>
      <c r="C254" s="576"/>
      <c r="D254" s="577"/>
      <c r="E254" s="577"/>
      <c r="F254" s="577"/>
      <c r="G254" s="577"/>
      <c r="H254" s="577"/>
      <c r="I254" s="577"/>
      <c r="J254" s="268"/>
      <c r="K254" s="578"/>
      <c r="L254" s="579"/>
    </row>
    <row r="255" spans="2:12" ht="120" customHeight="1" x14ac:dyDescent="0.3">
      <c r="B255" s="110"/>
      <c r="C255" s="576"/>
      <c r="D255" s="577"/>
      <c r="E255" s="577"/>
      <c r="F255" s="577"/>
      <c r="G255" s="577"/>
      <c r="H255" s="577"/>
      <c r="I255" s="577"/>
      <c r="J255" s="268"/>
      <c r="K255" s="578"/>
      <c r="L255" s="579"/>
    </row>
    <row r="256" spans="2:12" ht="120" customHeight="1" x14ac:dyDescent="0.3">
      <c r="B256" s="110"/>
      <c r="C256" s="576"/>
      <c r="D256" s="577"/>
      <c r="E256" s="577"/>
      <c r="F256" s="577"/>
      <c r="G256" s="577"/>
      <c r="H256" s="577"/>
      <c r="I256" s="577"/>
      <c r="J256" s="268"/>
      <c r="K256" s="578"/>
      <c r="L256" s="579"/>
    </row>
    <row r="257" spans="2:12" ht="120" customHeight="1" x14ac:dyDescent="0.3">
      <c r="B257" s="110"/>
      <c r="C257" s="576"/>
      <c r="D257" s="577"/>
      <c r="E257" s="577"/>
      <c r="F257" s="577"/>
      <c r="G257" s="577"/>
      <c r="H257" s="577"/>
      <c r="I257" s="577"/>
      <c r="J257" s="268"/>
      <c r="K257" s="578"/>
      <c r="L257" s="579"/>
    </row>
    <row r="258" spans="2:12" ht="120" customHeight="1" x14ac:dyDescent="0.3">
      <c r="B258" s="110"/>
      <c r="C258" s="576"/>
      <c r="D258" s="577"/>
      <c r="E258" s="577"/>
      <c r="F258" s="577"/>
      <c r="G258" s="577"/>
      <c r="H258" s="577"/>
      <c r="I258" s="577"/>
      <c r="J258" s="268"/>
      <c r="K258" s="578"/>
      <c r="L258" s="579"/>
    </row>
    <row r="259" spans="2:12" ht="120" customHeight="1" x14ac:dyDescent="0.3">
      <c r="B259" s="110"/>
      <c r="C259" s="576"/>
      <c r="D259" s="577"/>
      <c r="E259" s="577"/>
      <c r="F259" s="577"/>
      <c r="G259" s="577"/>
      <c r="H259" s="577"/>
      <c r="I259" s="577"/>
      <c r="J259" s="268"/>
      <c r="K259" s="578"/>
      <c r="L259" s="579"/>
    </row>
    <row r="260" spans="2:12" ht="120" customHeight="1" x14ac:dyDescent="0.3">
      <c r="B260" s="110"/>
      <c r="C260" s="576"/>
      <c r="D260" s="577"/>
      <c r="E260" s="577"/>
      <c r="F260" s="577"/>
      <c r="G260" s="577"/>
      <c r="H260" s="577"/>
      <c r="I260" s="577"/>
      <c r="J260" s="268"/>
      <c r="K260" s="578"/>
      <c r="L260" s="579"/>
    </row>
    <row r="261" spans="2:12" ht="120" customHeight="1" x14ac:dyDescent="0.3">
      <c r="B261" s="110"/>
      <c r="C261" s="576"/>
      <c r="D261" s="577"/>
      <c r="E261" s="577"/>
      <c r="F261" s="577"/>
      <c r="G261" s="577"/>
      <c r="H261" s="577"/>
      <c r="I261" s="577"/>
      <c r="J261" s="268"/>
      <c r="K261" s="578"/>
      <c r="L261" s="579"/>
    </row>
    <row r="262" spans="2:12" ht="120" customHeight="1" x14ac:dyDescent="0.3">
      <c r="B262" s="110"/>
      <c r="C262" s="576"/>
      <c r="D262" s="577"/>
      <c r="E262" s="577"/>
      <c r="F262" s="577"/>
      <c r="G262" s="577"/>
      <c r="H262" s="577"/>
      <c r="I262" s="577"/>
      <c r="J262" s="268"/>
      <c r="K262" s="578"/>
      <c r="L262" s="579"/>
    </row>
    <row r="263" spans="2:12" ht="120" customHeight="1" x14ac:dyDescent="0.3">
      <c r="B263" s="110"/>
      <c r="C263" s="576"/>
      <c r="D263" s="577"/>
      <c r="E263" s="577"/>
      <c r="F263" s="577"/>
      <c r="G263" s="577"/>
      <c r="H263" s="577"/>
      <c r="I263" s="577"/>
      <c r="J263" s="268"/>
      <c r="K263" s="578"/>
      <c r="L263" s="579"/>
    </row>
    <row r="264" spans="2:12" ht="120" customHeight="1" x14ac:dyDescent="0.3">
      <c r="B264" s="110"/>
      <c r="C264" s="576"/>
      <c r="D264" s="577"/>
      <c r="E264" s="577"/>
      <c r="F264" s="577"/>
      <c r="G264" s="577"/>
      <c r="H264" s="577"/>
      <c r="I264" s="577"/>
      <c r="J264" s="268"/>
      <c r="K264" s="578"/>
      <c r="L264" s="579"/>
    </row>
    <row r="265" spans="2:12" ht="120" customHeight="1" x14ac:dyDescent="0.3">
      <c r="B265" s="110"/>
      <c r="C265" s="576"/>
      <c r="D265" s="577"/>
      <c r="E265" s="577"/>
      <c r="F265" s="577"/>
      <c r="G265" s="577"/>
      <c r="H265" s="577"/>
      <c r="I265" s="577"/>
      <c r="J265" s="268"/>
      <c r="K265" s="578"/>
      <c r="L265" s="579"/>
    </row>
    <row r="266" spans="2:12" ht="120" customHeight="1" x14ac:dyDescent="0.3">
      <c r="B266" s="110"/>
      <c r="C266" s="576"/>
      <c r="D266" s="577"/>
      <c r="E266" s="577"/>
      <c r="F266" s="577"/>
      <c r="G266" s="577"/>
      <c r="H266" s="577"/>
      <c r="I266" s="577"/>
      <c r="J266" s="268"/>
      <c r="K266" s="578"/>
      <c r="L266" s="579"/>
    </row>
    <row r="267" spans="2:12" ht="120" customHeight="1" x14ac:dyDescent="0.3">
      <c r="B267" s="110"/>
      <c r="C267" s="576"/>
      <c r="D267" s="577"/>
      <c r="E267" s="577"/>
      <c r="F267" s="577"/>
      <c r="G267" s="577"/>
      <c r="H267" s="577"/>
      <c r="I267" s="577"/>
      <c r="J267" s="268"/>
      <c r="K267" s="578"/>
      <c r="L267" s="579"/>
    </row>
    <row r="268" spans="2:12" ht="120" customHeight="1" x14ac:dyDescent="0.3">
      <c r="B268" s="110"/>
      <c r="C268" s="576"/>
      <c r="D268" s="577"/>
      <c r="E268" s="577"/>
      <c r="F268" s="577"/>
      <c r="G268" s="577"/>
      <c r="H268" s="577"/>
      <c r="I268" s="577"/>
      <c r="J268" s="268"/>
      <c r="K268" s="578"/>
      <c r="L268" s="579"/>
    </row>
    <row r="269" spans="2:12" ht="120" customHeight="1" x14ac:dyDescent="0.3">
      <c r="B269" s="110"/>
      <c r="C269" s="576"/>
      <c r="D269" s="577"/>
      <c r="E269" s="577"/>
      <c r="F269" s="577"/>
      <c r="G269" s="577"/>
      <c r="H269" s="577"/>
      <c r="I269" s="577"/>
      <c r="J269" s="268"/>
      <c r="K269" s="578"/>
      <c r="L269" s="579"/>
    </row>
    <row r="270" spans="2:12" ht="120" customHeight="1" x14ac:dyDescent="0.3">
      <c r="B270" s="110"/>
      <c r="C270" s="576"/>
      <c r="D270" s="577"/>
      <c r="E270" s="577"/>
      <c r="F270" s="577"/>
      <c r="G270" s="577"/>
      <c r="H270" s="577"/>
      <c r="I270" s="577"/>
      <c r="J270" s="268"/>
      <c r="K270" s="578"/>
      <c r="L270" s="579"/>
    </row>
    <row r="271" spans="2:12" ht="120" customHeight="1" x14ac:dyDescent="0.3">
      <c r="B271" s="110"/>
      <c r="C271" s="576"/>
      <c r="D271" s="577"/>
      <c r="E271" s="577"/>
      <c r="F271" s="577"/>
      <c r="G271" s="577"/>
      <c r="H271" s="577"/>
      <c r="I271" s="577"/>
      <c r="J271" s="268"/>
      <c r="K271" s="578"/>
      <c r="L271" s="579"/>
    </row>
    <row r="272" spans="2:12" ht="120" customHeight="1" x14ac:dyDescent="0.3">
      <c r="B272" s="110"/>
      <c r="C272" s="576"/>
      <c r="D272" s="577"/>
      <c r="E272" s="577"/>
      <c r="F272" s="577"/>
      <c r="G272" s="577"/>
      <c r="H272" s="577"/>
      <c r="I272" s="577"/>
      <c r="J272" s="268"/>
      <c r="K272" s="578"/>
      <c r="L272" s="579"/>
    </row>
    <row r="273" spans="2:12" ht="120" customHeight="1" x14ac:dyDescent="0.3">
      <c r="B273" s="110"/>
      <c r="C273" s="576"/>
      <c r="D273" s="577"/>
      <c r="E273" s="577"/>
      <c r="F273" s="577"/>
      <c r="G273" s="577"/>
      <c r="H273" s="577"/>
      <c r="I273" s="577"/>
      <c r="J273" s="268"/>
      <c r="K273" s="578"/>
      <c r="L273" s="579"/>
    </row>
    <row r="274" spans="2:12" ht="120" customHeight="1" x14ac:dyDescent="0.3">
      <c r="B274" s="110"/>
      <c r="C274" s="576"/>
      <c r="D274" s="577"/>
      <c r="E274" s="577"/>
      <c r="F274" s="577"/>
      <c r="G274" s="577"/>
      <c r="H274" s="577"/>
      <c r="I274" s="577"/>
      <c r="J274" s="268"/>
      <c r="K274" s="578"/>
      <c r="L274" s="579"/>
    </row>
    <row r="275" spans="2:12" ht="120" customHeight="1" x14ac:dyDescent="0.3">
      <c r="B275" s="110"/>
      <c r="C275" s="576"/>
      <c r="D275" s="577"/>
      <c r="E275" s="577"/>
      <c r="F275" s="577"/>
      <c r="G275" s="577"/>
      <c r="H275" s="577"/>
      <c r="I275" s="577"/>
      <c r="J275" s="268"/>
      <c r="K275" s="578"/>
      <c r="L275" s="579"/>
    </row>
    <row r="276" spans="2:12" ht="120" customHeight="1" x14ac:dyDescent="0.3">
      <c r="B276" s="110"/>
      <c r="C276" s="576"/>
      <c r="D276" s="577"/>
      <c r="E276" s="577"/>
      <c r="F276" s="577"/>
      <c r="G276" s="577"/>
      <c r="H276" s="577"/>
      <c r="I276" s="577"/>
      <c r="J276" s="268"/>
      <c r="K276" s="578"/>
      <c r="L276" s="579"/>
    </row>
    <row r="277" spans="2:12" ht="120" customHeight="1" x14ac:dyDescent="0.3">
      <c r="B277" s="110"/>
      <c r="C277" s="576"/>
      <c r="D277" s="577"/>
      <c r="E277" s="577"/>
      <c r="F277" s="577"/>
      <c r="G277" s="577"/>
      <c r="H277" s="577"/>
      <c r="I277" s="577"/>
      <c r="J277" s="268"/>
      <c r="K277" s="578"/>
      <c r="L277" s="579"/>
    </row>
    <row r="278" spans="2:12" ht="120" customHeight="1" x14ac:dyDescent="0.3">
      <c r="B278" s="110"/>
      <c r="C278" s="576"/>
      <c r="D278" s="577"/>
      <c r="E278" s="577"/>
      <c r="F278" s="577"/>
      <c r="G278" s="577"/>
      <c r="H278" s="577"/>
      <c r="I278" s="577"/>
      <c r="J278" s="268"/>
      <c r="K278" s="578"/>
      <c r="L278" s="579"/>
    </row>
    <row r="279" spans="2:12" ht="120" customHeight="1" x14ac:dyDescent="0.3">
      <c r="B279" s="110"/>
      <c r="C279" s="576"/>
      <c r="D279" s="577"/>
      <c r="E279" s="577"/>
      <c r="F279" s="577"/>
      <c r="G279" s="577"/>
      <c r="H279" s="577"/>
      <c r="I279" s="577"/>
      <c r="J279" s="268"/>
      <c r="K279" s="578"/>
      <c r="L279" s="579"/>
    </row>
    <row r="280" spans="2:12" ht="120" customHeight="1" x14ac:dyDescent="0.3">
      <c r="B280" s="110"/>
      <c r="C280" s="576"/>
      <c r="D280" s="577"/>
      <c r="E280" s="577"/>
      <c r="F280" s="577"/>
      <c r="G280" s="577"/>
      <c r="H280" s="577"/>
      <c r="I280" s="577"/>
      <c r="J280" s="268"/>
      <c r="K280" s="578"/>
      <c r="L280" s="579"/>
    </row>
    <row r="281" spans="2:12" ht="120" customHeight="1" x14ac:dyDescent="0.3">
      <c r="B281" s="110"/>
      <c r="C281" s="576"/>
      <c r="D281" s="577"/>
      <c r="E281" s="577"/>
      <c r="F281" s="577"/>
      <c r="G281" s="577"/>
      <c r="H281" s="577"/>
      <c r="I281" s="577"/>
      <c r="J281" s="268"/>
      <c r="K281" s="578"/>
      <c r="L281" s="579"/>
    </row>
    <row r="282" spans="2:12" ht="120" customHeight="1" x14ac:dyDescent="0.3">
      <c r="B282" s="110"/>
      <c r="C282" s="576"/>
      <c r="D282" s="577"/>
      <c r="E282" s="577"/>
      <c r="F282" s="577"/>
      <c r="G282" s="577"/>
      <c r="H282" s="577"/>
      <c r="I282" s="577"/>
      <c r="J282" s="268"/>
      <c r="K282" s="578"/>
      <c r="L282" s="579"/>
    </row>
    <row r="283" spans="2:12" ht="120" customHeight="1" x14ac:dyDescent="0.3">
      <c r="B283" s="110"/>
      <c r="C283" s="576"/>
      <c r="D283" s="577"/>
      <c r="E283" s="577"/>
      <c r="F283" s="577"/>
      <c r="G283" s="577"/>
      <c r="H283" s="577"/>
      <c r="I283" s="577"/>
      <c r="J283" s="268"/>
      <c r="K283" s="578"/>
      <c r="L283" s="579"/>
    </row>
    <row r="284" spans="2:12" ht="120" customHeight="1" x14ac:dyDescent="0.3">
      <c r="B284" s="110"/>
      <c r="C284" s="576"/>
      <c r="D284" s="577"/>
      <c r="E284" s="577"/>
      <c r="F284" s="577"/>
      <c r="G284" s="577"/>
      <c r="H284" s="577"/>
      <c r="I284" s="577"/>
      <c r="J284" s="268"/>
      <c r="K284" s="578"/>
      <c r="L284" s="579"/>
    </row>
    <row r="285" spans="2:12" ht="120" customHeight="1" x14ac:dyDescent="0.3">
      <c r="B285" s="110"/>
      <c r="C285" s="576"/>
      <c r="D285" s="577"/>
      <c r="E285" s="577"/>
      <c r="F285" s="577"/>
      <c r="G285" s="577"/>
      <c r="H285" s="577"/>
      <c r="I285" s="577"/>
      <c r="J285" s="268"/>
      <c r="K285" s="578"/>
      <c r="L285" s="579"/>
    </row>
    <row r="286" spans="2:12" ht="120" customHeight="1" x14ac:dyDescent="0.3">
      <c r="B286" s="110"/>
      <c r="C286" s="576"/>
      <c r="D286" s="577"/>
      <c r="E286" s="577"/>
      <c r="F286" s="577"/>
      <c r="G286" s="577"/>
      <c r="H286" s="577"/>
      <c r="I286" s="577"/>
      <c r="J286" s="268"/>
      <c r="K286" s="578"/>
      <c r="L286" s="579"/>
    </row>
    <row r="287" spans="2:12" ht="120" customHeight="1" x14ac:dyDescent="0.3">
      <c r="B287" s="110"/>
      <c r="C287" s="576"/>
      <c r="D287" s="577"/>
      <c r="E287" s="577"/>
      <c r="F287" s="577"/>
      <c r="G287" s="577"/>
      <c r="H287" s="577"/>
      <c r="I287" s="577"/>
      <c r="J287" s="268"/>
      <c r="K287" s="578"/>
      <c r="L287" s="579"/>
    </row>
    <row r="288" spans="2:12" ht="120" customHeight="1" x14ac:dyDescent="0.3">
      <c r="B288" s="110"/>
      <c r="C288" s="576"/>
      <c r="D288" s="577"/>
      <c r="E288" s="577"/>
      <c r="F288" s="577"/>
      <c r="G288" s="577"/>
      <c r="H288" s="577"/>
      <c r="I288" s="577"/>
      <c r="J288" s="268"/>
      <c r="K288" s="578"/>
      <c r="L288" s="579"/>
    </row>
    <row r="289" spans="2:12" ht="120" customHeight="1" x14ac:dyDescent="0.3">
      <c r="B289" s="110"/>
      <c r="C289" s="576"/>
      <c r="D289" s="577"/>
      <c r="E289" s="577"/>
      <c r="F289" s="577"/>
      <c r="G289" s="577"/>
      <c r="H289" s="577"/>
      <c r="I289" s="577"/>
      <c r="J289" s="268"/>
      <c r="K289" s="578"/>
      <c r="L289" s="579"/>
    </row>
    <row r="290" spans="2:12" ht="120" customHeight="1" x14ac:dyDescent="0.3">
      <c r="B290" s="110"/>
      <c r="C290" s="576"/>
      <c r="D290" s="577"/>
      <c r="E290" s="577"/>
      <c r="F290" s="577"/>
      <c r="G290" s="577"/>
      <c r="H290" s="577"/>
      <c r="I290" s="577"/>
      <c r="J290" s="268"/>
      <c r="K290" s="578"/>
      <c r="L290" s="579"/>
    </row>
    <row r="291" spans="2:12" ht="120" customHeight="1" x14ac:dyDescent="0.3">
      <c r="B291" s="110"/>
      <c r="C291" s="576"/>
      <c r="D291" s="577"/>
      <c r="E291" s="577"/>
      <c r="F291" s="577"/>
      <c r="G291" s="577"/>
      <c r="H291" s="577"/>
      <c r="I291" s="577"/>
      <c r="J291" s="268"/>
      <c r="K291" s="578"/>
      <c r="L291" s="579"/>
    </row>
    <row r="292" spans="2:12" ht="120" customHeight="1" x14ac:dyDescent="0.3">
      <c r="B292" s="110"/>
      <c r="C292" s="576"/>
      <c r="D292" s="577"/>
      <c r="E292" s="577"/>
      <c r="F292" s="577"/>
      <c r="G292" s="577"/>
      <c r="H292" s="577"/>
      <c r="I292" s="577"/>
      <c r="J292" s="268"/>
      <c r="K292" s="578"/>
      <c r="L292" s="579"/>
    </row>
    <row r="293" spans="2:12" ht="120" customHeight="1" x14ac:dyDescent="0.3">
      <c r="B293" s="110"/>
      <c r="C293" s="576"/>
      <c r="D293" s="577"/>
      <c r="E293" s="577"/>
      <c r="F293" s="577"/>
      <c r="G293" s="577"/>
      <c r="H293" s="577"/>
      <c r="I293" s="577"/>
      <c r="J293" s="268"/>
      <c r="K293" s="578"/>
      <c r="L293" s="579"/>
    </row>
    <row r="294" spans="2:12" ht="120" customHeight="1" x14ac:dyDescent="0.3">
      <c r="B294" s="110"/>
      <c r="C294" s="576"/>
      <c r="D294" s="577"/>
      <c r="E294" s="577"/>
      <c r="F294" s="577"/>
      <c r="G294" s="577"/>
      <c r="H294" s="577"/>
      <c r="I294" s="577"/>
      <c r="J294" s="268"/>
      <c r="K294" s="578"/>
      <c r="L294" s="579"/>
    </row>
    <row r="295" spans="2:12" ht="120" customHeight="1" x14ac:dyDescent="0.3">
      <c r="B295" s="110"/>
      <c r="C295" s="576"/>
      <c r="D295" s="577"/>
      <c r="E295" s="577"/>
      <c r="F295" s="577"/>
      <c r="G295" s="577"/>
      <c r="H295" s="577"/>
      <c r="I295" s="577"/>
      <c r="J295" s="268"/>
      <c r="K295" s="578"/>
      <c r="L295" s="579"/>
    </row>
    <row r="296" spans="2:12" ht="120" customHeight="1" x14ac:dyDescent="0.3">
      <c r="B296" s="110"/>
      <c r="C296" s="576"/>
      <c r="D296" s="577"/>
      <c r="E296" s="577"/>
      <c r="F296" s="577"/>
      <c r="G296" s="577"/>
      <c r="H296" s="577"/>
      <c r="I296" s="577"/>
      <c r="J296" s="268"/>
      <c r="K296" s="578"/>
      <c r="L296" s="579"/>
    </row>
    <row r="297" spans="2:12" ht="120" customHeight="1" x14ac:dyDescent="0.3">
      <c r="B297" s="110"/>
      <c r="C297" s="576"/>
      <c r="D297" s="577"/>
      <c r="E297" s="577"/>
      <c r="F297" s="577"/>
      <c r="G297" s="577"/>
      <c r="H297" s="577"/>
      <c r="I297" s="577"/>
      <c r="J297" s="268"/>
      <c r="K297" s="578"/>
      <c r="L297" s="579"/>
    </row>
    <row r="298" spans="2:12" ht="120" customHeight="1" x14ac:dyDescent="0.3">
      <c r="B298" s="110"/>
      <c r="C298" s="576"/>
      <c r="D298" s="577"/>
      <c r="E298" s="577"/>
      <c r="F298" s="577"/>
      <c r="G298" s="577"/>
      <c r="H298" s="577"/>
      <c r="I298" s="577"/>
      <c r="J298" s="268"/>
      <c r="K298" s="578"/>
      <c r="L298" s="579"/>
    </row>
    <row r="299" spans="2:12" ht="120" customHeight="1" x14ac:dyDescent="0.3">
      <c r="B299" s="110"/>
      <c r="C299" s="576"/>
      <c r="D299" s="577"/>
      <c r="E299" s="577"/>
      <c r="F299" s="577"/>
      <c r="G299" s="577"/>
      <c r="H299" s="577"/>
      <c r="I299" s="577"/>
      <c r="J299" s="268"/>
      <c r="K299" s="578"/>
      <c r="L299" s="579"/>
    </row>
    <row r="300" spans="2:12" ht="120" customHeight="1" x14ac:dyDescent="0.3">
      <c r="B300" s="110"/>
      <c r="C300" s="576"/>
      <c r="D300" s="577"/>
      <c r="E300" s="577"/>
      <c r="F300" s="577"/>
      <c r="G300" s="577"/>
      <c r="H300" s="577"/>
      <c r="I300" s="577"/>
      <c r="J300" s="268"/>
      <c r="K300" s="578"/>
      <c r="L300" s="579"/>
    </row>
    <row r="301" spans="2:12" ht="120" customHeight="1" x14ac:dyDescent="0.3">
      <c r="B301" s="110"/>
      <c r="C301" s="576"/>
      <c r="D301" s="577"/>
      <c r="E301" s="577"/>
      <c r="F301" s="577"/>
      <c r="G301" s="577"/>
      <c r="H301" s="577"/>
      <c r="I301" s="577"/>
      <c r="J301" s="268"/>
      <c r="K301" s="578"/>
      <c r="L301" s="579"/>
    </row>
    <row r="302" spans="2:12" ht="120" customHeight="1" x14ac:dyDescent="0.3">
      <c r="B302" s="110"/>
      <c r="C302" s="576"/>
      <c r="D302" s="577"/>
      <c r="E302" s="577"/>
      <c r="F302" s="577"/>
      <c r="G302" s="577"/>
      <c r="H302" s="577"/>
      <c r="I302" s="577"/>
      <c r="J302" s="268"/>
      <c r="K302" s="578"/>
      <c r="L302" s="579"/>
    </row>
    <row r="303" spans="2:12" ht="120" customHeight="1" x14ac:dyDescent="0.3">
      <c r="B303" s="110"/>
      <c r="C303" s="576"/>
      <c r="D303" s="577"/>
      <c r="E303" s="577"/>
      <c r="F303" s="577"/>
      <c r="G303" s="577"/>
      <c r="H303" s="577"/>
      <c r="I303" s="577"/>
      <c r="J303" s="268"/>
      <c r="K303" s="578"/>
      <c r="L303" s="579"/>
    </row>
    <row r="304" spans="2:12" ht="120" customHeight="1" x14ac:dyDescent="0.3">
      <c r="B304" s="110"/>
      <c r="C304" s="576"/>
      <c r="D304" s="577"/>
      <c r="E304" s="577"/>
      <c r="F304" s="577"/>
      <c r="G304" s="577"/>
      <c r="H304" s="577"/>
      <c r="I304" s="577"/>
      <c r="J304" s="268"/>
      <c r="K304" s="578"/>
      <c r="L304" s="579"/>
    </row>
    <row r="305" spans="2:12" ht="120" customHeight="1" x14ac:dyDescent="0.3">
      <c r="B305" s="110"/>
      <c r="C305" s="576"/>
      <c r="D305" s="577"/>
      <c r="E305" s="577"/>
      <c r="F305" s="577"/>
      <c r="G305" s="577"/>
      <c r="H305" s="577"/>
      <c r="I305" s="577"/>
      <c r="J305" s="268"/>
      <c r="K305" s="578"/>
      <c r="L305" s="579"/>
    </row>
    <row r="306" spans="2:12" ht="120" customHeight="1" x14ac:dyDescent="0.3">
      <c r="B306" s="110"/>
      <c r="C306" s="576"/>
      <c r="D306" s="577"/>
      <c r="E306" s="577"/>
      <c r="F306" s="577"/>
      <c r="G306" s="577"/>
      <c r="H306" s="577"/>
      <c r="I306" s="577"/>
      <c r="J306" s="268"/>
      <c r="K306" s="578"/>
      <c r="L306" s="579"/>
    </row>
    <row r="307" spans="2:12" ht="120" customHeight="1" x14ac:dyDescent="0.3">
      <c r="B307" s="110"/>
      <c r="C307" s="576"/>
      <c r="D307" s="577"/>
      <c r="E307" s="577"/>
      <c r="F307" s="577"/>
      <c r="G307" s="577"/>
      <c r="H307" s="577"/>
      <c r="I307" s="577"/>
      <c r="J307" s="268"/>
      <c r="K307" s="578"/>
      <c r="L307" s="579"/>
    </row>
    <row r="308" spans="2:12" ht="120" customHeight="1" x14ac:dyDescent="0.3">
      <c r="B308" s="110"/>
      <c r="C308" s="576"/>
      <c r="D308" s="577"/>
      <c r="E308" s="577"/>
      <c r="F308" s="577"/>
      <c r="G308" s="577"/>
      <c r="H308" s="577"/>
      <c r="I308" s="577"/>
      <c r="J308" s="268"/>
      <c r="K308" s="578"/>
      <c r="L308" s="579"/>
    </row>
    <row r="309" spans="2:12" ht="120" customHeight="1" x14ac:dyDescent="0.3">
      <c r="B309" s="110"/>
      <c r="C309" s="576"/>
      <c r="D309" s="577"/>
      <c r="E309" s="577"/>
      <c r="F309" s="577"/>
      <c r="G309" s="577"/>
      <c r="H309" s="577"/>
      <c r="I309" s="577"/>
      <c r="J309" s="268"/>
      <c r="K309" s="578"/>
      <c r="L309" s="579"/>
    </row>
    <row r="310" spans="2:12" ht="120" customHeight="1" x14ac:dyDescent="0.3">
      <c r="B310" s="110"/>
      <c r="C310" s="576"/>
      <c r="D310" s="577"/>
      <c r="E310" s="577"/>
      <c r="F310" s="577"/>
      <c r="G310" s="577"/>
      <c r="H310" s="577"/>
      <c r="I310" s="577"/>
      <c r="J310" s="268"/>
      <c r="K310" s="578"/>
      <c r="L310" s="579"/>
    </row>
    <row r="311" spans="2:12" ht="120" customHeight="1" x14ac:dyDescent="0.3">
      <c r="B311" s="110"/>
      <c r="C311" s="576"/>
      <c r="D311" s="577"/>
      <c r="E311" s="577"/>
      <c r="F311" s="577"/>
      <c r="G311" s="577"/>
      <c r="H311" s="577"/>
      <c r="I311" s="577"/>
      <c r="J311" s="268"/>
      <c r="K311" s="578"/>
      <c r="L311" s="579"/>
    </row>
    <row r="312" spans="2:12" ht="120" customHeight="1" x14ac:dyDescent="0.3">
      <c r="B312" s="110"/>
      <c r="C312" s="576"/>
      <c r="D312" s="577"/>
      <c r="E312" s="577"/>
      <c r="F312" s="577"/>
      <c r="G312" s="577"/>
      <c r="H312" s="577"/>
      <c r="I312" s="577"/>
      <c r="J312" s="268"/>
      <c r="K312" s="578"/>
      <c r="L312" s="579"/>
    </row>
    <row r="313" spans="2:12" ht="120" customHeight="1" x14ac:dyDescent="0.3">
      <c r="B313" s="110"/>
      <c r="C313" s="576"/>
      <c r="D313" s="577"/>
      <c r="E313" s="577"/>
      <c r="F313" s="577"/>
      <c r="G313" s="577"/>
      <c r="H313" s="577"/>
      <c r="I313" s="577"/>
      <c r="J313" s="268"/>
      <c r="K313" s="578"/>
      <c r="L313" s="579"/>
    </row>
    <row r="314" spans="2:12" ht="120" customHeight="1" x14ac:dyDescent="0.3">
      <c r="B314" s="110"/>
      <c r="C314" s="576"/>
      <c r="D314" s="577"/>
      <c r="E314" s="577"/>
      <c r="F314" s="577"/>
      <c r="G314" s="577"/>
      <c r="H314" s="577"/>
      <c r="I314" s="577"/>
      <c r="J314" s="268"/>
      <c r="K314" s="578"/>
      <c r="L314" s="579"/>
    </row>
    <row r="315" spans="2:12" ht="120" customHeight="1" x14ac:dyDescent="0.3">
      <c r="B315" s="110"/>
      <c r="C315" s="576"/>
      <c r="D315" s="577"/>
      <c r="E315" s="577"/>
      <c r="F315" s="577"/>
      <c r="G315" s="577"/>
      <c r="H315" s="577"/>
      <c r="I315" s="577"/>
      <c r="J315" s="268"/>
      <c r="K315" s="578"/>
      <c r="L315" s="579"/>
    </row>
    <row r="316" spans="2:12" ht="120" customHeight="1" x14ac:dyDescent="0.3">
      <c r="B316" s="110"/>
      <c r="C316" s="576"/>
      <c r="D316" s="577"/>
      <c r="E316" s="577"/>
      <c r="F316" s="577"/>
      <c r="G316" s="577"/>
      <c r="H316" s="577"/>
      <c r="I316" s="577"/>
      <c r="J316" s="268"/>
      <c r="K316" s="578"/>
      <c r="L316" s="579"/>
    </row>
    <row r="317" spans="2:12" ht="120" customHeight="1" x14ac:dyDescent="0.3">
      <c r="B317" s="110"/>
      <c r="C317" s="576"/>
      <c r="D317" s="577"/>
      <c r="E317" s="577"/>
      <c r="F317" s="577"/>
      <c r="G317" s="577"/>
      <c r="H317" s="577"/>
      <c r="I317" s="577"/>
      <c r="J317" s="268"/>
      <c r="K317" s="578"/>
      <c r="L317" s="579"/>
    </row>
    <row r="318" spans="2:12" ht="120" customHeight="1" x14ac:dyDescent="0.3">
      <c r="B318" s="110"/>
      <c r="C318" s="576"/>
      <c r="D318" s="577"/>
      <c r="E318" s="577"/>
      <c r="F318" s="577"/>
      <c r="G318" s="577"/>
      <c r="H318" s="577"/>
      <c r="I318" s="577"/>
      <c r="J318" s="268"/>
      <c r="K318" s="578"/>
      <c r="L318" s="579"/>
    </row>
    <row r="319" spans="2:12" ht="120" customHeight="1" x14ac:dyDescent="0.3">
      <c r="B319" s="110"/>
      <c r="C319" s="576"/>
      <c r="D319" s="577"/>
      <c r="E319" s="577"/>
      <c r="F319" s="577"/>
      <c r="G319" s="577"/>
      <c r="H319" s="577"/>
      <c r="I319" s="577"/>
      <c r="J319" s="268"/>
      <c r="K319" s="578"/>
      <c r="L319" s="579"/>
    </row>
    <row r="320" spans="2:12" ht="120" customHeight="1" x14ac:dyDescent="0.3">
      <c r="B320" s="110"/>
      <c r="C320" s="576"/>
      <c r="D320" s="577"/>
      <c r="E320" s="577"/>
      <c r="F320" s="577"/>
      <c r="G320" s="577"/>
      <c r="H320" s="577"/>
      <c r="I320" s="577"/>
      <c r="J320" s="268"/>
      <c r="K320" s="578"/>
      <c r="L320" s="579"/>
    </row>
    <row r="321" spans="2:12" ht="120" customHeight="1" x14ac:dyDescent="0.3">
      <c r="B321" s="110"/>
      <c r="C321" s="576"/>
      <c r="D321" s="577"/>
      <c r="E321" s="577"/>
      <c r="F321" s="577"/>
      <c r="G321" s="577"/>
      <c r="H321" s="577"/>
      <c r="I321" s="577"/>
      <c r="J321" s="268"/>
      <c r="K321" s="578"/>
      <c r="L321" s="579"/>
    </row>
    <row r="322" spans="2:12" ht="120" customHeight="1" x14ac:dyDescent="0.3">
      <c r="B322" s="110"/>
      <c r="C322" s="576"/>
      <c r="D322" s="577"/>
      <c r="E322" s="577"/>
      <c r="F322" s="577"/>
      <c r="G322" s="577"/>
      <c r="H322" s="577"/>
      <c r="I322" s="577"/>
      <c r="J322" s="268"/>
      <c r="K322" s="578"/>
      <c r="L322" s="579"/>
    </row>
    <row r="323" spans="2:12" ht="120" customHeight="1" x14ac:dyDescent="0.3">
      <c r="B323" s="110"/>
      <c r="C323" s="576"/>
      <c r="D323" s="577"/>
      <c r="E323" s="577"/>
      <c r="F323" s="577"/>
      <c r="G323" s="577"/>
      <c r="H323" s="577"/>
      <c r="I323" s="577"/>
      <c r="J323" s="268"/>
      <c r="K323" s="578"/>
      <c r="L323" s="579"/>
    </row>
    <row r="324" spans="2:12" ht="120" customHeight="1" x14ac:dyDescent="0.3">
      <c r="B324" s="110"/>
      <c r="C324" s="576"/>
      <c r="D324" s="577"/>
      <c r="E324" s="577"/>
      <c r="F324" s="577"/>
      <c r="G324" s="577"/>
      <c r="H324" s="577"/>
      <c r="I324" s="577"/>
      <c r="J324" s="268"/>
      <c r="K324" s="578"/>
      <c r="L324" s="579"/>
    </row>
    <row r="325" spans="2:12" ht="120" customHeight="1" x14ac:dyDescent="0.3">
      <c r="B325" s="110"/>
      <c r="C325" s="576"/>
      <c r="D325" s="577"/>
      <c r="E325" s="577"/>
      <c r="F325" s="577"/>
      <c r="G325" s="577"/>
      <c r="H325" s="577"/>
      <c r="I325" s="577"/>
      <c r="J325" s="268"/>
      <c r="K325" s="578"/>
      <c r="L325" s="579"/>
    </row>
    <row r="326" spans="2:12" ht="120" customHeight="1" x14ac:dyDescent="0.3">
      <c r="B326" s="110"/>
      <c r="C326" s="576"/>
      <c r="D326" s="577"/>
      <c r="E326" s="577"/>
      <c r="F326" s="577"/>
      <c r="G326" s="577"/>
      <c r="H326" s="577"/>
      <c r="I326" s="577"/>
      <c r="J326" s="268"/>
      <c r="K326" s="578"/>
      <c r="L326" s="579"/>
    </row>
    <row r="327" spans="2:12" ht="120" customHeight="1" x14ac:dyDescent="0.3">
      <c r="B327" s="110"/>
      <c r="C327" s="576"/>
      <c r="D327" s="577"/>
      <c r="E327" s="577"/>
      <c r="F327" s="577"/>
      <c r="G327" s="577"/>
      <c r="H327" s="577"/>
      <c r="I327" s="577"/>
      <c r="J327" s="268"/>
      <c r="K327" s="578"/>
      <c r="L327" s="579"/>
    </row>
    <row r="328" spans="2:12" ht="120" customHeight="1" x14ac:dyDescent="0.3">
      <c r="B328" s="110"/>
      <c r="C328" s="576"/>
      <c r="D328" s="577"/>
      <c r="E328" s="577"/>
      <c r="F328" s="577"/>
      <c r="G328" s="577"/>
      <c r="H328" s="577"/>
      <c r="I328" s="577"/>
      <c r="J328" s="268"/>
      <c r="K328" s="578"/>
      <c r="L328" s="579"/>
    </row>
    <row r="329" spans="2:12" ht="120" customHeight="1" x14ac:dyDescent="0.3">
      <c r="B329" s="110"/>
      <c r="C329" s="576"/>
      <c r="D329" s="577"/>
      <c r="E329" s="577"/>
      <c r="F329" s="577"/>
      <c r="G329" s="577"/>
      <c r="H329" s="577"/>
      <c r="I329" s="577"/>
      <c r="J329" s="268"/>
      <c r="K329" s="578"/>
      <c r="L329" s="579"/>
    </row>
    <row r="330" spans="2:12" ht="120" customHeight="1" x14ac:dyDescent="0.3">
      <c r="B330" s="110"/>
      <c r="C330" s="576"/>
      <c r="D330" s="577"/>
      <c r="E330" s="577"/>
      <c r="F330" s="577"/>
      <c r="G330" s="577"/>
      <c r="H330" s="577"/>
      <c r="I330" s="577"/>
      <c r="J330" s="268"/>
      <c r="K330" s="578"/>
      <c r="L330" s="579"/>
    </row>
    <row r="331" spans="2:12" ht="120" customHeight="1" x14ac:dyDescent="0.3">
      <c r="B331" s="110"/>
      <c r="C331" s="576"/>
      <c r="D331" s="577"/>
      <c r="E331" s="577"/>
      <c r="F331" s="577"/>
      <c r="G331" s="577"/>
      <c r="H331" s="577"/>
      <c r="I331" s="577"/>
      <c r="J331" s="268"/>
      <c r="K331" s="578"/>
      <c r="L331" s="579"/>
    </row>
    <row r="332" spans="2:12" ht="120" customHeight="1" x14ac:dyDescent="0.3">
      <c r="B332" s="110"/>
      <c r="C332" s="576"/>
      <c r="D332" s="577"/>
      <c r="E332" s="577"/>
      <c r="F332" s="577"/>
      <c r="G332" s="577"/>
      <c r="H332" s="577"/>
      <c r="I332" s="577"/>
      <c r="J332" s="268"/>
      <c r="K332" s="578"/>
      <c r="L332" s="579"/>
    </row>
    <row r="333" spans="2:12" ht="120" customHeight="1" x14ac:dyDescent="0.3">
      <c r="B333" s="110"/>
      <c r="C333" s="576"/>
      <c r="D333" s="577"/>
      <c r="E333" s="577"/>
      <c r="F333" s="577"/>
      <c r="G333" s="577"/>
      <c r="H333" s="577"/>
      <c r="I333" s="577"/>
      <c r="J333" s="268"/>
      <c r="K333" s="578"/>
      <c r="L333" s="579"/>
    </row>
    <row r="334" spans="2:12" ht="120" customHeight="1" x14ac:dyDescent="0.3">
      <c r="B334" s="110"/>
      <c r="C334" s="576"/>
      <c r="D334" s="577"/>
      <c r="E334" s="577"/>
      <c r="F334" s="577"/>
      <c r="G334" s="577"/>
      <c r="H334" s="577"/>
      <c r="I334" s="577"/>
      <c r="J334" s="268"/>
      <c r="K334" s="578"/>
      <c r="L334" s="579"/>
    </row>
    <row r="335" spans="2:12" ht="120" customHeight="1" x14ac:dyDescent="0.3">
      <c r="B335" s="110"/>
      <c r="C335" s="576"/>
      <c r="D335" s="577"/>
      <c r="E335" s="577"/>
      <c r="F335" s="577"/>
      <c r="G335" s="577"/>
      <c r="H335" s="577"/>
      <c r="I335" s="577"/>
      <c r="J335" s="268"/>
      <c r="K335" s="578"/>
      <c r="L335" s="579"/>
    </row>
    <row r="336" spans="2:12" ht="120" customHeight="1" x14ac:dyDescent="0.3">
      <c r="B336" s="110"/>
      <c r="C336" s="576"/>
      <c r="D336" s="577"/>
      <c r="E336" s="577"/>
      <c r="F336" s="577"/>
      <c r="G336" s="577"/>
      <c r="H336" s="577"/>
      <c r="I336" s="577"/>
      <c r="J336" s="268"/>
      <c r="K336" s="578"/>
      <c r="L336" s="579"/>
    </row>
    <row r="337" spans="2:12" ht="120" customHeight="1" x14ac:dyDescent="0.3">
      <c r="B337" s="110"/>
      <c r="C337" s="576"/>
      <c r="D337" s="577"/>
      <c r="E337" s="577"/>
      <c r="F337" s="577"/>
      <c r="G337" s="577"/>
      <c r="H337" s="577"/>
      <c r="I337" s="577"/>
      <c r="J337" s="268"/>
      <c r="K337" s="578"/>
      <c r="L337" s="579"/>
    </row>
    <row r="338" spans="2:12" ht="120" customHeight="1" x14ac:dyDescent="0.3">
      <c r="B338" s="110"/>
      <c r="C338" s="576"/>
      <c r="D338" s="577"/>
      <c r="E338" s="577"/>
      <c r="F338" s="577"/>
      <c r="G338" s="577"/>
      <c r="H338" s="577"/>
      <c r="I338" s="577"/>
      <c r="J338" s="268"/>
      <c r="K338" s="578"/>
      <c r="L338" s="579"/>
    </row>
    <row r="339" spans="2:12" ht="120" customHeight="1" x14ac:dyDescent="0.3">
      <c r="B339" s="110"/>
      <c r="C339" s="576"/>
      <c r="D339" s="577"/>
      <c r="E339" s="577"/>
      <c r="F339" s="577"/>
      <c r="G339" s="577"/>
      <c r="H339" s="577"/>
      <c r="I339" s="577"/>
      <c r="J339" s="268"/>
      <c r="K339" s="578"/>
      <c r="L339" s="579"/>
    </row>
    <row r="340" spans="2:12" ht="120" customHeight="1" x14ac:dyDescent="0.3">
      <c r="B340" s="110"/>
      <c r="C340" s="576"/>
      <c r="D340" s="577"/>
      <c r="E340" s="577"/>
      <c r="F340" s="577"/>
      <c r="G340" s="577"/>
      <c r="H340" s="577"/>
      <c r="I340" s="577"/>
      <c r="J340" s="268"/>
      <c r="K340" s="578"/>
      <c r="L340" s="579"/>
    </row>
    <row r="341" spans="2:12" ht="120" customHeight="1" x14ac:dyDescent="0.3">
      <c r="B341" s="110"/>
      <c r="C341" s="576"/>
      <c r="D341" s="577"/>
      <c r="E341" s="577"/>
      <c r="F341" s="577"/>
      <c r="G341" s="577"/>
      <c r="H341" s="577"/>
      <c r="I341" s="577"/>
      <c r="J341" s="268"/>
      <c r="K341" s="578"/>
      <c r="L341" s="579"/>
    </row>
    <row r="342" spans="2:12" ht="120" customHeight="1" x14ac:dyDescent="0.3">
      <c r="B342" s="110"/>
      <c r="C342" s="576"/>
      <c r="D342" s="577"/>
      <c r="E342" s="577"/>
      <c r="F342" s="577"/>
      <c r="G342" s="577"/>
      <c r="H342" s="577"/>
      <c r="I342" s="577"/>
      <c r="J342" s="268"/>
      <c r="K342" s="578"/>
      <c r="L342" s="579"/>
    </row>
    <row r="343" spans="2:12" ht="120" customHeight="1" x14ac:dyDescent="0.3">
      <c r="B343" s="110"/>
      <c r="C343" s="576"/>
      <c r="D343" s="577"/>
      <c r="E343" s="577"/>
      <c r="F343" s="577"/>
      <c r="G343" s="577"/>
      <c r="H343" s="577"/>
      <c r="I343" s="577"/>
      <c r="J343" s="268"/>
      <c r="K343" s="578"/>
      <c r="L343" s="579"/>
    </row>
    <row r="344" spans="2:12" ht="120" customHeight="1" x14ac:dyDescent="0.3">
      <c r="B344" s="110"/>
      <c r="C344" s="576"/>
      <c r="D344" s="577"/>
      <c r="E344" s="577"/>
      <c r="F344" s="577"/>
      <c r="G344" s="577"/>
      <c r="H344" s="577"/>
      <c r="I344" s="577"/>
      <c r="J344" s="268"/>
      <c r="K344" s="578"/>
      <c r="L344" s="579"/>
    </row>
    <row r="345" spans="2:12" ht="120" customHeight="1" x14ac:dyDescent="0.3">
      <c r="B345" s="110"/>
      <c r="C345" s="576"/>
      <c r="D345" s="577"/>
      <c r="E345" s="577"/>
      <c r="F345" s="577"/>
      <c r="G345" s="577"/>
      <c r="H345" s="577"/>
      <c r="I345" s="577"/>
      <c r="J345" s="268"/>
      <c r="K345" s="578"/>
      <c r="L345" s="579"/>
    </row>
    <row r="346" spans="2:12" ht="120" customHeight="1" x14ac:dyDescent="0.3">
      <c r="B346" s="110"/>
      <c r="C346" s="576"/>
      <c r="D346" s="577"/>
      <c r="E346" s="577"/>
      <c r="F346" s="577"/>
      <c r="G346" s="577"/>
      <c r="H346" s="577"/>
      <c r="I346" s="577"/>
      <c r="J346" s="268"/>
      <c r="K346" s="578"/>
      <c r="L346" s="579"/>
    </row>
    <row r="347" spans="2:12" ht="120" customHeight="1" x14ac:dyDescent="0.3">
      <c r="B347" s="110"/>
      <c r="C347" s="576"/>
      <c r="D347" s="577"/>
      <c r="E347" s="577"/>
      <c r="F347" s="577"/>
      <c r="G347" s="577"/>
      <c r="H347" s="577"/>
      <c r="I347" s="577"/>
      <c r="J347" s="268"/>
      <c r="K347" s="578"/>
      <c r="L347" s="579"/>
    </row>
    <row r="348" spans="2:12" ht="120" customHeight="1" x14ac:dyDescent="0.3">
      <c r="B348" s="110"/>
      <c r="C348" s="576"/>
      <c r="D348" s="577"/>
      <c r="E348" s="577"/>
      <c r="F348" s="577"/>
      <c r="G348" s="577"/>
      <c r="H348" s="577"/>
      <c r="I348" s="577"/>
      <c r="J348" s="268"/>
      <c r="K348" s="578"/>
      <c r="L348" s="579"/>
    </row>
    <row r="349" spans="2:12" ht="120" customHeight="1" x14ac:dyDescent="0.3">
      <c r="B349" s="110"/>
      <c r="C349" s="576"/>
      <c r="D349" s="577"/>
      <c r="E349" s="577"/>
      <c r="F349" s="577"/>
      <c r="G349" s="577"/>
      <c r="H349" s="577"/>
      <c r="I349" s="577"/>
      <c r="J349" s="268"/>
      <c r="K349" s="578"/>
      <c r="L349" s="579"/>
    </row>
    <row r="350" spans="2:12" ht="120" customHeight="1" x14ac:dyDescent="0.3">
      <c r="B350" s="110"/>
      <c r="C350" s="576"/>
      <c r="D350" s="577"/>
      <c r="E350" s="577"/>
      <c r="F350" s="577"/>
      <c r="G350" s="577"/>
      <c r="H350" s="577"/>
      <c r="I350" s="577"/>
      <c r="J350" s="268"/>
      <c r="K350" s="578"/>
      <c r="L350" s="579"/>
    </row>
    <row r="351" spans="2:12" ht="120" customHeight="1" x14ac:dyDescent="0.3">
      <c r="B351" s="110"/>
      <c r="C351" s="576"/>
      <c r="D351" s="577"/>
      <c r="E351" s="577"/>
      <c r="F351" s="577"/>
      <c r="G351" s="577"/>
      <c r="H351" s="577"/>
      <c r="I351" s="577"/>
      <c r="J351" s="268"/>
      <c r="K351" s="578"/>
      <c r="L351" s="579"/>
    </row>
    <row r="352" spans="2:12" ht="120" customHeight="1" x14ac:dyDescent="0.3">
      <c r="B352" s="110"/>
      <c r="C352" s="576"/>
      <c r="D352" s="577"/>
      <c r="E352" s="577"/>
      <c r="F352" s="577"/>
      <c r="G352" s="577"/>
      <c r="H352" s="577"/>
      <c r="I352" s="577"/>
      <c r="J352" s="268"/>
      <c r="K352" s="578"/>
      <c r="L352" s="579"/>
    </row>
    <row r="353" spans="2:12" ht="120" customHeight="1" x14ac:dyDescent="0.3">
      <c r="B353" s="110"/>
      <c r="C353" s="576"/>
      <c r="D353" s="577"/>
      <c r="E353" s="577"/>
      <c r="F353" s="577"/>
      <c r="G353" s="577"/>
      <c r="H353" s="577"/>
      <c r="I353" s="577"/>
      <c r="J353" s="268"/>
      <c r="K353" s="578"/>
      <c r="L353" s="579"/>
    </row>
    <row r="354" spans="2:12" ht="120" customHeight="1" x14ac:dyDescent="0.3">
      <c r="B354" s="110"/>
      <c r="C354" s="576"/>
      <c r="D354" s="577"/>
      <c r="E354" s="577"/>
      <c r="F354" s="577"/>
      <c r="G354" s="577"/>
      <c r="H354" s="577"/>
      <c r="I354" s="577"/>
      <c r="J354" s="268"/>
      <c r="K354" s="578"/>
      <c r="L354" s="579"/>
    </row>
    <row r="355" spans="2:12" ht="120" customHeight="1" x14ac:dyDescent="0.3">
      <c r="B355" s="110"/>
      <c r="C355" s="576"/>
      <c r="D355" s="577"/>
      <c r="E355" s="577"/>
      <c r="F355" s="577"/>
      <c r="G355" s="577"/>
      <c r="H355" s="577"/>
      <c r="I355" s="577"/>
      <c r="J355" s="268"/>
      <c r="K355" s="578"/>
      <c r="L355" s="579"/>
    </row>
    <row r="356" spans="2:12" ht="120" customHeight="1" x14ac:dyDescent="0.3">
      <c r="B356" s="110"/>
      <c r="C356" s="576"/>
      <c r="D356" s="577"/>
      <c r="E356" s="577"/>
      <c r="F356" s="577"/>
      <c r="G356" s="577"/>
      <c r="H356" s="577"/>
      <c r="I356" s="577"/>
      <c r="J356" s="268"/>
      <c r="K356" s="578"/>
      <c r="L356" s="579"/>
    </row>
    <row r="357" spans="2:12" ht="120" customHeight="1" x14ac:dyDescent="0.3">
      <c r="B357" s="110"/>
      <c r="C357" s="576"/>
      <c r="D357" s="577"/>
      <c r="E357" s="577"/>
      <c r="F357" s="577"/>
      <c r="G357" s="577"/>
      <c r="H357" s="577"/>
      <c r="I357" s="577"/>
      <c r="J357" s="268"/>
      <c r="K357" s="578"/>
      <c r="L357" s="579"/>
    </row>
    <row r="358" spans="2:12" ht="120" customHeight="1" x14ac:dyDescent="0.3">
      <c r="B358" s="110"/>
      <c r="C358" s="576"/>
      <c r="D358" s="577"/>
      <c r="E358" s="577"/>
      <c r="F358" s="577"/>
      <c r="G358" s="577"/>
      <c r="H358" s="577"/>
      <c r="I358" s="577"/>
      <c r="J358" s="268"/>
      <c r="K358" s="578"/>
      <c r="L358" s="579"/>
    </row>
    <row r="359" spans="2:12" ht="120" customHeight="1" x14ac:dyDescent="0.3">
      <c r="B359" s="110"/>
      <c r="C359" s="576"/>
      <c r="D359" s="577"/>
      <c r="E359" s="577"/>
      <c r="F359" s="577"/>
      <c r="G359" s="577"/>
      <c r="H359" s="577"/>
      <c r="I359" s="577"/>
      <c r="J359" s="268"/>
      <c r="K359" s="578"/>
      <c r="L359" s="579"/>
    </row>
    <row r="360" spans="2:12" ht="120" customHeight="1" x14ac:dyDescent="0.3">
      <c r="B360" s="110"/>
      <c r="C360" s="576"/>
      <c r="D360" s="577"/>
      <c r="E360" s="577"/>
      <c r="F360" s="577"/>
      <c r="G360" s="577"/>
      <c r="H360" s="577"/>
      <c r="I360" s="577"/>
      <c r="J360" s="268"/>
      <c r="K360" s="578"/>
      <c r="L360" s="579"/>
    </row>
    <row r="361" spans="2:12" ht="120" customHeight="1" x14ac:dyDescent="0.3">
      <c r="B361" s="110"/>
      <c r="C361" s="576"/>
      <c r="D361" s="577"/>
      <c r="E361" s="577"/>
      <c r="F361" s="577"/>
      <c r="G361" s="577"/>
      <c r="H361" s="577"/>
      <c r="I361" s="577"/>
      <c r="J361" s="268"/>
      <c r="K361" s="578"/>
      <c r="L361" s="579"/>
    </row>
    <row r="362" spans="2:12" ht="120" customHeight="1" x14ac:dyDescent="0.3">
      <c r="B362" s="110"/>
      <c r="C362" s="576"/>
      <c r="D362" s="577"/>
      <c r="E362" s="577"/>
      <c r="F362" s="577"/>
      <c r="G362" s="577"/>
      <c r="H362" s="577"/>
      <c r="I362" s="577"/>
      <c r="J362" s="268"/>
      <c r="K362" s="578"/>
      <c r="L362" s="579"/>
    </row>
    <row r="363" spans="2:12" ht="120" customHeight="1" x14ac:dyDescent="0.3">
      <c r="B363" s="110"/>
      <c r="C363" s="576"/>
      <c r="D363" s="577"/>
      <c r="E363" s="577"/>
      <c r="F363" s="577"/>
      <c r="G363" s="577"/>
      <c r="H363" s="577"/>
      <c r="I363" s="577"/>
      <c r="J363" s="268"/>
      <c r="K363" s="578"/>
      <c r="L363" s="579"/>
    </row>
    <row r="364" spans="2:12" ht="120" customHeight="1" x14ac:dyDescent="0.3">
      <c r="B364" s="110"/>
      <c r="C364" s="576"/>
      <c r="D364" s="577"/>
      <c r="E364" s="577"/>
      <c r="F364" s="577"/>
      <c r="G364" s="577"/>
      <c r="H364" s="577"/>
      <c r="I364" s="577"/>
      <c r="J364" s="268"/>
      <c r="K364" s="578"/>
      <c r="L364" s="579"/>
    </row>
    <row r="365" spans="2:12" ht="120" customHeight="1" x14ac:dyDescent="0.3">
      <c r="B365" s="110"/>
      <c r="C365" s="576"/>
      <c r="D365" s="577"/>
      <c r="E365" s="577"/>
      <c r="F365" s="577"/>
      <c r="G365" s="577"/>
      <c r="H365" s="577"/>
      <c r="I365" s="577"/>
      <c r="J365" s="268"/>
      <c r="K365" s="578"/>
      <c r="L365" s="579"/>
    </row>
    <row r="366" spans="2:12" ht="120" customHeight="1" x14ac:dyDescent="0.3">
      <c r="B366" s="110"/>
      <c r="C366" s="576"/>
      <c r="D366" s="577"/>
      <c r="E366" s="577"/>
      <c r="F366" s="577"/>
      <c r="G366" s="577"/>
      <c r="H366" s="577"/>
      <c r="I366" s="577"/>
      <c r="J366" s="268"/>
      <c r="K366" s="578"/>
      <c r="L366" s="579"/>
    </row>
    <row r="367" spans="2:12" ht="120" customHeight="1" x14ac:dyDescent="0.3">
      <c r="B367" s="110"/>
      <c r="C367" s="576"/>
      <c r="D367" s="577"/>
      <c r="E367" s="577"/>
      <c r="F367" s="577"/>
      <c r="G367" s="577"/>
      <c r="H367" s="577"/>
      <c r="I367" s="577"/>
      <c r="J367" s="268"/>
      <c r="K367" s="578"/>
      <c r="L367" s="579"/>
    </row>
    <row r="368" spans="2:12" ht="120" customHeight="1" x14ac:dyDescent="0.3">
      <c r="B368" s="110"/>
      <c r="C368" s="576"/>
      <c r="D368" s="577"/>
      <c r="E368" s="577"/>
      <c r="F368" s="577"/>
      <c r="G368" s="577"/>
      <c r="H368" s="577"/>
      <c r="I368" s="577"/>
      <c r="J368" s="268"/>
      <c r="K368" s="578"/>
      <c r="L368" s="579"/>
    </row>
    <row r="369" spans="2:12" ht="120" customHeight="1" x14ac:dyDescent="0.3">
      <c r="B369" s="110"/>
      <c r="C369" s="576"/>
      <c r="D369" s="577"/>
      <c r="E369" s="577"/>
      <c r="F369" s="577"/>
      <c r="G369" s="577"/>
      <c r="H369" s="577"/>
      <c r="I369" s="577"/>
      <c r="J369" s="268"/>
      <c r="K369" s="578"/>
      <c r="L369" s="579"/>
    </row>
    <row r="370" spans="2:12" ht="120" customHeight="1" x14ac:dyDescent="0.3">
      <c r="B370" s="110"/>
      <c r="C370" s="576"/>
      <c r="D370" s="577"/>
      <c r="E370" s="577"/>
      <c r="F370" s="577"/>
      <c r="G370" s="577"/>
      <c r="H370" s="577"/>
      <c r="I370" s="577"/>
      <c r="J370" s="268"/>
      <c r="K370" s="578"/>
      <c r="L370" s="579"/>
    </row>
    <row r="371" spans="2:12" ht="120" customHeight="1" x14ac:dyDescent="0.3">
      <c r="B371" s="110"/>
      <c r="C371" s="576"/>
      <c r="D371" s="577"/>
      <c r="E371" s="577"/>
      <c r="F371" s="577"/>
      <c r="G371" s="577"/>
      <c r="H371" s="577"/>
      <c r="I371" s="577"/>
      <c r="J371" s="268"/>
      <c r="K371" s="578"/>
      <c r="L371" s="579"/>
    </row>
    <row r="372" spans="2:12" ht="120" customHeight="1" x14ac:dyDescent="0.3">
      <c r="B372" s="110"/>
      <c r="C372" s="576"/>
      <c r="D372" s="577"/>
      <c r="E372" s="577"/>
      <c r="F372" s="577"/>
      <c r="G372" s="577"/>
      <c r="H372" s="577"/>
      <c r="I372" s="577"/>
      <c r="J372" s="268"/>
      <c r="K372" s="578"/>
      <c r="L372" s="579"/>
    </row>
    <row r="373" spans="2:12" ht="120" customHeight="1" x14ac:dyDescent="0.3">
      <c r="B373" s="110"/>
      <c r="C373" s="576"/>
      <c r="D373" s="577"/>
      <c r="E373" s="577"/>
      <c r="F373" s="577"/>
      <c r="G373" s="577"/>
      <c r="H373" s="577"/>
      <c r="I373" s="577"/>
      <c r="J373" s="268"/>
      <c r="K373" s="578"/>
      <c r="L373" s="579"/>
    </row>
    <row r="374" spans="2:12" ht="120" customHeight="1" x14ac:dyDescent="0.3">
      <c r="B374" s="110"/>
      <c r="C374" s="576"/>
      <c r="D374" s="577"/>
      <c r="E374" s="577"/>
      <c r="F374" s="577"/>
      <c r="G374" s="577"/>
      <c r="H374" s="577"/>
      <c r="I374" s="577"/>
      <c r="J374" s="268"/>
      <c r="K374" s="578"/>
      <c r="L374" s="579"/>
    </row>
    <row r="375" spans="2:12" ht="120" customHeight="1" x14ac:dyDescent="0.3">
      <c r="B375" s="110"/>
      <c r="C375" s="576"/>
      <c r="D375" s="577"/>
      <c r="E375" s="577"/>
      <c r="F375" s="577"/>
      <c r="G375" s="577"/>
      <c r="H375" s="577"/>
      <c r="I375" s="577"/>
      <c r="J375" s="268"/>
      <c r="K375" s="578"/>
      <c r="L375" s="579"/>
    </row>
    <row r="376" spans="2:12" ht="120" customHeight="1" x14ac:dyDescent="0.3">
      <c r="B376" s="110"/>
      <c r="C376" s="576"/>
      <c r="D376" s="577"/>
      <c r="E376" s="577"/>
      <c r="F376" s="577"/>
      <c r="G376" s="577"/>
      <c r="H376" s="577"/>
      <c r="I376" s="577"/>
      <c r="J376" s="268"/>
      <c r="K376" s="578"/>
      <c r="L376" s="579"/>
    </row>
    <row r="377" spans="2:12" ht="120" customHeight="1" x14ac:dyDescent="0.3">
      <c r="B377" s="110"/>
      <c r="C377" s="576"/>
      <c r="D377" s="577"/>
      <c r="E377" s="577"/>
      <c r="F377" s="577"/>
      <c r="G377" s="577"/>
      <c r="H377" s="577"/>
      <c r="I377" s="577"/>
      <c r="J377" s="268"/>
      <c r="K377" s="578"/>
      <c r="L377" s="579"/>
    </row>
    <row r="378" spans="2:12" ht="120" customHeight="1" x14ac:dyDescent="0.3">
      <c r="B378" s="110"/>
      <c r="C378" s="576"/>
      <c r="D378" s="577"/>
      <c r="E378" s="577"/>
      <c r="F378" s="577"/>
      <c r="G378" s="577"/>
      <c r="H378" s="577"/>
      <c r="I378" s="577"/>
      <c r="J378" s="268"/>
      <c r="K378" s="578"/>
      <c r="L378" s="579"/>
    </row>
    <row r="379" spans="2:12" ht="120" customHeight="1" x14ac:dyDescent="0.3">
      <c r="B379" s="110"/>
      <c r="C379" s="576"/>
      <c r="D379" s="577"/>
      <c r="E379" s="577"/>
      <c r="F379" s="577"/>
      <c r="G379" s="577"/>
      <c r="H379" s="577"/>
      <c r="I379" s="577"/>
      <c r="J379" s="268"/>
      <c r="K379" s="578"/>
      <c r="L379" s="579"/>
    </row>
    <row r="380" spans="2:12" ht="120" customHeight="1" x14ac:dyDescent="0.3">
      <c r="B380" s="110"/>
      <c r="C380" s="576"/>
      <c r="D380" s="577"/>
      <c r="E380" s="577"/>
      <c r="F380" s="577"/>
      <c r="G380" s="577"/>
      <c r="H380" s="577"/>
      <c r="I380" s="577"/>
      <c r="J380" s="268"/>
      <c r="K380" s="578"/>
      <c r="L380" s="579"/>
    </row>
    <row r="381" spans="2:12" ht="120" customHeight="1" x14ac:dyDescent="0.3">
      <c r="B381" s="110"/>
      <c r="C381" s="576"/>
      <c r="D381" s="577"/>
      <c r="E381" s="577"/>
      <c r="F381" s="577"/>
      <c r="G381" s="577"/>
      <c r="H381" s="577"/>
      <c r="I381" s="577"/>
      <c r="J381" s="268"/>
      <c r="K381" s="578"/>
      <c r="L381" s="579"/>
    </row>
    <row r="382" spans="2:12" ht="120" customHeight="1" x14ac:dyDescent="0.3">
      <c r="B382" s="110"/>
      <c r="C382" s="576"/>
      <c r="D382" s="577"/>
      <c r="E382" s="577"/>
      <c r="F382" s="577"/>
      <c r="G382" s="577"/>
      <c r="H382" s="577"/>
      <c r="I382" s="577"/>
      <c r="J382" s="268"/>
      <c r="K382" s="578"/>
      <c r="L382" s="579"/>
    </row>
    <row r="383" spans="2:12" ht="120" customHeight="1" x14ac:dyDescent="0.3">
      <c r="B383" s="110"/>
      <c r="C383" s="576"/>
      <c r="D383" s="577"/>
      <c r="E383" s="577"/>
      <c r="F383" s="577"/>
      <c r="G383" s="577"/>
      <c r="H383" s="577"/>
      <c r="I383" s="577"/>
      <c r="J383" s="268"/>
      <c r="K383" s="578"/>
      <c r="L383" s="579"/>
    </row>
    <row r="384" spans="2:12" ht="120" customHeight="1" x14ac:dyDescent="0.3">
      <c r="B384" s="110"/>
      <c r="C384" s="576"/>
      <c r="D384" s="577"/>
      <c r="E384" s="577"/>
      <c r="F384" s="577"/>
      <c r="G384" s="577"/>
      <c r="H384" s="577"/>
      <c r="I384" s="577"/>
      <c r="J384" s="268"/>
      <c r="K384" s="578"/>
      <c r="L384" s="579"/>
    </row>
    <row r="385" spans="2:12" ht="120" customHeight="1" x14ac:dyDescent="0.3">
      <c r="B385" s="110"/>
      <c r="C385" s="576"/>
      <c r="D385" s="577"/>
      <c r="E385" s="577"/>
      <c r="F385" s="577"/>
      <c r="G385" s="577"/>
      <c r="H385" s="577"/>
      <c r="I385" s="577"/>
      <c r="J385" s="268"/>
      <c r="K385" s="578"/>
      <c r="L385" s="579"/>
    </row>
    <row r="386" spans="2:12" ht="120" customHeight="1" x14ac:dyDescent="0.3">
      <c r="B386" s="110"/>
      <c r="C386" s="576"/>
      <c r="D386" s="577"/>
      <c r="E386" s="577"/>
      <c r="F386" s="577"/>
      <c r="G386" s="577"/>
      <c r="H386" s="577"/>
      <c r="I386" s="577"/>
      <c r="J386" s="268"/>
      <c r="K386" s="578"/>
      <c r="L386" s="579"/>
    </row>
    <row r="387" spans="2:12" ht="120" customHeight="1" x14ac:dyDescent="0.3">
      <c r="B387" s="110"/>
      <c r="C387" s="576"/>
      <c r="D387" s="577"/>
      <c r="E387" s="577"/>
      <c r="F387" s="577"/>
      <c r="G387" s="577"/>
      <c r="H387" s="577"/>
      <c r="I387" s="577"/>
      <c r="J387" s="268"/>
      <c r="K387" s="578"/>
      <c r="L387" s="579"/>
    </row>
    <row r="388" spans="2:12" ht="120" customHeight="1" x14ac:dyDescent="0.3">
      <c r="B388" s="110"/>
      <c r="C388" s="576"/>
      <c r="D388" s="577"/>
      <c r="E388" s="577"/>
      <c r="F388" s="577"/>
      <c r="G388" s="577"/>
      <c r="H388" s="577"/>
      <c r="I388" s="577"/>
      <c r="J388" s="268"/>
      <c r="K388" s="578"/>
      <c r="L388" s="579"/>
    </row>
    <row r="389" spans="2:12" ht="120" customHeight="1" x14ac:dyDescent="0.3">
      <c r="B389" s="110"/>
      <c r="C389" s="576"/>
      <c r="D389" s="577"/>
      <c r="E389" s="577"/>
      <c r="F389" s="577"/>
      <c r="G389" s="577"/>
      <c r="H389" s="577"/>
      <c r="I389" s="577"/>
      <c r="J389" s="268"/>
      <c r="K389" s="578"/>
      <c r="L389" s="579"/>
    </row>
    <row r="390" spans="2:12" ht="120" customHeight="1" x14ac:dyDescent="0.3">
      <c r="B390" s="110"/>
      <c r="C390" s="576"/>
      <c r="D390" s="577"/>
      <c r="E390" s="577"/>
      <c r="F390" s="577"/>
      <c r="G390" s="577"/>
      <c r="H390" s="577"/>
      <c r="I390" s="577"/>
      <c r="J390" s="268"/>
      <c r="K390" s="578"/>
      <c r="L390" s="579"/>
    </row>
    <row r="391" spans="2:12" ht="120" customHeight="1" x14ac:dyDescent="0.3">
      <c r="B391" s="110"/>
      <c r="C391" s="576"/>
      <c r="D391" s="577"/>
      <c r="E391" s="577"/>
      <c r="F391" s="577"/>
      <c r="G391" s="577"/>
      <c r="H391" s="577"/>
      <c r="I391" s="577"/>
      <c r="J391" s="268"/>
      <c r="K391" s="578"/>
      <c r="L391" s="579"/>
    </row>
    <row r="392" spans="2:12" ht="120" customHeight="1" x14ac:dyDescent="0.3">
      <c r="B392" s="110"/>
      <c r="C392" s="576"/>
      <c r="D392" s="577"/>
      <c r="E392" s="577"/>
      <c r="F392" s="577"/>
      <c r="G392" s="577"/>
      <c r="H392" s="577"/>
      <c r="I392" s="577"/>
      <c r="J392" s="268"/>
      <c r="K392" s="578"/>
      <c r="L392" s="579"/>
    </row>
    <row r="393" spans="2:12" ht="120" customHeight="1" x14ac:dyDescent="0.3">
      <c r="B393" s="110"/>
      <c r="C393" s="576"/>
      <c r="D393" s="577"/>
      <c r="E393" s="577"/>
      <c r="F393" s="577"/>
      <c r="G393" s="577"/>
      <c r="H393" s="577"/>
      <c r="I393" s="577"/>
      <c r="J393" s="268"/>
      <c r="K393" s="578"/>
      <c r="L393" s="579"/>
    </row>
    <row r="394" spans="2:12" ht="120" customHeight="1" x14ac:dyDescent="0.3">
      <c r="B394" s="110"/>
      <c r="C394" s="576"/>
      <c r="D394" s="577"/>
      <c r="E394" s="577"/>
      <c r="F394" s="577"/>
      <c r="G394" s="577"/>
      <c r="H394" s="577"/>
      <c r="I394" s="577"/>
      <c r="J394" s="268"/>
      <c r="K394" s="578"/>
      <c r="L394" s="579"/>
    </row>
    <row r="395" spans="2:12" ht="120" customHeight="1" x14ac:dyDescent="0.3">
      <c r="B395" s="110"/>
      <c r="C395" s="576"/>
      <c r="D395" s="577"/>
      <c r="E395" s="577"/>
      <c r="F395" s="577"/>
      <c r="G395" s="577"/>
      <c r="H395" s="577"/>
      <c r="I395" s="577"/>
      <c r="J395" s="268"/>
      <c r="K395" s="578"/>
      <c r="L395" s="579"/>
    </row>
    <row r="396" spans="2:12" ht="120" customHeight="1" x14ac:dyDescent="0.3">
      <c r="B396" s="110"/>
      <c r="C396" s="576"/>
      <c r="D396" s="577"/>
      <c r="E396" s="577"/>
      <c r="F396" s="577"/>
      <c r="G396" s="577"/>
      <c r="H396" s="577"/>
      <c r="I396" s="577"/>
      <c r="J396" s="268"/>
      <c r="K396" s="578"/>
      <c r="L396" s="579"/>
    </row>
    <row r="397" spans="2:12" ht="120" customHeight="1" x14ac:dyDescent="0.3">
      <c r="B397" s="110"/>
      <c r="C397" s="576"/>
      <c r="D397" s="577"/>
      <c r="E397" s="577"/>
      <c r="F397" s="577"/>
      <c r="G397" s="577"/>
      <c r="H397" s="577"/>
      <c r="I397" s="577"/>
      <c r="J397" s="268"/>
      <c r="K397" s="578"/>
      <c r="L397" s="579"/>
    </row>
    <row r="398" spans="2:12" ht="120" customHeight="1" x14ac:dyDescent="0.3">
      <c r="B398" s="110"/>
      <c r="C398" s="576"/>
      <c r="D398" s="577"/>
      <c r="E398" s="577"/>
      <c r="F398" s="577"/>
      <c r="G398" s="577"/>
      <c r="H398" s="577"/>
      <c r="I398" s="577"/>
      <c r="J398" s="268"/>
      <c r="K398" s="578"/>
      <c r="L398" s="579"/>
    </row>
    <row r="399" spans="2:12" ht="120" customHeight="1" x14ac:dyDescent="0.3">
      <c r="B399" s="110"/>
      <c r="C399" s="576"/>
      <c r="D399" s="577"/>
      <c r="E399" s="577"/>
      <c r="F399" s="577"/>
      <c r="G399" s="577"/>
      <c r="H399" s="577"/>
      <c r="I399" s="577"/>
      <c r="J399" s="268"/>
      <c r="K399" s="578"/>
      <c r="L399" s="579"/>
    </row>
    <row r="400" spans="2:12" ht="120" customHeight="1" x14ac:dyDescent="0.3">
      <c r="B400" s="110"/>
      <c r="C400" s="576"/>
      <c r="D400" s="577"/>
      <c r="E400" s="577"/>
      <c r="F400" s="577"/>
      <c r="G400" s="577"/>
      <c r="H400" s="577"/>
      <c r="I400" s="577"/>
      <c r="J400" s="268"/>
      <c r="K400" s="578"/>
      <c r="L400" s="579"/>
    </row>
    <row r="401" spans="2:12" ht="120" customHeight="1" x14ac:dyDescent="0.3">
      <c r="B401" s="110"/>
      <c r="C401" s="576"/>
      <c r="D401" s="577"/>
      <c r="E401" s="577"/>
      <c r="F401" s="577"/>
      <c r="G401" s="577"/>
      <c r="H401" s="577"/>
      <c r="I401" s="577"/>
      <c r="J401" s="268"/>
      <c r="K401" s="578"/>
      <c r="L401" s="579"/>
    </row>
    <row r="402" spans="2:12" ht="120" customHeight="1" x14ac:dyDescent="0.3">
      <c r="B402" s="110"/>
      <c r="C402" s="576"/>
      <c r="D402" s="577"/>
      <c r="E402" s="577"/>
      <c r="F402" s="577"/>
      <c r="G402" s="577"/>
      <c r="H402" s="577"/>
      <c r="I402" s="577"/>
      <c r="J402" s="268"/>
      <c r="K402" s="578"/>
      <c r="L402" s="579"/>
    </row>
    <row r="403" spans="2:12" ht="120" customHeight="1" x14ac:dyDescent="0.3">
      <c r="B403" s="110"/>
      <c r="C403" s="576"/>
      <c r="D403" s="577"/>
      <c r="E403" s="577"/>
      <c r="F403" s="577"/>
      <c r="G403" s="577"/>
      <c r="H403" s="577"/>
      <c r="I403" s="577"/>
      <c r="J403" s="268"/>
      <c r="K403" s="578"/>
      <c r="L403" s="579"/>
    </row>
    <row r="404" spans="2:12" ht="120" customHeight="1" x14ac:dyDescent="0.3">
      <c r="B404" s="110"/>
      <c r="C404" s="576"/>
      <c r="D404" s="577"/>
      <c r="E404" s="577"/>
      <c r="F404" s="577"/>
      <c r="G404" s="577"/>
      <c r="H404" s="577"/>
      <c r="I404" s="577"/>
      <c r="J404" s="268"/>
      <c r="K404" s="578"/>
      <c r="L404" s="579"/>
    </row>
    <row r="405" spans="2:12" ht="120" customHeight="1" x14ac:dyDescent="0.3">
      <c r="B405" s="110"/>
      <c r="C405" s="576"/>
      <c r="D405" s="577"/>
      <c r="E405" s="577"/>
      <c r="F405" s="577"/>
      <c r="G405" s="577"/>
      <c r="H405" s="577"/>
      <c r="I405" s="577"/>
      <c r="J405" s="268"/>
      <c r="K405" s="578"/>
      <c r="L405" s="579"/>
    </row>
    <row r="406" spans="2:12" ht="120" customHeight="1" x14ac:dyDescent="0.3">
      <c r="B406" s="110"/>
      <c r="C406" s="576"/>
      <c r="D406" s="577"/>
      <c r="E406" s="577"/>
      <c r="F406" s="577"/>
      <c r="G406" s="577"/>
      <c r="H406" s="577"/>
      <c r="I406" s="577"/>
      <c r="J406" s="268"/>
      <c r="K406" s="578"/>
      <c r="L406" s="579"/>
    </row>
    <row r="407" spans="2:12" ht="120" customHeight="1" x14ac:dyDescent="0.3">
      <c r="B407" s="110"/>
      <c r="C407" s="576"/>
      <c r="D407" s="577"/>
      <c r="E407" s="577"/>
      <c r="F407" s="577"/>
      <c r="G407" s="577"/>
      <c r="H407" s="577"/>
      <c r="I407" s="577"/>
      <c r="J407" s="268"/>
      <c r="K407" s="578"/>
      <c r="L407" s="579"/>
    </row>
    <row r="408" spans="2:12" ht="120" customHeight="1" x14ac:dyDescent="0.3">
      <c r="B408" s="110"/>
      <c r="C408" s="576"/>
      <c r="D408" s="577"/>
      <c r="E408" s="577"/>
      <c r="F408" s="577"/>
      <c r="G408" s="577"/>
      <c r="H408" s="577"/>
      <c r="I408" s="577"/>
      <c r="J408" s="268"/>
      <c r="K408" s="578"/>
      <c r="L408" s="579"/>
    </row>
    <row r="409" spans="2:12" ht="120" customHeight="1" x14ac:dyDescent="0.3">
      <c r="B409" s="110"/>
      <c r="C409" s="576"/>
      <c r="D409" s="577"/>
      <c r="E409" s="577"/>
      <c r="F409" s="577"/>
      <c r="G409" s="577"/>
      <c r="H409" s="577"/>
      <c r="I409" s="577"/>
      <c r="J409" s="268"/>
      <c r="K409" s="578"/>
      <c r="L409" s="579"/>
    </row>
    <row r="410" spans="2:12" ht="120" customHeight="1" x14ac:dyDescent="0.3">
      <c r="B410" s="110"/>
      <c r="C410" s="576"/>
      <c r="D410" s="577"/>
      <c r="E410" s="577"/>
      <c r="F410" s="577"/>
      <c r="G410" s="577"/>
      <c r="H410" s="577"/>
      <c r="I410" s="577"/>
      <c r="J410" s="268"/>
      <c r="K410" s="578"/>
      <c r="L410" s="579"/>
    </row>
    <row r="411" spans="2:12" ht="120" customHeight="1" x14ac:dyDescent="0.3">
      <c r="B411" s="110"/>
      <c r="C411" s="576"/>
      <c r="D411" s="577"/>
      <c r="E411" s="577"/>
      <c r="F411" s="577"/>
      <c r="G411" s="577"/>
      <c r="H411" s="577"/>
      <c r="I411" s="577"/>
      <c r="J411" s="268"/>
      <c r="K411" s="578"/>
      <c r="L411" s="579"/>
    </row>
    <row r="412" spans="2:12" ht="120" customHeight="1" x14ac:dyDescent="0.3">
      <c r="B412" s="110"/>
      <c r="C412" s="576"/>
      <c r="D412" s="577"/>
      <c r="E412" s="577"/>
      <c r="F412" s="577"/>
      <c r="G412" s="577"/>
      <c r="H412" s="577"/>
      <c r="I412" s="577"/>
      <c r="J412" s="268"/>
      <c r="K412" s="578"/>
      <c r="L412" s="579"/>
    </row>
    <row r="413" spans="2:12" ht="120" customHeight="1" x14ac:dyDescent="0.3">
      <c r="B413" s="110"/>
      <c r="C413" s="576"/>
      <c r="D413" s="577"/>
      <c r="E413" s="577"/>
      <c r="F413" s="577"/>
      <c r="G413" s="577"/>
      <c r="H413" s="577"/>
      <c r="I413" s="577"/>
      <c r="J413" s="268"/>
      <c r="K413" s="578"/>
      <c r="L413" s="579"/>
    </row>
    <row r="414" spans="2:12" ht="120" customHeight="1" x14ac:dyDescent="0.3">
      <c r="B414" s="110"/>
      <c r="C414" s="576"/>
      <c r="D414" s="577"/>
      <c r="E414" s="577"/>
      <c r="F414" s="577"/>
      <c r="G414" s="577"/>
      <c r="H414" s="577"/>
      <c r="I414" s="577"/>
      <c r="J414" s="268"/>
      <c r="K414" s="578"/>
      <c r="L414" s="579"/>
    </row>
    <row r="415" spans="2:12" ht="120" customHeight="1" x14ac:dyDescent="0.3">
      <c r="B415" s="110"/>
      <c r="C415" s="576"/>
      <c r="D415" s="577"/>
      <c r="E415" s="577"/>
      <c r="F415" s="577"/>
      <c r="G415" s="577"/>
      <c r="H415" s="577"/>
      <c r="I415" s="577"/>
      <c r="J415" s="268"/>
      <c r="K415" s="578"/>
      <c r="L415" s="579"/>
    </row>
    <row r="416" spans="2:12" ht="120" customHeight="1" x14ac:dyDescent="0.3">
      <c r="B416" s="110"/>
      <c r="C416" s="576"/>
      <c r="D416" s="577"/>
      <c r="E416" s="577"/>
      <c r="F416" s="577"/>
      <c r="G416" s="577"/>
      <c r="H416" s="577"/>
      <c r="I416" s="577"/>
      <c r="J416" s="268"/>
      <c r="K416" s="578"/>
      <c r="L416" s="579"/>
    </row>
    <row r="417" spans="2:12" ht="120" customHeight="1" x14ac:dyDescent="0.3">
      <c r="B417" s="110"/>
      <c r="C417" s="576"/>
      <c r="D417" s="577"/>
      <c r="E417" s="577"/>
      <c r="F417" s="577"/>
      <c r="G417" s="577"/>
      <c r="H417" s="577"/>
      <c r="I417" s="577"/>
      <c r="J417" s="268"/>
      <c r="K417" s="578"/>
      <c r="L417" s="579"/>
    </row>
    <row r="418" spans="2:12" ht="120" customHeight="1" x14ac:dyDescent="0.3">
      <c r="B418" s="110"/>
      <c r="C418" s="576"/>
      <c r="D418" s="577"/>
      <c r="E418" s="577"/>
      <c r="F418" s="577"/>
      <c r="G418" s="577"/>
      <c r="H418" s="577"/>
      <c r="I418" s="577"/>
      <c r="J418" s="268"/>
      <c r="K418" s="578"/>
      <c r="L418" s="579"/>
    </row>
    <row r="419" spans="2:12" ht="120" customHeight="1" x14ac:dyDescent="0.3">
      <c r="B419" s="110"/>
      <c r="C419" s="576"/>
      <c r="D419" s="577"/>
      <c r="E419" s="577"/>
      <c r="F419" s="577"/>
      <c r="G419" s="577"/>
      <c r="H419" s="577"/>
      <c r="I419" s="577"/>
      <c r="J419" s="268"/>
      <c r="K419" s="578"/>
      <c r="L419" s="579"/>
    </row>
    <row r="420" spans="2:12" ht="120" customHeight="1" x14ac:dyDescent="0.3">
      <c r="B420" s="110"/>
      <c r="C420" s="576"/>
      <c r="D420" s="577"/>
      <c r="E420" s="577"/>
      <c r="F420" s="577"/>
      <c r="G420" s="577"/>
      <c r="H420" s="577"/>
      <c r="I420" s="577"/>
      <c r="J420" s="268"/>
      <c r="K420" s="578"/>
      <c r="L420" s="579"/>
    </row>
    <row r="421" spans="2:12" ht="120" customHeight="1" x14ac:dyDescent="0.3">
      <c r="B421" s="110"/>
      <c r="C421" s="576"/>
      <c r="D421" s="577"/>
      <c r="E421" s="577"/>
      <c r="F421" s="577"/>
      <c r="G421" s="577"/>
      <c r="H421" s="577"/>
      <c r="I421" s="577"/>
      <c r="J421" s="268"/>
      <c r="K421" s="578"/>
      <c r="L421" s="579"/>
    </row>
    <row r="422" spans="2:12" ht="120" customHeight="1" x14ac:dyDescent="0.3">
      <c r="B422" s="110"/>
      <c r="C422" s="576"/>
      <c r="D422" s="577"/>
      <c r="E422" s="577"/>
      <c r="F422" s="577"/>
      <c r="G422" s="577"/>
      <c r="H422" s="577"/>
      <c r="I422" s="577"/>
      <c r="J422" s="268"/>
      <c r="K422" s="578"/>
      <c r="L422" s="579"/>
    </row>
    <row r="423" spans="2:12" ht="120" customHeight="1" x14ac:dyDescent="0.3">
      <c r="B423" s="110"/>
      <c r="C423" s="576"/>
      <c r="D423" s="577"/>
      <c r="E423" s="577"/>
      <c r="F423" s="577"/>
      <c r="G423" s="577"/>
      <c r="H423" s="577"/>
      <c r="I423" s="577"/>
      <c r="J423" s="268"/>
      <c r="K423" s="578"/>
      <c r="L423" s="579"/>
    </row>
    <row r="424" spans="2:12" ht="120" customHeight="1" x14ac:dyDescent="0.3">
      <c r="B424" s="110"/>
      <c r="C424" s="576"/>
      <c r="D424" s="577"/>
      <c r="E424" s="577"/>
      <c r="F424" s="577"/>
      <c r="G424" s="577"/>
      <c r="H424" s="577"/>
      <c r="I424" s="577"/>
      <c r="J424" s="268"/>
      <c r="K424" s="578"/>
      <c r="L424" s="579"/>
    </row>
    <row r="425" spans="2:12" ht="120" customHeight="1" x14ac:dyDescent="0.3">
      <c r="B425" s="110"/>
      <c r="C425" s="576"/>
      <c r="D425" s="577"/>
      <c r="E425" s="577"/>
      <c r="F425" s="577"/>
      <c r="G425" s="577"/>
      <c r="H425" s="577"/>
      <c r="I425" s="577"/>
      <c r="J425" s="268"/>
      <c r="K425" s="578"/>
      <c r="L425" s="579"/>
    </row>
    <row r="426" spans="2:12" ht="120" customHeight="1" x14ac:dyDescent="0.3">
      <c r="B426" s="110"/>
      <c r="C426" s="576"/>
      <c r="D426" s="577"/>
      <c r="E426" s="577"/>
      <c r="F426" s="577"/>
      <c r="G426" s="577"/>
      <c r="H426" s="577"/>
      <c r="I426" s="577"/>
      <c r="J426" s="268"/>
      <c r="K426" s="578"/>
      <c r="L426" s="579"/>
    </row>
    <row r="427" spans="2:12" ht="120" customHeight="1" x14ac:dyDescent="0.3">
      <c r="B427" s="110"/>
      <c r="C427" s="576"/>
      <c r="D427" s="577"/>
      <c r="E427" s="577"/>
      <c r="F427" s="577"/>
      <c r="G427" s="577"/>
      <c r="H427" s="577"/>
      <c r="I427" s="577"/>
      <c r="J427" s="268"/>
      <c r="K427" s="578"/>
      <c r="L427" s="579"/>
    </row>
    <row r="428" spans="2:12" ht="120" customHeight="1" x14ac:dyDescent="0.3">
      <c r="B428" s="110"/>
      <c r="C428" s="576"/>
      <c r="D428" s="577"/>
      <c r="E428" s="577"/>
      <c r="F428" s="577"/>
      <c r="G428" s="577"/>
      <c r="H428" s="577"/>
      <c r="I428" s="577"/>
      <c r="J428" s="268"/>
      <c r="K428" s="578"/>
      <c r="L428" s="579"/>
    </row>
    <row r="429" spans="2:12" ht="120" customHeight="1" x14ac:dyDescent="0.3">
      <c r="B429" s="110"/>
      <c r="C429" s="576"/>
      <c r="D429" s="577"/>
      <c r="E429" s="577"/>
      <c r="F429" s="577"/>
      <c r="G429" s="577"/>
      <c r="H429" s="577"/>
      <c r="I429" s="577"/>
      <c r="J429" s="268"/>
      <c r="K429" s="578"/>
      <c r="L429" s="579"/>
    </row>
    <row r="430" spans="2:12" ht="120" customHeight="1" x14ac:dyDescent="0.3">
      <c r="B430" s="110"/>
      <c r="C430" s="576"/>
      <c r="D430" s="577"/>
      <c r="E430" s="577"/>
      <c r="F430" s="577"/>
      <c r="G430" s="577"/>
      <c r="H430" s="577"/>
      <c r="I430" s="577"/>
      <c r="J430" s="268"/>
      <c r="K430" s="578"/>
      <c r="L430" s="579"/>
    </row>
    <row r="431" spans="2:12" ht="120" customHeight="1" x14ac:dyDescent="0.3">
      <c r="B431" s="110"/>
      <c r="C431" s="576"/>
      <c r="D431" s="577"/>
      <c r="E431" s="577"/>
      <c r="F431" s="577"/>
      <c r="G431" s="577"/>
      <c r="H431" s="577"/>
      <c r="I431" s="577"/>
      <c r="J431" s="268"/>
      <c r="K431" s="578"/>
      <c r="L431" s="579"/>
    </row>
    <row r="432" spans="2:12" ht="120" customHeight="1" x14ac:dyDescent="0.3">
      <c r="B432" s="110"/>
      <c r="C432" s="576"/>
      <c r="D432" s="577"/>
      <c r="E432" s="577"/>
      <c r="F432" s="577"/>
      <c r="G432" s="577"/>
      <c r="H432" s="577"/>
      <c r="I432" s="577"/>
      <c r="J432" s="268"/>
      <c r="K432" s="578"/>
      <c r="L432" s="579"/>
    </row>
    <row r="433" spans="2:12" ht="120" customHeight="1" x14ac:dyDescent="0.3">
      <c r="B433" s="110"/>
      <c r="C433" s="576"/>
      <c r="D433" s="577"/>
      <c r="E433" s="577"/>
      <c r="F433" s="577"/>
      <c r="G433" s="577"/>
      <c r="H433" s="577"/>
      <c r="I433" s="577"/>
      <c r="J433" s="268"/>
      <c r="K433" s="578"/>
      <c r="L433" s="579"/>
    </row>
    <row r="434" spans="2:12" ht="120" customHeight="1" x14ac:dyDescent="0.3">
      <c r="B434" s="110"/>
      <c r="C434" s="576"/>
      <c r="D434" s="577"/>
      <c r="E434" s="577"/>
      <c r="F434" s="577"/>
      <c r="G434" s="577"/>
      <c r="H434" s="577"/>
      <c r="I434" s="577"/>
      <c r="J434" s="268"/>
      <c r="K434" s="578"/>
      <c r="L434" s="579"/>
    </row>
    <row r="435" spans="2:12" ht="120" customHeight="1" x14ac:dyDescent="0.3">
      <c r="B435" s="110"/>
      <c r="C435" s="576"/>
      <c r="D435" s="577"/>
      <c r="E435" s="577"/>
      <c r="F435" s="577"/>
      <c r="G435" s="577"/>
      <c r="H435" s="577"/>
      <c r="I435" s="577"/>
      <c r="J435" s="268"/>
      <c r="K435" s="578"/>
      <c r="L435" s="579"/>
    </row>
    <row r="436" spans="2:12" ht="120" customHeight="1" x14ac:dyDescent="0.3">
      <c r="B436" s="110"/>
      <c r="C436" s="576"/>
      <c r="D436" s="577"/>
      <c r="E436" s="577"/>
      <c r="F436" s="577"/>
      <c r="G436" s="577"/>
      <c r="H436" s="577"/>
      <c r="I436" s="577"/>
      <c r="J436" s="268"/>
      <c r="K436" s="578"/>
      <c r="L436" s="579"/>
    </row>
    <row r="437" spans="2:12" ht="120" customHeight="1" x14ac:dyDescent="0.3">
      <c r="B437" s="110"/>
      <c r="C437" s="576"/>
      <c r="D437" s="577"/>
      <c r="E437" s="577"/>
      <c r="F437" s="577"/>
      <c r="G437" s="577"/>
      <c r="H437" s="577"/>
      <c r="I437" s="577"/>
      <c r="J437" s="268"/>
      <c r="K437" s="578"/>
      <c r="L437" s="579"/>
    </row>
    <row r="438" spans="2:12" ht="120" customHeight="1" x14ac:dyDescent="0.3">
      <c r="B438" s="110"/>
      <c r="C438" s="576"/>
      <c r="D438" s="577"/>
      <c r="E438" s="577"/>
      <c r="F438" s="577"/>
      <c r="G438" s="577"/>
      <c r="H438" s="577"/>
      <c r="I438" s="577"/>
      <c r="J438" s="268"/>
      <c r="K438" s="578"/>
      <c r="L438" s="579"/>
    </row>
    <row r="439" spans="2:12" ht="120" customHeight="1" x14ac:dyDescent="0.3">
      <c r="B439" s="110"/>
      <c r="C439" s="576"/>
      <c r="D439" s="577"/>
      <c r="E439" s="577"/>
      <c r="F439" s="577"/>
      <c r="G439" s="577"/>
      <c r="H439" s="577"/>
      <c r="I439" s="577"/>
      <c r="J439" s="268"/>
      <c r="K439" s="578"/>
      <c r="L439" s="579"/>
    </row>
    <row r="440" spans="2:12" ht="120" customHeight="1" x14ac:dyDescent="0.3">
      <c r="B440" s="110"/>
      <c r="C440" s="576"/>
      <c r="D440" s="577"/>
      <c r="E440" s="577"/>
      <c r="F440" s="577"/>
      <c r="G440" s="577"/>
      <c r="H440" s="577"/>
      <c r="I440" s="577"/>
      <c r="J440" s="268"/>
      <c r="K440" s="578"/>
      <c r="L440" s="579"/>
    </row>
    <row r="441" spans="2:12" ht="120" customHeight="1" x14ac:dyDescent="0.3">
      <c r="B441" s="110"/>
      <c r="C441" s="576"/>
      <c r="D441" s="577"/>
      <c r="E441" s="577"/>
      <c r="F441" s="577"/>
      <c r="G441" s="577"/>
      <c r="H441" s="577"/>
      <c r="I441" s="577"/>
      <c r="J441" s="268"/>
      <c r="K441" s="578"/>
      <c r="L441" s="579"/>
    </row>
    <row r="442" spans="2:12" ht="120" customHeight="1" x14ac:dyDescent="0.3">
      <c r="B442" s="110"/>
      <c r="C442" s="576"/>
      <c r="D442" s="577"/>
      <c r="E442" s="577"/>
      <c r="F442" s="577"/>
      <c r="G442" s="577"/>
      <c r="H442" s="577"/>
      <c r="I442" s="577"/>
      <c r="J442" s="268"/>
      <c r="K442" s="578"/>
      <c r="L442" s="579"/>
    </row>
    <row r="443" spans="2:12" ht="120" customHeight="1" x14ac:dyDescent="0.3">
      <c r="B443" s="110"/>
      <c r="C443" s="576"/>
      <c r="D443" s="577"/>
      <c r="E443" s="577"/>
      <c r="F443" s="577"/>
      <c r="G443" s="577"/>
      <c r="H443" s="577"/>
      <c r="I443" s="577"/>
      <c r="J443" s="268"/>
      <c r="K443" s="578"/>
      <c r="L443" s="579"/>
    </row>
    <row r="444" spans="2:12" ht="120" customHeight="1" x14ac:dyDescent="0.3">
      <c r="B444" s="110"/>
      <c r="C444" s="576"/>
      <c r="D444" s="577"/>
      <c r="E444" s="577"/>
      <c r="F444" s="577"/>
      <c r="G444" s="577"/>
      <c r="H444" s="577"/>
      <c r="I444" s="577"/>
      <c r="J444" s="268"/>
      <c r="K444" s="578"/>
      <c r="L444" s="579"/>
    </row>
    <row r="445" spans="2:12" ht="120" customHeight="1" x14ac:dyDescent="0.3">
      <c r="B445" s="110"/>
      <c r="C445" s="576"/>
      <c r="D445" s="577"/>
      <c r="E445" s="577"/>
      <c r="F445" s="577"/>
      <c r="G445" s="577"/>
      <c r="H445" s="577"/>
      <c r="I445" s="577"/>
      <c r="J445" s="268"/>
      <c r="K445" s="578"/>
      <c r="L445" s="579"/>
    </row>
    <row r="446" spans="2:12" ht="120" customHeight="1" x14ac:dyDescent="0.3">
      <c r="B446" s="110"/>
      <c r="C446" s="576"/>
      <c r="D446" s="577"/>
      <c r="E446" s="577"/>
      <c r="F446" s="577"/>
      <c r="G446" s="577"/>
      <c r="H446" s="577"/>
      <c r="I446" s="577"/>
      <c r="J446" s="268"/>
      <c r="K446" s="578"/>
      <c r="L446" s="579"/>
    </row>
    <row r="447" spans="2:12" ht="120" customHeight="1" x14ac:dyDescent="0.3">
      <c r="B447" s="110"/>
      <c r="C447" s="576"/>
      <c r="D447" s="577"/>
      <c r="E447" s="577"/>
      <c r="F447" s="577"/>
      <c r="G447" s="577"/>
      <c r="H447" s="577"/>
      <c r="I447" s="577"/>
      <c r="J447" s="268"/>
      <c r="K447" s="578"/>
      <c r="L447" s="579"/>
    </row>
    <row r="448" spans="2:12" ht="120" customHeight="1" x14ac:dyDescent="0.3">
      <c r="B448" s="110"/>
      <c r="C448" s="576"/>
      <c r="D448" s="577"/>
      <c r="E448" s="577"/>
      <c r="F448" s="577"/>
      <c r="G448" s="577"/>
      <c r="H448" s="577"/>
      <c r="I448" s="577"/>
      <c r="J448" s="268"/>
      <c r="K448" s="578"/>
      <c r="L448" s="579"/>
    </row>
    <row r="449" spans="2:12" ht="120" customHeight="1" x14ac:dyDescent="0.3">
      <c r="B449" s="110"/>
      <c r="C449" s="576"/>
      <c r="D449" s="577"/>
      <c r="E449" s="577"/>
      <c r="F449" s="577"/>
      <c r="G449" s="577"/>
      <c r="H449" s="577"/>
      <c r="I449" s="577"/>
      <c r="J449" s="268"/>
      <c r="K449" s="578"/>
      <c r="L449" s="579"/>
    </row>
    <row r="450" spans="2:12" ht="120" customHeight="1" x14ac:dyDescent="0.3">
      <c r="B450" s="110"/>
      <c r="C450" s="576"/>
      <c r="D450" s="577"/>
      <c r="E450" s="577"/>
      <c r="F450" s="577"/>
      <c r="G450" s="577"/>
      <c r="H450" s="577"/>
      <c r="I450" s="577"/>
      <c r="J450" s="268"/>
      <c r="K450" s="578"/>
      <c r="L450" s="579"/>
    </row>
    <row r="451" spans="2:12" ht="120" customHeight="1" x14ac:dyDescent="0.3">
      <c r="B451" s="110"/>
      <c r="C451" s="576"/>
      <c r="D451" s="577"/>
      <c r="E451" s="577"/>
      <c r="F451" s="577"/>
      <c r="G451" s="577"/>
      <c r="H451" s="577"/>
      <c r="I451" s="577"/>
      <c r="J451" s="268"/>
      <c r="K451" s="578"/>
      <c r="L451" s="579"/>
    </row>
    <row r="452" spans="2:12" ht="120" customHeight="1" x14ac:dyDescent="0.3">
      <c r="B452" s="110"/>
      <c r="C452" s="576"/>
      <c r="D452" s="577"/>
      <c r="E452" s="577"/>
      <c r="F452" s="577"/>
      <c r="G452" s="577"/>
      <c r="H452" s="577"/>
      <c r="I452" s="577"/>
      <c r="J452" s="268"/>
      <c r="K452" s="578"/>
      <c r="L452" s="579"/>
    </row>
    <row r="453" spans="2:12" ht="120" customHeight="1" x14ac:dyDescent="0.3">
      <c r="B453" s="110"/>
      <c r="C453" s="576"/>
      <c r="D453" s="577"/>
      <c r="E453" s="577"/>
      <c r="F453" s="577"/>
      <c r="G453" s="577"/>
      <c r="H453" s="577"/>
      <c r="I453" s="577"/>
      <c r="J453" s="268"/>
      <c r="K453" s="578"/>
      <c r="L453" s="579"/>
    </row>
    <row r="454" spans="2:12" ht="120" customHeight="1" x14ac:dyDescent="0.3">
      <c r="B454" s="110"/>
      <c r="C454" s="576"/>
      <c r="D454" s="577"/>
      <c r="E454" s="577"/>
      <c r="F454" s="577"/>
      <c r="G454" s="577"/>
      <c r="H454" s="577"/>
      <c r="I454" s="577"/>
      <c r="J454" s="268"/>
      <c r="K454" s="578"/>
      <c r="L454" s="579"/>
    </row>
    <row r="455" spans="2:12" ht="120" customHeight="1" x14ac:dyDescent="0.3">
      <c r="B455" s="110"/>
      <c r="C455" s="576"/>
      <c r="D455" s="577"/>
      <c r="E455" s="577"/>
      <c r="F455" s="577"/>
      <c r="G455" s="577"/>
      <c r="H455" s="577"/>
      <c r="I455" s="577"/>
      <c r="J455" s="268"/>
      <c r="K455" s="578"/>
      <c r="L455" s="579"/>
    </row>
    <row r="456" spans="2:12" ht="120" customHeight="1" x14ac:dyDescent="0.3">
      <c r="B456" s="110"/>
      <c r="C456" s="576"/>
      <c r="D456" s="577"/>
      <c r="E456" s="577"/>
      <c r="F456" s="577"/>
      <c r="G456" s="577"/>
      <c r="H456" s="577"/>
      <c r="I456" s="577"/>
      <c r="J456" s="268"/>
      <c r="K456" s="578"/>
      <c r="L456" s="579"/>
    </row>
    <row r="457" spans="2:12" ht="120" customHeight="1" x14ac:dyDescent="0.3">
      <c r="B457" s="110"/>
      <c r="C457" s="576"/>
      <c r="D457" s="577"/>
      <c r="E457" s="577"/>
      <c r="F457" s="577"/>
      <c r="G457" s="577"/>
      <c r="H457" s="577"/>
      <c r="I457" s="577"/>
      <c r="J457" s="268"/>
      <c r="K457" s="578"/>
      <c r="L457" s="579"/>
    </row>
    <row r="458" spans="2:12" ht="120" customHeight="1" x14ac:dyDescent="0.3">
      <c r="B458" s="110"/>
      <c r="C458" s="576"/>
      <c r="D458" s="577"/>
      <c r="E458" s="577"/>
      <c r="F458" s="577"/>
      <c r="G458" s="577"/>
      <c r="H458" s="577"/>
      <c r="I458" s="577"/>
      <c r="J458" s="268"/>
      <c r="K458" s="578"/>
      <c r="L458" s="579"/>
    </row>
    <row r="459" spans="2:12" ht="120" customHeight="1" x14ac:dyDescent="0.3">
      <c r="B459" s="110"/>
      <c r="C459" s="576"/>
      <c r="D459" s="577"/>
      <c r="E459" s="577"/>
      <c r="F459" s="577"/>
      <c r="G459" s="577"/>
      <c r="H459" s="577"/>
      <c r="I459" s="577"/>
      <c r="J459" s="268"/>
      <c r="K459" s="578"/>
      <c r="L459" s="579"/>
    </row>
    <row r="460" spans="2:12" ht="120" customHeight="1" x14ac:dyDescent="0.3">
      <c r="B460" s="110"/>
      <c r="C460" s="576"/>
      <c r="D460" s="577"/>
      <c r="E460" s="577"/>
      <c r="F460" s="577"/>
      <c r="G460" s="577"/>
      <c r="H460" s="577"/>
      <c r="I460" s="577"/>
      <c r="J460" s="268"/>
      <c r="K460" s="578"/>
      <c r="L460" s="579"/>
    </row>
    <row r="461" spans="2:12" ht="120" customHeight="1" x14ac:dyDescent="0.3">
      <c r="B461" s="110"/>
      <c r="C461" s="576"/>
      <c r="D461" s="577"/>
      <c r="E461" s="577"/>
      <c r="F461" s="577"/>
      <c r="G461" s="577"/>
      <c r="H461" s="577"/>
      <c r="I461" s="577"/>
      <c r="J461" s="268"/>
      <c r="K461" s="578"/>
      <c r="L461" s="579"/>
    </row>
    <row r="462" spans="2:12" ht="120" customHeight="1" x14ac:dyDescent="0.3">
      <c r="B462" s="110"/>
      <c r="C462" s="576"/>
      <c r="D462" s="577"/>
      <c r="E462" s="577"/>
      <c r="F462" s="577"/>
      <c r="G462" s="577"/>
      <c r="H462" s="577"/>
      <c r="I462" s="577"/>
      <c r="J462" s="268"/>
      <c r="K462" s="578"/>
      <c r="L462" s="579"/>
    </row>
    <row r="463" spans="2:12" ht="120" customHeight="1" x14ac:dyDescent="0.3">
      <c r="B463" s="110"/>
      <c r="C463" s="576"/>
      <c r="D463" s="577"/>
      <c r="E463" s="577"/>
      <c r="F463" s="577"/>
      <c r="G463" s="577"/>
      <c r="H463" s="577"/>
      <c r="I463" s="577"/>
      <c r="J463" s="268"/>
      <c r="K463" s="578"/>
      <c r="L463" s="579"/>
    </row>
    <row r="464" spans="2:12" ht="120" customHeight="1" x14ac:dyDescent="0.3">
      <c r="B464" s="110"/>
      <c r="C464" s="576"/>
      <c r="D464" s="577"/>
      <c r="E464" s="577"/>
      <c r="F464" s="577"/>
      <c r="G464" s="577"/>
      <c r="H464" s="577"/>
      <c r="I464" s="577"/>
      <c r="J464" s="268"/>
      <c r="K464" s="578"/>
      <c r="L464" s="579"/>
    </row>
    <row r="465" spans="2:12" ht="120" customHeight="1" x14ac:dyDescent="0.3">
      <c r="B465" s="110"/>
      <c r="C465" s="576"/>
      <c r="D465" s="577"/>
      <c r="E465" s="577"/>
      <c r="F465" s="577"/>
      <c r="G465" s="577"/>
      <c r="H465" s="577"/>
      <c r="I465" s="577"/>
      <c r="J465" s="268"/>
      <c r="K465" s="578"/>
      <c r="L465" s="579"/>
    </row>
    <row r="466" spans="2:12" ht="120" customHeight="1" x14ac:dyDescent="0.3">
      <c r="B466" s="110"/>
      <c r="C466" s="576"/>
      <c r="D466" s="577"/>
      <c r="E466" s="577"/>
      <c r="F466" s="577"/>
      <c r="G466" s="577"/>
      <c r="H466" s="577"/>
      <c r="I466" s="577"/>
      <c r="J466" s="268"/>
      <c r="K466" s="578"/>
      <c r="L466" s="579"/>
    </row>
    <row r="467" spans="2:12" ht="120" customHeight="1" x14ac:dyDescent="0.3">
      <c r="B467" s="110"/>
      <c r="C467" s="576"/>
      <c r="D467" s="577"/>
      <c r="E467" s="577"/>
      <c r="F467" s="577"/>
      <c r="G467" s="577"/>
      <c r="H467" s="577"/>
      <c r="I467" s="577"/>
      <c r="J467" s="268"/>
      <c r="K467" s="578"/>
      <c r="L467" s="579"/>
    </row>
    <row r="468" spans="2:12" ht="120" customHeight="1" x14ac:dyDescent="0.3">
      <c r="B468" s="110"/>
      <c r="C468" s="576"/>
      <c r="D468" s="577"/>
      <c r="E468" s="577"/>
      <c r="F468" s="577"/>
      <c r="G468" s="577"/>
      <c r="H468" s="577"/>
      <c r="I468" s="577"/>
      <c r="J468" s="268"/>
      <c r="K468" s="578"/>
      <c r="L468" s="579"/>
    </row>
    <row r="469" spans="2:12" ht="120" customHeight="1" x14ac:dyDescent="0.3">
      <c r="B469" s="110"/>
      <c r="C469" s="576"/>
      <c r="D469" s="577"/>
      <c r="E469" s="577"/>
      <c r="F469" s="577"/>
      <c r="G469" s="577"/>
      <c r="H469" s="577"/>
      <c r="I469" s="577"/>
      <c r="J469" s="268"/>
      <c r="K469" s="578"/>
      <c r="L469" s="579"/>
    </row>
    <row r="470" spans="2:12" ht="120" customHeight="1" x14ac:dyDescent="0.3">
      <c r="B470" s="110"/>
      <c r="C470" s="576"/>
      <c r="D470" s="577"/>
      <c r="E470" s="577"/>
      <c r="F470" s="577"/>
      <c r="G470" s="577"/>
      <c r="H470" s="577"/>
      <c r="I470" s="577"/>
      <c r="J470" s="268"/>
      <c r="K470" s="578"/>
      <c r="L470" s="579"/>
    </row>
    <row r="471" spans="2:12" ht="120" customHeight="1" x14ac:dyDescent="0.3">
      <c r="B471" s="110"/>
      <c r="C471" s="576"/>
      <c r="D471" s="577"/>
      <c r="E471" s="577"/>
      <c r="F471" s="577"/>
      <c r="G471" s="577"/>
      <c r="H471" s="577"/>
      <c r="I471" s="577"/>
      <c r="J471" s="268"/>
      <c r="K471" s="578"/>
      <c r="L471" s="579"/>
    </row>
    <row r="472" spans="2:12" ht="120" customHeight="1" x14ac:dyDescent="0.3">
      <c r="B472" s="110"/>
      <c r="C472" s="576"/>
      <c r="D472" s="577"/>
      <c r="E472" s="577"/>
      <c r="F472" s="577"/>
      <c r="G472" s="577"/>
      <c r="H472" s="577"/>
      <c r="I472" s="577"/>
      <c r="J472" s="268"/>
      <c r="K472" s="578"/>
      <c r="L472" s="579"/>
    </row>
    <row r="473" spans="2:12" ht="120" customHeight="1" x14ac:dyDescent="0.3">
      <c r="B473" s="110"/>
      <c r="C473" s="576"/>
      <c r="D473" s="577"/>
      <c r="E473" s="577"/>
      <c r="F473" s="577"/>
      <c r="G473" s="577"/>
      <c r="H473" s="577"/>
      <c r="I473" s="577"/>
      <c r="J473" s="268"/>
      <c r="K473" s="578"/>
      <c r="L473" s="579"/>
    </row>
    <row r="474" spans="2:12" ht="120" customHeight="1" x14ac:dyDescent="0.3">
      <c r="B474" s="110"/>
      <c r="C474" s="576"/>
      <c r="D474" s="577"/>
      <c r="E474" s="577"/>
      <c r="F474" s="577"/>
      <c r="G474" s="577"/>
      <c r="H474" s="577"/>
      <c r="I474" s="577"/>
      <c r="J474" s="268"/>
      <c r="K474" s="578"/>
      <c r="L474" s="579"/>
    </row>
    <row r="475" spans="2:12" ht="120" customHeight="1" x14ac:dyDescent="0.3">
      <c r="B475" s="110"/>
      <c r="C475" s="576"/>
      <c r="D475" s="577"/>
      <c r="E475" s="577"/>
      <c r="F475" s="577"/>
      <c r="G475" s="577"/>
      <c r="H475" s="577"/>
      <c r="I475" s="577"/>
      <c r="J475" s="268"/>
      <c r="K475" s="578"/>
      <c r="L475" s="579"/>
    </row>
    <row r="476" spans="2:12" ht="120" customHeight="1" x14ac:dyDescent="0.3">
      <c r="B476" s="110"/>
      <c r="C476" s="576"/>
      <c r="D476" s="577"/>
      <c r="E476" s="577"/>
      <c r="F476" s="577"/>
      <c r="G476" s="577"/>
      <c r="H476" s="577"/>
      <c r="I476" s="577"/>
      <c r="J476" s="268"/>
      <c r="K476" s="578"/>
      <c r="L476" s="579"/>
    </row>
    <row r="477" spans="2:12" ht="120" customHeight="1" x14ac:dyDescent="0.3">
      <c r="B477" s="110"/>
      <c r="C477" s="576"/>
      <c r="D477" s="577"/>
      <c r="E477" s="577"/>
      <c r="F477" s="577"/>
      <c r="G477" s="577"/>
      <c r="H477" s="577"/>
      <c r="I477" s="577"/>
      <c r="J477" s="268"/>
      <c r="K477" s="578"/>
      <c r="L477" s="579"/>
    </row>
    <row r="478" spans="2:12" ht="120" customHeight="1" x14ac:dyDescent="0.3">
      <c r="B478" s="110"/>
      <c r="C478" s="576"/>
      <c r="D478" s="577"/>
      <c r="E478" s="577"/>
      <c r="F478" s="577"/>
      <c r="G478" s="577"/>
      <c r="H478" s="577"/>
      <c r="I478" s="577"/>
      <c r="J478" s="268"/>
      <c r="K478" s="578"/>
      <c r="L478" s="579"/>
    </row>
    <row r="479" spans="2:12" ht="120" customHeight="1" x14ac:dyDescent="0.3">
      <c r="B479" s="110"/>
      <c r="C479" s="576"/>
      <c r="D479" s="577"/>
      <c r="E479" s="577"/>
      <c r="F479" s="577"/>
      <c r="G479" s="577"/>
      <c r="H479" s="577"/>
      <c r="I479" s="577"/>
      <c r="J479" s="268"/>
      <c r="K479" s="578"/>
      <c r="L479" s="579"/>
    </row>
    <row r="480" spans="2:12" ht="120" customHeight="1" x14ac:dyDescent="0.3">
      <c r="B480" s="110"/>
      <c r="C480" s="576"/>
      <c r="D480" s="577"/>
      <c r="E480" s="577"/>
      <c r="F480" s="577"/>
      <c r="G480" s="577"/>
      <c r="H480" s="577"/>
      <c r="I480" s="577"/>
      <c r="J480" s="268"/>
      <c r="K480" s="578"/>
      <c r="L480" s="579"/>
    </row>
    <row r="481" spans="2:12" ht="120" customHeight="1" x14ac:dyDescent="0.3">
      <c r="B481" s="110"/>
      <c r="C481" s="576"/>
      <c r="D481" s="577"/>
      <c r="E481" s="577"/>
      <c r="F481" s="577"/>
      <c r="G481" s="577"/>
      <c r="H481" s="577"/>
      <c r="I481" s="577"/>
      <c r="J481" s="268"/>
      <c r="K481" s="578"/>
      <c r="L481" s="579"/>
    </row>
    <row r="482" spans="2:12" ht="120" customHeight="1" x14ac:dyDescent="0.3">
      <c r="B482" s="110"/>
      <c r="C482" s="576"/>
      <c r="D482" s="577"/>
      <c r="E482" s="577"/>
      <c r="F482" s="577"/>
      <c r="G482" s="577"/>
      <c r="H482" s="577"/>
      <c r="I482" s="577"/>
      <c r="J482" s="268"/>
      <c r="K482" s="578"/>
      <c r="L482" s="579"/>
    </row>
    <row r="483" spans="2:12" ht="120" customHeight="1" x14ac:dyDescent="0.3">
      <c r="B483" s="110"/>
      <c r="C483" s="576"/>
      <c r="D483" s="577"/>
      <c r="E483" s="577"/>
      <c r="F483" s="577"/>
      <c r="G483" s="577"/>
      <c r="H483" s="577"/>
      <c r="I483" s="577"/>
      <c r="J483" s="268"/>
      <c r="K483" s="578"/>
      <c r="L483" s="579"/>
    </row>
    <row r="484" spans="2:12" ht="120" customHeight="1" x14ac:dyDescent="0.3">
      <c r="B484" s="110"/>
      <c r="C484" s="576"/>
      <c r="D484" s="577"/>
      <c r="E484" s="577"/>
      <c r="F484" s="577"/>
      <c r="G484" s="577"/>
      <c r="H484" s="577"/>
      <c r="I484" s="577"/>
      <c r="J484" s="268"/>
      <c r="K484" s="578"/>
      <c r="L484" s="579"/>
    </row>
    <row r="485" spans="2:12" ht="120" customHeight="1" x14ac:dyDescent="0.3">
      <c r="B485" s="110"/>
      <c r="C485" s="576"/>
      <c r="D485" s="577"/>
      <c r="E485" s="577"/>
      <c r="F485" s="577"/>
      <c r="G485" s="577"/>
      <c r="H485" s="577"/>
      <c r="I485" s="577"/>
      <c r="J485" s="268"/>
      <c r="K485" s="578"/>
      <c r="L485" s="579"/>
    </row>
    <row r="486" spans="2:12" ht="120" customHeight="1" x14ac:dyDescent="0.3">
      <c r="B486" s="110"/>
      <c r="C486" s="576"/>
      <c r="D486" s="577"/>
      <c r="E486" s="577"/>
      <c r="F486" s="577"/>
      <c r="G486" s="577"/>
      <c r="H486" s="577"/>
      <c r="I486" s="577"/>
      <c r="J486" s="268"/>
      <c r="K486" s="578"/>
      <c r="L486" s="579"/>
    </row>
    <row r="487" spans="2:12" ht="120" customHeight="1" x14ac:dyDescent="0.3">
      <c r="B487" s="110"/>
      <c r="C487" s="576"/>
      <c r="D487" s="577"/>
      <c r="E487" s="577"/>
      <c r="F487" s="577"/>
      <c r="G487" s="577"/>
      <c r="H487" s="577"/>
      <c r="I487" s="577"/>
      <c r="J487" s="268"/>
      <c r="K487" s="578"/>
      <c r="L487" s="579"/>
    </row>
    <row r="488" spans="2:12" ht="120" customHeight="1" x14ac:dyDescent="0.3">
      <c r="B488" s="110"/>
      <c r="C488" s="576"/>
      <c r="D488" s="577"/>
      <c r="E488" s="577"/>
      <c r="F488" s="577"/>
      <c r="G488" s="577"/>
      <c r="H488" s="577"/>
      <c r="I488" s="577"/>
      <c r="J488" s="268"/>
      <c r="K488" s="578"/>
      <c r="L488" s="579"/>
    </row>
    <row r="489" spans="2:12" ht="120" customHeight="1" x14ac:dyDescent="0.3">
      <c r="B489" s="110"/>
      <c r="C489" s="576"/>
      <c r="D489" s="577"/>
      <c r="E489" s="577"/>
      <c r="F489" s="577"/>
      <c r="G489" s="577"/>
      <c r="H489" s="577"/>
      <c r="I489" s="577"/>
      <c r="J489" s="268"/>
      <c r="K489" s="578"/>
      <c r="L489" s="579"/>
    </row>
    <row r="490" spans="2:12" ht="120" customHeight="1" x14ac:dyDescent="0.3">
      <c r="B490" s="110"/>
      <c r="C490" s="576"/>
      <c r="D490" s="577"/>
      <c r="E490" s="577"/>
      <c r="F490" s="577"/>
      <c r="G490" s="577"/>
      <c r="H490" s="577"/>
      <c r="I490" s="577"/>
      <c r="J490" s="268"/>
      <c r="K490" s="578"/>
      <c r="L490" s="579"/>
    </row>
    <row r="491" spans="2:12" ht="120" customHeight="1" x14ac:dyDescent="0.3">
      <c r="B491" s="110"/>
      <c r="C491" s="576"/>
      <c r="D491" s="577"/>
      <c r="E491" s="577"/>
      <c r="F491" s="577"/>
      <c r="G491" s="577"/>
      <c r="H491" s="577"/>
      <c r="I491" s="577"/>
      <c r="J491" s="268"/>
      <c r="K491" s="578"/>
      <c r="L491" s="579"/>
    </row>
    <row r="492" spans="2:12" ht="120" customHeight="1" x14ac:dyDescent="0.3">
      <c r="B492" s="110"/>
      <c r="C492" s="576"/>
      <c r="D492" s="577"/>
      <c r="E492" s="577"/>
      <c r="F492" s="577"/>
      <c r="G492" s="577"/>
      <c r="H492" s="577"/>
      <c r="I492" s="577"/>
      <c r="J492" s="268"/>
      <c r="K492" s="578"/>
      <c r="L492" s="579"/>
    </row>
    <row r="493" spans="2:12" ht="120" customHeight="1" x14ac:dyDescent="0.3">
      <c r="B493" s="110"/>
      <c r="C493" s="576"/>
      <c r="D493" s="577"/>
      <c r="E493" s="577"/>
      <c r="F493" s="577"/>
      <c r="G493" s="577"/>
      <c r="H493" s="577"/>
      <c r="I493" s="577"/>
      <c r="J493" s="268"/>
      <c r="K493" s="578"/>
      <c r="L493" s="579"/>
    </row>
    <row r="494" spans="2:12" ht="120" customHeight="1" x14ac:dyDescent="0.3">
      <c r="B494" s="110"/>
      <c r="C494" s="576"/>
      <c r="D494" s="577"/>
      <c r="E494" s="577"/>
      <c r="F494" s="577"/>
      <c r="G494" s="577"/>
      <c r="H494" s="577"/>
      <c r="I494" s="577"/>
      <c r="J494" s="268"/>
      <c r="K494" s="578"/>
      <c r="L494" s="579"/>
    </row>
    <row r="495" spans="2:12" ht="120" customHeight="1" x14ac:dyDescent="0.3">
      <c r="B495" s="110"/>
      <c r="C495" s="576"/>
      <c r="D495" s="577"/>
      <c r="E495" s="577"/>
      <c r="F495" s="577"/>
      <c r="G495" s="577"/>
      <c r="H495" s="577"/>
      <c r="I495" s="577"/>
      <c r="J495" s="268"/>
      <c r="K495" s="578"/>
      <c r="L495" s="579"/>
    </row>
    <row r="496" spans="2:12" ht="120" customHeight="1" x14ac:dyDescent="0.3">
      <c r="B496" s="110"/>
      <c r="C496" s="576"/>
      <c r="D496" s="577"/>
      <c r="E496" s="577"/>
      <c r="F496" s="577"/>
      <c r="G496" s="577"/>
      <c r="H496" s="577"/>
      <c r="I496" s="577"/>
      <c r="J496" s="268"/>
      <c r="K496" s="578"/>
      <c r="L496" s="579"/>
    </row>
    <row r="497" spans="2:12" ht="120" customHeight="1" x14ac:dyDescent="0.3">
      <c r="B497" s="110"/>
      <c r="C497" s="576"/>
      <c r="D497" s="577"/>
      <c r="E497" s="577"/>
      <c r="F497" s="577"/>
      <c r="G497" s="577"/>
      <c r="H497" s="577"/>
      <c r="I497" s="577"/>
      <c r="J497" s="268"/>
      <c r="K497" s="578"/>
      <c r="L497" s="579"/>
    </row>
    <row r="498" spans="2:12" ht="120" customHeight="1" x14ac:dyDescent="0.3">
      <c r="B498" s="110"/>
      <c r="C498" s="576"/>
      <c r="D498" s="577"/>
      <c r="E498" s="577"/>
      <c r="F498" s="577"/>
      <c r="G498" s="577"/>
      <c r="H498" s="577"/>
      <c r="I498" s="577"/>
      <c r="J498" s="268"/>
      <c r="K498" s="578"/>
      <c r="L498" s="579"/>
    </row>
    <row r="499" spans="2:12" ht="120" customHeight="1" x14ac:dyDescent="0.3">
      <c r="B499" s="110"/>
      <c r="C499" s="576"/>
      <c r="D499" s="577"/>
      <c r="E499" s="577"/>
      <c r="F499" s="577"/>
      <c r="G499" s="577"/>
      <c r="H499" s="577"/>
      <c r="I499" s="577"/>
      <c r="J499" s="268"/>
      <c r="K499" s="578"/>
      <c r="L499" s="579"/>
    </row>
    <row r="500" spans="2:12" ht="120" customHeight="1" x14ac:dyDescent="0.3">
      <c r="B500" s="110"/>
      <c r="C500" s="576"/>
      <c r="D500" s="577"/>
      <c r="E500" s="577"/>
      <c r="F500" s="577"/>
      <c r="G500" s="577"/>
      <c r="H500" s="577"/>
      <c r="I500" s="577"/>
      <c r="J500" s="268"/>
      <c r="K500" s="578"/>
      <c r="L500" s="579"/>
    </row>
    <row r="501" spans="2:12" ht="120" customHeight="1" x14ac:dyDescent="0.3">
      <c r="B501" s="110"/>
      <c r="C501" s="576"/>
      <c r="D501" s="577"/>
      <c r="E501" s="577"/>
      <c r="F501" s="577"/>
      <c r="G501" s="577"/>
      <c r="H501" s="577"/>
      <c r="I501" s="577"/>
      <c r="J501" s="268"/>
      <c r="K501" s="578"/>
      <c r="L501" s="579"/>
    </row>
    <row r="502" spans="2:12" ht="120" customHeight="1" x14ac:dyDescent="0.3">
      <c r="B502" s="110"/>
      <c r="C502" s="576"/>
      <c r="D502" s="577"/>
      <c r="E502" s="577"/>
      <c r="F502" s="577"/>
      <c r="G502" s="577"/>
      <c r="H502" s="577"/>
      <c r="I502" s="577"/>
      <c r="J502" s="268"/>
      <c r="K502" s="578"/>
      <c r="L502" s="579"/>
    </row>
    <row r="503" spans="2:12" ht="120" customHeight="1" x14ac:dyDescent="0.3">
      <c r="B503" s="110"/>
      <c r="C503" s="576"/>
      <c r="D503" s="577"/>
      <c r="E503" s="577"/>
      <c r="F503" s="577"/>
      <c r="G503" s="577"/>
      <c r="H503" s="577"/>
      <c r="I503" s="577"/>
      <c r="J503" s="268"/>
      <c r="K503" s="578"/>
      <c r="L503" s="579"/>
    </row>
    <row r="504" spans="2:12" ht="120" customHeight="1" x14ac:dyDescent="0.3">
      <c r="B504" s="110"/>
      <c r="C504" s="576"/>
      <c r="D504" s="577"/>
      <c r="E504" s="577"/>
      <c r="F504" s="577"/>
      <c r="G504" s="577"/>
      <c r="H504" s="577"/>
      <c r="I504" s="577"/>
      <c r="J504" s="268"/>
      <c r="K504" s="578"/>
      <c r="L504" s="579"/>
    </row>
    <row r="505" spans="2:12" ht="120" customHeight="1" x14ac:dyDescent="0.3">
      <c r="B505" s="110"/>
      <c r="C505" s="576"/>
      <c r="D505" s="577"/>
      <c r="E505" s="577"/>
      <c r="F505" s="577"/>
      <c r="G505" s="577"/>
      <c r="H505" s="577"/>
      <c r="I505" s="577"/>
      <c r="J505" s="268"/>
      <c r="K505" s="578"/>
      <c r="L505" s="579"/>
    </row>
    <row r="506" spans="2:12" ht="120" customHeight="1" x14ac:dyDescent="0.3">
      <c r="B506" s="110"/>
      <c r="C506" s="576"/>
      <c r="D506" s="577"/>
      <c r="E506" s="577"/>
      <c r="F506" s="577"/>
      <c r="G506" s="577"/>
      <c r="H506" s="577"/>
      <c r="I506" s="577"/>
      <c r="J506" s="268"/>
      <c r="K506" s="578"/>
      <c r="L506" s="579"/>
    </row>
    <row r="507" spans="2:12" ht="120" customHeight="1" x14ac:dyDescent="0.3">
      <c r="B507" s="110"/>
      <c r="C507" s="576"/>
      <c r="D507" s="577"/>
      <c r="E507" s="577"/>
      <c r="F507" s="577"/>
      <c r="G507" s="577"/>
      <c r="H507" s="577"/>
      <c r="I507" s="577"/>
      <c r="J507" s="268"/>
      <c r="K507" s="578"/>
      <c r="L507" s="579"/>
    </row>
    <row r="508" spans="2:12" ht="120" customHeight="1" x14ac:dyDescent="0.3">
      <c r="B508" s="110"/>
      <c r="C508" s="576"/>
      <c r="D508" s="577"/>
      <c r="E508" s="577"/>
      <c r="F508" s="577"/>
      <c r="G508" s="577"/>
      <c r="H508" s="577"/>
      <c r="I508" s="577"/>
      <c r="J508" s="268"/>
      <c r="K508" s="578"/>
      <c r="L508" s="579"/>
    </row>
    <row r="509" spans="2:12" ht="120" customHeight="1" x14ac:dyDescent="0.3">
      <c r="B509" s="110"/>
      <c r="C509" s="576"/>
      <c r="D509" s="577"/>
      <c r="E509" s="577"/>
      <c r="F509" s="577"/>
      <c r="G509" s="577"/>
      <c r="H509" s="577"/>
      <c r="I509" s="577"/>
      <c r="J509" s="268"/>
      <c r="K509" s="578"/>
      <c r="L509" s="579"/>
    </row>
    <row r="510" spans="2:12" ht="120" customHeight="1" x14ac:dyDescent="0.3">
      <c r="B510" s="110"/>
      <c r="C510" s="576"/>
      <c r="D510" s="577"/>
      <c r="E510" s="577"/>
      <c r="F510" s="577"/>
      <c r="G510" s="577"/>
      <c r="H510" s="577"/>
      <c r="I510" s="577"/>
      <c r="J510" s="268"/>
      <c r="K510" s="578"/>
      <c r="L510" s="579"/>
    </row>
    <row r="511" spans="2:12" ht="120" customHeight="1" x14ac:dyDescent="0.3">
      <c r="B511" s="110"/>
      <c r="C511" s="576"/>
      <c r="D511" s="577"/>
      <c r="E511" s="577"/>
      <c r="F511" s="577"/>
      <c r="G511" s="577"/>
      <c r="H511" s="577"/>
      <c r="I511" s="577"/>
      <c r="J511" s="268"/>
      <c r="K511" s="578"/>
      <c r="L511" s="579"/>
    </row>
    <row r="512" spans="2:12" ht="120" customHeight="1" x14ac:dyDescent="0.3">
      <c r="B512" s="110"/>
      <c r="C512" s="576"/>
      <c r="D512" s="577"/>
      <c r="E512" s="577"/>
      <c r="F512" s="577"/>
      <c r="G512" s="577"/>
      <c r="H512" s="577"/>
      <c r="I512" s="577"/>
      <c r="J512" s="268"/>
      <c r="K512" s="578"/>
      <c r="L512" s="579"/>
    </row>
    <row r="513" spans="2:12" ht="120" customHeight="1" x14ac:dyDescent="0.3">
      <c r="B513" s="110"/>
      <c r="C513" s="576"/>
      <c r="D513" s="577"/>
      <c r="E513" s="577"/>
      <c r="F513" s="577"/>
      <c r="G513" s="577"/>
      <c r="H513" s="577"/>
      <c r="I513" s="577"/>
      <c r="J513" s="268"/>
      <c r="K513" s="578"/>
      <c r="L513" s="579"/>
    </row>
    <row r="514" spans="2:12" ht="120" customHeight="1" x14ac:dyDescent="0.3">
      <c r="B514" s="110"/>
      <c r="C514" s="576"/>
      <c r="D514" s="577"/>
      <c r="E514" s="577"/>
      <c r="F514" s="577"/>
      <c r="G514" s="577"/>
      <c r="H514" s="577"/>
      <c r="I514" s="577"/>
      <c r="J514" s="268"/>
      <c r="K514" s="578"/>
      <c r="L514" s="579"/>
    </row>
    <row r="515" spans="2:12" ht="120" customHeight="1" x14ac:dyDescent="0.3">
      <c r="B515" s="110"/>
      <c r="C515" s="576"/>
      <c r="D515" s="577"/>
      <c r="E515" s="577"/>
      <c r="F515" s="577"/>
      <c r="G515" s="577"/>
      <c r="H515" s="577"/>
      <c r="I515" s="577"/>
      <c r="J515" s="268"/>
      <c r="K515" s="578"/>
      <c r="L515" s="579"/>
    </row>
    <row r="516" spans="2:12" ht="120" customHeight="1" x14ac:dyDescent="0.3">
      <c r="B516" s="110"/>
      <c r="C516" s="576"/>
      <c r="D516" s="577"/>
      <c r="E516" s="577"/>
      <c r="F516" s="577"/>
      <c r="G516" s="577"/>
      <c r="H516" s="577"/>
      <c r="I516" s="577"/>
      <c r="J516" s="268"/>
      <c r="K516" s="578"/>
      <c r="L516" s="579"/>
    </row>
    <row r="517" spans="2:12" ht="120" customHeight="1" x14ac:dyDescent="0.3">
      <c r="B517" s="110"/>
      <c r="C517" s="576"/>
      <c r="D517" s="577"/>
      <c r="E517" s="577"/>
      <c r="F517" s="577"/>
      <c r="G517" s="577"/>
      <c r="H517" s="577"/>
      <c r="I517" s="577"/>
      <c r="J517" s="268"/>
      <c r="K517" s="578"/>
      <c r="L517" s="579"/>
    </row>
    <row r="518" spans="2:12" ht="120" customHeight="1" x14ac:dyDescent="0.3">
      <c r="B518" s="110"/>
      <c r="C518" s="576"/>
      <c r="D518" s="577"/>
      <c r="E518" s="577"/>
      <c r="F518" s="577"/>
      <c r="G518" s="577"/>
      <c r="H518" s="577"/>
      <c r="I518" s="577"/>
      <c r="J518" s="268"/>
      <c r="K518" s="578"/>
      <c r="L518" s="579"/>
    </row>
    <row r="519" spans="2:12" ht="120" customHeight="1" x14ac:dyDescent="0.3">
      <c r="B519" s="110"/>
      <c r="C519" s="576"/>
      <c r="D519" s="577"/>
      <c r="E519" s="577"/>
      <c r="F519" s="577"/>
      <c r="G519" s="577"/>
      <c r="H519" s="577"/>
      <c r="I519" s="577"/>
      <c r="J519" s="268"/>
      <c r="K519" s="578"/>
      <c r="L519" s="579"/>
    </row>
    <row r="520" spans="2:12" ht="120" customHeight="1" x14ac:dyDescent="0.3">
      <c r="B520" s="110"/>
      <c r="C520" s="576"/>
      <c r="D520" s="577"/>
      <c r="E520" s="577"/>
      <c r="F520" s="577"/>
      <c r="G520" s="577"/>
      <c r="H520" s="577"/>
      <c r="I520" s="577"/>
      <c r="J520" s="268"/>
      <c r="K520" s="578"/>
      <c r="L520" s="579"/>
    </row>
    <row r="521" spans="2:12" ht="120" customHeight="1" x14ac:dyDescent="0.3">
      <c r="B521" s="110"/>
      <c r="C521" s="576"/>
      <c r="D521" s="577"/>
      <c r="E521" s="577"/>
      <c r="F521" s="577"/>
      <c r="G521" s="577"/>
      <c r="H521" s="577"/>
      <c r="I521" s="577"/>
      <c r="J521" s="268"/>
      <c r="K521" s="578"/>
      <c r="L521" s="579"/>
    </row>
    <row r="522" spans="2:12" ht="120" customHeight="1" x14ac:dyDescent="0.3">
      <c r="B522" s="110"/>
      <c r="C522" s="576"/>
      <c r="D522" s="577"/>
      <c r="E522" s="577"/>
      <c r="F522" s="577"/>
      <c r="G522" s="577"/>
      <c r="H522" s="577"/>
      <c r="I522" s="577"/>
      <c r="J522" s="268"/>
      <c r="K522" s="578"/>
      <c r="L522" s="579"/>
    </row>
    <row r="523" spans="2:12" ht="120" customHeight="1" x14ac:dyDescent="0.3">
      <c r="B523" s="110"/>
      <c r="C523" s="576"/>
      <c r="D523" s="577"/>
      <c r="E523" s="577"/>
      <c r="F523" s="577"/>
      <c r="G523" s="577"/>
      <c r="H523" s="577"/>
      <c r="I523" s="577"/>
      <c r="J523" s="268"/>
      <c r="K523" s="578"/>
      <c r="L523" s="579"/>
    </row>
    <row r="524" spans="2:12" ht="120" customHeight="1" x14ac:dyDescent="0.3">
      <c r="B524" s="110"/>
      <c r="C524" s="576"/>
      <c r="D524" s="577"/>
      <c r="E524" s="577"/>
      <c r="F524" s="577"/>
      <c r="G524" s="577"/>
      <c r="H524" s="577"/>
      <c r="I524" s="577"/>
      <c r="J524" s="268"/>
      <c r="K524" s="578"/>
      <c r="L524" s="579"/>
    </row>
    <row r="525" spans="2:12" ht="120" customHeight="1" x14ac:dyDescent="0.3">
      <c r="B525" s="110"/>
      <c r="C525" s="576"/>
      <c r="D525" s="577"/>
      <c r="E525" s="577"/>
      <c r="F525" s="577"/>
      <c r="G525" s="577"/>
      <c r="H525" s="577"/>
      <c r="I525" s="577"/>
      <c r="J525" s="268"/>
      <c r="K525" s="578"/>
      <c r="L525" s="579"/>
    </row>
    <row r="526" spans="2:12" ht="120" customHeight="1" x14ac:dyDescent="0.3">
      <c r="B526" s="110"/>
      <c r="C526" s="576"/>
      <c r="D526" s="577"/>
      <c r="E526" s="577"/>
      <c r="F526" s="577"/>
      <c r="G526" s="577"/>
      <c r="H526" s="577"/>
      <c r="I526" s="577"/>
      <c r="J526" s="268"/>
      <c r="K526" s="578"/>
      <c r="L526" s="579"/>
    </row>
    <row r="527" spans="2:12" ht="120" customHeight="1" x14ac:dyDescent="0.3">
      <c r="B527" s="110"/>
      <c r="C527" s="576"/>
      <c r="D527" s="577"/>
      <c r="E527" s="577"/>
      <c r="F527" s="577"/>
      <c r="G527" s="577"/>
      <c r="H527" s="577"/>
      <c r="I527" s="577"/>
      <c r="J527" s="268"/>
      <c r="K527" s="578"/>
      <c r="L527" s="579"/>
    </row>
    <row r="528" spans="2:12" ht="120" customHeight="1" x14ac:dyDescent="0.3">
      <c r="B528" s="110"/>
      <c r="C528" s="576"/>
      <c r="D528" s="577"/>
      <c r="E528" s="577"/>
      <c r="F528" s="577"/>
      <c r="G528" s="577"/>
      <c r="H528" s="577"/>
      <c r="I528" s="577"/>
      <c r="J528" s="268"/>
      <c r="K528" s="578"/>
      <c r="L528" s="579"/>
    </row>
    <row r="529" spans="2:12" ht="120" customHeight="1" x14ac:dyDescent="0.3">
      <c r="B529" s="110"/>
      <c r="C529" s="576"/>
      <c r="D529" s="577"/>
      <c r="E529" s="577"/>
      <c r="F529" s="577"/>
      <c r="G529" s="577"/>
      <c r="H529" s="577"/>
      <c r="I529" s="577"/>
      <c r="J529" s="268"/>
      <c r="K529" s="578"/>
      <c r="L529" s="579"/>
    </row>
    <row r="530" spans="2:12" ht="120" customHeight="1" x14ac:dyDescent="0.3">
      <c r="B530" s="110"/>
      <c r="C530" s="576"/>
      <c r="D530" s="577"/>
      <c r="E530" s="577"/>
      <c r="F530" s="577"/>
      <c r="G530" s="577"/>
      <c r="H530" s="577"/>
      <c r="I530" s="577"/>
      <c r="J530" s="268"/>
      <c r="K530" s="578"/>
      <c r="L530" s="579"/>
    </row>
    <row r="531" spans="2:12" ht="120" customHeight="1" x14ac:dyDescent="0.3">
      <c r="B531" s="110"/>
      <c r="C531" s="576"/>
      <c r="D531" s="577"/>
      <c r="E531" s="577"/>
      <c r="F531" s="577"/>
      <c r="G531" s="577"/>
      <c r="H531" s="577"/>
      <c r="I531" s="577"/>
      <c r="J531" s="268"/>
      <c r="K531" s="578"/>
      <c r="L531" s="579"/>
    </row>
    <row r="532" spans="2:12" ht="120" customHeight="1" x14ac:dyDescent="0.3">
      <c r="B532" s="110"/>
      <c r="C532" s="576"/>
      <c r="D532" s="577"/>
      <c r="E532" s="577"/>
      <c r="F532" s="577"/>
      <c r="G532" s="577"/>
      <c r="H532" s="577"/>
      <c r="I532" s="577"/>
      <c r="J532" s="268"/>
      <c r="K532" s="578"/>
      <c r="L532" s="579"/>
    </row>
    <row r="533" spans="2:12" ht="120" customHeight="1" x14ac:dyDescent="0.3">
      <c r="B533" s="110"/>
      <c r="C533" s="576"/>
      <c r="D533" s="577"/>
      <c r="E533" s="577"/>
      <c r="F533" s="577"/>
      <c r="G533" s="577"/>
      <c r="H533" s="577"/>
      <c r="I533" s="577"/>
      <c r="J533" s="268"/>
      <c r="K533" s="578"/>
      <c r="L533" s="579"/>
    </row>
    <row r="534" spans="2:12" ht="120" customHeight="1" x14ac:dyDescent="0.3">
      <c r="B534" s="110"/>
      <c r="C534" s="576"/>
      <c r="D534" s="577"/>
      <c r="E534" s="577"/>
      <c r="F534" s="577"/>
      <c r="G534" s="577"/>
      <c r="H534" s="577"/>
      <c r="I534" s="577"/>
      <c r="J534" s="268"/>
      <c r="K534" s="578"/>
      <c r="L534" s="579"/>
    </row>
    <row r="535" spans="2:12" ht="120" customHeight="1" x14ac:dyDescent="0.3">
      <c r="B535" s="110"/>
      <c r="C535" s="576"/>
      <c r="D535" s="577"/>
      <c r="E535" s="577"/>
      <c r="F535" s="577"/>
      <c r="G535" s="577"/>
      <c r="H535" s="577"/>
      <c r="I535" s="577"/>
      <c r="J535" s="268"/>
      <c r="K535" s="578"/>
      <c r="L535" s="579"/>
    </row>
    <row r="536" spans="2:12" ht="120" customHeight="1" x14ac:dyDescent="0.3">
      <c r="B536" s="110"/>
      <c r="C536" s="576"/>
      <c r="D536" s="577"/>
      <c r="E536" s="577"/>
      <c r="F536" s="577"/>
      <c r="G536" s="577"/>
      <c r="H536" s="577"/>
      <c r="I536" s="577"/>
      <c r="J536" s="268"/>
      <c r="K536" s="578"/>
      <c r="L536" s="579"/>
    </row>
    <row r="537" spans="2:12" ht="120" customHeight="1" x14ac:dyDescent="0.3">
      <c r="B537" s="110"/>
      <c r="C537" s="576"/>
      <c r="D537" s="577"/>
      <c r="E537" s="577"/>
      <c r="F537" s="577"/>
      <c r="G537" s="577"/>
      <c r="H537" s="577"/>
      <c r="I537" s="577"/>
      <c r="J537" s="268"/>
      <c r="K537" s="578"/>
      <c r="L537" s="579"/>
    </row>
    <row r="538" spans="2:12" ht="120" customHeight="1" x14ac:dyDescent="0.3">
      <c r="B538" s="110"/>
      <c r="C538" s="576"/>
      <c r="D538" s="577"/>
      <c r="E538" s="577"/>
      <c r="F538" s="577"/>
      <c r="G538" s="577"/>
      <c r="H538" s="577"/>
      <c r="I538" s="577"/>
      <c r="J538" s="268"/>
      <c r="K538" s="578"/>
      <c r="L538" s="579"/>
    </row>
    <row r="539" spans="2:12" ht="120" customHeight="1" x14ac:dyDescent="0.3">
      <c r="B539" s="110"/>
      <c r="C539" s="576"/>
      <c r="D539" s="577"/>
      <c r="E539" s="577"/>
      <c r="F539" s="577"/>
      <c r="G539" s="577"/>
      <c r="H539" s="577"/>
      <c r="I539" s="577"/>
      <c r="J539" s="268"/>
      <c r="K539" s="578"/>
      <c r="L539" s="579"/>
    </row>
    <row r="540" spans="2:12" ht="120" customHeight="1" x14ac:dyDescent="0.3">
      <c r="B540" s="110"/>
      <c r="C540" s="576"/>
      <c r="D540" s="577"/>
      <c r="E540" s="577"/>
      <c r="F540" s="577"/>
      <c r="G540" s="577"/>
      <c r="H540" s="577"/>
      <c r="I540" s="577"/>
      <c r="J540" s="268"/>
      <c r="K540" s="578"/>
      <c r="L540" s="579"/>
    </row>
    <row r="541" spans="2:12" ht="120" customHeight="1" x14ac:dyDescent="0.3">
      <c r="B541" s="110"/>
      <c r="C541" s="576"/>
      <c r="D541" s="577"/>
      <c r="E541" s="577"/>
      <c r="F541" s="577"/>
      <c r="G541" s="577"/>
      <c r="H541" s="577"/>
      <c r="I541" s="577"/>
      <c r="J541" s="268"/>
      <c r="K541" s="578"/>
      <c r="L541" s="579"/>
    </row>
    <row r="542" spans="2:12" ht="120" customHeight="1" x14ac:dyDescent="0.3">
      <c r="B542" s="110"/>
      <c r="C542" s="576"/>
      <c r="D542" s="577"/>
      <c r="E542" s="577"/>
      <c r="F542" s="577"/>
      <c r="G542" s="577"/>
      <c r="H542" s="577"/>
      <c r="I542" s="577"/>
      <c r="J542" s="268"/>
      <c r="K542" s="578"/>
      <c r="L542" s="579"/>
    </row>
    <row r="543" spans="2:12" ht="120" customHeight="1" x14ac:dyDescent="0.3">
      <c r="B543" s="110"/>
      <c r="C543" s="576"/>
      <c r="D543" s="577"/>
      <c r="E543" s="577"/>
      <c r="F543" s="577"/>
      <c r="G543" s="577"/>
      <c r="H543" s="577"/>
      <c r="I543" s="577"/>
      <c r="J543" s="268"/>
      <c r="K543" s="578"/>
      <c r="L543" s="579"/>
    </row>
    <row r="544" spans="2:12" ht="120" customHeight="1" x14ac:dyDescent="0.3">
      <c r="B544" s="110"/>
      <c r="C544" s="576"/>
      <c r="D544" s="577"/>
      <c r="E544" s="577"/>
      <c r="F544" s="577"/>
      <c r="G544" s="577"/>
      <c r="H544" s="577"/>
      <c r="I544" s="577"/>
      <c r="J544" s="268"/>
      <c r="K544" s="578"/>
      <c r="L544" s="579"/>
    </row>
    <row r="545" spans="2:12" ht="120" customHeight="1" x14ac:dyDescent="0.3">
      <c r="B545" s="110"/>
      <c r="C545" s="576"/>
      <c r="D545" s="577"/>
      <c r="E545" s="577"/>
      <c r="F545" s="577"/>
      <c r="G545" s="577"/>
      <c r="H545" s="577"/>
      <c r="I545" s="577"/>
      <c r="J545" s="268"/>
      <c r="K545" s="578"/>
      <c r="L545" s="579"/>
    </row>
    <row r="546" spans="2:12" ht="120" customHeight="1" x14ac:dyDescent="0.3">
      <c r="B546" s="110"/>
      <c r="C546" s="576"/>
      <c r="D546" s="577"/>
      <c r="E546" s="577"/>
      <c r="F546" s="577"/>
      <c r="G546" s="577"/>
      <c r="H546" s="577"/>
      <c r="I546" s="577"/>
      <c r="J546" s="268"/>
      <c r="K546" s="578"/>
      <c r="L546" s="579"/>
    </row>
    <row r="547" spans="2:12" ht="120" customHeight="1" x14ac:dyDescent="0.3">
      <c r="B547" s="110"/>
      <c r="C547" s="576"/>
      <c r="D547" s="577"/>
      <c r="E547" s="577"/>
      <c r="F547" s="577"/>
      <c r="G547" s="577"/>
      <c r="H547" s="577"/>
      <c r="I547" s="577"/>
      <c r="J547" s="268"/>
      <c r="K547" s="578"/>
      <c r="L547" s="579"/>
    </row>
    <row r="548" spans="2:12" ht="120" customHeight="1" x14ac:dyDescent="0.3">
      <c r="B548" s="110"/>
      <c r="C548" s="576"/>
      <c r="D548" s="577"/>
      <c r="E548" s="577"/>
      <c r="F548" s="577"/>
      <c r="G548" s="577"/>
      <c r="H548" s="577"/>
      <c r="I548" s="577"/>
      <c r="J548" s="268"/>
      <c r="K548" s="578"/>
      <c r="L548" s="579"/>
    </row>
    <row r="549" spans="2:12" ht="120" customHeight="1" x14ac:dyDescent="0.3">
      <c r="B549" s="110"/>
      <c r="C549" s="576"/>
      <c r="D549" s="577"/>
      <c r="E549" s="577"/>
      <c r="F549" s="577"/>
      <c r="G549" s="577"/>
      <c r="H549" s="577"/>
      <c r="I549" s="577"/>
      <c r="J549" s="268"/>
      <c r="K549" s="578"/>
      <c r="L549" s="579"/>
    </row>
    <row r="550" spans="2:12" ht="120" customHeight="1" x14ac:dyDescent="0.3">
      <c r="B550" s="110"/>
      <c r="C550" s="576"/>
      <c r="D550" s="577"/>
      <c r="E550" s="577"/>
      <c r="F550" s="577"/>
      <c r="G550" s="577"/>
      <c r="H550" s="577"/>
      <c r="I550" s="577"/>
      <c r="J550" s="268"/>
      <c r="K550" s="578"/>
      <c r="L550" s="579"/>
    </row>
    <row r="551" spans="2:12" ht="120" customHeight="1" x14ac:dyDescent="0.3">
      <c r="B551" s="110"/>
      <c r="C551" s="576"/>
      <c r="D551" s="577"/>
      <c r="E551" s="577"/>
      <c r="F551" s="577"/>
      <c r="G551" s="577"/>
      <c r="H551" s="577"/>
      <c r="I551" s="577"/>
      <c r="J551" s="268"/>
      <c r="K551" s="578"/>
      <c r="L551" s="579"/>
    </row>
    <row r="552" spans="2:12" ht="120" customHeight="1" x14ac:dyDescent="0.3">
      <c r="B552" s="110"/>
      <c r="C552" s="576"/>
      <c r="D552" s="577"/>
      <c r="E552" s="577"/>
      <c r="F552" s="577"/>
      <c r="G552" s="577"/>
      <c r="H552" s="577"/>
      <c r="I552" s="577"/>
      <c r="J552" s="268"/>
      <c r="K552" s="578"/>
      <c r="L552" s="579"/>
    </row>
    <row r="553" spans="2:12" ht="120" customHeight="1" x14ac:dyDescent="0.3">
      <c r="B553" s="110"/>
      <c r="C553" s="576"/>
      <c r="D553" s="577"/>
      <c r="E553" s="577"/>
      <c r="F553" s="577"/>
      <c r="G553" s="577"/>
      <c r="H553" s="577"/>
      <c r="I553" s="577"/>
      <c r="J553" s="268"/>
      <c r="K553" s="578"/>
      <c r="L553" s="579"/>
    </row>
    <row r="554" spans="2:12" ht="120" customHeight="1" x14ac:dyDescent="0.3">
      <c r="B554" s="110"/>
      <c r="C554" s="576"/>
      <c r="D554" s="577"/>
      <c r="E554" s="577"/>
      <c r="F554" s="577"/>
      <c r="G554" s="577"/>
      <c r="H554" s="577"/>
      <c r="I554" s="577"/>
      <c r="J554" s="268"/>
      <c r="K554" s="578"/>
      <c r="L554" s="579"/>
    </row>
    <row r="555" spans="2:12" ht="120" customHeight="1" x14ac:dyDescent="0.3">
      <c r="B555" s="110"/>
      <c r="C555" s="576"/>
      <c r="D555" s="577"/>
      <c r="E555" s="577"/>
      <c r="F555" s="577"/>
      <c r="G555" s="577"/>
      <c r="H555" s="577"/>
      <c r="I555" s="577"/>
      <c r="J555" s="268"/>
      <c r="K555" s="578"/>
      <c r="L555" s="579"/>
    </row>
    <row r="556" spans="2:12" ht="120" customHeight="1" x14ac:dyDescent="0.3">
      <c r="B556" s="110"/>
      <c r="C556" s="576"/>
      <c r="D556" s="577"/>
      <c r="E556" s="577"/>
      <c r="F556" s="577"/>
      <c r="G556" s="577"/>
      <c r="H556" s="577"/>
      <c r="I556" s="577"/>
      <c r="J556" s="268"/>
      <c r="K556" s="578"/>
      <c r="L556" s="579"/>
    </row>
    <row r="557" spans="2:12" ht="120" customHeight="1" x14ac:dyDescent="0.3">
      <c r="B557" s="110"/>
      <c r="C557" s="576"/>
      <c r="D557" s="577"/>
      <c r="E557" s="577"/>
      <c r="F557" s="577"/>
      <c r="G557" s="577"/>
      <c r="H557" s="577"/>
      <c r="I557" s="577"/>
      <c r="J557" s="268"/>
      <c r="K557" s="578"/>
      <c r="L557" s="579"/>
    </row>
    <row r="558" spans="2:12" ht="120" customHeight="1" x14ac:dyDescent="0.3">
      <c r="B558" s="110"/>
      <c r="C558" s="576"/>
      <c r="D558" s="577"/>
      <c r="E558" s="577"/>
      <c r="F558" s="577"/>
      <c r="G558" s="577"/>
      <c r="H558" s="577"/>
      <c r="I558" s="577"/>
      <c r="J558" s="268"/>
      <c r="K558" s="578"/>
      <c r="L558" s="579"/>
    </row>
    <row r="559" spans="2:12" ht="120" customHeight="1" x14ac:dyDescent="0.3">
      <c r="B559" s="110"/>
      <c r="C559" s="576"/>
      <c r="D559" s="577"/>
      <c r="E559" s="577"/>
      <c r="F559" s="577"/>
      <c r="G559" s="577"/>
      <c r="H559" s="577"/>
      <c r="I559" s="577"/>
      <c r="J559" s="268"/>
      <c r="K559" s="578"/>
      <c r="L559" s="579"/>
    </row>
    <row r="560" spans="2:12" ht="120" customHeight="1" x14ac:dyDescent="0.3">
      <c r="B560" s="110"/>
      <c r="C560" s="576"/>
      <c r="D560" s="577"/>
      <c r="E560" s="577"/>
      <c r="F560" s="577"/>
      <c r="G560" s="577"/>
      <c r="H560" s="577"/>
      <c r="I560" s="577"/>
      <c r="J560" s="268"/>
      <c r="K560" s="578"/>
      <c r="L560" s="579"/>
    </row>
    <row r="561" spans="2:12" ht="120" customHeight="1" x14ac:dyDescent="0.3">
      <c r="B561" s="110"/>
      <c r="C561" s="576"/>
      <c r="D561" s="577"/>
      <c r="E561" s="577"/>
      <c r="F561" s="577"/>
      <c r="G561" s="577"/>
      <c r="H561" s="577"/>
      <c r="I561" s="577"/>
      <c r="J561" s="268"/>
      <c r="K561" s="578"/>
      <c r="L561" s="579"/>
    </row>
    <row r="562" spans="2:12" ht="120" customHeight="1" x14ac:dyDescent="0.3">
      <c r="B562" s="110"/>
      <c r="C562" s="576"/>
      <c r="D562" s="577"/>
      <c r="E562" s="577"/>
      <c r="F562" s="577"/>
      <c r="G562" s="577"/>
      <c r="H562" s="577"/>
      <c r="I562" s="577"/>
      <c r="J562" s="268"/>
      <c r="K562" s="578"/>
      <c r="L562" s="579"/>
    </row>
    <row r="563" spans="2:12" ht="120" customHeight="1" x14ac:dyDescent="0.3">
      <c r="B563" s="110"/>
      <c r="C563" s="576"/>
      <c r="D563" s="577"/>
      <c r="E563" s="577"/>
      <c r="F563" s="577"/>
      <c r="G563" s="577"/>
      <c r="H563" s="577"/>
      <c r="I563" s="577"/>
      <c r="J563" s="268"/>
      <c r="K563" s="578"/>
      <c r="L563" s="579"/>
    </row>
    <row r="564" spans="2:12" ht="120" customHeight="1" x14ac:dyDescent="0.3">
      <c r="B564" s="110"/>
      <c r="C564" s="576"/>
      <c r="D564" s="577"/>
      <c r="E564" s="577"/>
      <c r="F564" s="577"/>
      <c r="G564" s="577"/>
      <c r="H564" s="577"/>
      <c r="I564" s="577"/>
      <c r="J564" s="268"/>
      <c r="K564" s="578"/>
      <c r="L564" s="579"/>
    </row>
    <row r="565" spans="2:12" ht="120" customHeight="1" x14ac:dyDescent="0.3">
      <c r="B565" s="110"/>
      <c r="C565" s="576"/>
      <c r="D565" s="577"/>
      <c r="E565" s="577"/>
      <c r="F565" s="577"/>
      <c r="G565" s="577"/>
      <c r="H565" s="577"/>
      <c r="I565" s="577"/>
      <c r="J565" s="268"/>
      <c r="K565" s="578"/>
      <c r="L565" s="579"/>
    </row>
    <row r="566" spans="2:12" ht="120" customHeight="1" x14ac:dyDescent="0.3">
      <c r="B566" s="110"/>
      <c r="C566" s="576"/>
      <c r="D566" s="577"/>
      <c r="E566" s="577"/>
      <c r="F566" s="577"/>
      <c r="G566" s="577"/>
      <c r="H566" s="577"/>
      <c r="I566" s="577"/>
      <c r="J566" s="268"/>
      <c r="K566" s="578"/>
      <c r="L566" s="579"/>
    </row>
    <row r="567" spans="2:12" ht="120" customHeight="1" x14ac:dyDescent="0.3">
      <c r="B567" s="110"/>
      <c r="C567" s="576"/>
      <c r="D567" s="577"/>
      <c r="E567" s="577"/>
      <c r="F567" s="577"/>
      <c r="G567" s="577"/>
      <c r="H567" s="577"/>
      <c r="I567" s="577"/>
      <c r="J567" s="268"/>
      <c r="K567" s="578"/>
      <c r="L567" s="579"/>
    </row>
    <row r="568" spans="2:12" ht="120" customHeight="1" x14ac:dyDescent="0.3">
      <c r="B568" s="110"/>
      <c r="C568" s="576"/>
      <c r="D568" s="577"/>
      <c r="E568" s="577"/>
      <c r="F568" s="577"/>
      <c r="G568" s="577"/>
      <c r="H568" s="577"/>
      <c r="I568" s="577"/>
      <c r="J568" s="268"/>
      <c r="K568" s="578"/>
      <c r="L568" s="579"/>
    </row>
    <row r="569" spans="2:12" ht="120" customHeight="1" x14ac:dyDescent="0.3">
      <c r="B569" s="110"/>
      <c r="C569" s="576"/>
      <c r="D569" s="577"/>
      <c r="E569" s="577"/>
      <c r="F569" s="577"/>
      <c r="G569" s="577"/>
      <c r="H569" s="577"/>
      <c r="I569" s="577"/>
      <c r="J569" s="268"/>
      <c r="K569" s="578"/>
      <c r="L569" s="579"/>
    </row>
    <row r="570" spans="2:12" ht="120" customHeight="1" x14ac:dyDescent="0.3">
      <c r="B570" s="110"/>
      <c r="C570" s="576"/>
      <c r="D570" s="577"/>
      <c r="E570" s="577"/>
      <c r="F570" s="577"/>
      <c r="G570" s="577"/>
      <c r="H570" s="577"/>
      <c r="I570" s="577"/>
      <c r="J570" s="268"/>
      <c r="K570" s="578"/>
      <c r="L570" s="579"/>
    </row>
    <row r="571" spans="2:12" ht="120" customHeight="1" x14ac:dyDescent="0.3">
      <c r="B571" s="110"/>
      <c r="C571" s="576"/>
      <c r="D571" s="577"/>
      <c r="E571" s="577"/>
      <c r="F571" s="577"/>
      <c r="G571" s="577"/>
      <c r="H571" s="577"/>
      <c r="I571" s="577"/>
      <c r="J571" s="268"/>
      <c r="K571" s="578"/>
      <c r="L571" s="579"/>
    </row>
    <row r="572" spans="2:12" ht="120" customHeight="1" x14ac:dyDescent="0.3">
      <c r="B572" s="110"/>
      <c r="C572" s="576"/>
      <c r="D572" s="577"/>
      <c r="E572" s="577"/>
      <c r="F572" s="577"/>
      <c r="G572" s="577"/>
      <c r="H572" s="577"/>
      <c r="I572" s="577"/>
      <c r="J572" s="268"/>
      <c r="K572" s="578"/>
      <c r="L572" s="579"/>
    </row>
    <row r="573" spans="2:12" ht="120" customHeight="1" x14ac:dyDescent="0.3">
      <c r="B573" s="110"/>
      <c r="C573" s="576"/>
      <c r="D573" s="577"/>
      <c r="E573" s="577"/>
      <c r="F573" s="577"/>
      <c r="G573" s="577"/>
      <c r="H573" s="577"/>
      <c r="I573" s="577"/>
      <c r="J573" s="268"/>
      <c r="K573" s="578"/>
      <c r="L573" s="579"/>
    </row>
    <row r="574" spans="2:12" ht="120" customHeight="1" x14ac:dyDescent="0.3">
      <c r="B574" s="110"/>
      <c r="C574" s="576"/>
      <c r="D574" s="577"/>
      <c r="E574" s="577"/>
      <c r="F574" s="577"/>
      <c r="G574" s="577"/>
      <c r="H574" s="577"/>
      <c r="I574" s="577"/>
      <c r="J574" s="268"/>
      <c r="K574" s="578"/>
      <c r="L574" s="579"/>
    </row>
    <row r="575" spans="2:12" ht="120" customHeight="1" x14ac:dyDescent="0.3">
      <c r="B575" s="110"/>
      <c r="C575" s="576"/>
      <c r="D575" s="577"/>
      <c r="E575" s="577"/>
      <c r="F575" s="577"/>
      <c r="G575" s="577"/>
      <c r="H575" s="577"/>
      <c r="I575" s="577"/>
      <c r="J575" s="268"/>
      <c r="K575" s="578"/>
      <c r="L575" s="579"/>
    </row>
    <row r="576" spans="2:12" ht="120" customHeight="1" x14ac:dyDescent="0.3">
      <c r="B576" s="110"/>
      <c r="C576" s="576"/>
      <c r="D576" s="577"/>
      <c r="E576" s="577"/>
      <c r="F576" s="577"/>
      <c r="G576" s="577"/>
      <c r="H576" s="577"/>
      <c r="I576" s="577"/>
      <c r="J576" s="268"/>
      <c r="K576" s="578"/>
      <c r="L576" s="579"/>
    </row>
    <row r="577" spans="2:12" ht="120" customHeight="1" x14ac:dyDescent="0.3">
      <c r="B577" s="110"/>
      <c r="C577" s="576"/>
      <c r="D577" s="577"/>
      <c r="E577" s="577"/>
      <c r="F577" s="577"/>
      <c r="G577" s="577"/>
      <c r="H577" s="577"/>
      <c r="I577" s="577"/>
      <c r="J577" s="268"/>
      <c r="K577" s="578"/>
      <c r="L577" s="579"/>
    </row>
    <row r="578" spans="2:12" ht="120" customHeight="1" x14ac:dyDescent="0.3">
      <c r="B578" s="110"/>
      <c r="C578" s="576"/>
      <c r="D578" s="577"/>
      <c r="E578" s="577"/>
      <c r="F578" s="577"/>
      <c r="G578" s="577"/>
      <c r="H578" s="577"/>
      <c r="I578" s="577"/>
      <c r="J578" s="268"/>
      <c r="K578" s="578"/>
      <c r="L578" s="579"/>
    </row>
    <row r="579" spans="2:12" ht="120" customHeight="1" x14ac:dyDescent="0.3">
      <c r="B579" s="110"/>
      <c r="C579" s="576"/>
      <c r="D579" s="577"/>
      <c r="E579" s="577"/>
      <c r="F579" s="577"/>
      <c r="G579" s="577"/>
      <c r="H579" s="577"/>
      <c r="I579" s="577"/>
      <c r="J579" s="268"/>
      <c r="K579" s="578"/>
      <c r="L579" s="579"/>
    </row>
    <row r="580" spans="2:12" ht="120" customHeight="1" x14ac:dyDescent="0.3">
      <c r="B580" s="110"/>
      <c r="C580" s="576"/>
      <c r="D580" s="577"/>
      <c r="E580" s="577"/>
      <c r="F580" s="577"/>
      <c r="G580" s="577"/>
      <c r="H580" s="577"/>
      <c r="I580" s="577"/>
      <c r="J580" s="268"/>
      <c r="K580" s="578"/>
      <c r="L580" s="579"/>
    </row>
    <row r="581" spans="2:12" ht="120" customHeight="1" x14ac:dyDescent="0.3">
      <c r="B581" s="110"/>
      <c r="C581" s="576"/>
      <c r="D581" s="577"/>
      <c r="E581" s="577"/>
      <c r="F581" s="577"/>
      <c r="G581" s="577"/>
      <c r="H581" s="577"/>
      <c r="I581" s="577"/>
      <c r="J581" s="268"/>
      <c r="K581" s="578"/>
      <c r="L581" s="579"/>
    </row>
    <row r="582" spans="2:12" ht="120" customHeight="1" x14ac:dyDescent="0.3">
      <c r="B582" s="110"/>
      <c r="C582" s="576"/>
      <c r="D582" s="577"/>
      <c r="E582" s="577"/>
      <c r="F582" s="577"/>
      <c r="G582" s="577"/>
      <c r="H582" s="577"/>
      <c r="I582" s="577"/>
      <c r="J582" s="268"/>
      <c r="K582" s="578"/>
      <c r="L582" s="579"/>
    </row>
    <row r="583" spans="2:12" ht="120" customHeight="1" x14ac:dyDescent="0.3">
      <c r="B583" s="110"/>
      <c r="C583" s="576"/>
      <c r="D583" s="577"/>
      <c r="E583" s="577"/>
      <c r="F583" s="577"/>
      <c r="G583" s="577"/>
      <c r="H583" s="577"/>
      <c r="I583" s="577"/>
      <c r="J583" s="268"/>
      <c r="K583" s="578"/>
      <c r="L583" s="579"/>
    </row>
    <row r="584" spans="2:12" ht="120" customHeight="1" x14ac:dyDescent="0.3">
      <c r="B584" s="110"/>
      <c r="C584" s="576"/>
      <c r="D584" s="577"/>
      <c r="E584" s="577"/>
      <c r="F584" s="577"/>
      <c r="G584" s="577"/>
      <c r="H584" s="577"/>
      <c r="I584" s="577"/>
      <c r="J584" s="268"/>
      <c r="K584" s="578"/>
      <c r="L584" s="579"/>
    </row>
    <row r="585" spans="2:12" ht="120" customHeight="1" x14ac:dyDescent="0.3">
      <c r="B585" s="110"/>
      <c r="C585" s="576"/>
      <c r="D585" s="577"/>
      <c r="E585" s="577"/>
      <c r="F585" s="577"/>
      <c r="G585" s="577"/>
      <c r="H585" s="577"/>
      <c r="I585" s="577"/>
      <c r="J585" s="268"/>
      <c r="K585" s="578"/>
      <c r="L585" s="579"/>
    </row>
    <row r="586" spans="2:12" ht="120" customHeight="1" x14ac:dyDescent="0.3">
      <c r="B586" s="110"/>
      <c r="C586" s="576"/>
      <c r="D586" s="577"/>
      <c r="E586" s="577"/>
      <c r="F586" s="577"/>
      <c r="G586" s="577"/>
      <c r="H586" s="577"/>
      <c r="I586" s="577"/>
      <c r="J586" s="268"/>
      <c r="K586" s="578"/>
      <c r="L586" s="579"/>
    </row>
    <row r="587" spans="2:12" ht="120" customHeight="1" x14ac:dyDescent="0.3">
      <c r="B587" s="110"/>
      <c r="C587" s="576"/>
      <c r="D587" s="577"/>
      <c r="E587" s="577"/>
      <c r="F587" s="577"/>
      <c r="G587" s="577"/>
      <c r="H587" s="577"/>
      <c r="I587" s="577"/>
      <c r="J587" s="268"/>
      <c r="K587" s="578"/>
      <c r="L587" s="579"/>
    </row>
    <row r="588" spans="2:12" ht="120" customHeight="1" x14ac:dyDescent="0.3">
      <c r="B588" s="110"/>
      <c r="C588" s="576"/>
      <c r="D588" s="577"/>
      <c r="E588" s="577"/>
      <c r="F588" s="577"/>
      <c r="G588" s="577"/>
      <c r="H588" s="577"/>
      <c r="I588" s="577"/>
      <c r="J588" s="268"/>
      <c r="K588" s="578"/>
      <c r="L588" s="579"/>
    </row>
    <row r="589" spans="2:12" ht="120" customHeight="1" x14ac:dyDescent="0.3">
      <c r="B589" s="110"/>
      <c r="C589" s="576"/>
      <c r="D589" s="577"/>
      <c r="E589" s="577"/>
      <c r="F589" s="577"/>
      <c r="G589" s="577"/>
      <c r="H589" s="577"/>
      <c r="I589" s="577"/>
      <c r="J589" s="268"/>
      <c r="K589" s="578"/>
      <c r="L589" s="579"/>
    </row>
    <row r="590" spans="2:12" ht="120" customHeight="1" x14ac:dyDescent="0.3">
      <c r="B590" s="110"/>
      <c r="C590" s="576"/>
      <c r="D590" s="577"/>
      <c r="E590" s="577"/>
      <c r="F590" s="577"/>
      <c r="G590" s="577"/>
      <c r="H590" s="577"/>
      <c r="I590" s="577"/>
      <c r="J590" s="268"/>
      <c r="K590" s="578"/>
      <c r="L590" s="579"/>
    </row>
    <row r="591" spans="2:12" ht="120" customHeight="1" x14ac:dyDescent="0.3">
      <c r="B591" s="110"/>
      <c r="C591" s="576"/>
      <c r="D591" s="577"/>
      <c r="E591" s="577"/>
      <c r="F591" s="577"/>
      <c r="G591" s="577"/>
      <c r="H591" s="577"/>
      <c r="I591" s="577"/>
      <c r="J591" s="268"/>
      <c r="K591" s="578"/>
      <c r="L591" s="579"/>
    </row>
    <row r="592" spans="2:12" ht="120" customHeight="1" x14ac:dyDescent="0.3">
      <c r="B592" s="110"/>
      <c r="C592" s="576"/>
      <c r="D592" s="577"/>
      <c r="E592" s="577"/>
      <c r="F592" s="577"/>
      <c r="G592" s="577"/>
      <c r="H592" s="577"/>
      <c r="I592" s="577"/>
      <c r="J592" s="268"/>
      <c r="K592" s="578"/>
      <c r="L592" s="579"/>
    </row>
    <row r="593" spans="2:12" ht="120" customHeight="1" x14ac:dyDescent="0.3">
      <c r="B593" s="110"/>
      <c r="C593" s="576"/>
      <c r="D593" s="577"/>
      <c r="E593" s="577"/>
      <c r="F593" s="577"/>
      <c r="G593" s="577"/>
      <c r="H593" s="577"/>
      <c r="I593" s="577"/>
      <c r="J593" s="268"/>
      <c r="K593" s="578"/>
      <c r="L593" s="579"/>
    </row>
    <row r="594" spans="2:12" ht="120" customHeight="1" x14ac:dyDescent="0.3">
      <c r="B594" s="110"/>
      <c r="C594" s="576"/>
      <c r="D594" s="577"/>
      <c r="E594" s="577"/>
      <c r="F594" s="577"/>
      <c r="G594" s="577"/>
      <c r="H594" s="577"/>
      <c r="I594" s="577"/>
      <c r="J594" s="268"/>
      <c r="K594" s="578"/>
      <c r="L594" s="579"/>
    </row>
    <row r="595" spans="2:12" ht="120" customHeight="1" x14ac:dyDescent="0.3">
      <c r="B595" s="110"/>
      <c r="C595" s="576"/>
      <c r="D595" s="577"/>
      <c r="E595" s="577"/>
      <c r="F595" s="577"/>
      <c r="G595" s="577"/>
      <c r="H595" s="577"/>
      <c r="I595" s="577"/>
      <c r="J595" s="268"/>
      <c r="K595" s="578"/>
      <c r="L595" s="579"/>
    </row>
    <row r="596" spans="2:12" ht="120" customHeight="1" x14ac:dyDescent="0.3">
      <c r="B596" s="110"/>
      <c r="C596" s="576"/>
      <c r="D596" s="577"/>
      <c r="E596" s="577"/>
      <c r="F596" s="577"/>
      <c r="G596" s="577"/>
      <c r="H596" s="577"/>
      <c r="I596" s="577"/>
      <c r="J596" s="268"/>
      <c r="K596" s="578"/>
      <c r="L596" s="579"/>
    </row>
    <row r="597" spans="2:12" ht="120" customHeight="1" x14ac:dyDescent="0.3">
      <c r="B597" s="110"/>
      <c r="C597" s="576"/>
      <c r="D597" s="577"/>
      <c r="E597" s="577"/>
      <c r="F597" s="577"/>
      <c r="G597" s="577"/>
      <c r="H597" s="577"/>
      <c r="I597" s="577"/>
      <c r="J597" s="268"/>
      <c r="K597" s="578"/>
      <c r="L597" s="579"/>
    </row>
    <row r="598" spans="2:12" ht="120" customHeight="1" x14ac:dyDescent="0.3">
      <c r="B598" s="110"/>
      <c r="C598" s="576"/>
      <c r="D598" s="577"/>
      <c r="E598" s="577"/>
      <c r="F598" s="577"/>
      <c r="G598" s="577"/>
      <c r="H598" s="577"/>
      <c r="I598" s="577"/>
      <c r="J598" s="268"/>
      <c r="K598" s="578"/>
      <c r="L598" s="579"/>
    </row>
    <row r="599" spans="2:12" ht="120" customHeight="1" x14ac:dyDescent="0.3">
      <c r="B599" s="110"/>
      <c r="C599" s="576"/>
      <c r="D599" s="577"/>
      <c r="E599" s="577"/>
      <c r="F599" s="577"/>
      <c r="G599" s="577"/>
      <c r="H599" s="577"/>
      <c r="I599" s="577"/>
      <c r="J599" s="268"/>
      <c r="K599" s="578"/>
      <c r="L599" s="579"/>
    </row>
    <row r="600" spans="2:12" ht="120" customHeight="1" x14ac:dyDescent="0.3">
      <c r="B600" s="110"/>
      <c r="C600" s="576"/>
      <c r="D600" s="577"/>
      <c r="E600" s="577"/>
      <c r="F600" s="577"/>
      <c r="G600" s="577"/>
      <c r="H600" s="577"/>
      <c r="I600" s="577"/>
      <c r="J600" s="268"/>
      <c r="K600" s="578"/>
      <c r="L600" s="579"/>
    </row>
    <row r="601" spans="2:12" ht="120" customHeight="1" x14ac:dyDescent="0.3">
      <c r="B601" s="110"/>
      <c r="C601" s="576"/>
      <c r="D601" s="577"/>
      <c r="E601" s="577"/>
      <c r="F601" s="577"/>
      <c r="G601" s="577"/>
      <c r="H601" s="577"/>
      <c r="I601" s="577"/>
      <c r="J601" s="268"/>
      <c r="K601" s="578"/>
      <c r="L601" s="579"/>
    </row>
    <row r="602" spans="2:12" ht="120" customHeight="1" x14ac:dyDescent="0.3">
      <c r="B602" s="110"/>
      <c r="C602" s="576"/>
      <c r="D602" s="577"/>
      <c r="E602" s="577"/>
      <c r="F602" s="577"/>
      <c r="G602" s="577"/>
      <c r="H602" s="577"/>
      <c r="I602" s="577"/>
      <c r="J602" s="268"/>
      <c r="K602" s="578"/>
      <c r="L602" s="579"/>
    </row>
    <row r="603" spans="2:12" ht="120" customHeight="1" x14ac:dyDescent="0.3">
      <c r="B603" s="110"/>
      <c r="C603" s="576"/>
      <c r="D603" s="577"/>
      <c r="E603" s="577"/>
      <c r="F603" s="577"/>
      <c r="G603" s="577"/>
      <c r="H603" s="577"/>
      <c r="I603" s="577"/>
      <c r="J603" s="268"/>
      <c r="K603" s="578"/>
      <c r="L603" s="579"/>
    </row>
    <row r="604" spans="2:12" ht="120" customHeight="1" x14ac:dyDescent="0.3">
      <c r="B604" s="110"/>
      <c r="C604" s="576"/>
      <c r="D604" s="577"/>
      <c r="E604" s="577"/>
      <c r="F604" s="577"/>
      <c r="G604" s="577"/>
      <c r="H604" s="577"/>
      <c r="I604" s="577"/>
      <c r="J604" s="268"/>
      <c r="K604" s="578"/>
      <c r="L604" s="579"/>
    </row>
    <row r="605" spans="2:12" ht="120" customHeight="1" x14ac:dyDescent="0.3">
      <c r="B605" s="110"/>
      <c r="C605" s="576"/>
      <c r="D605" s="577"/>
      <c r="E605" s="577"/>
      <c r="F605" s="577"/>
      <c r="G605" s="577"/>
      <c r="H605" s="577"/>
      <c r="I605" s="577"/>
      <c r="J605" s="268"/>
      <c r="K605" s="578"/>
      <c r="L605" s="579"/>
    </row>
    <row r="606" spans="2:12" ht="120" customHeight="1" x14ac:dyDescent="0.3">
      <c r="B606" s="110"/>
      <c r="C606" s="576"/>
      <c r="D606" s="577"/>
      <c r="E606" s="577"/>
      <c r="F606" s="577"/>
      <c r="G606" s="577"/>
      <c r="H606" s="577"/>
      <c r="I606" s="577"/>
      <c r="J606" s="268"/>
      <c r="K606" s="578"/>
      <c r="L606" s="579"/>
    </row>
    <row r="607" spans="2:12" ht="120" customHeight="1" x14ac:dyDescent="0.3">
      <c r="B607" s="110"/>
      <c r="C607" s="576"/>
      <c r="D607" s="577"/>
      <c r="E607" s="577"/>
      <c r="F607" s="577"/>
      <c r="G607" s="577"/>
      <c r="H607" s="577"/>
      <c r="I607" s="577"/>
      <c r="J607" s="268"/>
      <c r="K607" s="578"/>
      <c r="L607" s="579"/>
    </row>
    <row r="608" spans="2:12" ht="120" customHeight="1" x14ac:dyDescent="0.3">
      <c r="B608" s="110"/>
      <c r="C608" s="576"/>
      <c r="D608" s="577"/>
      <c r="E608" s="577"/>
      <c r="F608" s="577"/>
      <c r="G608" s="577"/>
      <c r="H608" s="577"/>
      <c r="I608" s="577"/>
      <c r="J608" s="268"/>
      <c r="K608" s="578"/>
      <c r="L608" s="579"/>
    </row>
    <row r="609" spans="2:12" ht="120" customHeight="1" x14ac:dyDescent="0.3">
      <c r="B609" s="110"/>
      <c r="C609" s="576"/>
      <c r="D609" s="577"/>
      <c r="E609" s="577"/>
      <c r="F609" s="577"/>
      <c r="G609" s="577"/>
      <c r="H609" s="577"/>
      <c r="I609" s="577"/>
      <c r="J609" s="268"/>
      <c r="K609" s="578"/>
      <c r="L609" s="579"/>
    </row>
    <row r="610" spans="2:12" ht="120" customHeight="1" x14ac:dyDescent="0.3">
      <c r="B610" s="110"/>
      <c r="C610" s="576"/>
      <c r="D610" s="577"/>
      <c r="E610" s="577"/>
      <c r="F610" s="577"/>
      <c r="G610" s="577"/>
      <c r="H610" s="577"/>
      <c r="I610" s="577"/>
      <c r="J610" s="268"/>
      <c r="K610" s="578"/>
      <c r="L610" s="579"/>
    </row>
    <row r="611" spans="2:12" ht="120" customHeight="1" x14ac:dyDescent="0.3">
      <c r="B611" s="110"/>
      <c r="C611" s="576"/>
      <c r="D611" s="577"/>
      <c r="E611" s="577"/>
      <c r="F611" s="577"/>
      <c r="G611" s="577"/>
      <c r="H611" s="577"/>
      <c r="I611" s="577"/>
      <c r="J611" s="268"/>
      <c r="K611" s="578"/>
      <c r="L611" s="579"/>
    </row>
    <row r="612" spans="2:12" ht="120" customHeight="1" x14ac:dyDescent="0.3">
      <c r="B612" s="110"/>
      <c r="C612" s="576"/>
      <c r="D612" s="577"/>
      <c r="E612" s="577"/>
      <c r="F612" s="577"/>
      <c r="G612" s="577"/>
      <c r="H612" s="577"/>
      <c r="I612" s="577"/>
      <c r="J612" s="268"/>
      <c r="K612" s="578"/>
      <c r="L612" s="579"/>
    </row>
    <row r="613" spans="2:12" ht="120" customHeight="1" x14ac:dyDescent="0.3">
      <c r="B613" s="110"/>
      <c r="C613" s="576"/>
      <c r="D613" s="577"/>
      <c r="E613" s="577"/>
      <c r="F613" s="577"/>
      <c r="G613" s="577"/>
      <c r="H613" s="577"/>
      <c r="I613" s="577"/>
      <c r="J613" s="268"/>
      <c r="K613" s="578"/>
      <c r="L613" s="579"/>
    </row>
    <row r="614" spans="2:12" ht="120" customHeight="1" x14ac:dyDescent="0.3">
      <c r="B614" s="110"/>
      <c r="C614" s="576"/>
      <c r="D614" s="577"/>
      <c r="E614" s="577"/>
      <c r="F614" s="577"/>
      <c r="G614" s="577"/>
      <c r="H614" s="577"/>
      <c r="I614" s="577"/>
      <c r="J614" s="268"/>
      <c r="K614" s="578"/>
      <c r="L614" s="579"/>
    </row>
    <row r="615" spans="2:12" ht="120" customHeight="1" x14ac:dyDescent="0.3">
      <c r="B615" s="110"/>
      <c r="C615" s="576"/>
      <c r="D615" s="577"/>
      <c r="E615" s="577"/>
      <c r="F615" s="577"/>
      <c r="G615" s="577"/>
      <c r="H615" s="577"/>
      <c r="I615" s="577"/>
      <c r="J615" s="268"/>
      <c r="K615" s="578"/>
      <c r="L615" s="579"/>
    </row>
    <row r="616" spans="2:12" ht="120" customHeight="1" x14ac:dyDescent="0.3">
      <c r="B616" s="110"/>
      <c r="C616" s="576"/>
      <c r="D616" s="577"/>
      <c r="E616" s="577"/>
      <c r="F616" s="577"/>
      <c r="G616" s="577"/>
      <c r="H616" s="577"/>
      <c r="I616" s="577"/>
      <c r="J616" s="268"/>
      <c r="K616" s="578"/>
      <c r="L616" s="579"/>
    </row>
    <row r="617" spans="2:12" ht="120" customHeight="1" x14ac:dyDescent="0.3">
      <c r="B617" s="110"/>
      <c r="C617" s="576"/>
      <c r="D617" s="577"/>
      <c r="E617" s="577"/>
      <c r="F617" s="577"/>
      <c r="G617" s="577"/>
      <c r="H617" s="577"/>
      <c r="I617" s="577"/>
      <c r="J617" s="268"/>
      <c r="K617" s="578"/>
      <c r="L617" s="579"/>
    </row>
    <row r="618" spans="2:12" ht="120" customHeight="1" x14ac:dyDescent="0.3">
      <c r="B618" s="110"/>
      <c r="C618" s="576"/>
      <c r="D618" s="577"/>
      <c r="E618" s="577"/>
      <c r="F618" s="577"/>
      <c r="G618" s="577"/>
      <c r="H618" s="577"/>
      <c r="I618" s="577"/>
      <c r="J618" s="268"/>
      <c r="K618" s="578"/>
      <c r="L618" s="579"/>
    </row>
    <row r="619" spans="2:12" ht="120" customHeight="1" x14ac:dyDescent="0.3">
      <c r="B619" s="110"/>
      <c r="C619" s="576"/>
      <c r="D619" s="577"/>
      <c r="E619" s="577"/>
      <c r="F619" s="577"/>
      <c r="G619" s="577"/>
      <c r="H619" s="577"/>
      <c r="I619" s="577"/>
      <c r="J619" s="268"/>
      <c r="K619" s="578"/>
      <c r="L619" s="579"/>
    </row>
    <row r="620" spans="2:12" ht="120" customHeight="1" x14ac:dyDescent="0.3">
      <c r="B620" s="110"/>
      <c r="C620" s="576"/>
      <c r="D620" s="577"/>
      <c r="E620" s="577"/>
      <c r="F620" s="577"/>
      <c r="G620" s="577"/>
      <c r="H620" s="577"/>
      <c r="I620" s="577"/>
      <c r="J620" s="268"/>
      <c r="K620" s="578"/>
      <c r="L620" s="579"/>
    </row>
    <row r="621" spans="2:12" ht="120" customHeight="1" x14ac:dyDescent="0.3">
      <c r="B621" s="110"/>
      <c r="C621" s="576"/>
      <c r="D621" s="577"/>
      <c r="E621" s="577"/>
      <c r="F621" s="577"/>
      <c r="G621" s="577"/>
      <c r="H621" s="577"/>
      <c r="I621" s="577"/>
      <c r="J621" s="268"/>
      <c r="K621" s="578"/>
      <c r="L621" s="579"/>
    </row>
    <row r="622" spans="2:12" ht="120" customHeight="1" x14ac:dyDescent="0.3">
      <c r="B622" s="110"/>
      <c r="C622" s="576"/>
      <c r="D622" s="577"/>
      <c r="E622" s="577"/>
      <c r="F622" s="577"/>
      <c r="G622" s="577"/>
      <c r="H622" s="577"/>
      <c r="I622" s="577"/>
      <c r="J622" s="268"/>
      <c r="K622" s="578"/>
      <c r="L622" s="579"/>
    </row>
    <row r="623" spans="2:12" ht="120" customHeight="1" x14ac:dyDescent="0.3">
      <c r="B623" s="110"/>
      <c r="C623" s="576"/>
      <c r="D623" s="577"/>
      <c r="E623" s="577"/>
      <c r="F623" s="577"/>
      <c r="G623" s="577"/>
      <c r="H623" s="577"/>
      <c r="I623" s="577"/>
      <c r="J623" s="268"/>
      <c r="K623" s="578"/>
      <c r="L623" s="579"/>
    </row>
    <row r="624" spans="2:12" ht="120" customHeight="1" x14ac:dyDescent="0.3">
      <c r="B624" s="110"/>
      <c r="C624" s="576"/>
      <c r="D624" s="577"/>
      <c r="E624" s="577"/>
      <c r="F624" s="577"/>
      <c r="G624" s="577"/>
      <c r="H624" s="577"/>
      <c r="I624" s="577"/>
      <c r="J624" s="268"/>
      <c r="K624" s="578"/>
      <c r="L624" s="579"/>
    </row>
    <row r="625" spans="2:12" ht="120" customHeight="1" x14ac:dyDescent="0.3">
      <c r="B625" s="110"/>
      <c r="C625" s="576"/>
      <c r="D625" s="577"/>
      <c r="E625" s="577"/>
      <c r="F625" s="577"/>
      <c r="G625" s="577"/>
      <c r="H625" s="577"/>
      <c r="I625" s="577"/>
      <c r="J625" s="268"/>
      <c r="K625" s="578"/>
      <c r="L625" s="579"/>
    </row>
    <row r="626" spans="2:12" ht="120" customHeight="1" x14ac:dyDescent="0.3">
      <c r="B626" s="110"/>
      <c r="C626" s="576"/>
      <c r="D626" s="577"/>
      <c r="E626" s="577"/>
      <c r="F626" s="577"/>
      <c r="G626" s="577"/>
      <c r="H626" s="577"/>
      <c r="I626" s="577"/>
      <c r="J626" s="268"/>
      <c r="K626" s="578"/>
      <c r="L626" s="579"/>
    </row>
    <row r="627" spans="2:12" ht="120" customHeight="1" x14ac:dyDescent="0.3">
      <c r="B627" s="110"/>
      <c r="C627" s="576"/>
      <c r="D627" s="577"/>
      <c r="E627" s="577"/>
      <c r="F627" s="577"/>
      <c r="G627" s="577"/>
      <c r="H627" s="577"/>
      <c r="I627" s="577"/>
      <c r="J627" s="268"/>
      <c r="K627" s="578"/>
      <c r="L627" s="579"/>
    </row>
    <row r="628" spans="2:12" ht="120" customHeight="1" x14ac:dyDescent="0.3">
      <c r="B628" s="110"/>
      <c r="C628" s="576"/>
      <c r="D628" s="577"/>
      <c r="E628" s="577"/>
      <c r="F628" s="577"/>
      <c r="G628" s="577"/>
      <c r="H628" s="577"/>
      <c r="I628" s="577"/>
      <c r="J628" s="268"/>
      <c r="K628" s="578"/>
      <c r="L628" s="579"/>
    </row>
    <row r="629" spans="2:12" ht="120" customHeight="1" x14ac:dyDescent="0.3">
      <c r="B629" s="110"/>
      <c r="C629" s="576"/>
      <c r="D629" s="577"/>
      <c r="E629" s="577"/>
      <c r="F629" s="577"/>
      <c r="G629" s="577"/>
      <c r="H629" s="577"/>
      <c r="I629" s="577"/>
      <c r="J629" s="268"/>
      <c r="K629" s="578"/>
      <c r="L629" s="579"/>
    </row>
    <row r="630" spans="2:12" ht="120" customHeight="1" x14ac:dyDescent="0.3">
      <c r="B630" s="110"/>
      <c r="C630" s="576"/>
      <c r="D630" s="577"/>
      <c r="E630" s="577"/>
      <c r="F630" s="577"/>
      <c r="G630" s="577"/>
      <c r="H630" s="577"/>
      <c r="I630" s="577"/>
      <c r="J630" s="268"/>
      <c r="K630" s="578"/>
      <c r="L630" s="579"/>
    </row>
    <row r="631" spans="2:12" ht="120" customHeight="1" x14ac:dyDescent="0.3">
      <c r="B631" s="110"/>
      <c r="C631" s="576"/>
      <c r="D631" s="577"/>
      <c r="E631" s="577"/>
      <c r="F631" s="577"/>
      <c r="G631" s="577"/>
      <c r="H631" s="577"/>
      <c r="I631" s="577"/>
      <c r="J631" s="268"/>
      <c r="K631" s="578"/>
      <c r="L631" s="579"/>
    </row>
    <row r="632" spans="2:12" ht="120" customHeight="1" x14ac:dyDescent="0.3">
      <c r="B632" s="110"/>
      <c r="C632" s="576"/>
      <c r="D632" s="577"/>
      <c r="E632" s="577"/>
      <c r="F632" s="577"/>
      <c r="G632" s="577"/>
      <c r="H632" s="577"/>
      <c r="I632" s="577"/>
      <c r="J632" s="268"/>
      <c r="K632" s="578"/>
      <c r="L632" s="579"/>
    </row>
    <row r="633" spans="2:12" ht="120" customHeight="1" x14ac:dyDescent="0.3">
      <c r="B633" s="110"/>
      <c r="C633" s="576"/>
      <c r="D633" s="577"/>
      <c r="E633" s="577"/>
      <c r="F633" s="577"/>
      <c r="G633" s="577"/>
      <c r="H633" s="577"/>
      <c r="I633" s="577"/>
      <c r="J633" s="268"/>
      <c r="K633" s="578"/>
      <c r="L633" s="579"/>
    </row>
    <row r="634" spans="2:12" ht="120" customHeight="1" x14ac:dyDescent="0.3">
      <c r="B634" s="110"/>
      <c r="C634" s="576"/>
      <c r="D634" s="577"/>
      <c r="E634" s="577"/>
      <c r="F634" s="577"/>
      <c r="G634" s="577"/>
      <c r="H634" s="577"/>
      <c r="I634" s="577"/>
      <c r="J634" s="268"/>
      <c r="K634" s="578"/>
      <c r="L634" s="579"/>
    </row>
    <row r="635" spans="2:12" ht="120" customHeight="1" x14ac:dyDescent="0.3">
      <c r="B635" s="110"/>
      <c r="C635" s="576"/>
      <c r="D635" s="577"/>
      <c r="E635" s="577"/>
      <c r="F635" s="577"/>
      <c r="G635" s="577"/>
      <c r="H635" s="577"/>
      <c r="I635" s="577"/>
      <c r="J635" s="268"/>
      <c r="K635" s="578"/>
      <c r="L635" s="579"/>
    </row>
    <row r="636" spans="2:12" ht="120" customHeight="1" x14ac:dyDescent="0.3">
      <c r="B636" s="110"/>
      <c r="C636" s="576"/>
      <c r="D636" s="577"/>
      <c r="E636" s="577"/>
      <c r="F636" s="577"/>
      <c r="G636" s="577"/>
      <c r="H636" s="577"/>
      <c r="I636" s="577"/>
      <c r="J636" s="268"/>
      <c r="K636" s="578"/>
      <c r="L636" s="579"/>
    </row>
    <row r="637" spans="2:12" ht="120" customHeight="1" x14ac:dyDescent="0.3">
      <c r="B637" s="110"/>
      <c r="C637" s="576"/>
      <c r="D637" s="577"/>
      <c r="E637" s="577"/>
      <c r="F637" s="577"/>
      <c r="G637" s="577"/>
      <c r="H637" s="577"/>
      <c r="I637" s="577"/>
      <c r="J637" s="268"/>
      <c r="K637" s="578"/>
      <c r="L637" s="579"/>
    </row>
    <row r="638" spans="2:12" ht="120" customHeight="1" x14ac:dyDescent="0.3">
      <c r="B638" s="110"/>
      <c r="C638" s="576"/>
      <c r="D638" s="577"/>
      <c r="E638" s="577"/>
      <c r="F638" s="577"/>
      <c r="G638" s="577"/>
      <c r="H638" s="577"/>
      <c r="I638" s="577"/>
      <c r="J638" s="268"/>
      <c r="K638" s="578"/>
      <c r="L638" s="579"/>
    </row>
    <row r="639" spans="2:12" ht="120" customHeight="1" x14ac:dyDescent="0.3">
      <c r="B639" s="110"/>
      <c r="C639" s="576"/>
      <c r="D639" s="577"/>
      <c r="E639" s="577"/>
      <c r="F639" s="577"/>
      <c r="G639" s="577"/>
      <c r="H639" s="577"/>
      <c r="I639" s="577"/>
      <c r="J639" s="268"/>
      <c r="K639" s="578"/>
      <c r="L639" s="579"/>
    </row>
    <row r="640" spans="2:12" ht="120" customHeight="1" x14ac:dyDescent="0.3">
      <c r="B640" s="110"/>
      <c r="C640" s="576"/>
      <c r="D640" s="577"/>
      <c r="E640" s="577"/>
      <c r="F640" s="577"/>
      <c r="G640" s="577"/>
      <c r="H640" s="577"/>
      <c r="I640" s="577"/>
      <c r="J640" s="268"/>
      <c r="K640" s="578"/>
      <c r="L640" s="579"/>
    </row>
    <row r="641" spans="2:12" ht="120" customHeight="1" x14ac:dyDescent="0.3">
      <c r="B641" s="110"/>
      <c r="C641" s="576"/>
      <c r="D641" s="577"/>
      <c r="E641" s="577"/>
      <c r="F641" s="577"/>
      <c r="G641" s="577"/>
      <c r="H641" s="577"/>
      <c r="I641" s="577"/>
      <c r="J641" s="268"/>
      <c r="K641" s="578"/>
      <c r="L641" s="579"/>
    </row>
    <row r="642" spans="2:12" ht="120" customHeight="1" x14ac:dyDescent="0.3">
      <c r="B642" s="110"/>
      <c r="C642" s="576"/>
      <c r="D642" s="577"/>
      <c r="E642" s="577"/>
      <c r="F642" s="577"/>
      <c r="G642" s="577"/>
      <c r="H642" s="577"/>
      <c r="I642" s="577"/>
      <c r="J642" s="268"/>
      <c r="K642" s="578"/>
      <c r="L642" s="579"/>
    </row>
    <row r="643" spans="2:12" ht="120" customHeight="1" x14ac:dyDescent="0.3">
      <c r="B643" s="110"/>
      <c r="C643" s="576"/>
      <c r="D643" s="577"/>
      <c r="E643" s="577"/>
      <c r="F643" s="577"/>
      <c r="G643" s="577"/>
      <c r="H643" s="577"/>
      <c r="I643" s="577"/>
      <c r="J643" s="268"/>
      <c r="K643" s="578"/>
      <c r="L643" s="579"/>
    </row>
    <row r="644" spans="2:12" ht="120" customHeight="1" x14ac:dyDescent="0.3">
      <c r="B644" s="110"/>
      <c r="C644" s="576"/>
      <c r="D644" s="577"/>
      <c r="E644" s="577"/>
      <c r="F644" s="577"/>
      <c r="G644" s="577"/>
      <c r="H644" s="577"/>
      <c r="I644" s="577"/>
      <c r="J644" s="268"/>
      <c r="K644" s="578"/>
      <c r="L644" s="579"/>
    </row>
    <row r="645" spans="2:12" ht="120" customHeight="1" x14ac:dyDescent="0.3">
      <c r="B645" s="110"/>
      <c r="C645" s="576"/>
      <c r="D645" s="577"/>
      <c r="E645" s="577"/>
      <c r="F645" s="577"/>
      <c r="G645" s="577"/>
      <c r="H645" s="577"/>
      <c r="I645" s="577"/>
      <c r="J645" s="268"/>
      <c r="K645" s="578"/>
      <c r="L645" s="579"/>
    </row>
    <row r="646" spans="2:12" ht="120" customHeight="1" x14ac:dyDescent="0.3">
      <c r="B646" s="110"/>
      <c r="C646" s="576"/>
      <c r="D646" s="577"/>
      <c r="E646" s="577"/>
      <c r="F646" s="577"/>
      <c r="G646" s="577"/>
      <c r="H646" s="577"/>
      <c r="I646" s="577"/>
      <c r="J646" s="268"/>
      <c r="K646" s="578"/>
      <c r="L646" s="579"/>
    </row>
    <row r="647" spans="2:12" ht="120" customHeight="1" x14ac:dyDescent="0.3">
      <c r="B647" s="110"/>
      <c r="C647" s="576"/>
      <c r="D647" s="577"/>
      <c r="E647" s="577"/>
      <c r="F647" s="577"/>
      <c r="G647" s="577"/>
      <c r="H647" s="577"/>
      <c r="I647" s="577"/>
      <c r="J647" s="268"/>
      <c r="K647" s="578"/>
      <c r="L647" s="579"/>
    </row>
    <row r="648" spans="2:12" ht="120" customHeight="1" x14ac:dyDescent="0.3">
      <c r="B648" s="110"/>
      <c r="C648" s="576"/>
      <c r="D648" s="577"/>
      <c r="E648" s="577"/>
      <c r="F648" s="577"/>
      <c r="G648" s="577"/>
      <c r="H648" s="577"/>
      <c r="I648" s="577"/>
      <c r="J648" s="268"/>
      <c r="K648" s="578"/>
      <c r="L648" s="579"/>
    </row>
    <row r="649" spans="2:12" ht="120" customHeight="1" x14ac:dyDescent="0.3">
      <c r="B649" s="110"/>
      <c r="C649" s="576"/>
      <c r="D649" s="577"/>
      <c r="E649" s="577"/>
      <c r="F649" s="577"/>
      <c r="G649" s="577"/>
      <c r="H649" s="577"/>
      <c r="I649" s="577"/>
      <c r="J649" s="268"/>
      <c r="K649" s="578"/>
      <c r="L649" s="579"/>
    </row>
    <row r="650" spans="2:12" ht="120" customHeight="1" x14ac:dyDescent="0.3">
      <c r="B650" s="110"/>
      <c r="C650" s="576"/>
      <c r="D650" s="577"/>
      <c r="E650" s="577"/>
      <c r="F650" s="577"/>
      <c r="G650" s="577"/>
      <c r="H650" s="577"/>
      <c r="I650" s="577"/>
      <c r="J650" s="268"/>
      <c r="K650" s="578"/>
      <c r="L650" s="579"/>
    </row>
    <row r="651" spans="2:12" ht="120" customHeight="1" x14ac:dyDescent="0.3">
      <c r="B651" s="110"/>
      <c r="C651" s="576"/>
      <c r="D651" s="577"/>
      <c r="E651" s="577"/>
      <c r="F651" s="577"/>
      <c r="G651" s="577"/>
      <c r="H651" s="577"/>
      <c r="I651" s="577"/>
      <c r="J651" s="268"/>
      <c r="K651" s="578"/>
      <c r="L651" s="579"/>
    </row>
    <row r="652" spans="2:12" ht="120" customHeight="1" x14ac:dyDescent="0.3">
      <c r="B652" s="110"/>
      <c r="C652" s="576"/>
      <c r="D652" s="577"/>
      <c r="E652" s="577"/>
      <c r="F652" s="577"/>
      <c r="G652" s="577"/>
      <c r="H652" s="577"/>
      <c r="I652" s="577"/>
      <c r="J652" s="268"/>
      <c r="K652" s="578"/>
      <c r="L652" s="579"/>
    </row>
    <row r="653" spans="2:12" ht="120" customHeight="1" x14ac:dyDescent="0.3">
      <c r="B653" s="110"/>
      <c r="C653" s="576"/>
      <c r="D653" s="577"/>
      <c r="E653" s="577"/>
      <c r="F653" s="577"/>
      <c r="G653" s="577"/>
      <c r="H653" s="577"/>
      <c r="I653" s="577"/>
      <c r="J653" s="268"/>
      <c r="K653" s="578"/>
      <c r="L653" s="579"/>
    </row>
    <row r="654" spans="2:12" ht="120" customHeight="1" x14ac:dyDescent="0.3">
      <c r="B654" s="110"/>
      <c r="C654" s="576"/>
      <c r="D654" s="577"/>
      <c r="E654" s="577"/>
      <c r="F654" s="577"/>
      <c r="G654" s="577"/>
      <c r="H654" s="577"/>
      <c r="I654" s="577"/>
      <c r="J654" s="268"/>
      <c r="K654" s="578"/>
      <c r="L654" s="579"/>
    </row>
    <row r="655" spans="2:12" ht="120" customHeight="1" x14ac:dyDescent="0.3">
      <c r="B655" s="110"/>
      <c r="C655" s="576"/>
      <c r="D655" s="577"/>
      <c r="E655" s="577"/>
      <c r="F655" s="577"/>
      <c r="G655" s="577"/>
      <c r="H655" s="577"/>
      <c r="I655" s="577"/>
      <c r="J655" s="268"/>
      <c r="K655" s="578"/>
      <c r="L655" s="579"/>
    </row>
    <row r="656" spans="2:12" ht="120" customHeight="1" x14ac:dyDescent="0.3">
      <c r="B656" s="110"/>
      <c r="C656" s="576"/>
      <c r="D656" s="577"/>
      <c r="E656" s="577"/>
      <c r="F656" s="577"/>
      <c r="G656" s="577"/>
      <c r="H656" s="577"/>
      <c r="I656" s="577"/>
      <c r="J656" s="268"/>
      <c r="K656" s="578"/>
      <c r="L656" s="579"/>
    </row>
    <row r="657" spans="2:12" ht="120" customHeight="1" x14ac:dyDescent="0.3">
      <c r="B657" s="110"/>
      <c r="C657" s="576"/>
      <c r="D657" s="577"/>
      <c r="E657" s="577"/>
      <c r="F657" s="577"/>
      <c r="G657" s="577"/>
      <c r="H657" s="577"/>
      <c r="I657" s="577"/>
      <c r="J657" s="268"/>
      <c r="K657" s="578"/>
      <c r="L657" s="579"/>
    </row>
    <row r="658" spans="2:12" ht="120" customHeight="1" x14ac:dyDescent="0.3">
      <c r="B658" s="110"/>
      <c r="C658" s="576"/>
      <c r="D658" s="577"/>
      <c r="E658" s="577"/>
      <c r="F658" s="577"/>
      <c r="G658" s="577"/>
      <c r="H658" s="577"/>
      <c r="I658" s="577"/>
      <c r="J658" s="268"/>
      <c r="K658" s="578"/>
      <c r="L658" s="579"/>
    </row>
    <row r="659" spans="2:12" ht="120" customHeight="1" x14ac:dyDescent="0.3">
      <c r="B659" s="110"/>
      <c r="C659" s="576"/>
      <c r="D659" s="577"/>
      <c r="E659" s="577"/>
      <c r="F659" s="577"/>
      <c r="G659" s="577"/>
      <c r="H659" s="577"/>
      <c r="I659" s="577"/>
      <c r="J659" s="268"/>
      <c r="K659" s="578"/>
      <c r="L659" s="579"/>
    </row>
    <row r="660" spans="2:12" ht="120" customHeight="1" x14ac:dyDescent="0.3">
      <c r="B660" s="110"/>
      <c r="C660" s="576"/>
      <c r="D660" s="577"/>
      <c r="E660" s="577"/>
      <c r="F660" s="577"/>
      <c r="G660" s="577"/>
      <c r="H660" s="577"/>
      <c r="I660" s="577"/>
      <c r="J660" s="268"/>
      <c r="K660" s="578"/>
      <c r="L660" s="579"/>
    </row>
    <row r="661" spans="2:12" ht="120" customHeight="1" x14ac:dyDescent="0.3">
      <c r="B661" s="110"/>
      <c r="C661" s="576"/>
      <c r="D661" s="577"/>
      <c r="E661" s="577"/>
      <c r="F661" s="577"/>
      <c r="G661" s="577"/>
      <c r="H661" s="577"/>
      <c r="I661" s="577"/>
      <c r="J661" s="268"/>
      <c r="K661" s="578"/>
      <c r="L661" s="579"/>
    </row>
    <row r="662" spans="2:12" ht="120" customHeight="1" x14ac:dyDescent="0.3">
      <c r="B662" s="110"/>
      <c r="C662" s="576"/>
      <c r="D662" s="577"/>
      <c r="E662" s="577"/>
      <c r="F662" s="577"/>
      <c r="G662" s="577"/>
      <c r="H662" s="577"/>
      <c r="I662" s="577"/>
      <c r="J662" s="268"/>
      <c r="K662" s="578"/>
      <c r="L662" s="579"/>
    </row>
    <row r="663" spans="2:12" ht="120" customHeight="1" x14ac:dyDescent="0.3">
      <c r="B663" s="110"/>
      <c r="C663" s="576"/>
      <c r="D663" s="577"/>
      <c r="E663" s="577"/>
      <c r="F663" s="577"/>
      <c r="G663" s="577"/>
      <c r="H663" s="577"/>
      <c r="I663" s="577"/>
      <c r="J663" s="268"/>
      <c r="K663" s="578"/>
      <c r="L663" s="579"/>
    </row>
    <row r="664" spans="2:12" ht="120" customHeight="1" x14ac:dyDescent="0.3">
      <c r="B664" s="110"/>
      <c r="C664" s="576"/>
      <c r="D664" s="577"/>
      <c r="E664" s="577"/>
      <c r="F664" s="577"/>
      <c r="G664" s="577"/>
      <c r="H664" s="577"/>
      <c r="I664" s="577"/>
      <c r="J664" s="268"/>
      <c r="K664" s="578"/>
      <c r="L664" s="579"/>
    </row>
    <row r="665" spans="2:12" ht="120" customHeight="1" x14ac:dyDescent="0.3">
      <c r="B665" s="110"/>
      <c r="C665" s="576"/>
      <c r="D665" s="577"/>
      <c r="E665" s="577"/>
      <c r="F665" s="577"/>
      <c r="G665" s="577"/>
      <c r="H665" s="577"/>
      <c r="I665" s="577"/>
      <c r="J665" s="268"/>
      <c r="K665" s="578"/>
      <c r="L665" s="579"/>
    </row>
    <row r="666" spans="2:12" ht="120" customHeight="1" x14ac:dyDescent="0.3">
      <c r="B666" s="110"/>
      <c r="C666" s="576"/>
      <c r="D666" s="577"/>
      <c r="E666" s="577"/>
      <c r="F666" s="577"/>
      <c r="G666" s="577"/>
      <c r="H666" s="577"/>
      <c r="I666" s="577"/>
      <c r="J666" s="268"/>
      <c r="K666" s="578"/>
      <c r="L666" s="579"/>
    </row>
    <row r="667" spans="2:12" ht="120" customHeight="1" x14ac:dyDescent="0.3">
      <c r="B667" s="110"/>
      <c r="C667" s="576"/>
      <c r="D667" s="577"/>
      <c r="E667" s="577"/>
      <c r="F667" s="577"/>
      <c r="G667" s="577"/>
      <c r="H667" s="577"/>
      <c r="I667" s="577"/>
      <c r="J667" s="268"/>
      <c r="K667" s="578"/>
      <c r="L667" s="579"/>
    </row>
    <row r="668" spans="2:12" ht="120" customHeight="1" x14ac:dyDescent="0.3">
      <c r="B668" s="110"/>
      <c r="C668" s="576"/>
      <c r="D668" s="577"/>
      <c r="E668" s="577"/>
      <c r="F668" s="577"/>
      <c r="G668" s="577"/>
      <c r="H668" s="577"/>
      <c r="I668" s="577"/>
      <c r="J668" s="268"/>
      <c r="K668" s="578"/>
      <c r="L668" s="579"/>
    </row>
    <row r="669" spans="2:12" ht="120" customHeight="1" x14ac:dyDescent="0.3">
      <c r="B669" s="110"/>
      <c r="C669" s="576"/>
      <c r="D669" s="577"/>
      <c r="E669" s="577"/>
      <c r="F669" s="577"/>
      <c r="G669" s="577"/>
      <c r="H669" s="577"/>
      <c r="I669" s="577"/>
      <c r="J669" s="268"/>
      <c r="K669" s="578"/>
      <c r="L669" s="579"/>
    </row>
    <row r="670" spans="2:12" ht="120" customHeight="1" x14ac:dyDescent="0.3">
      <c r="B670" s="110"/>
      <c r="C670" s="576"/>
      <c r="D670" s="577"/>
      <c r="E670" s="577"/>
      <c r="F670" s="577"/>
      <c r="G670" s="577"/>
      <c r="H670" s="577"/>
      <c r="I670" s="577"/>
      <c r="J670" s="268"/>
      <c r="K670" s="578"/>
      <c r="L670" s="579"/>
    </row>
    <row r="671" spans="2:12" ht="120" customHeight="1" x14ac:dyDescent="0.3">
      <c r="B671" s="110"/>
      <c r="C671" s="576"/>
      <c r="D671" s="577"/>
      <c r="E671" s="577"/>
      <c r="F671" s="577"/>
      <c r="G671" s="577"/>
      <c r="H671" s="577"/>
      <c r="I671" s="577"/>
      <c r="J671" s="268"/>
      <c r="K671" s="578"/>
      <c r="L671" s="579"/>
    </row>
    <row r="672" spans="2:12" ht="120" customHeight="1" x14ac:dyDescent="0.3">
      <c r="B672" s="110"/>
      <c r="C672" s="576"/>
      <c r="D672" s="577"/>
      <c r="E672" s="577"/>
      <c r="F672" s="577"/>
      <c r="G672" s="577"/>
      <c r="H672" s="577"/>
      <c r="I672" s="577"/>
      <c r="J672" s="268"/>
      <c r="K672" s="578"/>
      <c r="L672" s="579"/>
    </row>
    <row r="673" spans="2:12" ht="120" customHeight="1" x14ac:dyDescent="0.3">
      <c r="B673" s="110"/>
      <c r="C673" s="576"/>
      <c r="D673" s="577"/>
      <c r="E673" s="577"/>
      <c r="F673" s="577"/>
      <c r="G673" s="577"/>
      <c r="H673" s="577"/>
      <c r="I673" s="577"/>
      <c r="J673" s="268"/>
      <c r="K673" s="578"/>
      <c r="L673" s="579"/>
    </row>
    <row r="674" spans="2:12" ht="120" customHeight="1" x14ac:dyDescent="0.3">
      <c r="B674" s="110"/>
      <c r="C674" s="576"/>
      <c r="D674" s="577"/>
      <c r="E674" s="577"/>
      <c r="F674" s="577"/>
      <c r="G674" s="577"/>
      <c r="H674" s="577"/>
      <c r="I674" s="577"/>
      <c r="J674" s="268"/>
      <c r="K674" s="578"/>
      <c r="L674" s="579"/>
    </row>
    <row r="675" spans="2:12" ht="120" customHeight="1" x14ac:dyDescent="0.3">
      <c r="B675" s="110"/>
      <c r="C675" s="576"/>
      <c r="D675" s="577"/>
      <c r="E675" s="577"/>
      <c r="F675" s="577"/>
      <c r="G675" s="577"/>
      <c r="H675" s="577"/>
      <c r="I675" s="577"/>
      <c r="J675" s="268"/>
      <c r="K675" s="578"/>
      <c r="L675" s="579"/>
    </row>
    <row r="676" spans="2:12" ht="120" customHeight="1" x14ac:dyDescent="0.3">
      <c r="B676" s="110"/>
      <c r="C676" s="576"/>
      <c r="D676" s="577"/>
      <c r="E676" s="577"/>
      <c r="F676" s="577"/>
      <c r="G676" s="577"/>
      <c r="H676" s="577"/>
      <c r="I676" s="577"/>
      <c r="J676" s="268"/>
      <c r="K676" s="578"/>
      <c r="L676" s="579"/>
    </row>
    <row r="677" spans="2:12" ht="120" customHeight="1" x14ac:dyDescent="0.3">
      <c r="B677" s="110"/>
      <c r="C677" s="576"/>
      <c r="D677" s="577"/>
      <c r="E677" s="577"/>
      <c r="F677" s="577"/>
      <c r="G677" s="577"/>
      <c r="H677" s="577"/>
      <c r="I677" s="577"/>
      <c r="J677" s="268"/>
      <c r="K677" s="578"/>
      <c r="L677" s="579"/>
    </row>
    <row r="678" spans="2:12" ht="120" customHeight="1" x14ac:dyDescent="0.3">
      <c r="B678" s="110"/>
      <c r="C678" s="576"/>
      <c r="D678" s="577"/>
      <c r="E678" s="577"/>
      <c r="F678" s="577"/>
      <c r="G678" s="577"/>
      <c r="H678" s="577"/>
      <c r="I678" s="577"/>
      <c r="J678" s="268"/>
      <c r="K678" s="578"/>
      <c r="L678" s="579"/>
    </row>
    <row r="679" spans="2:12" ht="120" customHeight="1" x14ac:dyDescent="0.3">
      <c r="B679" s="110"/>
      <c r="C679" s="576"/>
      <c r="D679" s="577"/>
      <c r="E679" s="577"/>
      <c r="F679" s="577"/>
      <c r="G679" s="577"/>
      <c r="H679" s="577"/>
      <c r="I679" s="577"/>
      <c r="J679" s="268"/>
      <c r="K679" s="578"/>
      <c r="L679" s="579"/>
    </row>
    <row r="680" spans="2:12" ht="120" customHeight="1" x14ac:dyDescent="0.3">
      <c r="B680" s="110"/>
      <c r="C680" s="576"/>
      <c r="D680" s="577"/>
      <c r="E680" s="577"/>
      <c r="F680" s="577"/>
      <c r="G680" s="577"/>
      <c r="H680" s="577"/>
      <c r="I680" s="577"/>
      <c r="J680" s="268"/>
      <c r="K680" s="578"/>
      <c r="L680" s="579"/>
    </row>
    <row r="681" spans="2:12" ht="120" customHeight="1" x14ac:dyDescent="0.3">
      <c r="B681" s="110"/>
      <c r="C681" s="576"/>
      <c r="D681" s="577"/>
      <c r="E681" s="577"/>
      <c r="F681" s="577"/>
      <c r="G681" s="577"/>
      <c r="H681" s="577"/>
      <c r="I681" s="577"/>
      <c r="J681" s="268"/>
      <c r="K681" s="578"/>
      <c r="L681" s="579"/>
    </row>
    <row r="682" spans="2:12" ht="120" customHeight="1" x14ac:dyDescent="0.3">
      <c r="B682" s="110"/>
      <c r="C682" s="576"/>
      <c r="D682" s="577"/>
      <c r="E682" s="577"/>
      <c r="F682" s="577"/>
      <c r="G682" s="577"/>
      <c r="H682" s="577"/>
      <c r="I682" s="577"/>
      <c r="J682" s="268"/>
      <c r="K682" s="578"/>
      <c r="L682" s="579"/>
    </row>
    <row r="683" spans="2:12" ht="120" customHeight="1" x14ac:dyDescent="0.3">
      <c r="B683" s="110"/>
      <c r="C683" s="576"/>
      <c r="D683" s="577"/>
      <c r="E683" s="577"/>
      <c r="F683" s="577"/>
      <c r="G683" s="577"/>
      <c r="H683" s="577"/>
      <c r="I683" s="577"/>
      <c r="J683" s="268"/>
      <c r="K683" s="578"/>
      <c r="L683" s="579"/>
    </row>
    <row r="684" spans="2:12" ht="120" customHeight="1" x14ac:dyDescent="0.3">
      <c r="B684" s="110"/>
      <c r="C684" s="576"/>
      <c r="D684" s="577"/>
      <c r="E684" s="577"/>
      <c r="F684" s="577"/>
      <c r="G684" s="577"/>
      <c r="H684" s="577"/>
      <c r="I684" s="577"/>
      <c r="J684" s="268"/>
      <c r="K684" s="578"/>
      <c r="L684" s="579"/>
    </row>
    <row r="685" spans="2:12" ht="120" customHeight="1" x14ac:dyDescent="0.3">
      <c r="B685" s="110"/>
      <c r="C685" s="576"/>
      <c r="D685" s="577"/>
      <c r="E685" s="577"/>
      <c r="F685" s="577"/>
      <c r="G685" s="577"/>
      <c r="H685" s="577"/>
      <c r="I685" s="577"/>
      <c r="J685" s="268"/>
      <c r="K685" s="578"/>
      <c r="L685" s="579"/>
    </row>
    <row r="686" spans="2:12" ht="120" customHeight="1" x14ac:dyDescent="0.3">
      <c r="B686" s="110"/>
      <c r="C686" s="576"/>
      <c r="D686" s="577"/>
      <c r="E686" s="577"/>
      <c r="F686" s="577"/>
      <c r="G686" s="577"/>
      <c r="H686" s="577"/>
      <c r="I686" s="577"/>
      <c r="J686" s="268"/>
      <c r="K686" s="578"/>
      <c r="L686" s="579"/>
    </row>
    <row r="687" spans="2:12" ht="120" customHeight="1" x14ac:dyDescent="0.3">
      <c r="B687" s="110"/>
      <c r="C687" s="576"/>
      <c r="D687" s="577"/>
      <c r="E687" s="577"/>
      <c r="F687" s="577"/>
      <c r="G687" s="577"/>
      <c r="H687" s="577"/>
      <c r="I687" s="577"/>
      <c r="J687" s="268"/>
      <c r="K687" s="578"/>
      <c r="L687" s="579"/>
    </row>
    <row r="688" spans="2:12" ht="120" customHeight="1" x14ac:dyDescent="0.3">
      <c r="B688" s="110"/>
      <c r="C688" s="576"/>
      <c r="D688" s="577"/>
      <c r="E688" s="577"/>
      <c r="F688" s="577"/>
      <c r="G688" s="577"/>
      <c r="H688" s="577"/>
      <c r="I688" s="577"/>
      <c r="J688" s="268"/>
      <c r="K688" s="578"/>
      <c r="L688" s="579"/>
    </row>
    <row r="689" spans="2:12" ht="120" customHeight="1" x14ac:dyDescent="0.3">
      <c r="B689" s="110"/>
      <c r="C689" s="576"/>
      <c r="D689" s="577"/>
      <c r="E689" s="577"/>
      <c r="F689" s="577"/>
      <c r="G689" s="577"/>
      <c r="H689" s="577"/>
      <c r="I689" s="577"/>
      <c r="J689" s="268"/>
      <c r="K689" s="578"/>
      <c r="L689" s="579"/>
    </row>
    <row r="690" spans="2:12" ht="120" customHeight="1" x14ac:dyDescent="0.3">
      <c r="B690" s="110"/>
      <c r="C690" s="576"/>
      <c r="D690" s="577"/>
      <c r="E690" s="577"/>
      <c r="F690" s="577"/>
      <c r="G690" s="577"/>
      <c r="H690" s="577"/>
      <c r="I690" s="577"/>
      <c r="J690" s="268"/>
      <c r="K690" s="578"/>
      <c r="L690" s="579"/>
    </row>
    <row r="691" spans="2:12" ht="120" customHeight="1" x14ac:dyDescent="0.3">
      <c r="B691" s="110"/>
      <c r="C691" s="576"/>
      <c r="D691" s="577"/>
      <c r="E691" s="577"/>
      <c r="F691" s="577"/>
      <c r="G691" s="577"/>
      <c r="H691" s="577"/>
      <c r="I691" s="577"/>
      <c r="J691" s="268"/>
      <c r="K691" s="578"/>
      <c r="L691" s="579"/>
    </row>
    <row r="692" spans="2:12" ht="120" customHeight="1" x14ac:dyDescent="0.3">
      <c r="B692" s="110"/>
      <c r="C692" s="576"/>
      <c r="D692" s="577"/>
      <c r="E692" s="577"/>
      <c r="F692" s="577"/>
      <c r="G692" s="577"/>
      <c r="H692" s="577"/>
      <c r="I692" s="577"/>
      <c r="J692" s="268"/>
      <c r="K692" s="578"/>
      <c r="L692" s="579"/>
    </row>
    <row r="693" spans="2:12" ht="120" customHeight="1" x14ac:dyDescent="0.3">
      <c r="B693" s="110"/>
      <c r="C693" s="576"/>
      <c r="D693" s="577"/>
      <c r="E693" s="577"/>
      <c r="F693" s="577"/>
      <c r="G693" s="577"/>
      <c r="H693" s="577"/>
      <c r="I693" s="577"/>
      <c r="J693" s="268"/>
      <c r="K693" s="578"/>
      <c r="L693" s="579"/>
    </row>
    <row r="694" spans="2:12" ht="120" customHeight="1" x14ac:dyDescent="0.3">
      <c r="B694" s="110"/>
      <c r="C694" s="576"/>
      <c r="D694" s="577"/>
      <c r="E694" s="577"/>
      <c r="F694" s="577"/>
      <c r="G694" s="577"/>
      <c r="H694" s="577"/>
      <c r="I694" s="577"/>
      <c r="J694" s="268"/>
      <c r="K694" s="578"/>
      <c r="L694" s="579"/>
    </row>
    <row r="695" spans="2:12" ht="120" customHeight="1" x14ac:dyDescent="0.3">
      <c r="B695" s="110"/>
      <c r="C695" s="576"/>
      <c r="D695" s="577"/>
      <c r="E695" s="577"/>
      <c r="F695" s="577"/>
      <c r="G695" s="577"/>
      <c r="H695" s="577"/>
      <c r="I695" s="577"/>
      <c r="J695" s="268"/>
      <c r="K695" s="578"/>
      <c r="L695" s="579"/>
    </row>
    <row r="696" spans="2:12" ht="120" customHeight="1" x14ac:dyDescent="0.3">
      <c r="B696" s="110"/>
      <c r="C696" s="576"/>
      <c r="D696" s="577"/>
      <c r="E696" s="577"/>
      <c r="F696" s="577"/>
      <c r="G696" s="577"/>
      <c r="H696" s="577"/>
      <c r="I696" s="577"/>
      <c r="J696" s="268"/>
      <c r="K696" s="578"/>
      <c r="L696" s="579"/>
    </row>
    <row r="697" spans="2:12" ht="120" customHeight="1" x14ac:dyDescent="0.3">
      <c r="B697" s="110"/>
      <c r="C697" s="576"/>
      <c r="D697" s="577"/>
      <c r="E697" s="577"/>
      <c r="F697" s="577"/>
      <c r="G697" s="577"/>
      <c r="H697" s="577"/>
      <c r="I697" s="577"/>
      <c r="J697" s="268"/>
      <c r="K697" s="578"/>
      <c r="L697" s="579"/>
    </row>
    <row r="698" spans="2:12" ht="120" customHeight="1" x14ac:dyDescent="0.3">
      <c r="B698" s="110"/>
      <c r="C698" s="576"/>
      <c r="D698" s="577"/>
      <c r="E698" s="577"/>
      <c r="F698" s="577"/>
      <c r="G698" s="577"/>
      <c r="H698" s="577"/>
      <c r="I698" s="577"/>
      <c r="J698" s="268"/>
      <c r="K698" s="578"/>
      <c r="L698" s="579"/>
    </row>
    <row r="699" spans="2:12" ht="120" customHeight="1" x14ac:dyDescent="0.3">
      <c r="B699" s="110"/>
      <c r="C699" s="576"/>
      <c r="D699" s="577"/>
      <c r="E699" s="577"/>
      <c r="F699" s="577"/>
      <c r="G699" s="577"/>
      <c r="H699" s="577"/>
      <c r="I699" s="577"/>
      <c r="J699" s="268"/>
      <c r="K699" s="578"/>
      <c r="L699" s="579"/>
    </row>
    <row r="700" spans="2:12" ht="120" customHeight="1" x14ac:dyDescent="0.3">
      <c r="B700" s="110"/>
      <c r="C700" s="576"/>
      <c r="D700" s="577"/>
      <c r="E700" s="577"/>
      <c r="F700" s="577"/>
      <c r="G700" s="577"/>
      <c r="H700" s="577"/>
      <c r="I700" s="577"/>
      <c r="J700" s="268"/>
      <c r="K700" s="578"/>
      <c r="L700" s="579"/>
    </row>
    <row r="701" spans="2:12" ht="120" customHeight="1" x14ac:dyDescent="0.3">
      <c r="B701" s="110"/>
      <c r="C701" s="576"/>
      <c r="D701" s="577"/>
      <c r="E701" s="577"/>
      <c r="F701" s="577"/>
      <c r="G701" s="577"/>
      <c r="H701" s="577"/>
      <c r="I701" s="577"/>
      <c r="J701" s="268"/>
      <c r="K701" s="578"/>
      <c r="L701" s="579"/>
    </row>
    <row r="702" spans="2:12" ht="120" customHeight="1" x14ac:dyDescent="0.3">
      <c r="B702" s="110"/>
      <c r="C702" s="576"/>
      <c r="D702" s="577"/>
      <c r="E702" s="577"/>
      <c r="F702" s="577"/>
      <c r="G702" s="577"/>
      <c r="H702" s="577"/>
      <c r="I702" s="577"/>
      <c r="J702" s="268"/>
      <c r="K702" s="578"/>
      <c r="L702" s="579"/>
    </row>
    <row r="703" spans="2:12" ht="120" customHeight="1" x14ac:dyDescent="0.3">
      <c r="B703" s="110"/>
      <c r="C703" s="576"/>
      <c r="D703" s="577"/>
      <c r="E703" s="577"/>
      <c r="F703" s="577"/>
      <c r="G703" s="577"/>
      <c r="H703" s="577"/>
      <c r="I703" s="577"/>
      <c r="J703" s="268"/>
      <c r="K703" s="578"/>
      <c r="L703" s="579"/>
    </row>
    <row r="704" spans="2:12" ht="120" customHeight="1" x14ac:dyDescent="0.3">
      <c r="B704" s="110"/>
      <c r="C704" s="576"/>
      <c r="D704" s="577"/>
      <c r="E704" s="577"/>
      <c r="F704" s="577"/>
      <c r="G704" s="577"/>
      <c r="H704" s="577"/>
      <c r="I704" s="577"/>
      <c r="J704" s="268"/>
      <c r="K704" s="578"/>
      <c r="L704" s="579"/>
    </row>
    <row r="705" spans="2:12" ht="120" customHeight="1" x14ac:dyDescent="0.3">
      <c r="B705" s="110"/>
      <c r="C705" s="576"/>
      <c r="D705" s="577"/>
      <c r="E705" s="577"/>
      <c r="F705" s="577"/>
      <c r="G705" s="577"/>
      <c r="H705" s="577"/>
      <c r="I705" s="577"/>
      <c r="J705" s="268"/>
      <c r="K705" s="578"/>
      <c r="L705" s="579"/>
    </row>
    <row r="706" spans="2:12" ht="120" customHeight="1" x14ac:dyDescent="0.3">
      <c r="B706" s="110"/>
      <c r="C706" s="576"/>
      <c r="D706" s="577"/>
      <c r="E706" s="577"/>
      <c r="F706" s="577"/>
      <c r="G706" s="577"/>
      <c r="H706" s="577"/>
      <c r="I706" s="577"/>
      <c r="J706" s="268"/>
      <c r="K706" s="578"/>
      <c r="L706" s="579"/>
    </row>
    <row r="707" spans="2:12" ht="120" customHeight="1" x14ac:dyDescent="0.3">
      <c r="B707" s="110"/>
      <c r="C707" s="576"/>
      <c r="D707" s="577"/>
      <c r="E707" s="577"/>
      <c r="F707" s="577"/>
      <c r="G707" s="577"/>
      <c r="H707" s="577"/>
      <c r="I707" s="577"/>
      <c r="J707" s="268"/>
      <c r="K707" s="578"/>
      <c r="L707" s="579"/>
    </row>
    <row r="708" spans="2:12" ht="120" customHeight="1" x14ac:dyDescent="0.3">
      <c r="B708" s="110"/>
      <c r="C708" s="576"/>
      <c r="D708" s="577"/>
      <c r="E708" s="577"/>
      <c r="F708" s="577"/>
      <c r="G708" s="577"/>
      <c r="H708" s="577"/>
      <c r="I708" s="577"/>
      <c r="J708" s="268"/>
      <c r="K708" s="578"/>
      <c r="L708" s="579"/>
    </row>
    <row r="709" spans="2:12" ht="120" customHeight="1" x14ac:dyDescent="0.3">
      <c r="B709" s="110"/>
      <c r="C709" s="576"/>
      <c r="D709" s="577"/>
      <c r="E709" s="577"/>
      <c r="F709" s="577"/>
      <c r="G709" s="577"/>
      <c r="H709" s="577"/>
      <c r="I709" s="577"/>
      <c r="J709" s="268"/>
      <c r="K709" s="578"/>
      <c r="L709" s="579"/>
    </row>
    <row r="710" spans="2:12" ht="120" customHeight="1" x14ac:dyDescent="0.3">
      <c r="B710" s="110"/>
      <c r="C710" s="576"/>
      <c r="D710" s="577"/>
      <c r="E710" s="577"/>
      <c r="F710" s="577"/>
      <c r="G710" s="577"/>
      <c r="H710" s="577"/>
      <c r="I710" s="577"/>
      <c r="J710" s="268"/>
      <c r="K710" s="578"/>
      <c r="L710" s="579"/>
    </row>
    <row r="711" spans="2:12" ht="120" customHeight="1" x14ac:dyDescent="0.3">
      <c r="B711" s="110"/>
      <c r="C711" s="576"/>
      <c r="D711" s="577"/>
      <c r="E711" s="577"/>
      <c r="F711" s="577"/>
      <c r="G711" s="577"/>
      <c r="H711" s="577"/>
      <c r="I711" s="577"/>
      <c r="J711" s="268"/>
      <c r="K711" s="578"/>
      <c r="L711" s="579"/>
    </row>
    <row r="712" spans="2:12" ht="120" customHeight="1" x14ac:dyDescent="0.3">
      <c r="B712" s="110"/>
      <c r="C712" s="576"/>
      <c r="D712" s="577"/>
      <c r="E712" s="577"/>
      <c r="F712" s="577"/>
      <c r="G712" s="577"/>
      <c r="H712" s="577"/>
      <c r="I712" s="577"/>
      <c r="J712" s="268"/>
      <c r="K712" s="578"/>
      <c r="L712" s="579"/>
    </row>
    <row r="713" spans="2:12" ht="120" customHeight="1" x14ac:dyDescent="0.3">
      <c r="B713" s="110"/>
      <c r="C713" s="576"/>
      <c r="D713" s="577"/>
      <c r="E713" s="577"/>
      <c r="F713" s="577"/>
      <c r="G713" s="577"/>
      <c r="H713" s="577"/>
      <c r="I713" s="577"/>
      <c r="J713" s="268"/>
      <c r="K713" s="578"/>
      <c r="L713" s="579"/>
    </row>
    <row r="714" spans="2:12" ht="120" customHeight="1" x14ac:dyDescent="0.3">
      <c r="B714" s="110"/>
      <c r="C714" s="576"/>
      <c r="D714" s="577"/>
      <c r="E714" s="577"/>
      <c r="F714" s="577"/>
      <c r="G714" s="577"/>
      <c r="H714" s="577"/>
      <c r="I714" s="577"/>
      <c r="J714" s="268"/>
      <c r="K714" s="578"/>
      <c r="L714" s="579"/>
    </row>
  </sheetData>
  <sheetProtection algorithmName="SHA-512" hashValue="UH678FhP9wd9wiwuOGi9f5rPktNlkAHmuTiiinMzJntJe4vssxv4uH6bozK1W47alQTQRL4o6zI2MS7/7Sqb4w==" saltValue="HbdGbBvf5FVzkg3SRXUctA==" spinCount="100000" sheet="1" selectLockedCells="1"/>
  <mergeCells count="1425">
    <mergeCell ref="C9:I9"/>
    <mergeCell ref="C10:I10"/>
    <mergeCell ref="C11:I11"/>
    <mergeCell ref="C6:I6"/>
    <mergeCell ref="C7:I7"/>
    <mergeCell ref="C8:I8"/>
    <mergeCell ref="B1:L1"/>
    <mergeCell ref="A2:A3"/>
    <mergeCell ref="B2:L2"/>
    <mergeCell ref="C4:I4"/>
    <mergeCell ref="C5:I5"/>
    <mergeCell ref="K4:L4"/>
    <mergeCell ref="K5:L5"/>
    <mergeCell ref="K6:L6"/>
    <mergeCell ref="K7:L7"/>
    <mergeCell ref="K8:L8"/>
    <mergeCell ref="K9:L9"/>
    <mergeCell ref="K10:L10"/>
    <mergeCell ref="K11:L11"/>
    <mergeCell ref="C18:I18"/>
    <mergeCell ref="C19:I19"/>
    <mergeCell ref="C20:I20"/>
    <mergeCell ref="C15:I15"/>
    <mergeCell ref="C16:I16"/>
    <mergeCell ref="C17:I17"/>
    <mergeCell ref="C12:I12"/>
    <mergeCell ref="C13:I13"/>
    <mergeCell ref="C14:I14"/>
    <mergeCell ref="K12:L12"/>
    <mergeCell ref="K13:L13"/>
    <mergeCell ref="K14:L14"/>
    <mergeCell ref="K15:L15"/>
    <mergeCell ref="K16:L16"/>
    <mergeCell ref="K17:L17"/>
    <mergeCell ref="K18:L18"/>
    <mergeCell ref="K19:L19"/>
    <mergeCell ref="K20:L20"/>
    <mergeCell ref="C27:I27"/>
    <mergeCell ref="C28:I28"/>
    <mergeCell ref="C29:I29"/>
    <mergeCell ref="C24:I24"/>
    <mergeCell ref="C25:I25"/>
    <mergeCell ref="C26:I26"/>
    <mergeCell ref="C21:I21"/>
    <mergeCell ref="C22:I22"/>
    <mergeCell ref="C23:I23"/>
    <mergeCell ref="K21:L21"/>
    <mergeCell ref="K22:L22"/>
    <mergeCell ref="K23:L23"/>
    <mergeCell ref="K24:L24"/>
    <mergeCell ref="K25:L25"/>
    <mergeCell ref="K26:L26"/>
    <mergeCell ref="K27:L27"/>
    <mergeCell ref="K28:L28"/>
    <mergeCell ref="K29:L29"/>
    <mergeCell ref="C36:I36"/>
    <mergeCell ref="C37:I37"/>
    <mergeCell ref="C38:I38"/>
    <mergeCell ref="C33:I33"/>
    <mergeCell ref="C34:I34"/>
    <mergeCell ref="C35:I35"/>
    <mergeCell ref="C30:I30"/>
    <mergeCell ref="C31:I31"/>
    <mergeCell ref="C32:I32"/>
    <mergeCell ref="K30:L30"/>
    <mergeCell ref="K31:L31"/>
    <mergeCell ref="K32:L32"/>
    <mergeCell ref="K33:L33"/>
    <mergeCell ref="K34:L34"/>
    <mergeCell ref="K35:L35"/>
    <mergeCell ref="K36:L36"/>
    <mergeCell ref="K37:L37"/>
    <mergeCell ref="K38:L38"/>
    <mergeCell ref="C45:I45"/>
    <mergeCell ref="C46:I46"/>
    <mergeCell ref="C47:I47"/>
    <mergeCell ref="C42:I42"/>
    <mergeCell ref="C43:I43"/>
    <mergeCell ref="C44:I44"/>
    <mergeCell ref="C39:I39"/>
    <mergeCell ref="C40:I40"/>
    <mergeCell ref="C41:I41"/>
    <mergeCell ref="K39:L39"/>
    <mergeCell ref="K40:L40"/>
    <mergeCell ref="K41:L41"/>
    <mergeCell ref="K42:L42"/>
    <mergeCell ref="K43:L43"/>
    <mergeCell ref="K44:L44"/>
    <mergeCell ref="K45:L45"/>
    <mergeCell ref="K46:L46"/>
    <mergeCell ref="K47:L47"/>
    <mergeCell ref="C54:I54"/>
    <mergeCell ref="C55:I55"/>
    <mergeCell ref="C56:I56"/>
    <mergeCell ref="C51:I51"/>
    <mergeCell ref="C52:I52"/>
    <mergeCell ref="C53:I53"/>
    <mergeCell ref="C48:I48"/>
    <mergeCell ref="C49:I49"/>
    <mergeCell ref="C50:I50"/>
    <mergeCell ref="K48:L48"/>
    <mergeCell ref="K49:L49"/>
    <mergeCell ref="K50:L50"/>
    <mergeCell ref="K51:L51"/>
    <mergeCell ref="K52:L52"/>
    <mergeCell ref="K53:L53"/>
    <mergeCell ref="K54:L54"/>
    <mergeCell ref="K55:L55"/>
    <mergeCell ref="K56:L56"/>
    <mergeCell ref="C63:I63"/>
    <mergeCell ref="C64:I64"/>
    <mergeCell ref="C65:I65"/>
    <mergeCell ref="C60:I60"/>
    <mergeCell ref="C61:I61"/>
    <mergeCell ref="C62:I62"/>
    <mergeCell ref="C57:I57"/>
    <mergeCell ref="C58:I58"/>
    <mergeCell ref="C59:I59"/>
    <mergeCell ref="K57:L57"/>
    <mergeCell ref="K58:L58"/>
    <mergeCell ref="K59:L59"/>
    <mergeCell ref="K60:L60"/>
    <mergeCell ref="K61:L61"/>
    <mergeCell ref="K62:L62"/>
    <mergeCell ref="K63:L63"/>
    <mergeCell ref="K64:L64"/>
    <mergeCell ref="K65:L65"/>
    <mergeCell ref="C72:I72"/>
    <mergeCell ref="C73:I73"/>
    <mergeCell ref="C74:I74"/>
    <mergeCell ref="C69:I69"/>
    <mergeCell ref="C70:I70"/>
    <mergeCell ref="C71:I71"/>
    <mergeCell ref="C66:I66"/>
    <mergeCell ref="C67:I67"/>
    <mergeCell ref="C68:I68"/>
    <mergeCell ref="K66:L66"/>
    <mergeCell ref="K67:L67"/>
    <mergeCell ref="K68:L68"/>
    <mergeCell ref="K69:L69"/>
    <mergeCell ref="K70:L70"/>
    <mergeCell ref="K71:L71"/>
    <mergeCell ref="K72:L72"/>
    <mergeCell ref="K73:L73"/>
    <mergeCell ref="K74:L74"/>
    <mergeCell ref="C81:I81"/>
    <mergeCell ref="C82:I82"/>
    <mergeCell ref="C83:I83"/>
    <mergeCell ref="C78:I78"/>
    <mergeCell ref="C79:I79"/>
    <mergeCell ref="C80:I80"/>
    <mergeCell ref="C75:I75"/>
    <mergeCell ref="C76:I76"/>
    <mergeCell ref="C77:I77"/>
    <mergeCell ref="K75:L75"/>
    <mergeCell ref="K76:L76"/>
    <mergeCell ref="K77:L77"/>
    <mergeCell ref="K78:L78"/>
    <mergeCell ref="K79:L79"/>
    <mergeCell ref="K80:L80"/>
    <mergeCell ref="K81:L81"/>
    <mergeCell ref="K82:L82"/>
    <mergeCell ref="K83:L83"/>
    <mergeCell ref="C90:I90"/>
    <mergeCell ref="C91:I91"/>
    <mergeCell ref="C92:I92"/>
    <mergeCell ref="C87:I87"/>
    <mergeCell ref="C88:I88"/>
    <mergeCell ref="C89:I89"/>
    <mergeCell ref="C84:I84"/>
    <mergeCell ref="C85:I85"/>
    <mergeCell ref="C86:I86"/>
    <mergeCell ref="K84:L84"/>
    <mergeCell ref="K85:L85"/>
    <mergeCell ref="K86:L86"/>
    <mergeCell ref="K87:L87"/>
    <mergeCell ref="K88:L88"/>
    <mergeCell ref="K89:L89"/>
    <mergeCell ref="K90:L90"/>
    <mergeCell ref="K91:L91"/>
    <mergeCell ref="K92:L92"/>
    <mergeCell ref="C99:I99"/>
    <mergeCell ref="C100:I100"/>
    <mergeCell ref="C101:I101"/>
    <mergeCell ref="C96:I96"/>
    <mergeCell ref="C97:I97"/>
    <mergeCell ref="C98:I98"/>
    <mergeCell ref="C93:I93"/>
    <mergeCell ref="C94:I94"/>
    <mergeCell ref="C95:I95"/>
    <mergeCell ref="K93:L93"/>
    <mergeCell ref="K94:L94"/>
    <mergeCell ref="K95:L95"/>
    <mergeCell ref="K96:L96"/>
    <mergeCell ref="K97:L97"/>
    <mergeCell ref="K98:L98"/>
    <mergeCell ref="K99:L99"/>
    <mergeCell ref="K100:L100"/>
    <mergeCell ref="K101:L101"/>
    <mergeCell ref="C108:I108"/>
    <mergeCell ref="C109:I109"/>
    <mergeCell ref="C110:I110"/>
    <mergeCell ref="C105:I105"/>
    <mergeCell ref="C106:I106"/>
    <mergeCell ref="C107:I107"/>
    <mergeCell ref="C102:I102"/>
    <mergeCell ref="C103:I103"/>
    <mergeCell ref="C104:I104"/>
    <mergeCell ref="K102:L102"/>
    <mergeCell ref="K103:L103"/>
    <mergeCell ref="K104:L104"/>
    <mergeCell ref="K105:L105"/>
    <mergeCell ref="K106:L106"/>
    <mergeCell ref="K107:L107"/>
    <mergeCell ref="K108:L108"/>
    <mergeCell ref="K109:L109"/>
    <mergeCell ref="K110:L110"/>
    <mergeCell ref="C117:I117"/>
    <mergeCell ref="C118:I118"/>
    <mergeCell ref="C119:I119"/>
    <mergeCell ref="C114:I114"/>
    <mergeCell ref="C115:I115"/>
    <mergeCell ref="C116:I116"/>
    <mergeCell ref="C111:I111"/>
    <mergeCell ref="C112:I112"/>
    <mergeCell ref="C113:I113"/>
    <mergeCell ref="K111:L111"/>
    <mergeCell ref="K112:L112"/>
    <mergeCell ref="K113:L113"/>
    <mergeCell ref="K114:L114"/>
    <mergeCell ref="K115:L115"/>
    <mergeCell ref="K116:L116"/>
    <mergeCell ref="K117:L117"/>
    <mergeCell ref="K118:L118"/>
    <mergeCell ref="K119:L119"/>
    <mergeCell ref="C126:I126"/>
    <mergeCell ref="C127:I127"/>
    <mergeCell ref="C128:I128"/>
    <mergeCell ref="C123:I123"/>
    <mergeCell ref="C124:I124"/>
    <mergeCell ref="C125:I125"/>
    <mergeCell ref="C120:I120"/>
    <mergeCell ref="C121:I121"/>
    <mergeCell ref="C122:I122"/>
    <mergeCell ref="K120:L120"/>
    <mergeCell ref="K121:L121"/>
    <mergeCell ref="K122:L122"/>
    <mergeCell ref="K123:L123"/>
    <mergeCell ref="K124:L124"/>
    <mergeCell ref="K125:L125"/>
    <mergeCell ref="K126:L126"/>
    <mergeCell ref="K127:L127"/>
    <mergeCell ref="K128:L128"/>
    <mergeCell ref="C135:I135"/>
    <mergeCell ref="C136:I136"/>
    <mergeCell ref="C137:I137"/>
    <mergeCell ref="C132:I132"/>
    <mergeCell ref="C133:I133"/>
    <mergeCell ref="C134:I134"/>
    <mergeCell ref="C129:I129"/>
    <mergeCell ref="C130:I130"/>
    <mergeCell ref="C131:I131"/>
    <mergeCell ref="K129:L129"/>
    <mergeCell ref="K130:L130"/>
    <mergeCell ref="K131:L131"/>
    <mergeCell ref="K132:L132"/>
    <mergeCell ref="K133:L133"/>
    <mergeCell ref="K134:L134"/>
    <mergeCell ref="K135:L135"/>
    <mergeCell ref="K136:L136"/>
    <mergeCell ref="K137:L137"/>
    <mergeCell ref="C144:I144"/>
    <mergeCell ref="C145:I145"/>
    <mergeCell ref="C146:I146"/>
    <mergeCell ref="C141:I141"/>
    <mergeCell ref="C142:I142"/>
    <mergeCell ref="C143:I143"/>
    <mergeCell ref="C138:I138"/>
    <mergeCell ref="C139:I139"/>
    <mergeCell ref="C140:I140"/>
    <mergeCell ref="K138:L138"/>
    <mergeCell ref="K139:L139"/>
    <mergeCell ref="K140:L140"/>
    <mergeCell ref="K141:L141"/>
    <mergeCell ref="K142:L142"/>
    <mergeCell ref="K143:L143"/>
    <mergeCell ref="K144:L144"/>
    <mergeCell ref="K145:L145"/>
    <mergeCell ref="K146:L146"/>
    <mergeCell ref="C153:I153"/>
    <mergeCell ref="C154:I154"/>
    <mergeCell ref="C155:I155"/>
    <mergeCell ref="C150:I150"/>
    <mergeCell ref="C151:I151"/>
    <mergeCell ref="C152:I152"/>
    <mergeCell ref="C147:I147"/>
    <mergeCell ref="C148:I148"/>
    <mergeCell ref="C149:I149"/>
    <mergeCell ref="K147:L147"/>
    <mergeCell ref="K148:L148"/>
    <mergeCell ref="K149:L149"/>
    <mergeCell ref="K150:L150"/>
    <mergeCell ref="K151:L151"/>
    <mergeCell ref="K152:L152"/>
    <mergeCell ref="K153:L153"/>
    <mergeCell ref="K154:L154"/>
    <mergeCell ref="K155:L155"/>
    <mergeCell ref="C162:I162"/>
    <mergeCell ref="C163:I163"/>
    <mergeCell ref="C164:I164"/>
    <mergeCell ref="C159:I159"/>
    <mergeCell ref="C160:I160"/>
    <mergeCell ref="C161:I161"/>
    <mergeCell ref="C156:I156"/>
    <mergeCell ref="C157:I157"/>
    <mergeCell ref="C158:I158"/>
    <mergeCell ref="K156:L156"/>
    <mergeCell ref="K157:L157"/>
    <mergeCell ref="K158:L158"/>
    <mergeCell ref="K159:L159"/>
    <mergeCell ref="K160:L160"/>
    <mergeCell ref="K161:L161"/>
    <mergeCell ref="K162:L162"/>
    <mergeCell ref="K163:L163"/>
    <mergeCell ref="K164:L164"/>
    <mergeCell ref="C171:I171"/>
    <mergeCell ref="C172:I172"/>
    <mergeCell ref="C173:I173"/>
    <mergeCell ref="C168:I168"/>
    <mergeCell ref="C169:I169"/>
    <mergeCell ref="C170:I170"/>
    <mergeCell ref="C165:I165"/>
    <mergeCell ref="C166:I166"/>
    <mergeCell ref="C167:I167"/>
    <mergeCell ref="K165:L165"/>
    <mergeCell ref="K166:L166"/>
    <mergeCell ref="K167:L167"/>
    <mergeCell ref="K168:L168"/>
    <mergeCell ref="K169:L169"/>
    <mergeCell ref="K170:L170"/>
    <mergeCell ref="K171:L171"/>
    <mergeCell ref="K172:L172"/>
    <mergeCell ref="K173:L173"/>
    <mergeCell ref="C180:I180"/>
    <mergeCell ref="C181:I181"/>
    <mergeCell ref="C182:I182"/>
    <mergeCell ref="C177:I177"/>
    <mergeCell ref="C178:I178"/>
    <mergeCell ref="C179:I179"/>
    <mergeCell ref="C174:I174"/>
    <mergeCell ref="C175:I175"/>
    <mergeCell ref="C176:I176"/>
    <mergeCell ref="K174:L174"/>
    <mergeCell ref="K175:L175"/>
    <mergeCell ref="K176:L176"/>
    <mergeCell ref="K177:L177"/>
    <mergeCell ref="K178:L178"/>
    <mergeCell ref="K179:L179"/>
    <mergeCell ref="K180:L180"/>
    <mergeCell ref="K181:L181"/>
    <mergeCell ref="K182:L182"/>
    <mergeCell ref="C189:I189"/>
    <mergeCell ref="C190:I190"/>
    <mergeCell ref="C191:I191"/>
    <mergeCell ref="C186:I186"/>
    <mergeCell ref="C187:I187"/>
    <mergeCell ref="C188:I188"/>
    <mergeCell ref="C183:I183"/>
    <mergeCell ref="C184:I184"/>
    <mergeCell ref="C185:I185"/>
    <mergeCell ref="K183:L183"/>
    <mergeCell ref="K184:L184"/>
    <mergeCell ref="K185:L185"/>
    <mergeCell ref="K186:L186"/>
    <mergeCell ref="K187:L187"/>
    <mergeCell ref="K188:L188"/>
    <mergeCell ref="K189:L189"/>
    <mergeCell ref="K190:L190"/>
    <mergeCell ref="K191:L191"/>
    <mergeCell ref="C198:I198"/>
    <mergeCell ref="C199:I199"/>
    <mergeCell ref="C200:I200"/>
    <mergeCell ref="C195:I195"/>
    <mergeCell ref="C196:I196"/>
    <mergeCell ref="C197:I197"/>
    <mergeCell ref="C192:I192"/>
    <mergeCell ref="C193:I193"/>
    <mergeCell ref="C194:I194"/>
    <mergeCell ref="K192:L192"/>
    <mergeCell ref="K193:L193"/>
    <mergeCell ref="K194:L194"/>
    <mergeCell ref="K195:L195"/>
    <mergeCell ref="K196:L196"/>
    <mergeCell ref="K197:L197"/>
    <mergeCell ref="K198:L198"/>
    <mergeCell ref="K199:L199"/>
    <mergeCell ref="K200:L200"/>
    <mergeCell ref="C207:I207"/>
    <mergeCell ref="C208:I208"/>
    <mergeCell ref="C209:I209"/>
    <mergeCell ref="C204:I204"/>
    <mergeCell ref="C205:I205"/>
    <mergeCell ref="C206:I206"/>
    <mergeCell ref="C201:I201"/>
    <mergeCell ref="C202:I202"/>
    <mergeCell ref="C203:I203"/>
    <mergeCell ref="K201:L201"/>
    <mergeCell ref="K202:L202"/>
    <mergeCell ref="K203:L203"/>
    <mergeCell ref="K204:L204"/>
    <mergeCell ref="K205:L205"/>
    <mergeCell ref="K206:L206"/>
    <mergeCell ref="K207:L207"/>
    <mergeCell ref="K208:L208"/>
    <mergeCell ref="K209:L209"/>
    <mergeCell ref="C216:I216"/>
    <mergeCell ref="C217:I217"/>
    <mergeCell ref="C218:I218"/>
    <mergeCell ref="C213:I213"/>
    <mergeCell ref="C214:I214"/>
    <mergeCell ref="C215:I215"/>
    <mergeCell ref="C210:I210"/>
    <mergeCell ref="C211:I211"/>
    <mergeCell ref="C212:I212"/>
    <mergeCell ref="K210:L210"/>
    <mergeCell ref="K211:L211"/>
    <mergeCell ref="K212:L212"/>
    <mergeCell ref="K213:L213"/>
    <mergeCell ref="K214:L214"/>
    <mergeCell ref="K215:L215"/>
    <mergeCell ref="K216:L216"/>
    <mergeCell ref="K217:L217"/>
    <mergeCell ref="K218:L218"/>
    <mergeCell ref="C225:I225"/>
    <mergeCell ref="C226:I226"/>
    <mergeCell ref="C227:I227"/>
    <mergeCell ref="C222:I222"/>
    <mergeCell ref="C223:I223"/>
    <mergeCell ref="C224:I224"/>
    <mergeCell ref="C219:I219"/>
    <mergeCell ref="C220:I220"/>
    <mergeCell ref="C221:I221"/>
    <mergeCell ref="K219:L219"/>
    <mergeCell ref="K220:L220"/>
    <mergeCell ref="K221:L221"/>
    <mergeCell ref="K222:L222"/>
    <mergeCell ref="K223:L223"/>
    <mergeCell ref="K224:L224"/>
    <mergeCell ref="K225:L225"/>
    <mergeCell ref="K226:L226"/>
    <mergeCell ref="K227:L227"/>
    <mergeCell ref="C234:I234"/>
    <mergeCell ref="C235:I235"/>
    <mergeCell ref="C236:I236"/>
    <mergeCell ref="C231:I231"/>
    <mergeCell ref="C232:I232"/>
    <mergeCell ref="C233:I233"/>
    <mergeCell ref="C228:I228"/>
    <mergeCell ref="C229:I229"/>
    <mergeCell ref="C230:I230"/>
    <mergeCell ref="K228:L228"/>
    <mergeCell ref="K229:L229"/>
    <mergeCell ref="K230:L230"/>
    <mergeCell ref="K231:L231"/>
    <mergeCell ref="K232:L232"/>
    <mergeCell ref="K233:L233"/>
    <mergeCell ref="K234:L234"/>
    <mergeCell ref="K235:L235"/>
    <mergeCell ref="K236:L236"/>
    <mergeCell ref="C243:I243"/>
    <mergeCell ref="C244:I244"/>
    <mergeCell ref="C245:I245"/>
    <mergeCell ref="C240:I240"/>
    <mergeCell ref="C241:I241"/>
    <mergeCell ref="C242:I242"/>
    <mergeCell ref="C237:I237"/>
    <mergeCell ref="C238:I238"/>
    <mergeCell ref="C239:I239"/>
    <mergeCell ref="K237:L237"/>
    <mergeCell ref="K238:L238"/>
    <mergeCell ref="K239:L239"/>
    <mergeCell ref="K240:L240"/>
    <mergeCell ref="K241:L241"/>
    <mergeCell ref="K242:L242"/>
    <mergeCell ref="K243:L243"/>
    <mergeCell ref="K244:L244"/>
    <mergeCell ref="K245:L245"/>
    <mergeCell ref="C252:I252"/>
    <mergeCell ref="C253:I253"/>
    <mergeCell ref="C254:I254"/>
    <mergeCell ref="C249:I249"/>
    <mergeCell ref="C250:I250"/>
    <mergeCell ref="C251:I251"/>
    <mergeCell ref="C246:I246"/>
    <mergeCell ref="C247:I247"/>
    <mergeCell ref="C248:I248"/>
    <mergeCell ref="K246:L246"/>
    <mergeCell ref="K247:L247"/>
    <mergeCell ref="K248:L248"/>
    <mergeCell ref="K249:L249"/>
    <mergeCell ref="K250:L250"/>
    <mergeCell ref="K251:L251"/>
    <mergeCell ref="K252:L252"/>
    <mergeCell ref="K253:L253"/>
    <mergeCell ref="K254:L254"/>
    <mergeCell ref="C261:I261"/>
    <mergeCell ref="C262:I262"/>
    <mergeCell ref="C263:I263"/>
    <mergeCell ref="C258:I258"/>
    <mergeCell ref="C259:I259"/>
    <mergeCell ref="C260:I260"/>
    <mergeCell ref="C255:I255"/>
    <mergeCell ref="C256:I256"/>
    <mergeCell ref="C257:I257"/>
    <mergeCell ref="K255:L255"/>
    <mergeCell ref="K256:L256"/>
    <mergeCell ref="K257:L257"/>
    <mergeCell ref="K258:L258"/>
    <mergeCell ref="K259:L259"/>
    <mergeCell ref="K260:L260"/>
    <mergeCell ref="K261:L261"/>
    <mergeCell ref="K262:L262"/>
    <mergeCell ref="K263:L263"/>
    <mergeCell ref="C270:I270"/>
    <mergeCell ref="C271:I271"/>
    <mergeCell ref="C272:I272"/>
    <mergeCell ref="C267:I267"/>
    <mergeCell ref="C268:I268"/>
    <mergeCell ref="C269:I269"/>
    <mergeCell ref="C264:I264"/>
    <mergeCell ref="C265:I265"/>
    <mergeCell ref="C266:I266"/>
    <mergeCell ref="K264:L264"/>
    <mergeCell ref="K265:L265"/>
    <mergeCell ref="K266:L266"/>
    <mergeCell ref="K267:L267"/>
    <mergeCell ref="K268:L268"/>
    <mergeCell ref="K269:L269"/>
    <mergeCell ref="K270:L270"/>
    <mergeCell ref="K271:L271"/>
    <mergeCell ref="K272:L272"/>
    <mergeCell ref="C279:I279"/>
    <mergeCell ref="C280:I280"/>
    <mergeCell ref="C281:I281"/>
    <mergeCell ref="C276:I276"/>
    <mergeCell ref="C277:I277"/>
    <mergeCell ref="C278:I278"/>
    <mergeCell ref="C273:I273"/>
    <mergeCell ref="C274:I274"/>
    <mergeCell ref="C275:I275"/>
    <mergeCell ref="K273:L273"/>
    <mergeCell ref="K274:L274"/>
    <mergeCell ref="K275:L275"/>
    <mergeCell ref="K276:L276"/>
    <mergeCell ref="K277:L277"/>
    <mergeCell ref="K278:L278"/>
    <mergeCell ref="K279:L279"/>
    <mergeCell ref="K280:L280"/>
    <mergeCell ref="K281:L281"/>
    <mergeCell ref="C288:I288"/>
    <mergeCell ref="C289:I289"/>
    <mergeCell ref="C290:I290"/>
    <mergeCell ref="C285:I285"/>
    <mergeCell ref="C286:I286"/>
    <mergeCell ref="C287:I287"/>
    <mergeCell ref="C282:I282"/>
    <mergeCell ref="C283:I283"/>
    <mergeCell ref="C284:I284"/>
    <mergeCell ref="K282:L282"/>
    <mergeCell ref="K283:L283"/>
    <mergeCell ref="K284:L284"/>
    <mergeCell ref="K285:L285"/>
    <mergeCell ref="K286:L286"/>
    <mergeCell ref="K287:L287"/>
    <mergeCell ref="K288:L288"/>
    <mergeCell ref="K289:L289"/>
    <mergeCell ref="K290:L290"/>
    <mergeCell ref="C297:I297"/>
    <mergeCell ref="C298:I298"/>
    <mergeCell ref="C299:I299"/>
    <mergeCell ref="C294:I294"/>
    <mergeCell ref="C295:I295"/>
    <mergeCell ref="C296:I296"/>
    <mergeCell ref="C291:I291"/>
    <mergeCell ref="C292:I292"/>
    <mergeCell ref="C293:I293"/>
    <mergeCell ref="K291:L291"/>
    <mergeCell ref="K292:L292"/>
    <mergeCell ref="K293:L293"/>
    <mergeCell ref="K294:L294"/>
    <mergeCell ref="K295:L295"/>
    <mergeCell ref="K296:L296"/>
    <mergeCell ref="K297:L297"/>
    <mergeCell ref="K298:L298"/>
    <mergeCell ref="K299:L299"/>
    <mergeCell ref="C306:I306"/>
    <mergeCell ref="C307:I307"/>
    <mergeCell ref="C308:I308"/>
    <mergeCell ref="C303:I303"/>
    <mergeCell ref="C304:I304"/>
    <mergeCell ref="C305:I305"/>
    <mergeCell ref="C300:I300"/>
    <mergeCell ref="C301:I301"/>
    <mergeCell ref="C302:I302"/>
    <mergeCell ref="K300:L300"/>
    <mergeCell ref="K301:L301"/>
    <mergeCell ref="K302:L302"/>
    <mergeCell ref="K303:L303"/>
    <mergeCell ref="K304:L304"/>
    <mergeCell ref="K305:L305"/>
    <mergeCell ref="K306:L306"/>
    <mergeCell ref="K307:L307"/>
    <mergeCell ref="K308:L308"/>
    <mergeCell ref="C315:I315"/>
    <mergeCell ref="C316:I316"/>
    <mergeCell ref="C317:I317"/>
    <mergeCell ref="C312:I312"/>
    <mergeCell ref="C313:I313"/>
    <mergeCell ref="C314:I314"/>
    <mergeCell ref="C309:I309"/>
    <mergeCell ref="C310:I310"/>
    <mergeCell ref="C311:I311"/>
    <mergeCell ref="K309:L309"/>
    <mergeCell ref="K310:L310"/>
    <mergeCell ref="K311:L311"/>
    <mergeCell ref="K312:L312"/>
    <mergeCell ref="K313:L313"/>
    <mergeCell ref="K314:L314"/>
    <mergeCell ref="K315:L315"/>
    <mergeCell ref="K316:L316"/>
    <mergeCell ref="K317:L317"/>
    <mergeCell ref="C324:I324"/>
    <mergeCell ref="C325:I325"/>
    <mergeCell ref="C326:I326"/>
    <mergeCell ref="C321:I321"/>
    <mergeCell ref="C322:I322"/>
    <mergeCell ref="C323:I323"/>
    <mergeCell ref="C318:I318"/>
    <mergeCell ref="C319:I319"/>
    <mergeCell ref="C320:I320"/>
    <mergeCell ref="K318:L318"/>
    <mergeCell ref="K319:L319"/>
    <mergeCell ref="K320:L320"/>
    <mergeCell ref="K321:L321"/>
    <mergeCell ref="K322:L322"/>
    <mergeCell ref="K323:L323"/>
    <mergeCell ref="K324:L324"/>
    <mergeCell ref="K325:L325"/>
    <mergeCell ref="K326:L326"/>
    <mergeCell ref="C333:I333"/>
    <mergeCell ref="C334:I334"/>
    <mergeCell ref="C335:I335"/>
    <mergeCell ref="C330:I330"/>
    <mergeCell ref="C331:I331"/>
    <mergeCell ref="C332:I332"/>
    <mergeCell ref="C327:I327"/>
    <mergeCell ref="C328:I328"/>
    <mergeCell ref="C329:I329"/>
    <mergeCell ref="K327:L327"/>
    <mergeCell ref="K328:L328"/>
    <mergeCell ref="K329:L329"/>
    <mergeCell ref="K330:L330"/>
    <mergeCell ref="K331:L331"/>
    <mergeCell ref="K332:L332"/>
    <mergeCell ref="K333:L333"/>
    <mergeCell ref="K334:L334"/>
    <mergeCell ref="K335:L335"/>
    <mergeCell ref="C342:I342"/>
    <mergeCell ref="C343:I343"/>
    <mergeCell ref="C344:I344"/>
    <mergeCell ref="C339:I339"/>
    <mergeCell ref="C340:I340"/>
    <mergeCell ref="C341:I341"/>
    <mergeCell ref="C336:I336"/>
    <mergeCell ref="C337:I337"/>
    <mergeCell ref="C338:I338"/>
    <mergeCell ref="K336:L336"/>
    <mergeCell ref="K337:L337"/>
    <mergeCell ref="K338:L338"/>
    <mergeCell ref="K339:L339"/>
    <mergeCell ref="K340:L340"/>
    <mergeCell ref="K341:L341"/>
    <mergeCell ref="K342:L342"/>
    <mergeCell ref="K343:L343"/>
    <mergeCell ref="K344:L344"/>
    <mergeCell ref="C351:I351"/>
    <mergeCell ref="C352:I352"/>
    <mergeCell ref="C353:I353"/>
    <mergeCell ref="C348:I348"/>
    <mergeCell ref="C349:I349"/>
    <mergeCell ref="C350:I350"/>
    <mergeCell ref="C345:I345"/>
    <mergeCell ref="C346:I346"/>
    <mergeCell ref="C347:I347"/>
    <mergeCell ref="K345:L345"/>
    <mergeCell ref="K346:L346"/>
    <mergeCell ref="K347:L347"/>
    <mergeCell ref="K348:L348"/>
    <mergeCell ref="K349:L349"/>
    <mergeCell ref="K350:L350"/>
    <mergeCell ref="K351:L351"/>
    <mergeCell ref="K352:L352"/>
    <mergeCell ref="K353:L353"/>
    <mergeCell ref="C360:I360"/>
    <mergeCell ref="C361:I361"/>
    <mergeCell ref="C362:I362"/>
    <mergeCell ref="C357:I357"/>
    <mergeCell ref="C358:I358"/>
    <mergeCell ref="C359:I359"/>
    <mergeCell ref="C354:I354"/>
    <mergeCell ref="C355:I355"/>
    <mergeCell ref="C356:I356"/>
    <mergeCell ref="K354:L354"/>
    <mergeCell ref="K355:L355"/>
    <mergeCell ref="K356:L356"/>
    <mergeCell ref="K357:L357"/>
    <mergeCell ref="K358:L358"/>
    <mergeCell ref="K359:L359"/>
    <mergeCell ref="K360:L360"/>
    <mergeCell ref="K361:L361"/>
    <mergeCell ref="K362:L362"/>
    <mergeCell ref="C369:I369"/>
    <mergeCell ref="C370:I370"/>
    <mergeCell ref="C371:I371"/>
    <mergeCell ref="C366:I366"/>
    <mergeCell ref="C367:I367"/>
    <mergeCell ref="C368:I368"/>
    <mergeCell ref="C363:I363"/>
    <mergeCell ref="C364:I364"/>
    <mergeCell ref="C365:I365"/>
    <mergeCell ref="K363:L363"/>
    <mergeCell ref="K364:L364"/>
    <mergeCell ref="K365:L365"/>
    <mergeCell ref="K366:L366"/>
    <mergeCell ref="K367:L367"/>
    <mergeCell ref="K368:L368"/>
    <mergeCell ref="K369:L369"/>
    <mergeCell ref="K370:L370"/>
    <mergeCell ref="K371:L371"/>
    <mergeCell ref="C378:I378"/>
    <mergeCell ref="C379:I379"/>
    <mergeCell ref="C380:I380"/>
    <mergeCell ref="C375:I375"/>
    <mergeCell ref="C376:I376"/>
    <mergeCell ref="C377:I377"/>
    <mergeCell ref="C372:I372"/>
    <mergeCell ref="C373:I373"/>
    <mergeCell ref="C374:I374"/>
    <mergeCell ref="K372:L372"/>
    <mergeCell ref="K373:L373"/>
    <mergeCell ref="K374:L374"/>
    <mergeCell ref="K375:L375"/>
    <mergeCell ref="K376:L376"/>
    <mergeCell ref="K377:L377"/>
    <mergeCell ref="K378:L378"/>
    <mergeCell ref="K379:L379"/>
    <mergeCell ref="K380:L380"/>
    <mergeCell ref="C387:I387"/>
    <mergeCell ref="C388:I388"/>
    <mergeCell ref="C389:I389"/>
    <mergeCell ref="C384:I384"/>
    <mergeCell ref="C385:I385"/>
    <mergeCell ref="C386:I386"/>
    <mergeCell ref="C381:I381"/>
    <mergeCell ref="C382:I382"/>
    <mergeCell ref="C383:I383"/>
    <mergeCell ref="K381:L381"/>
    <mergeCell ref="K382:L382"/>
    <mergeCell ref="K383:L383"/>
    <mergeCell ref="K384:L384"/>
    <mergeCell ref="K385:L385"/>
    <mergeCell ref="K386:L386"/>
    <mergeCell ref="K387:L387"/>
    <mergeCell ref="K388:L388"/>
    <mergeCell ref="K389:L389"/>
    <mergeCell ref="C396:I396"/>
    <mergeCell ref="C397:I397"/>
    <mergeCell ref="C398:I398"/>
    <mergeCell ref="C393:I393"/>
    <mergeCell ref="C394:I394"/>
    <mergeCell ref="C395:I395"/>
    <mergeCell ref="C390:I390"/>
    <mergeCell ref="C391:I391"/>
    <mergeCell ref="C392:I392"/>
    <mergeCell ref="K390:L390"/>
    <mergeCell ref="K391:L391"/>
    <mergeCell ref="K392:L392"/>
    <mergeCell ref="K393:L393"/>
    <mergeCell ref="K394:L394"/>
    <mergeCell ref="K395:L395"/>
    <mergeCell ref="K396:L396"/>
    <mergeCell ref="K397:L397"/>
    <mergeCell ref="K398:L398"/>
    <mergeCell ref="C405:I405"/>
    <mergeCell ref="C406:I406"/>
    <mergeCell ref="C407:I407"/>
    <mergeCell ref="C402:I402"/>
    <mergeCell ref="C403:I403"/>
    <mergeCell ref="C404:I404"/>
    <mergeCell ref="C399:I399"/>
    <mergeCell ref="C400:I400"/>
    <mergeCell ref="C401:I401"/>
    <mergeCell ref="K399:L399"/>
    <mergeCell ref="K400:L400"/>
    <mergeCell ref="K401:L401"/>
    <mergeCell ref="K402:L402"/>
    <mergeCell ref="K403:L403"/>
    <mergeCell ref="K404:L404"/>
    <mergeCell ref="K405:L405"/>
    <mergeCell ref="K406:L406"/>
    <mergeCell ref="K407:L407"/>
    <mergeCell ref="C414:I414"/>
    <mergeCell ref="C415:I415"/>
    <mergeCell ref="C416:I416"/>
    <mergeCell ref="C411:I411"/>
    <mergeCell ref="C412:I412"/>
    <mergeCell ref="C413:I413"/>
    <mergeCell ref="C408:I408"/>
    <mergeCell ref="C409:I409"/>
    <mergeCell ref="C410:I410"/>
    <mergeCell ref="K408:L408"/>
    <mergeCell ref="K409:L409"/>
    <mergeCell ref="K410:L410"/>
    <mergeCell ref="K411:L411"/>
    <mergeCell ref="K412:L412"/>
    <mergeCell ref="K413:L413"/>
    <mergeCell ref="K414:L414"/>
    <mergeCell ref="K415:L415"/>
    <mergeCell ref="K416:L416"/>
    <mergeCell ref="C423:I423"/>
    <mergeCell ref="C424:I424"/>
    <mergeCell ref="C425:I425"/>
    <mergeCell ref="C420:I420"/>
    <mergeCell ref="C421:I421"/>
    <mergeCell ref="C422:I422"/>
    <mergeCell ref="C417:I417"/>
    <mergeCell ref="C418:I418"/>
    <mergeCell ref="C419:I419"/>
    <mergeCell ref="K417:L417"/>
    <mergeCell ref="K418:L418"/>
    <mergeCell ref="K419:L419"/>
    <mergeCell ref="K420:L420"/>
    <mergeCell ref="K421:L421"/>
    <mergeCell ref="K422:L422"/>
    <mergeCell ref="K423:L423"/>
    <mergeCell ref="K424:L424"/>
    <mergeCell ref="K425:L425"/>
    <mergeCell ref="C432:I432"/>
    <mergeCell ref="C433:I433"/>
    <mergeCell ref="C434:I434"/>
    <mergeCell ref="C429:I429"/>
    <mergeCell ref="C430:I430"/>
    <mergeCell ref="C431:I431"/>
    <mergeCell ref="C426:I426"/>
    <mergeCell ref="C427:I427"/>
    <mergeCell ref="C428:I428"/>
    <mergeCell ref="K426:L426"/>
    <mergeCell ref="K427:L427"/>
    <mergeCell ref="K428:L428"/>
    <mergeCell ref="K429:L429"/>
    <mergeCell ref="K430:L430"/>
    <mergeCell ref="K431:L431"/>
    <mergeCell ref="K432:L432"/>
    <mergeCell ref="K433:L433"/>
    <mergeCell ref="K434:L434"/>
    <mergeCell ref="C441:I441"/>
    <mergeCell ref="C442:I442"/>
    <mergeCell ref="C443:I443"/>
    <mergeCell ref="C438:I438"/>
    <mergeCell ref="C439:I439"/>
    <mergeCell ref="C440:I440"/>
    <mergeCell ref="C435:I435"/>
    <mergeCell ref="C436:I436"/>
    <mergeCell ref="C437:I437"/>
    <mergeCell ref="K435:L435"/>
    <mergeCell ref="K436:L436"/>
    <mergeCell ref="K437:L437"/>
    <mergeCell ref="K438:L438"/>
    <mergeCell ref="K439:L439"/>
    <mergeCell ref="K440:L440"/>
    <mergeCell ref="K441:L441"/>
    <mergeCell ref="K442:L442"/>
    <mergeCell ref="K443:L443"/>
    <mergeCell ref="C450:I450"/>
    <mergeCell ref="C451:I451"/>
    <mergeCell ref="C452:I452"/>
    <mergeCell ref="C447:I447"/>
    <mergeCell ref="C448:I448"/>
    <mergeCell ref="C449:I449"/>
    <mergeCell ref="C444:I444"/>
    <mergeCell ref="C445:I445"/>
    <mergeCell ref="C446:I446"/>
    <mergeCell ref="K444:L444"/>
    <mergeCell ref="K445:L445"/>
    <mergeCell ref="K446:L446"/>
    <mergeCell ref="K447:L447"/>
    <mergeCell ref="K448:L448"/>
    <mergeCell ref="K449:L449"/>
    <mergeCell ref="K450:L450"/>
    <mergeCell ref="K451:L451"/>
    <mergeCell ref="K452:L452"/>
    <mergeCell ref="C459:I459"/>
    <mergeCell ref="C460:I460"/>
    <mergeCell ref="C461:I461"/>
    <mergeCell ref="C456:I456"/>
    <mergeCell ref="C457:I457"/>
    <mergeCell ref="C458:I458"/>
    <mergeCell ref="C453:I453"/>
    <mergeCell ref="C454:I454"/>
    <mergeCell ref="C455:I455"/>
    <mergeCell ref="K453:L453"/>
    <mergeCell ref="K454:L454"/>
    <mergeCell ref="K455:L455"/>
    <mergeCell ref="K456:L456"/>
    <mergeCell ref="K457:L457"/>
    <mergeCell ref="K458:L458"/>
    <mergeCell ref="K459:L459"/>
    <mergeCell ref="K460:L460"/>
    <mergeCell ref="K461:L461"/>
    <mergeCell ref="C468:I468"/>
    <mergeCell ref="C469:I469"/>
    <mergeCell ref="C470:I470"/>
    <mergeCell ref="C465:I465"/>
    <mergeCell ref="C466:I466"/>
    <mergeCell ref="C467:I467"/>
    <mergeCell ref="C462:I462"/>
    <mergeCell ref="C463:I463"/>
    <mergeCell ref="C464:I464"/>
    <mergeCell ref="K462:L462"/>
    <mergeCell ref="K463:L463"/>
    <mergeCell ref="K464:L464"/>
    <mergeCell ref="K465:L465"/>
    <mergeCell ref="K466:L466"/>
    <mergeCell ref="K467:L467"/>
    <mergeCell ref="K468:L468"/>
    <mergeCell ref="K469:L469"/>
    <mergeCell ref="K470:L470"/>
    <mergeCell ref="C477:I477"/>
    <mergeCell ref="C478:I478"/>
    <mergeCell ref="C479:I479"/>
    <mergeCell ref="C474:I474"/>
    <mergeCell ref="C475:I475"/>
    <mergeCell ref="C476:I476"/>
    <mergeCell ref="C471:I471"/>
    <mergeCell ref="C472:I472"/>
    <mergeCell ref="C473:I473"/>
    <mergeCell ref="K471:L471"/>
    <mergeCell ref="K472:L472"/>
    <mergeCell ref="K473:L473"/>
    <mergeCell ref="K474:L474"/>
    <mergeCell ref="K475:L475"/>
    <mergeCell ref="K476:L476"/>
    <mergeCell ref="K477:L477"/>
    <mergeCell ref="K478:L478"/>
    <mergeCell ref="K479:L479"/>
    <mergeCell ref="C486:I486"/>
    <mergeCell ref="C487:I487"/>
    <mergeCell ref="C488:I488"/>
    <mergeCell ref="C483:I483"/>
    <mergeCell ref="C484:I484"/>
    <mergeCell ref="C485:I485"/>
    <mergeCell ref="C480:I480"/>
    <mergeCell ref="C481:I481"/>
    <mergeCell ref="C482:I482"/>
    <mergeCell ref="K480:L480"/>
    <mergeCell ref="K481:L481"/>
    <mergeCell ref="K482:L482"/>
    <mergeCell ref="K483:L483"/>
    <mergeCell ref="K484:L484"/>
    <mergeCell ref="K485:L485"/>
    <mergeCell ref="K486:L486"/>
    <mergeCell ref="K487:L487"/>
    <mergeCell ref="K488:L488"/>
    <mergeCell ref="C495:I495"/>
    <mergeCell ref="C496:I496"/>
    <mergeCell ref="C497:I497"/>
    <mergeCell ref="C492:I492"/>
    <mergeCell ref="C493:I493"/>
    <mergeCell ref="C494:I494"/>
    <mergeCell ref="C489:I489"/>
    <mergeCell ref="C490:I490"/>
    <mergeCell ref="C491:I491"/>
    <mergeCell ref="K489:L489"/>
    <mergeCell ref="K490:L490"/>
    <mergeCell ref="K491:L491"/>
    <mergeCell ref="K492:L492"/>
    <mergeCell ref="K493:L493"/>
    <mergeCell ref="K494:L494"/>
    <mergeCell ref="K495:L495"/>
    <mergeCell ref="K496:L496"/>
    <mergeCell ref="K497:L497"/>
    <mergeCell ref="C504:I504"/>
    <mergeCell ref="C505:I505"/>
    <mergeCell ref="C506:I506"/>
    <mergeCell ref="C501:I501"/>
    <mergeCell ref="C502:I502"/>
    <mergeCell ref="C503:I503"/>
    <mergeCell ref="C498:I498"/>
    <mergeCell ref="C499:I499"/>
    <mergeCell ref="C500:I500"/>
    <mergeCell ref="K498:L498"/>
    <mergeCell ref="K499:L499"/>
    <mergeCell ref="K500:L500"/>
    <mergeCell ref="K501:L501"/>
    <mergeCell ref="K502:L502"/>
    <mergeCell ref="K503:L503"/>
    <mergeCell ref="K504:L504"/>
    <mergeCell ref="K505:L505"/>
    <mergeCell ref="K506:L506"/>
    <mergeCell ref="C513:I513"/>
    <mergeCell ref="C514:I514"/>
    <mergeCell ref="C515:I515"/>
    <mergeCell ref="C510:I510"/>
    <mergeCell ref="C511:I511"/>
    <mergeCell ref="C512:I512"/>
    <mergeCell ref="C507:I507"/>
    <mergeCell ref="C508:I508"/>
    <mergeCell ref="C509:I509"/>
    <mergeCell ref="K507:L507"/>
    <mergeCell ref="K508:L508"/>
    <mergeCell ref="K509:L509"/>
    <mergeCell ref="K510:L510"/>
    <mergeCell ref="K511:L511"/>
    <mergeCell ref="K512:L512"/>
    <mergeCell ref="K513:L513"/>
    <mergeCell ref="K514:L514"/>
    <mergeCell ref="K515:L515"/>
    <mergeCell ref="C522:I522"/>
    <mergeCell ref="C523:I523"/>
    <mergeCell ref="C524:I524"/>
    <mergeCell ref="C519:I519"/>
    <mergeCell ref="C520:I520"/>
    <mergeCell ref="C521:I521"/>
    <mergeCell ref="C516:I516"/>
    <mergeCell ref="C517:I517"/>
    <mergeCell ref="C518:I518"/>
    <mergeCell ref="K516:L516"/>
    <mergeCell ref="K517:L517"/>
    <mergeCell ref="K518:L518"/>
    <mergeCell ref="K519:L519"/>
    <mergeCell ref="K520:L520"/>
    <mergeCell ref="K521:L521"/>
    <mergeCell ref="K522:L522"/>
    <mergeCell ref="K523:L523"/>
    <mergeCell ref="K524:L524"/>
    <mergeCell ref="C531:I531"/>
    <mergeCell ref="C532:I532"/>
    <mergeCell ref="C533:I533"/>
    <mergeCell ref="C528:I528"/>
    <mergeCell ref="C529:I529"/>
    <mergeCell ref="C530:I530"/>
    <mergeCell ref="C525:I525"/>
    <mergeCell ref="C526:I526"/>
    <mergeCell ref="C527:I527"/>
    <mergeCell ref="K525:L525"/>
    <mergeCell ref="K526:L526"/>
    <mergeCell ref="K527:L527"/>
    <mergeCell ref="K528:L528"/>
    <mergeCell ref="K529:L529"/>
    <mergeCell ref="K530:L530"/>
    <mergeCell ref="K531:L531"/>
    <mergeCell ref="K532:L532"/>
    <mergeCell ref="K533:L533"/>
    <mergeCell ref="C540:I540"/>
    <mergeCell ref="C541:I541"/>
    <mergeCell ref="C542:I542"/>
    <mergeCell ref="C537:I537"/>
    <mergeCell ref="C538:I538"/>
    <mergeCell ref="C539:I539"/>
    <mergeCell ref="C534:I534"/>
    <mergeCell ref="C535:I535"/>
    <mergeCell ref="C536:I536"/>
    <mergeCell ref="K534:L534"/>
    <mergeCell ref="K535:L535"/>
    <mergeCell ref="K536:L536"/>
    <mergeCell ref="K537:L537"/>
    <mergeCell ref="K538:L538"/>
    <mergeCell ref="K539:L539"/>
    <mergeCell ref="K540:L540"/>
    <mergeCell ref="K541:L541"/>
    <mergeCell ref="K542:L542"/>
    <mergeCell ref="C549:I549"/>
    <mergeCell ref="C550:I550"/>
    <mergeCell ref="C551:I551"/>
    <mergeCell ref="C546:I546"/>
    <mergeCell ref="C547:I547"/>
    <mergeCell ref="C548:I548"/>
    <mergeCell ref="C543:I543"/>
    <mergeCell ref="C544:I544"/>
    <mergeCell ref="C545:I545"/>
    <mergeCell ref="K543:L543"/>
    <mergeCell ref="K544:L544"/>
    <mergeCell ref="K545:L545"/>
    <mergeCell ref="K546:L546"/>
    <mergeCell ref="K547:L547"/>
    <mergeCell ref="K548:L548"/>
    <mergeCell ref="K549:L549"/>
    <mergeCell ref="K550:L550"/>
    <mergeCell ref="K551:L551"/>
    <mergeCell ref="C558:I558"/>
    <mergeCell ref="C559:I559"/>
    <mergeCell ref="C560:I560"/>
    <mergeCell ref="C555:I555"/>
    <mergeCell ref="C556:I556"/>
    <mergeCell ref="C557:I557"/>
    <mergeCell ref="C552:I552"/>
    <mergeCell ref="C553:I553"/>
    <mergeCell ref="C554:I554"/>
    <mergeCell ref="K552:L552"/>
    <mergeCell ref="K553:L553"/>
    <mergeCell ref="K554:L554"/>
    <mergeCell ref="K555:L555"/>
    <mergeCell ref="K556:L556"/>
    <mergeCell ref="K557:L557"/>
    <mergeCell ref="K558:L558"/>
    <mergeCell ref="K559:L559"/>
    <mergeCell ref="K560:L560"/>
    <mergeCell ref="C567:I567"/>
    <mergeCell ref="C568:I568"/>
    <mergeCell ref="C569:I569"/>
    <mergeCell ref="C564:I564"/>
    <mergeCell ref="C565:I565"/>
    <mergeCell ref="C566:I566"/>
    <mergeCell ref="C561:I561"/>
    <mergeCell ref="C562:I562"/>
    <mergeCell ref="C563:I563"/>
    <mergeCell ref="K561:L561"/>
    <mergeCell ref="K562:L562"/>
    <mergeCell ref="K563:L563"/>
    <mergeCell ref="K564:L564"/>
    <mergeCell ref="K565:L565"/>
    <mergeCell ref="K566:L566"/>
    <mergeCell ref="K567:L567"/>
    <mergeCell ref="K568:L568"/>
    <mergeCell ref="K569:L569"/>
    <mergeCell ref="C576:I576"/>
    <mergeCell ref="C577:I577"/>
    <mergeCell ref="C578:I578"/>
    <mergeCell ref="C573:I573"/>
    <mergeCell ref="C574:I574"/>
    <mergeCell ref="C575:I575"/>
    <mergeCell ref="C570:I570"/>
    <mergeCell ref="C571:I571"/>
    <mergeCell ref="C572:I572"/>
    <mergeCell ref="K570:L570"/>
    <mergeCell ref="K571:L571"/>
    <mergeCell ref="K572:L572"/>
    <mergeCell ref="K573:L573"/>
    <mergeCell ref="K574:L574"/>
    <mergeCell ref="K575:L575"/>
    <mergeCell ref="K576:L576"/>
    <mergeCell ref="K577:L577"/>
    <mergeCell ref="K578:L578"/>
    <mergeCell ref="C585:I585"/>
    <mergeCell ref="C586:I586"/>
    <mergeCell ref="C587:I587"/>
    <mergeCell ref="C582:I582"/>
    <mergeCell ref="C583:I583"/>
    <mergeCell ref="C584:I584"/>
    <mergeCell ref="C579:I579"/>
    <mergeCell ref="C580:I580"/>
    <mergeCell ref="C581:I581"/>
    <mergeCell ref="K579:L579"/>
    <mergeCell ref="K580:L580"/>
    <mergeCell ref="K581:L581"/>
    <mergeCell ref="K582:L582"/>
    <mergeCell ref="K583:L583"/>
    <mergeCell ref="K584:L584"/>
    <mergeCell ref="K585:L585"/>
    <mergeCell ref="K586:L586"/>
    <mergeCell ref="K587:L587"/>
    <mergeCell ref="C594:I594"/>
    <mergeCell ref="C595:I595"/>
    <mergeCell ref="C596:I596"/>
    <mergeCell ref="C591:I591"/>
    <mergeCell ref="C592:I592"/>
    <mergeCell ref="C593:I593"/>
    <mergeCell ref="C588:I588"/>
    <mergeCell ref="C589:I589"/>
    <mergeCell ref="C590:I590"/>
    <mergeCell ref="K588:L588"/>
    <mergeCell ref="K589:L589"/>
    <mergeCell ref="K590:L590"/>
    <mergeCell ref="K591:L591"/>
    <mergeCell ref="K592:L592"/>
    <mergeCell ref="K593:L593"/>
    <mergeCell ref="K594:L594"/>
    <mergeCell ref="K595:L595"/>
    <mergeCell ref="K596:L596"/>
    <mergeCell ref="C603:I603"/>
    <mergeCell ref="C604:I604"/>
    <mergeCell ref="C605:I605"/>
    <mergeCell ref="C600:I600"/>
    <mergeCell ref="C601:I601"/>
    <mergeCell ref="C602:I602"/>
    <mergeCell ref="C597:I597"/>
    <mergeCell ref="C598:I598"/>
    <mergeCell ref="C599:I599"/>
    <mergeCell ref="K597:L597"/>
    <mergeCell ref="K598:L598"/>
    <mergeCell ref="K599:L599"/>
    <mergeCell ref="K600:L600"/>
    <mergeCell ref="K601:L601"/>
    <mergeCell ref="K602:L602"/>
    <mergeCell ref="K603:L603"/>
    <mergeCell ref="K604:L604"/>
    <mergeCell ref="K605:L605"/>
    <mergeCell ref="C612:I612"/>
    <mergeCell ref="C613:I613"/>
    <mergeCell ref="C614:I614"/>
    <mergeCell ref="C609:I609"/>
    <mergeCell ref="C610:I610"/>
    <mergeCell ref="C611:I611"/>
    <mergeCell ref="C606:I606"/>
    <mergeCell ref="C607:I607"/>
    <mergeCell ref="C608:I608"/>
    <mergeCell ref="K606:L606"/>
    <mergeCell ref="K607:L607"/>
    <mergeCell ref="K608:L608"/>
    <mergeCell ref="K609:L609"/>
    <mergeCell ref="K610:L610"/>
    <mergeCell ref="K611:L611"/>
    <mergeCell ref="K612:L612"/>
    <mergeCell ref="K613:L613"/>
    <mergeCell ref="K614:L614"/>
    <mergeCell ref="C621:I621"/>
    <mergeCell ref="C622:I622"/>
    <mergeCell ref="C623:I623"/>
    <mergeCell ref="C618:I618"/>
    <mergeCell ref="C619:I619"/>
    <mergeCell ref="C620:I620"/>
    <mergeCell ref="C615:I615"/>
    <mergeCell ref="C616:I616"/>
    <mergeCell ref="C617:I617"/>
    <mergeCell ref="K615:L615"/>
    <mergeCell ref="K616:L616"/>
    <mergeCell ref="K617:L617"/>
    <mergeCell ref="K618:L618"/>
    <mergeCell ref="K619:L619"/>
    <mergeCell ref="K620:L620"/>
    <mergeCell ref="K621:L621"/>
    <mergeCell ref="K622:L622"/>
    <mergeCell ref="K623:L623"/>
    <mergeCell ref="C630:I630"/>
    <mergeCell ref="C631:I631"/>
    <mergeCell ref="C632:I632"/>
    <mergeCell ref="C627:I627"/>
    <mergeCell ref="C628:I628"/>
    <mergeCell ref="C629:I629"/>
    <mergeCell ref="C624:I624"/>
    <mergeCell ref="C625:I625"/>
    <mergeCell ref="C626:I626"/>
    <mergeCell ref="K624:L624"/>
    <mergeCell ref="K625:L625"/>
    <mergeCell ref="K626:L626"/>
    <mergeCell ref="K627:L627"/>
    <mergeCell ref="K628:L628"/>
    <mergeCell ref="K629:L629"/>
    <mergeCell ref="K630:L630"/>
    <mergeCell ref="K631:L631"/>
    <mergeCell ref="K632:L632"/>
    <mergeCell ref="C639:I639"/>
    <mergeCell ref="C640:I640"/>
    <mergeCell ref="C641:I641"/>
    <mergeCell ref="C636:I636"/>
    <mergeCell ref="C637:I637"/>
    <mergeCell ref="C638:I638"/>
    <mergeCell ref="C633:I633"/>
    <mergeCell ref="C634:I634"/>
    <mergeCell ref="C635:I635"/>
    <mergeCell ref="K633:L633"/>
    <mergeCell ref="K634:L634"/>
    <mergeCell ref="K635:L635"/>
    <mergeCell ref="K636:L636"/>
    <mergeCell ref="K637:L637"/>
    <mergeCell ref="K638:L638"/>
    <mergeCell ref="K639:L639"/>
    <mergeCell ref="K640:L640"/>
    <mergeCell ref="K641:L641"/>
    <mergeCell ref="C648:I648"/>
    <mergeCell ref="C649:I649"/>
    <mergeCell ref="C650:I650"/>
    <mergeCell ref="C645:I645"/>
    <mergeCell ref="C646:I646"/>
    <mergeCell ref="C647:I647"/>
    <mergeCell ref="C642:I642"/>
    <mergeCell ref="C643:I643"/>
    <mergeCell ref="C644:I644"/>
    <mergeCell ref="K642:L642"/>
    <mergeCell ref="K643:L643"/>
    <mergeCell ref="K644:L644"/>
    <mergeCell ref="K645:L645"/>
    <mergeCell ref="K646:L646"/>
    <mergeCell ref="K647:L647"/>
    <mergeCell ref="K648:L648"/>
    <mergeCell ref="K649:L649"/>
    <mergeCell ref="K650:L650"/>
    <mergeCell ref="C657:I657"/>
    <mergeCell ref="C658:I658"/>
    <mergeCell ref="C659:I659"/>
    <mergeCell ref="C654:I654"/>
    <mergeCell ref="C655:I655"/>
    <mergeCell ref="C656:I656"/>
    <mergeCell ref="C651:I651"/>
    <mergeCell ref="C652:I652"/>
    <mergeCell ref="C653:I653"/>
    <mergeCell ref="K651:L651"/>
    <mergeCell ref="K652:L652"/>
    <mergeCell ref="K653:L653"/>
    <mergeCell ref="K654:L654"/>
    <mergeCell ref="K655:L655"/>
    <mergeCell ref="K656:L656"/>
    <mergeCell ref="K657:L657"/>
    <mergeCell ref="K658:L658"/>
    <mergeCell ref="K659:L659"/>
    <mergeCell ref="C666:I666"/>
    <mergeCell ref="C667:I667"/>
    <mergeCell ref="C668:I668"/>
    <mergeCell ref="C663:I663"/>
    <mergeCell ref="C664:I664"/>
    <mergeCell ref="C665:I665"/>
    <mergeCell ref="C660:I660"/>
    <mergeCell ref="C661:I661"/>
    <mergeCell ref="C662:I662"/>
    <mergeCell ref="K660:L660"/>
    <mergeCell ref="K661:L661"/>
    <mergeCell ref="K662:L662"/>
    <mergeCell ref="K663:L663"/>
    <mergeCell ref="K664:L664"/>
    <mergeCell ref="K665:L665"/>
    <mergeCell ref="K666:L666"/>
    <mergeCell ref="K667:L667"/>
    <mergeCell ref="K668:L668"/>
    <mergeCell ref="C675:I675"/>
    <mergeCell ref="C676:I676"/>
    <mergeCell ref="C677:I677"/>
    <mergeCell ref="C672:I672"/>
    <mergeCell ref="C673:I673"/>
    <mergeCell ref="C674:I674"/>
    <mergeCell ref="C669:I669"/>
    <mergeCell ref="C670:I670"/>
    <mergeCell ref="C671:I671"/>
    <mergeCell ref="K669:L669"/>
    <mergeCell ref="K670:L670"/>
    <mergeCell ref="K671:L671"/>
    <mergeCell ref="K672:L672"/>
    <mergeCell ref="K673:L673"/>
    <mergeCell ref="K674:L674"/>
    <mergeCell ref="K675:L675"/>
    <mergeCell ref="K676:L676"/>
    <mergeCell ref="K677:L677"/>
    <mergeCell ref="C684:I684"/>
    <mergeCell ref="C685:I685"/>
    <mergeCell ref="C686:I686"/>
    <mergeCell ref="C681:I681"/>
    <mergeCell ref="C682:I682"/>
    <mergeCell ref="C683:I683"/>
    <mergeCell ref="C678:I678"/>
    <mergeCell ref="C679:I679"/>
    <mergeCell ref="C680:I680"/>
    <mergeCell ref="K678:L678"/>
    <mergeCell ref="K679:L679"/>
    <mergeCell ref="K680:L680"/>
    <mergeCell ref="K681:L681"/>
    <mergeCell ref="K682:L682"/>
    <mergeCell ref="K683:L683"/>
    <mergeCell ref="K684:L684"/>
    <mergeCell ref="K685:L685"/>
    <mergeCell ref="K686:L686"/>
    <mergeCell ref="C693:I693"/>
    <mergeCell ref="C694:I694"/>
    <mergeCell ref="C695:I695"/>
    <mergeCell ref="C690:I690"/>
    <mergeCell ref="C691:I691"/>
    <mergeCell ref="C692:I692"/>
    <mergeCell ref="C687:I687"/>
    <mergeCell ref="C688:I688"/>
    <mergeCell ref="C689:I689"/>
    <mergeCell ref="K687:L687"/>
    <mergeCell ref="K688:L688"/>
    <mergeCell ref="K689:L689"/>
    <mergeCell ref="K690:L690"/>
    <mergeCell ref="K691:L691"/>
    <mergeCell ref="K692:L692"/>
    <mergeCell ref="K693:L693"/>
    <mergeCell ref="K694:L694"/>
    <mergeCell ref="K695:L695"/>
    <mergeCell ref="C702:I702"/>
    <mergeCell ref="C703:I703"/>
    <mergeCell ref="C704:I704"/>
    <mergeCell ref="C699:I699"/>
    <mergeCell ref="C700:I700"/>
    <mergeCell ref="C701:I701"/>
    <mergeCell ref="C696:I696"/>
    <mergeCell ref="C697:I697"/>
    <mergeCell ref="C698:I698"/>
    <mergeCell ref="K696:L696"/>
    <mergeCell ref="K697:L697"/>
    <mergeCell ref="K698:L698"/>
    <mergeCell ref="K699:L699"/>
    <mergeCell ref="K700:L700"/>
    <mergeCell ref="K701:L701"/>
    <mergeCell ref="K702:L702"/>
    <mergeCell ref="K703:L703"/>
    <mergeCell ref="K704:L704"/>
    <mergeCell ref="C714:I714"/>
    <mergeCell ref="C711:I711"/>
    <mergeCell ref="C712:I712"/>
    <mergeCell ref="C713:I713"/>
    <mergeCell ref="C708:I708"/>
    <mergeCell ref="C709:I709"/>
    <mergeCell ref="C710:I710"/>
    <mergeCell ref="C705:I705"/>
    <mergeCell ref="C706:I706"/>
    <mergeCell ref="C707:I707"/>
    <mergeCell ref="K705:L705"/>
    <mergeCell ref="K706:L706"/>
    <mergeCell ref="K707:L707"/>
    <mergeCell ref="K708:L708"/>
    <mergeCell ref="K709:L709"/>
    <mergeCell ref="K710:L710"/>
    <mergeCell ref="K711:L711"/>
    <mergeCell ref="K712:L712"/>
    <mergeCell ref="K713:L713"/>
    <mergeCell ref="K714:L714"/>
  </mergeCells>
  <dataValidations count="3">
    <dataValidation errorStyle="information" allowBlank="1" showInputMessage="1" showErrorMessage="1" sqref="C5:I714"/>
    <dataValidation type="list" allowBlank="1" showInputMessage="1" showErrorMessage="1" sqref="J5:J714">
      <formula1>"İş Güvenliği Uzmanı,İş Yeri Hekimi"</formula1>
    </dataValidation>
    <dataValidation type="date" errorStyle="information" allowBlank="1" showInputMessage="1" showErrorMessage="1" error="01.01.2025 formatında değer giriniz." sqref="B5:B714">
      <formula1>45658</formula1>
      <formula2>46022</formula2>
    </dataValidation>
  </dataValidations>
  <pageMargins left="0.23622047244094491" right="0.23622047244094491" top="0.35433070866141736" bottom="0.15748031496062992" header="0.31496062992125984" footer="0.11811023622047245"/>
  <pageSetup paperSize="9" scale="34" fitToHeight="0" orientation="landscape"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ayfa15">
    <tabColor theme="9" tint="0.79998168889431442"/>
    <pageSetUpPr fitToPage="1"/>
  </sheetPr>
  <dimension ref="A1:M42"/>
  <sheetViews>
    <sheetView showGridLines="0" zoomScale="40" zoomScaleNormal="40" zoomScaleSheetLayoutView="40" workbookViewId="0">
      <selection activeCell="H9" sqref="H9"/>
    </sheetView>
  </sheetViews>
  <sheetFormatPr defaultColWidth="9.125" defaultRowHeight="20.25" x14ac:dyDescent="0.3"/>
  <cols>
    <col min="1" max="1" width="3.625" style="7" customWidth="1"/>
    <col min="2" max="12" width="34.625" style="7" customWidth="1"/>
    <col min="13" max="13" width="3.625" style="7" customWidth="1"/>
    <col min="14" max="16" width="9.125" style="7"/>
    <col min="17" max="17" width="15.375" style="7" customWidth="1"/>
    <col min="18" max="16384" width="9.125" style="7"/>
  </cols>
  <sheetData>
    <row r="1" spans="1:13" ht="22.5" customHeight="1" x14ac:dyDescent="0.3">
      <c r="A1" s="6"/>
      <c r="B1" s="298"/>
      <c r="C1" s="298"/>
      <c r="D1" s="298"/>
      <c r="E1" s="298"/>
      <c r="F1" s="298"/>
      <c r="G1" s="298"/>
      <c r="H1" s="298"/>
      <c r="I1" s="298"/>
      <c r="J1" s="298"/>
      <c r="K1" s="298"/>
      <c r="L1" s="298"/>
      <c r="M1" s="6"/>
    </row>
    <row r="2" spans="1:13" s="8" customFormat="1" ht="50.1" customHeight="1" x14ac:dyDescent="0.25">
      <c r="A2" s="285"/>
      <c r="B2" s="299" t="s">
        <v>89</v>
      </c>
      <c r="C2" s="299"/>
      <c r="D2" s="299"/>
      <c r="E2" s="299"/>
      <c r="F2" s="299"/>
      <c r="G2" s="299"/>
      <c r="H2" s="299"/>
      <c r="I2" s="299"/>
      <c r="J2" s="299"/>
      <c r="K2" s="299"/>
      <c r="L2" s="299"/>
    </row>
    <row r="3" spans="1:13" s="8" customFormat="1" ht="15" customHeight="1" x14ac:dyDescent="0.25">
      <c r="A3" s="285"/>
      <c r="F3" s="71"/>
    </row>
    <row r="4" spans="1:13" s="8" customFormat="1" ht="45" customHeight="1" x14ac:dyDescent="0.25">
      <c r="A4" s="285"/>
      <c r="B4" s="584" t="s">
        <v>321</v>
      </c>
      <c r="C4" s="584"/>
      <c r="D4" s="584"/>
      <c r="E4" s="584"/>
      <c r="F4" s="584"/>
      <c r="G4" s="584"/>
      <c r="H4" s="584"/>
      <c r="I4" s="584"/>
      <c r="J4" s="584"/>
      <c r="K4" s="584"/>
      <c r="L4" s="584"/>
    </row>
    <row r="5" spans="1:13" s="8" customFormat="1" ht="30" customHeight="1" x14ac:dyDescent="0.25">
      <c r="A5" s="285"/>
      <c r="B5" s="289" t="s">
        <v>27</v>
      </c>
      <c r="C5" s="585" t="s">
        <v>213</v>
      </c>
      <c r="D5" s="585"/>
      <c r="E5" s="585"/>
      <c r="F5" s="585"/>
      <c r="G5" s="585"/>
      <c r="H5" s="586" t="s">
        <v>214</v>
      </c>
      <c r="I5" s="586"/>
      <c r="J5" s="586"/>
      <c r="K5" s="586"/>
      <c r="L5" s="586"/>
    </row>
    <row r="6" spans="1:13" s="8" customFormat="1" ht="30" customHeight="1" x14ac:dyDescent="0.25">
      <c r="A6" s="285"/>
      <c r="B6" s="289"/>
      <c r="C6" s="587" t="s">
        <v>299</v>
      </c>
      <c r="D6" s="587" t="s">
        <v>115</v>
      </c>
      <c r="E6" s="587" t="s">
        <v>116</v>
      </c>
      <c r="F6" s="587" t="s">
        <v>117</v>
      </c>
      <c r="G6" s="587" t="s">
        <v>118</v>
      </c>
      <c r="H6" s="291" t="s">
        <v>101</v>
      </c>
      <c r="I6" s="291" t="s">
        <v>102</v>
      </c>
      <c r="J6" s="291" t="s">
        <v>103</v>
      </c>
      <c r="K6" s="291" t="s">
        <v>90</v>
      </c>
      <c r="L6" s="291" t="s">
        <v>91</v>
      </c>
    </row>
    <row r="7" spans="1:13" s="8" customFormat="1" ht="30" customHeight="1" x14ac:dyDescent="0.25">
      <c r="A7" s="285"/>
      <c r="B7" s="289"/>
      <c r="C7" s="588"/>
      <c r="D7" s="588"/>
      <c r="E7" s="588"/>
      <c r="F7" s="588"/>
      <c r="G7" s="588"/>
      <c r="H7" s="302"/>
      <c r="I7" s="302"/>
      <c r="J7" s="302"/>
      <c r="K7" s="302"/>
      <c r="L7" s="302"/>
    </row>
    <row r="8" spans="1:13" s="8" customFormat="1" ht="30" customHeight="1" x14ac:dyDescent="0.25">
      <c r="A8" s="285"/>
      <c r="B8" s="289"/>
      <c r="C8" s="589"/>
      <c r="D8" s="589"/>
      <c r="E8" s="589"/>
      <c r="F8" s="589"/>
      <c r="G8" s="589"/>
      <c r="H8" s="292"/>
      <c r="I8" s="292"/>
      <c r="J8" s="292"/>
      <c r="K8" s="292"/>
      <c r="L8" s="292"/>
    </row>
    <row r="9" spans="1:13" s="8" customFormat="1" ht="30" customHeight="1" x14ac:dyDescent="0.25">
      <c r="A9" s="285"/>
      <c r="B9" s="50" t="s">
        <v>16</v>
      </c>
      <c r="C9" s="47">
        <f>'İşyeri ve Çalışan Bilgileri'!E21</f>
        <v>45</v>
      </c>
      <c r="D9" s="21">
        <v>0</v>
      </c>
      <c r="E9" s="48">
        <f>IF(ISBLANK(C9)=TRUE," ",SUM(C9,D9))</f>
        <v>45</v>
      </c>
      <c r="F9" s="21"/>
      <c r="G9" s="3">
        <f>IFERROR(F9/E9,"-")</f>
        <v>0</v>
      </c>
      <c r="H9" s="21"/>
      <c r="I9" s="21">
        <v>0</v>
      </c>
      <c r="J9" s="48" t="str">
        <f>IF(ISBLANK(H9)=TRUE," ",SUM(H9,I9))</f>
        <v xml:space="preserve"> </v>
      </c>
      <c r="K9" s="21"/>
      <c r="L9" s="3" t="str">
        <f t="shared" ref="L9:L21" si="0">IFERROR(K9/J9,"-")</f>
        <v>-</v>
      </c>
    </row>
    <row r="10" spans="1:13" s="8" customFormat="1" ht="30" customHeight="1" x14ac:dyDescent="0.25">
      <c r="A10" s="285"/>
      <c r="B10" s="51" t="s">
        <v>5</v>
      </c>
      <c r="C10" s="48">
        <f>'İşyeri ve Çalışan Bilgileri'!E22</f>
        <v>0</v>
      </c>
      <c r="D10" s="48" t="str">
        <f>IF(OR(ISBLANK(C9)=TRUE,ISBLANK(F9)=TRUE,ISBLANK(E9)=TRUE)," ",E9-F9)</f>
        <v xml:space="preserve"> </v>
      </c>
      <c r="E10" s="48">
        <f t="shared" ref="E10:E20" si="1">IF(ISBLANK(C10)=TRUE," ",SUM(C10,D10))</f>
        <v>0</v>
      </c>
      <c r="F10" s="23"/>
      <c r="G10" s="4" t="str">
        <f t="shared" ref="G10:G19" si="2">IFERROR(F10/E10,"-")</f>
        <v>-</v>
      </c>
      <c r="H10" s="23"/>
      <c r="I10" s="48" t="str">
        <f>IF(OR(ISBLANK(H9)=TRUE,ISBLANK(K9)=TRUE,ISBLANK(J9)=TRUE)," ",J9-K9)</f>
        <v xml:space="preserve"> </v>
      </c>
      <c r="J10" s="48" t="str">
        <f t="shared" ref="J10:J20" si="3">IF(ISBLANK(H10)=TRUE," ",SUM(H10,I10))</f>
        <v xml:space="preserve"> </v>
      </c>
      <c r="K10" s="23"/>
      <c r="L10" s="4" t="str">
        <f t="shared" si="0"/>
        <v>-</v>
      </c>
    </row>
    <row r="11" spans="1:13" s="8" customFormat="1" ht="30" customHeight="1" x14ac:dyDescent="0.25">
      <c r="A11" s="285"/>
      <c r="B11" s="51" t="s">
        <v>6</v>
      </c>
      <c r="C11" s="48">
        <f>'İşyeri ve Çalışan Bilgileri'!E23</f>
        <v>0</v>
      </c>
      <c r="D11" s="48" t="str">
        <f>IF(OR(ISBLANK(C10)=TRUE,ISBLANK(F10)=TRUE,ISBLANK(E10)=TRUE)," ",E10-F10)</f>
        <v xml:space="preserve"> </v>
      </c>
      <c r="E11" s="48">
        <f t="shared" si="1"/>
        <v>0</v>
      </c>
      <c r="F11" s="23"/>
      <c r="G11" s="4" t="str">
        <f t="shared" si="2"/>
        <v>-</v>
      </c>
      <c r="H11" s="23"/>
      <c r="I11" s="48" t="str">
        <f>IF(OR(ISBLANK(H10)=TRUE,ISBLANK(K10)=TRUE,ISBLANK(J10)=TRUE)," ",J10-K10)</f>
        <v xml:space="preserve"> </v>
      </c>
      <c r="J11" s="48" t="str">
        <f t="shared" si="3"/>
        <v xml:space="preserve"> </v>
      </c>
      <c r="K11" s="23"/>
      <c r="L11" s="4" t="str">
        <f t="shared" si="0"/>
        <v>-</v>
      </c>
    </row>
    <row r="12" spans="1:13" s="8" customFormat="1" ht="30" customHeight="1" x14ac:dyDescent="0.25">
      <c r="A12" s="285"/>
      <c r="B12" s="51" t="s">
        <v>7</v>
      </c>
      <c r="C12" s="48">
        <f>'İşyeri ve Çalışan Bilgileri'!E24</f>
        <v>0</v>
      </c>
      <c r="D12" s="48" t="str">
        <f t="shared" ref="D12:D20" si="4">IF(OR(ISBLANK(C11)=TRUE,ISBLANK(F11)=TRUE,ISBLANK(E11)=TRUE)," ",E11-F11)</f>
        <v xml:space="preserve"> </v>
      </c>
      <c r="E12" s="48">
        <f t="shared" si="1"/>
        <v>0</v>
      </c>
      <c r="F12" s="23"/>
      <c r="G12" s="4" t="str">
        <f t="shared" si="2"/>
        <v>-</v>
      </c>
      <c r="H12" s="23"/>
      <c r="I12" s="48" t="str">
        <f t="shared" ref="I12:I20" si="5">IF(OR(ISBLANK(H11)=TRUE,ISBLANK(K11)=TRUE,ISBLANK(J11)=TRUE)," ",J11-K11)</f>
        <v xml:space="preserve"> </v>
      </c>
      <c r="J12" s="48" t="str">
        <f t="shared" si="3"/>
        <v xml:space="preserve"> </v>
      </c>
      <c r="K12" s="23"/>
      <c r="L12" s="4" t="str">
        <f t="shared" si="0"/>
        <v>-</v>
      </c>
    </row>
    <row r="13" spans="1:13" s="8" customFormat="1" ht="30" customHeight="1" x14ac:dyDescent="0.25">
      <c r="A13" s="285"/>
      <c r="B13" s="51" t="s">
        <v>8</v>
      </c>
      <c r="C13" s="48">
        <f>'İşyeri ve Çalışan Bilgileri'!E25</f>
        <v>0</v>
      </c>
      <c r="D13" s="48" t="str">
        <f t="shared" si="4"/>
        <v xml:space="preserve"> </v>
      </c>
      <c r="E13" s="48">
        <f t="shared" si="1"/>
        <v>0</v>
      </c>
      <c r="F13" s="23"/>
      <c r="G13" s="4" t="str">
        <f t="shared" si="2"/>
        <v>-</v>
      </c>
      <c r="H13" s="23"/>
      <c r="I13" s="48" t="str">
        <f t="shared" si="5"/>
        <v xml:space="preserve"> </v>
      </c>
      <c r="J13" s="48" t="str">
        <f t="shared" si="3"/>
        <v xml:space="preserve"> </v>
      </c>
      <c r="K13" s="23"/>
      <c r="L13" s="4" t="str">
        <f t="shared" si="0"/>
        <v>-</v>
      </c>
    </row>
    <row r="14" spans="1:13" s="8" customFormat="1" ht="30" customHeight="1" x14ac:dyDescent="0.25">
      <c r="A14" s="285"/>
      <c r="B14" s="51" t="s">
        <v>9</v>
      </c>
      <c r="C14" s="48">
        <f>'İşyeri ve Çalışan Bilgileri'!E26</f>
        <v>0</v>
      </c>
      <c r="D14" s="48" t="str">
        <f t="shared" si="4"/>
        <v xml:space="preserve"> </v>
      </c>
      <c r="E14" s="48">
        <f t="shared" si="1"/>
        <v>0</v>
      </c>
      <c r="F14" s="23"/>
      <c r="G14" s="4" t="str">
        <f t="shared" si="2"/>
        <v>-</v>
      </c>
      <c r="H14" s="23"/>
      <c r="I14" s="48" t="str">
        <f t="shared" si="5"/>
        <v xml:space="preserve"> </v>
      </c>
      <c r="J14" s="48" t="str">
        <f t="shared" si="3"/>
        <v xml:space="preserve"> </v>
      </c>
      <c r="K14" s="23"/>
      <c r="L14" s="4" t="str">
        <f t="shared" si="0"/>
        <v>-</v>
      </c>
    </row>
    <row r="15" spans="1:13" s="8" customFormat="1" ht="30" customHeight="1" x14ac:dyDescent="0.25">
      <c r="A15" s="285"/>
      <c r="B15" s="51" t="s">
        <v>10</v>
      </c>
      <c r="C15" s="48">
        <f>'İşyeri ve Çalışan Bilgileri'!E27</f>
        <v>0</v>
      </c>
      <c r="D15" s="48" t="str">
        <f t="shared" si="4"/>
        <v xml:space="preserve"> </v>
      </c>
      <c r="E15" s="48">
        <f t="shared" si="1"/>
        <v>0</v>
      </c>
      <c r="F15" s="23"/>
      <c r="G15" s="4" t="str">
        <f t="shared" si="2"/>
        <v>-</v>
      </c>
      <c r="H15" s="23"/>
      <c r="I15" s="48" t="str">
        <f t="shared" si="5"/>
        <v xml:space="preserve"> </v>
      </c>
      <c r="J15" s="48" t="str">
        <f t="shared" si="3"/>
        <v xml:space="preserve"> </v>
      </c>
      <c r="K15" s="23"/>
      <c r="L15" s="4" t="str">
        <f t="shared" si="0"/>
        <v>-</v>
      </c>
    </row>
    <row r="16" spans="1:13" s="8" customFormat="1" ht="30" customHeight="1" x14ac:dyDescent="0.25">
      <c r="A16" s="285"/>
      <c r="B16" s="51" t="s">
        <v>11</v>
      </c>
      <c r="C16" s="48">
        <f>'İşyeri ve Çalışan Bilgileri'!E28</f>
        <v>0</v>
      </c>
      <c r="D16" s="48" t="str">
        <f t="shared" si="4"/>
        <v xml:space="preserve"> </v>
      </c>
      <c r="E16" s="48">
        <f t="shared" si="1"/>
        <v>0</v>
      </c>
      <c r="F16" s="23"/>
      <c r="G16" s="4" t="str">
        <f t="shared" si="2"/>
        <v>-</v>
      </c>
      <c r="H16" s="23"/>
      <c r="I16" s="48" t="str">
        <f t="shared" si="5"/>
        <v xml:space="preserve"> </v>
      </c>
      <c r="J16" s="48" t="str">
        <f t="shared" si="3"/>
        <v xml:space="preserve"> </v>
      </c>
      <c r="K16" s="23"/>
      <c r="L16" s="4" t="str">
        <f t="shared" si="0"/>
        <v>-</v>
      </c>
    </row>
    <row r="17" spans="1:12" s="8" customFormat="1" ht="30" customHeight="1" x14ac:dyDescent="0.25">
      <c r="A17" s="285"/>
      <c r="B17" s="51" t="s">
        <v>12</v>
      </c>
      <c r="C17" s="48">
        <f>'İşyeri ve Çalışan Bilgileri'!E29</f>
        <v>0</v>
      </c>
      <c r="D17" s="48" t="str">
        <f t="shared" si="4"/>
        <v xml:space="preserve"> </v>
      </c>
      <c r="E17" s="48">
        <f t="shared" si="1"/>
        <v>0</v>
      </c>
      <c r="F17" s="23"/>
      <c r="G17" s="4" t="str">
        <f t="shared" si="2"/>
        <v>-</v>
      </c>
      <c r="H17" s="23"/>
      <c r="I17" s="48" t="str">
        <f t="shared" si="5"/>
        <v xml:space="preserve"> </v>
      </c>
      <c r="J17" s="48" t="str">
        <f t="shared" si="3"/>
        <v xml:space="preserve"> </v>
      </c>
      <c r="K17" s="23"/>
      <c r="L17" s="4" t="str">
        <f t="shared" si="0"/>
        <v>-</v>
      </c>
    </row>
    <row r="18" spans="1:12" s="8" customFormat="1" ht="30" customHeight="1" x14ac:dyDescent="0.25">
      <c r="A18" s="285"/>
      <c r="B18" s="51" t="s">
        <v>13</v>
      </c>
      <c r="C18" s="48">
        <f>'İşyeri ve Çalışan Bilgileri'!E30</f>
        <v>0</v>
      </c>
      <c r="D18" s="48" t="str">
        <f t="shared" si="4"/>
        <v xml:space="preserve"> </v>
      </c>
      <c r="E18" s="48">
        <f t="shared" si="1"/>
        <v>0</v>
      </c>
      <c r="F18" s="23"/>
      <c r="G18" s="4" t="str">
        <f t="shared" si="2"/>
        <v>-</v>
      </c>
      <c r="H18" s="23"/>
      <c r="I18" s="48" t="str">
        <f t="shared" si="5"/>
        <v xml:space="preserve"> </v>
      </c>
      <c r="J18" s="48" t="str">
        <f t="shared" si="3"/>
        <v xml:space="preserve"> </v>
      </c>
      <c r="K18" s="23"/>
      <c r="L18" s="4" t="str">
        <f t="shared" si="0"/>
        <v>-</v>
      </c>
    </row>
    <row r="19" spans="1:12" s="8" customFormat="1" ht="30" customHeight="1" x14ac:dyDescent="0.25">
      <c r="A19" s="285"/>
      <c r="B19" s="51" t="s">
        <v>14</v>
      </c>
      <c r="C19" s="48">
        <f>'İşyeri ve Çalışan Bilgileri'!E31</f>
        <v>0</v>
      </c>
      <c r="D19" s="48" t="str">
        <f t="shared" si="4"/>
        <v xml:space="preserve"> </v>
      </c>
      <c r="E19" s="48">
        <f t="shared" si="1"/>
        <v>0</v>
      </c>
      <c r="F19" s="23"/>
      <c r="G19" s="4" t="str">
        <f t="shared" si="2"/>
        <v>-</v>
      </c>
      <c r="H19" s="23"/>
      <c r="I19" s="48" t="str">
        <f t="shared" si="5"/>
        <v xml:space="preserve"> </v>
      </c>
      <c r="J19" s="48" t="str">
        <f t="shared" si="3"/>
        <v xml:space="preserve"> </v>
      </c>
      <c r="K19" s="23"/>
      <c r="L19" s="4" t="str">
        <f t="shared" si="0"/>
        <v>-</v>
      </c>
    </row>
    <row r="20" spans="1:12" s="8" customFormat="1" ht="30" customHeight="1" x14ac:dyDescent="0.25">
      <c r="A20" s="285"/>
      <c r="B20" s="52" t="s">
        <v>15</v>
      </c>
      <c r="C20" s="49">
        <f>'İşyeri ve Çalışan Bilgileri'!E32</f>
        <v>0</v>
      </c>
      <c r="D20" s="48" t="str">
        <f t="shared" si="4"/>
        <v xml:space="preserve"> </v>
      </c>
      <c r="E20" s="49">
        <f t="shared" si="1"/>
        <v>0</v>
      </c>
      <c r="F20" s="25"/>
      <c r="G20" s="5" t="str">
        <f>IFERROR(F20/E20,"-")</f>
        <v>-</v>
      </c>
      <c r="H20" s="25"/>
      <c r="I20" s="48" t="str">
        <f t="shared" si="5"/>
        <v xml:space="preserve"> </v>
      </c>
      <c r="J20" s="49" t="str">
        <f t="shared" si="3"/>
        <v xml:space="preserve"> </v>
      </c>
      <c r="K20" s="25"/>
      <c r="L20" s="5" t="str">
        <f t="shared" si="0"/>
        <v>-</v>
      </c>
    </row>
    <row r="21" spans="1:12" s="8" customFormat="1" ht="30" customHeight="1" x14ac:dyDescent="0.25">
      <c r="A21" s="285"/>
      <c r="B21" s="53" t="s">
        <v>104</v>
      </c>
      <c r="C21" s="55"/>
      <c r="D21" s="55"/>
      <c r="E21" s="55">
        <f>SUM(E9:E20)-SUM(D9:D20)</f>
        <v>45</v>
      </c>
      <c r="F21" s="55">
        <f>SUM(F9:F20)</f>
        <v>0</v>
      </c>
      <c r="G21" s="56">
        <f>IFERROR(F21/E21,"-")</f>
        <v>0</v>
      </c>
      <c r="H21" s="55"/>
      <c r="I21" s="55"/>
      <c r="J21" s="55">
        <f>SUM(J9:J20)-SUM(I9:I20)</f>
        <v>0</v>
      </c>
      <c r="K21" s="55">
        <f>SUM(K9:K20)</f>
        <v>0</v>
      </c>
      <c r="L21" s="56" t="str">
        <f t="shared" si="0"/>
        <v>-</v>
      </c>
    </row>
    <row r="22" spans="1:12" s="8" customFormat="1" ht="15" customHeight="1" x14ac:dyDescent="0.3">
      <c r="A22" s="7"/>
      <c r="F22" s="239"/>
    </row>
    <row r="23" spans="1:12" s="8" customFormat="1" ht="45" customHeight="1" x14ac:dyDescent="0.3">
      <c r="A23" s="7"/>
      <c r="B23" s="584" t="s">
        <v>298</v>
      </c>
      <c r="C23" s="584"/>
      <c r="D23" s="584"/>
      <c r="E23" s="584"/>
      <c r="F23" s="584"/>
      <c r="G23" s="584"/>
      <c r="H23" s="584"/>
      <c r="I23" s="584"/>
      <c r="J23" s="584"/>
      <c r="K23" s="584"/>
      <c r="L23" s="584"/>
    </row>
    <row r="24" spans="1:12" s="8" customFormat="1" ht="30" customHeight="1" x14ac:dyDescent="0.3">
      <c r="A24" s="7"/>
      <c r="B24" s="289" t="s">
        <v>27</v>
      </c>
      <c r="C24" s="585" t="s">
        <v>213</v>
      </c>
      <c r="D24" s="585"/>
      <c r="E24" s="585"/>
      <c r="F24" s="585"/>
      <c r="G24" s="585"/>
      <c r="H24" s="586" t="s">
        <v>214</v>
      </c>
      <c r="I24" s="586"/>
      <c r="J24" s="586"/>
      <c r="K24" s="586"/>
      <c r="L24" s="586"/>
    </row>
    <row r="25" spans="1:12" s="8" customFormat="1" ht="30" customHeight="1" x14ac:dyDescent="0.3">
      <c r="A25" s="7"/>
      <c r="B25" s="289"/>
      <c r="C25" s="587" t="s">
        <v>299</v>
      </c>
      <c r="D25" s="587" t="s">
        <v>115</v>
      </c>
      <c r="E25" s="587" t="s">
        <v>116</v>
      </c>
      <c r="F25" s="587" t="s">
        <v>117</v>
      </c>
      <c r="G25" s="587" t="s">
        <v>118</v>
      </c>
      <c r="H25" s="291" t="s">
        <v>101</v>
      </c>
      <c r="I25" s="291" t="s">
        <v>102</v>
      </c>
      <c r="J25" s="291" t="s">
        <v>103</v>
      </c>
      <c r="K25" s="291" t="s">
        <v>90</v>
      </c>
      <c r="L25" s="291" t="s">
        <v>91</v>
      </c>
    </row>
    <row r="26" spans="1:12" s="8" customFormat="1" ht="30" customHeight="1" x14ac:dyDescent="0.3">
      <c r="A26" s="7"/>
      <c r="B26" s="289"/>
      <c r="C26" s="588"/>
      <c r="D26" s="588"/>
      <c r="E26" s="588"/>
      <c r="F26" s="588"/>
      <c r="G26" s="588"/>
      <c r="H26" s="302"/>
      <c r="I26" s="302"/>
      <c r="J26" s="302"/>
      <c r="K26" s="302"/>
      <c r="L26" s="302"/>
    </row>
    <row r="27" spans="1:12" s="8" customFormat="1" ht="30" customHeight="1" x14ac:dyDescent="0.3">
      <c r="A27" s="7"/>
      <c r="B27" s="289"/>
      <c r="C27" s="589"/>
      <c r="D27" s="589"/>
      <c r="E27" s="589"/>
      <c r="F27" s="589"/>
      <c r="G27" s="589"/>
      <c r="H27" s="292"/>
      <c r="I27" s="292"/>
      <c r="J27" s="292"/>
      <c r="K27" s="292"/>
      <c r="L27" s="292"/>
    </row>
    <row r="28" spans="1:12" s="8" customFormat="1" ht="30" customHeight="1" x14ac:dyDescent="0.3">
      <c r="A28" s="7"/>
      <c r="B28" s="50" t="s">
        <v>16</v>
      </c>
      <c r="C28" s="47">
        <f>'İşyeri ve Çalışan Bilgileri'!E38</f>
        <v>0</v>
      </c>
      <c r="D28" s="21">
        <v>0</v>
      </c>
      <c r="E28" s="48">
        <f>IF(ISBLANK(C28)=TRUE," ",SUM(C28,D28))</f>
        <v>0</v>
      </c>
      <c r="F28" s="21"/>
      <c r="G28" s="3" t="str">
        <f>IFERROR(F28/E28,"-")</f>
        <v>-</v>
      </c>
      <c r="H28" s="21"/>
      <c r="I28" s="21">
        <v>0</v>
      </c>
      <c r="J28" s="48" t="str">
        <f>IF(ISBLANK(H28)=TRUE," ",SUM(H28,I28))</f>
        <v xml:space="preserve"> </v>
      </c>
      <c r="K28" s="21"/>
      <c r="L28" s="3" t="str">
        <f t="shared" ref="L28:L40" si="6">IFERROR(K28/J28,"-")</f>
        <v>-</v>
      </c>
    </row>
    <row r="29" spans="1:12" s="8" customFormat="1" ht="30" customHeight="1" x14ac:dyDescent="0.3">
      <c r="A29" s="7"/>
      <c r="B29" s="51" t="s">
        <v>5</v>
      </c>
      <c r="C29" s="48">
        <f>'İşyeri ve Çalışan Bilgileri'!E39</f>
        <v>0</v>
      </c>
      <c r="D29" s="48" t="str">
        <f>IF(OR(ISBLANK(C28)=TRUE,ISBLANK(F28)=TRUE,ISBLANK(E28)=TRUE)," ",E28-F28)</f>
        <v xml:space="preserve"> </v>
      </c>
      <c r="E29" s="48">
        <f t="shared" ref="E29:E39" si="7">IF(ISBLANK(C29)=TRUE," ",SUM(C29,D29))</f>
        <v>0</v>
      </c>
      <c r="F29" s="23"/>
      <c r="G29" s="4" t="str">
        <f t="shared" ref="G29:G38" si="8">IFERROR(F29/E29,"-")</f>
        <v>-</v>
      </c>
      <c r="H29" s="23"/>
      <c r="I29" s="48" t="str">
        <f>IF(OR(ISBLANK(H28)=TRUE,ISBLANK(K28)=TRUE,ISBLANK(J28)=TRUE)," ",J28-K28)</f>
        <v xml:space="preserve"> </v>
      </c>
      <c r="J29" s="48" t="str">
        <f t="shared" ref="J29:J39" si="9">IF(ISBLANK(H29)=TRUE," ",SUM(H29,I29))</f>
        <v xml:space="preserve"> </v>
      </c>
      <c r="K29" s="23"/>
      <c r="L29" s="4" t="str">
        <f t="shared" si="6"/>
        <v>-</v>
      </c>
    </row>
    <row r="30" spans="1:12" s="8" customFormat="1" ht="30" customHeight="1" x14ac:dyDescent="0.3">
      <c r="A30" s="7"/>
      <c r="B30" s="51" t="s">
        <v>6</v>
      </c>
      <c r="C30" s="48">
        <f>'İşyeri ve Çalışan Bilgileri'!E40</f>
        <v>0</v>
      </c>
      <c r="D30" s="48" t="str">
        <f>IF(OR(ISBLANK(C29)=TRUE,ISBLANK(F29)=TRUE,ISBLANK(E29)=TRUE)," ",E29-F29)</f>
        <v xml:space="preserve"> </v>
      </c>
      <c r="E30" s="48">
        <f t="shared" si="7"/>
        <v>0</v>
      </c>
      <c r="F30" s="23"/>
      <c r="G30" s="4" t="str">
        <f t="shared" si="8"/>
        <v>-</v>
      </c>
      <c r="H30" s="23"/>
      <c r="I30" s="48" t="str">
        <f>IF(OR(ISBLANK(H29)=TRUE,ISBLANK(K29)=TRUE,ISBLANK(J29)=TRUE)," ",J29-K29)</f>
        <v xml:space="preserve"> </v>
      </c>
      <c r="J30" s="48" t="str">
        <f t="shared" si="9"/>
        <v xml:space="preserve"> </v>
      </c>
      <c r="K30" s="23"/>
      <c r="L30" s="4" t="str">
        <f t="shared" si="6"/>
        <v>-</v>
      </c>
    </row>
    <row r="31" spans="1:12" s="8" customFormat="1" ht="30" customHeight="1" x14ac:dyDescent="0.3">
      <c r="A31" s="7"/>
      <c r="B31" s="51" t="s">
        <v>7</v>
      </c>
      <c r="C31" s="48">
        <f>'İşyeri ve Çalışan Bilgileri'!E41</f>
        <v>0</v>
      </c>
      <c r="D31" s="48" t="str">
        <f t="shared" ref="D31:D39" si="10">IF(OR(ISBLANK(C30)=TRUE,ISBLANK(F30)=TRUE,ISBLANK(E30)=TRUE)," ",E30-F30)</f>
        <v xml:space="preserve"> </v>
      </c>
      <c r="E31" s="48">
        <f t="shared" si="7"/>
        <v>0</v>
      </c>
      <c r="F31" s="23"/>
      <c r="G31" s="4" t="str">
        <f t="shared" si="8"/>
        <v>-</v>
      </c>
      <c r="H31" s="23"/>
      <c r="I31" s="48" t="str">
        <f t="shared" ref="I31:I39" si="11">IF(OR(ISBLANK(H30)=TRUE,ISBLANK(K30)=TRUE,ISBLANK(J30)=TRUE)," ",J30-K30)</f>
        <v xml:space="preserve"> </v>
      </c>
      <c r="J31" s="48" t="str">
        <f t="shared" si="9"/>
        <v xml:space="preserve"> </v>
      </c>
      <c r="K31" s="23"/>
      <c r="L31" s="4" t="str">
        <f t="shared" si="6"/>
        <v>-</v>
      </c>
    </row>
    <row r="32" spans="1:12" s="8" customFormat="1" ht="30" customHeight="1" x14ac:dyDescent="0.3">
      <c r="A32" s="7"/>
      <c r="B32" s="51" t="s">
        <v>8</v>
      </c>
      <c r="C32" s="48">
        <f>'İşyeri ve Çalışan Bilgileri'!E42</f>
        <v>0</v>
      </c>
      <c r="D32" s="48" t="str">
        <f t="shared" si="10"/>
        <v xml:space="preserve"> </v>
      </c>
      <c r="E32" s="48">
        <f t="shared" si="7"/>
        <v>0</v>
      </c>
      <c r="F32" s="23"/>
      <c r="G32" s="4" t="str">
        <f t="shared" si="8"/>
        <v>-</v>
      </c>
      <c r="H32" s="23"/>
      <c r="I32" s="48" t="str">
        <f t="shared" si="11"/>
        <v xml:space="preserve"> </v>
      </c>
      <c r="J32" s="48" t="str">
        <f t="shared" si="9"/>
        <v xml:space="preserve"> </v>
      </c>
      <c r="K32" s="23"/>
      <c r="L32" s="4" t="str">
        <f t="shared" si="6"/>
        <v>-</v>
      </c>
    </row>
    <row r="33" spans="1:12" s="8" customFormat="1" ht="30" customHeight="1" x14ac:dyDescent="0.3">
      <c r="A33" s="7"/>
      <c r="B33" s="51" t="s">
        <v>9</v>
      </c>
      <c r="C33" s="48">
        <f>'İşyeri ve Çalışan Bilgileri'!E43</f>
        <v>0</v>
      </c>
      <c r="D33" s="48" t="str">
        <f t="shared" si="10"/>
        <v xml:space="preserve"> </v>
      </c>
      <c r="E33" s="48">
        <f t="shared" si="7"/>
        <v>0</v>
      </c>
      <c r="F33" s="23"/>
      <c r="G33" s="4" t="str">
        <f t="shared" si="8"/>
        <v>-</v>
      </c>
      <c r="H33" s="23"/>
      <c r="I33" s="48" t="str">
        <f t="shared" si="11"/>
        <v xml:space="preserve"> </v>
      </c>
      <c r="J33" s="48" t="str">
        <f t="shared" si="9"/>
        <v xml:space="preserve"> </v>
      </c>
      <c r="K33" s="23"/>
      <c r="L33" s="4" t="str">
        <f t="shared" si="6"/>
        <v>-</v>
      </c>
    </row>
    <row r="34" spans="1:12" s="8" customFormat="1" ht="30" customHeight="1" x14ac:dyDescent="0.3">
      <c r="A34" s="7"/>
      <c r="B34" s="51" t="s">
        <v>10</v>
      </c>
      <c r="C34" s="48">
        <f>'İşyeri ve Çalışan Bilgileri'!E44</f>
        <v>0</v>
      </c>
      <c r="D34" s="48" t="str">
        <f t="shared" si="10"/>
        <v xml:space="preserve"> </v>
      </c>
      <c r="E34" s="48">
        <f t="shared" si="7"/>
        <v>0</v>
      </c>
      <c r="F34" s="23"/>
      <c r="G34" s="4" t="str">
        <f t="shared" si="8"/>
        <v>-</v>
      </c>
      <c r="H34" s="23"/>
      <c r="I34" s="48" t="str">
        <f t="shared" si="11"/>
        <v xml:space="preserve"> </v>
      </c>
      <c r="J34" s="48" t="str">
        <f t="shared" si="9"/>
        <v xml:space="preserve"> </v>
      </c>
      <c r="K34" s="23"/>
      <c r="L34" s="4" t="str">
        <f t="shared" si="6"/>
        <v>-</v>
      </c>
    </row>
    <row r="35" spans="1:12" s="8" customFormat="1" ht="30" customHeight="1" x14ac:dyDescent="0.3">
      <c r="A35" s="7"/>
      <c r="B35" s="51" t="s">
        <v>11</v>
      </c>
      <c r="C35" s="48">
        <f>'İşyeri ve Çalışan Bilgileri'!E45</f>
        <v>0</v>
      </c>
      <c r="D35" s="48" t="str">
        <f t="shared" si="10"/>
        <v xml:space="preserve"> </v>
      </c>
      <c r="E35" s="48">
        <f t="shared" si="7"/>
        <v>0</v>
      </c>
      <c r="F35" s="23"/>
      <c r="G35" s="4" t="str">
        <f t="shared" si="8"/>
        <v>-</v>
      </c>
      <c r="H35" s="23"/>
      <c r="I35" s="48" t="str">
        <f t="shared" si="11"/>
        <v xml:space="preserve"> </v>
      </c>
      <c r="J35" s="48" t="str">
        <f t="shared" si="9"/>
        <v xml:space="preserve"> </v>
      </c>
      <c r="K35" s="23"/>
      <c r="L35" s="4" t="str">
        <f t="shared" si="6"/>
        <v>-</v>
      </c>
    </row>
    <row r="36" spans="1:12" s="8" customFormat="1" ht="30" customHeight="1" x14ac:dyDescent="0.3">
      <c r="A36" s="7"/>
      <c r="B36" s="51" t="s">
        <v>12</v>
      </c>
      <c r="C36" s="48">
        <f>'İşyeri ve Çalışan Bilgileri'!E46</f>
        <v>0</v>
      </c>
      <c r="D36" s="48" t="str">
        <f t="shared" si="10"/>
        <v xml:space="preserve"> </v>
      </c>
      <c r="E36" s="48">
        <f t="shared" si="7"/>
        <v>0</v>
      </c>
      <c r="F36" s="23"/>
      <c r="G36" s="4" t="str">
        <f t="shared" si="8"/>
        <v>-</v>
      </c>
      <c r="H36" s="23"/>
      <c r="I36" s="48" t="str">
        <f t="shared" si="11"/>
        <v xml:space="preserve"> </v>
      </c>
      <c r="J36" s="48" t="str">
        <f t="shared" si="9"/>
        <v xml:space="preserve"> </v>
      </c>
      <c r="K36" s="23"/>
      <c r="L36" s="4" t="str">
        <f t="shared" si="6"/>
        <v>-</v>
      </c>
    </row>
    <row r="37" spans="1:12" s="8" customFormat="1" ht="30" customHeight="1" x14ac:dyDescent="0.3">
      <c r="A37" s="7"/>
      <c r="B37" s="51" t="s">
        <v>13</v>
      </c>
      <c r="C37" s="48">
        <f>'İşyeri ve Çalışan Bilgileri'!E47</f>
        <v>0</v>
      </c>
      <c r="D37" s="48" t="str">
        <f t="shared" si="10"/>
        <v xml:space="preserve"> </v>
      </c>
      <c r="E37" s="48">
        <f t="shared" si="7"/>
        <v>0</v>
      </c>
      <c r="F37" s="23"/>
      <c r="G37" s="4" t="str">
        <f t="shared" si="8"/>
        <v>-</v>
      </c>
      <c r="H37" s="23"/>
      <c r="I37" s="48" t="str">
        <f t="shared" si="11"/>
        <v xml:space="preserve"> </v>
      </c>
      <c r="J37" s="48" t="str">
        <f t="shared" si="9"/>
        <v xml:space="preserve"> </v>
      </c>
      <c r="K37" s="23"/>
      <c r="L37" s="4" t="str">
        <f t="shared" si="6"/>
        <v>-</v>
      </c>
    </row>
    <row r="38" spans="1:12" s="8" customFormat="1" ht="30" customHeight="1" x14ac:dyDescent="0.3">
      <c r="A38" s="7"/>
      <c r="B38" s="51" t="s">
        <v>14</v>
      </c>
      <c r="C38" s="48">
        <f>'İşyeri ve Çalışan Bilgileri'!E48</f>
        <v>0</v>
      </c>
      <c r="D38" s="48" t="str">
        <f t="shared" si="10"/>
        <v xml:space="preserve"> </v>
      </c>
      <c r="E38" s="48">
        <f t="shared" si="7"/>
        <v>0</v>
      </c>
      <c r="F38" s="23"/>
      <c r="G38" s="4" t="str">
        <f t="shared" si="8"/>
        <v>-</v>
      </c>
      <c r="H38" s="23"/>
      <c r="I38" s="48" t="str">
        <f t="shared" si="11"/>
        <v xml:space="preserve"> </v>
      </c>
      <c r="J38" s="48" t="str">
        <f t="shared" si="9"/>
        <v xml:space="preserve"> </v>
      </c>
      <c r="K38" s="23"/>
      <c r="L38" s="4" t="str">
        <f t="shared" si="6"/>
        <v>-</v>
      </c>
    </row>
    <row r="39" spans="1:12" s="8" customFormat="1" ht="30" customHeight="1" x14ac:dyDescent="0.3">
      <c r="A39" s="7"/>
      <c r="B39" s="52" t="s">
        <v>15</v>
      </c>
      <c r="C39" s="49">
        <f>'İşyeri ve Çalışan Bilgileri'!E49</f>
        <v>0</v>
      </c>
      <c r="D39" s="48" t="str">
        <f t="shared" si="10"/>
        <v xml:space="preserve"> </v>
      </c>
      <c r="E39" s="49">
        <f t="shared" si="7"/>
        <v>0</v>
      </c>
      <c r="F39" s="25"/>
      <c r="G39" s="5" t="str">
        <f>IFERROR(F39/E39,"-")</f>
        <v>-</v>
      </c>
      <c r="H39" s="25"/>
      <c r="I39" s="48" t="str">
        <f t="shared" si="11"/>
        <v xml:space="preserve"> </v>
      </c>
      <c r="J39" s="49" t="str">
        <f t="shared" si="9"/>
        <v xml:space="preserve"> </v>
      </c>
      <c r="K39" s="25"/>
      <c r="L39" s="5" t="str">
        <f t="shared" si="6"/>
        <v>-</v>
      </c>
    </row>
    <row r="40" spans="1:12" s="8" customFormat="1" ht="30" customHeight="1" x14ac:dyDescent="0.3">
      <c r="A40" s="7"/>
      <c r="B40" s="53" t="s">
        <v>104</v>
      </c>
      <c r="C40" s="55"/>
      <c r="D40" s="55"/>
      <c r="E40" s="55">
        <f>SUM(E28:E39)-SUM(D28:D39)</f>
        <v>0</v>
      </c>
      <c r="F40" s="55">
        <f>SUM(F28:F39)</f>
        <v>0</v>
      </c>
      <c r="G40" s="56" t="str">
        <f>IFERROR(F40/E40,"-")</f>
        <v>-</v>
      </c>
      <c r="H40" s="55"/>
      <c r="I40" s="55"/>
      <c r="J40" s="55">
        <f>SUM(J28:J39)-SUM(I28:I39)</f>
        <v>0</v>
      </c>
      <c r="K40" s="55">
        <f>SUM(K28:K39)</f>
        <v>0</v>
      </c>
      <c r="L40" s="56" t="str">
        <f t="shared" si="6"/>
        <v>-</v>
      </c>
    </row>
    <row r="42" spans="1:12" s="8" customFormat="1" ht="116.45" customHeight="1" x14ac:dyDescent="0.3">
      <c r="A42" s="7"/>
      <c r="B42" s="240" t="s">
        <v>215</v>
      </c>
      <c r="C42" s="581" t="s">
        <v>322</v>
      </c>
      <c r="D42" s="582"/>
      <c r="E42" s="582"/>
      <c r="F42" s="582"/>
      <c r="G42" s="582"/>
      <c r="H42" s="581" t="s">
        <v>323</v>
      </c>
      <c r="I42" s="582"/>
      <c r="J42" s="582"/>
      <c r="K42" s="582"/>
      <c r="L42" s="583"/>
    </row>
  </sheetData>
  <sheetProtection algorithmName="SHA-512" hashValue="3ugvNVIGPzBWVGeGIul5UPNRv4IyZ21LNNrmIsWSzRsXPKZmuJSvLnRhFz8iLmY9XBRyPgW9Fab0k8Xahn084A==" saltValue="HMDiec7mM3i4lWj7sOEZpw==" spinCount="100000" sheet="1" selectLockedCells="1"/>
  <mergeCells count="33">
    <mergeCell ref="B1:L1"/>
    <mergeCell ref="H6:H8"/>
    <mergeCell ref="I6:I8"/>
    <mergeCell ref="J6:J8"/>
    <mergeCell ref="K6:K8"/>
    <mergeCell ref="C6:C8"/>
    <mergeCell ref="D6:D8"/>
    <mergeCell ref="E6:E8"/>
    <mergeCell ref="F6:F8"/>
    <mergeCell ref="G6:G8"/>
    <mergeCell ref="C5:G5"/>
    <mergeCell ref="H5:L5"/>
    <mergeCell ref="A2:A21"/>
    <mergeCell ref="J25:J27"/>
    <mergeCell ref="L25:L27"/>
    <mergeCell ref="K25:K27"/>
    <mergeCell ref="L6:L8"/>
    <mergeCell ref="B5:B8"/>
    <mergeCell ref="B2:L2"/>
    <mergeCell ref="B4:L4"/>
    <mergeCell ref="C42:G42"/>
    <mergeCell ref="H42:L42"/>
    <mergeCell ref="B23:L23"/>
    <mergeCell ref="B24:B27"/>
    <mergeCell ref="C24:G24"/>
    <mergeCell ref="H24:L24"/>
    <mergeCell ref="C25:C27"/>
    <mergeCell ref="D25:D27"/>
    <mergeCell ref="E25:E27"/>
    <mergeCell ref="F25:F27"/>
    <mergeCell ref="G25:G27"/>
    <mergeCell ref="H25:H27"/>
    <mergeCell ref="I25:I27"/>
  </mergeCells>
  <pageMargins left="0.23622047244094491" right="0.23622047244094491" top="0.35433070866141736" bottom="0.15748031496062992" header="0.31496062992125984" footer="0.11811023622047245"/>
  <pageSetup paperSize="9" scale="34" fitToHeight="0" orientation="landscape" r:id="rId1"/>
  <rowBreaks count="1" manualBreakCount="1">
    <brk id="1" min="1" max="11"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ayfa17">
    <tabColor theme="4" tint="0.59999389629810485"/>
  </sheetPr>
  <dimension ref="A1:B20"/>
  <sheetViews>
    <sheetView showGridLines="0" workbookViewId="0">
      <selection activeCell="B21" sqref="B21"/>
    </sheetView>
  </sheetViews>
  <sheetFormatPr defaultRowHeight="16.5" x14ac:dyDescent="0.3"/>
  <cols>
    <col min="1" max="1" width="28.625" customWidth="1"/>
    <col min="2" max="2" width="36.5" bestFit="1" customWidth="1"/>
  </cols>
  <sheetData>
    <row r="1" spans="1:2" ht="20.100000000000001" customHeight="1" x14ac:dyDescent="0.3">
      <c r="A1" s="590" t="s">
        <v>246</v>
      </c>
      <c r="B1" s="590"/>
    </row>
    <row r="2" spans="1:2" ht="13.5" customHeight="1" x14ac:dyDescent="0.3">
      <c r="A2" s="184" t="s">
        <v>128</v>
      </c>
      <c r="B2" s="184" t="s">
        <v>231</v>
      </c>
    </row>
    <row r="3" spans="1:2" ht="13.5" customHeight="1" x14ac:dyDescent="0.3">
      <c r="A3" s="95" t="s">
        <v>132</v>
      </c>
      <c r="B3" s="181" t="s">
        <v>237</v>
      </c>
    </row>
    <row r="4" spans="1:2" ht="13.5" customHeight="1" x14ac:dyDescent="0.3">
      <c r="A4" s="95" t="s">
        <v>85</v>
      </c>
      <c r="B4" s="182" t="s">
        <v>238</v>
      </c>
    </row>
    <row r="5" spans="1:2" ht="13.5" customHeight="1" x14ac:dyDescent="0.3">
      <c r="A5" s="95" t="s">
        <v>133</v>
      </c>
      <c r="B5" s="183" t="s">
        <v>239</v>
      </c>
    </row>
    <row r="6" spans="1:2" ht="13.5" customHeight="1" x14ac:dyDescent="0.3">
      <c r="A6" s="95" t="s">
        <v>138</v>
      </c>
      <c r="B6" s="183" t="s">
        <v>240</v>
      </c>
    </row>
    <row r="7" spans="1:2" ht="13.5" customHeight="1" x14ac:dyDescent="0.3">
      <c r="A7" s="95" t="s">
        <v>134</v>
      </c>
      <c r="B7" s="183" t="s">
        <v>234</v>
      </c>
    </row>
    <row r="8" spans="1:2" ht="13.5" customHeight="1" x14ac:dyDescent="0.3">
      <c r="A8" s="95" t="s">
        <v>139</v>
      </c>
      <c r="B8" s="183" t="s">
        <v>241</v>
      </c>
    </row>
    <row r="9" spans="1:2" s="1" customFormat="1" ht="13.5" customHeight="1" x14ac:dyDescent="0.3">
      <c r="A9" s="95" t="s">
        <v>83</v>
      </c>
      <c r="B9" s="183" t="s">
        <v>242</v>
      </c>
    </row>
    <row r="10" spans="1:2" ht="13.5" customHeight="1" x14ac:dyDescent="0.3">
      <c r="A10" s="95" t="s">
        <v>140</v>
      </c>
      <c r="B10" s="183" t="s">
        <v>243</v>
      </c>
    </row>
    <row r="11" spans="1:2" ht="13.5" customHeight="1" x14ac:dyDescent="0.3">
      <c r="A11" s="95" t="s">
        <v>236</v>
      </c>
      <c r="B11" s="183" t="s">
        <v>235</v>
      </c>
    </row>
    <row r="12" spans="1:2" ht="13.5" customHeight="1" x14ac:dyDescent="0.3">
      <c r="A12" s="95" t="s">
        <v>135</v>
      </c>
      <c r="B12" s="183" t="s">
        <v>244</v>
      </c>
    </row>
    <row r="13" spans="1:2" ht="13.5" customHeight="1" x14ac:dyDescent="0.3">
      <c r="A13" s="95" t="s">
        <v>136</v>
      </c>
      <c r="B13" s="183" t="s">
        <v>245</v>
      </c>
    </row>
    <row r="14" spans="1:2" ht="13.5" customHeight="1" x14ac:dyDescent="0.3">
      <c r="A14" s="95" t="s">
        <v>84</v>
      </c>
      <c r="B14" s="183" t="s">
        <v>19</v>
      </c>
    </row>
    <row r="15" spans="1:2" s="1" customFormat="1" ht="13.5" customHeight="1" x14ac:dyDescent="0.3">
      <c r="A15" s="95" t="s">
        <v>82</v>
      </c>
      <c r="B15"/>
    </row>
    <row r="16" spans="1:2" ht="13.5" customHeight="1" x14ac:dyDescent="0.3">
      <c r="A16" s="95" t="s">
        <v>137</v>
      </c>
      <c r="B16" s="1"/>
    </row>
    <row r="17" spans="1:1" ht="13.5" customHeight="1" x14ac:dyDescent="0.3">
      <c r="A17" s="95" t="s">
        <v>233</v>
      </c>
    </row>
    <row r="18" spans="1:1" x14ac:dyDescent="0.3">
      <c r="A18" s="96" t="s">
        <v>80</v>
      </c>
    </row>
    <row r="19" spans="1:1" x14ac:dyDescent="0.3">
      <c r="A19" s="95" t="s">
        <v>141</v>
      </c>
    </row>
    <row r="20" spans="1:1" x14ac:dyDescent="0.3">
      <c r="A20" s="95" t="s">
        <v>19</v>
      </c>
    </row>
  </sheetData>
  <sheetProtection algorithmName="SHA-512" hashValue="vkTesznmLLyPGDLpUryXjyg6Bh/ft7B0ioqX/TB1ldrN5SrI7B0Y2Y2wCHSpvyzURdp2SjDhwab6aH1hMyuh0Q==" saltValue="PjaqUpoUUeoQno8L8tkalQ==" spinCount="100000" sheet="1" objects="1" scenarios="1"/>
  <sortState ref="A1:A15">
    <sortCondition ref="A1"/>
  </sortState>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11</vt:i4>
      </vt:variant>
      <vt:variant>
        <vt:lpstr>Adlandırılmış Aralıklar</vt:lpstr>
      </vt:variant>
      <vt:variant>
        <vt:i4>9</vt:i4>
      </vt:variant>
    </vt:vector>
  </HeadingPairs>
  <TitlesOfParts>
    <vt:vector size="20" baseType="lpstr">
      <vt:lpstr>İşyeri ve Çalışan Bilgileri</vt:lpstr>
      <vt:lpstr>İG-1</vt:lpstr>
      <vt:lpstr>İG-2</vt:lpstr>
      <vt:lpstr>İG-3</vt:lpstr>
      <vt:lpstr>İG-4</vt:lpstr>
      <vt:lpstr>İG-5</vt:lpstr>
      <vt:lpstr>İG-6</vt:lpstr>
      <vt:lpstr>İG-7</vt:lpstr>
      <vt:lpstr>İG-8</vt:lpstr>
      <vt:lpstr>İS-1</vt:lpstr>
      <vt:lpstr>Sayfa1</vt:lpstr>
      <vt:lpstr>'İG-1'!Yazdırma_Alanı</vt:lpstr>
      <vt:lpstr>'İG-3'!Yazdırma_Alanı</vt:lpstr>
      <vt:lpstr>'İG-4'!Yazdırma_Alanı</vt:lpstr>
      <vt:lpstr>'İG-5'!Yazdırma_Alanı</vt:lpstr>
      <vt:lpstr>'İG-6'!Yazdırma_Alanı</vt:lpstr>
      <vt:lpstr>'İG-7'!Yazdırma_Alanı</vt:lpstr>
      <vt:lpstr>'İG-8'!Yazdırma_Alanı</vt:lpstr>
      <vt:lpstr>'İS-1'!Yazdırma_Alanı</vt:lpstr>
      <vt:lpstr>'İşyeri ve Çalışan Bilgileri'!Yazdırma_Alanı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2006-09-26T09:04:32Z</dcterms:created>
  <dcterms:modified xsi:type="dcterms:W3CDTF">2026-02-16T09:15:07Z</dcterms:modified>
</cp:coreProperties>
</file>