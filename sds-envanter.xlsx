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metinsalik/Desktop/"/>
    </mc:Choice>
  </mc:AlternateContent>
  <xr:revisionPtr revIDLastSave="0" documentId="13_ncr:1_{50CDC694-B21E-D240-A945-BA39DF24A556}" xr6:coauthVersionLast="47" xr6:coauthVersionMax="47" xr10:uidLastSave="{00000000-0000-0000-0000-000000000000}"/>
  <bookViews>
    <workbookView xWindow="0" yWindow="660" windowWidth="30240" windowHeight="17180" xr2:uid="{9A95D53E-57D0-7448-8D35-0B0E936E34E5}"/>
  </bookViews>
  <sheets>
    <sheet name="Sayfa1" sheetId="1" r:id="rId1"/>
    <sheet name="Sayf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6" i="2"/>
  <c r="C7" i="2"/>
  <c r="C8" i="2"/>
  <c r="C9" i="2"/>
  <c r="C10" i="2"/>
  <c r="C11" i="2"/>
  <c r="C12" i="2"/>
  <c r="C13" i="2"/>
  <c r="C14" i="2"/>
  <c r="C16" i="2"/>
  <c r="C17" i="2"/>
  <c r="C18" i="2"/>
  <c r="C19" i="2"/>
  <c r="C20" i="2"/>
  <c r="C22" i="2"/>
  <c r="C23" i="2"/>
  <c r="C24" i="2"/>
  <c r="C25"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6" i="2"/>
  <c r="C77" i="2"/>
  <c r="C78" i="2"/>
  <c r="C79" i="2"/>
  <c r="C80" i="2"/>
  <c r="C81" i="2"/>
  <c r="C82" i="2"/>
  <c r="C83" i="2"/>
  <c r="C84" i="2"/>
  <c r="C85" i="2"/>
  <c r="C86" i="2"/>
  <c r="C87" i="2"/>
  <c r="C88" i="2"/>
  <c r="C89" i="2"/>
  <c r="C90" i="2"/>
  <c r="C91" i="2"/>
  <c r="C92" i="2"/>
  <c r="C93" i="2"/>
  <c r="C94" i="2"/>
  <c r="C95" i="2"/>
  <c r="C96" i="2"/>
  <c r="C97" i="2"/>
  <c r="C98" i="2"/>
  <c r="C99" i="2"/>
  <c r="C101" i="2"/>
  <c r="C102" i="2"/>
  <c r="C103" i="2"/>
  <c r="C104" i="2"/>
  <c r="C105" i="2"/>
  <c r="C106" i="2"/>
  <c r="C107" i="2"/>
  <c r="C108" i="2"/>
  <c r="C110" i="2"/>
  <c r="C111" i="2"/>
  <c r="C113" i="2"/>
  <c r="C114" i="2"/>
  <c r="C115" i="2"/>
  <c r="C116" i="2"/>
  <c r="C117" i="2"/>
  <c r="C119" i="2"/>
  <c r="C120" i="2"/>
  <c r="C121" i="2"/>
  <c r="C122" i="2"/>
  <c r="C123" i="2"/>
  <c r="C125" i="2"/>
  <c r="C128" i="2"/>
  <c r="C129" i="2"/>
  <c r="C130" i="2"/>
  <c r="C131" i="2"/>
  <c r="C132" i="2"/>
  <c r="C133" i="2"/>
  <c r="C134" i="2"/>
  <c r="C135" i="2"/>
  <c r="C137" i="2"/>
  <c r="C138" i="2"/>
  <c r="C139" i="2"/>
  <c r="C140" i="2"/>
  <c r="C141" i="2"/>
  <c r="C142" i="2"/>
  <c r="C144" i="2"/>
  <c r="C145" i="2"/>
  <c r="C146" i="2"/>
  <c r="C148" i="2"/>
  <c r="C149" i="2"/>
  <c r="C150" i="2"/>
  <c r="C151" i="2"/>
  <c r="C152" i="2"/>
  <c r="C153" i="2"/>
  <c r="C154" i="2"/>
  <c r="C155" i="2"/>
  <c r="C157" i="2"/>
  <c r="C158" i="2"/>
  <c r="C159" i="2"/>
  <c r="C160" i="2"/>
  <c r="C161" i="2"/>
  <c r="C162" i="2"/>
  <c r="C163" i="2"/>
  <c r="C165" i="2"/>
  <c r="C169" i="2"/>
  <c r="C170" i="2"/>
  <c r="C171" i="2"/>
  <c r="C172" i="2"/>
  <c r="C174" i="2"/>
  <c r="C175" i="2"/>
  <c r="C176" i="2"/>
  <c r="C177" i="2"/>
  <c r="C178" i="2"/>
  <c r="C179" i="2"/>
  <c r="C180" i="2"/>
  <c r="C182" i="2"/>
  <c r="C185" i="2"/>
  <c r="C186" i="2"/>
  <c r="C188" i="2"/>
  <c r="C190" i="2"/>
  <c r="C191" i="2"/>
  <c r="C192" i="2"/>
  <c r="C193" i="2"/>
  <c r="C194" i="2"/>
  <c r="C195" i="2"/>
  <c r="C196" i="2"/>
  <c r="C197" i="2"/>
  <c r="C198" i="2"/>
  <c r="C199" i="2"/>
  <c r="C200" i="2"/>
  <c r="C201" i="2"/>
  <c r="C202" i="2"/>
  <c r="C203" i="2"/>
  <c r="C204" i="2"/>
  <c r="C205" i="2"/>
  <c r="C206" i="2"/>
  <c r="C207" i="2"/>
  <c r="C208" i="2"/>
  <c r="C209" i="2"/>
  <c r="C210" i="2"/>
  <c r="C211" i="2"/>
  <c r="C212" i="2"/>
  <c r="C214" i="2"/>
  <c r="C215" i="2"/>
  <c r="C216" i="2"/>
  <c r="C217" i="2"/>
  <c r="C218" i="2"/>
  <c r="C220" i="2"/>
  <c r="C221" i="2"/>
  <c r="C223" i="2"/>
  <c r="C224" i="2"/>
  <c r="C225" i="2"/>
  <c r="C226" i="2"/>
  <c r="C227" i="2"/>
  <c r="C229" i="2"/>
  <c r="C230" i="2"/>
  <c r="C231" i="2"/>
  <c r="C232" i="2"/>
  <c r="C233" i="2"/>
  <c r="C234" i="2"/>
  <c r="C235" i="2"/>
  <c r="C237" i="2"/>
  <c r="C238" i="2"/>
  <c r="C239" i="2"/>
  <c r="C240" i="2"/>
  <c r="C241" i="2"/>
  <c r="C243" i="2"/>
  <c r="C244" i="2"/>
  <c r="C245" i="2"/>
  <c r="C246" i="2"/>
  <c r="C247" i="2"/>
  <c r="C248" i="2"/>
  <c r="C250" i="2"/>
  <c r="C251" i="2"/>
  <c r="C253" i="2"/>
  <c r="C254" i="2"/>
  <c r="C284" i="2"/>
  <c r="C317" i="2"/>
  <c r="C322" i="2"/>
  <c r="C352" i="2"/>
  <c r="C353" i="2"/>
  <c r="C361" i="2"/>
  <c r="C362" i="2"/>
  <c r="C383" i="2"/>
  <c r="C390" i="2"/>
  <c r="C391" i="2"/>
  <c r="C392" i="2"/>
  <c r="C397" i="2"/>
  <c r="C399" i="2"/>
  <c r="C402" i="2"/>
  <c r="C403" i="2"/>
  <c r="C404" i="2"/>
  <c r="C412" i="2"/>
  <c r="C414" i="2"/>
  <c r="C416" i="2"/>
  <c r="C417" i="2"/>
  <c r="C419" i="2"/>
  <c r="C420" i="2"/>
  <c r="C421" i="2"/>
  <c r="C422" i="2"/>
  <c r="C423" i="2"/>
  <c r="C424" i="2"/>
  <c r="C425" i="2"/>
  <c r="C426" i="2"/>
  <c r="C428" i="2"/>
  <c r="C429" i="2"/>
  <c r="C433" i="2"/>
  <c r="C435" i="2"/>
  <c r="C436" i="2"/>
  <c r="C437" i="2"/>
  <c r="C438" i="2"/>
  <c r="C439" i="2"/>
  <c r="C440" i="2"/>
  <c r="C441" i="2"/>
  <c r="C443" i="2"/>
  <c r="C444" i="2"/>
  <c r="C445" i="2"/>
  <c r="C447" i="2"/>
  <c r="C448" i="2"/>
  <c r="C449" i="2"/>
  <c r="C450" i="2"/>
  <c r="C451" i="2"/>
  <c r="C452" i="2"/>
  <c r="C453" i="2"/>
  <c r="C454" i="2"/>
  <c r="C455" i="2"/>
  <c r="C456" i="2"/>
  <c r="C457" i="2"/>
  <c r="C458" i="2"/>
  <c r="C460" i="2"/>
  <c r="C461" i="2"/>
  <c r="C462" i="2"/>
  <c r="C463" i="2"/>
  <c r="C464" i="2"/>
  <c r="C465" i="2"/>
  <c r="C466" i="2"/>
  <c r="C467" i="2"/>
  <c r="C468" i="2"/>
  <c r="C469" i="2"/>
  <c r="C470" i="2"/>
  <c r="C471" i="2"/>
  <c r="C472" i="2"/>
  <c r="C473" i="2"/>
  <c r="C474" i="2"/>
  <c r="C475" i="2"/>
  <c r="C476" i="2"/>
  <c r="C477" i="2"/>
  <c r="C478" i="2"/>
  <c r="C479" i="2"/>
  <c r="C480" i="2"/>
  <c r="C481" i="2"/>
  <c r="C482" i="2"/>
  <c r="C484" i="2"/>
  <c r="C485" i="2"/>
  <c r="C486" i="2"/>
  <c r="C487" i="2"/>
  <c r="C489" i="2"/>
  <c r="C490" i="2"/>
  <c r="C491" i="2"/>
  <c r="C493" i="2"/>
  <c r="C494" i="2"/>
  <c r="C495" i="2"/>
  <c r="C496" i="2"/>
  <c r="C497" i="2"/>
  <c r="C498" i="2"/>
  <c r="C500" i="2"/>
  <c r="C501" i="2"/>
  <c r="C502" i="2"/>
  <c r="C503" i="2"/>
  <c r="C504" i="2"/>
  <c r="C505" i="2"/>
  <c r="C507" i="2"/>
  <c r="C508" i="2"/>
  <c r="C509" i="2"/>
  <c r="C510" i="2"/>
  <c r="C511" i="2"/>
  <c r="C512" i="2"/>
  <c r="C514"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3" i="2"/>
  <c r="C2" i="2"/>
  <c r="D2" i="2"/>
  <c r="D3" i="2"/>
  <c r="D4" i="2"/>
  <c r="D6" i="2"/>
  <c r="D7" i="2"/>
  <c r="D8" i="2"/>
  <c r="D9" i="2"/>
  <c r="D10" i="2"/>
  <c r="D11" i="2"/>
  <c r="D12" i="2"/>
  <c r="D13" i="2"/>
  <c r="D14" i="2"/>
  <c r="D16" i="2"/>
  <c r="D17" i="2"/>
  <c r="D18" i="2"/>
  <c r="D19" i="2"/>
  <c r="D20" i="2"/>
  <c r="D22" i="2"/>
  <c r="D23" i="2"/>
  <c r="D24" i="2"/>
  <c r="D25"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6" i="2"/>
  <c r="D77" i="2"/>
  <c r="D78" i="2"/>
  <c r="D79" i="2"/>
  <c r="D80" i="2"/>
  <c r="D81" i="2"/>
  <c r="D82" i="2"/>
  <c r="D83" i="2"/>
  <c r="D84" i="2"/>
  <c r="D85" i="2"/>
  <c r="D86" i="2"/>
  <c r="D87" i="2"/>
  <c r="D88" i="2"/>
  <c r="D89" i="2"/>
  <c r="D90" i="2"/>
  <c r="D91" i="2"/>
  <c r="D92" i="2"/>
  <c r="D93" i="2"/>
  <c r="D94" i="2"/>
  <c r="D95" i="2"/>
  <c r="D96" i="2"/>
  <c r="D97" i="2"/>
  <c r="D98" i="2"/>
  <c r="D99" i="2"/>
  <c r="D101" i="2"/>
  <c r="D102" i="2"/>
  <c r="D103" i="2"/>
  <c r="D104" i="2"/>
  <c r="D105" i="2"/>
  <c r="D106" i="2"/>
  <c r="D107" i="2"/>
  <c r="D108" i="2"/>
  <c r="D110" i="2"/>
  <c r="D111" i="2"/>
  <c r="D113" i="2"/>
  <c r="D114" i="2"/>
  <c r="D115" i="2"/>
  <c r="D116" i="2"/>
  <c r="D117" i="2"/>
  <c r="D119" i="2"/>
  <c r="D120" i="2"/>
  <c r="D121" i="2"/>
  <c r="D122" i="2"/>
  <c r="D123" i="2"/>
  <c r="D125" i="2"/>
  <c r="D128" i="2"/>
  <c r="D129" i="2"/>
  <c r="D130" i="2"/>
  <c r="D131" i="2"/>
  <c r="D132" i="2"/>
  <c r="D133" i="2"/>
  <c r="D134" i="2"/>
  <c r="D135" i="2"/>
  <c r="D137" i="2"/>
  <c r="D138" i="2"/>
  <c r="D139" i="2"/>
  <c r="D140" i="2"/>
  <c r="D141" i="2"/>
  <c r="D142" i="2"/>
  <c r="D144" i="2"/>
  <c r="D145" i="2"/>
  <c r="D146" i="2"/>
  <c r="D148" i="2"/>
  <c r="D149" i="2"/>
  <c r="D150" i="2"/>
  <c r="D151" i="2"/>
  <c r="D152" i="2"/>
  <c r="D153" i="2"/>
  <c r="D154" i="2"/>
  <c r="D155" i="2"/>
  <c r="D157" i="2"/>
  <c r="D158" i="2"/>
  <c r="D159" i="2"/>
  <c r="D160" i="2"/>
  <c r="D161" i="2"/>
  <c r="D162" i="2"/>
  <c r="D163" i="2"/>
  <c r="D165" i="2"/>
  <c r="D169" i="2"/>
  <c r="D170" i="2"/>
  <c r="D171" i="2"/>
  <c r="D172" i="2"/>
  <c r="D174" i="2"/>
  <c r="D175" i="2"/>
  <c r="D176" i="2"/>
  <c r="D177" i="2"/>
  <c r="D178" i="2"/>
  <c r="D179" i="2"/>
  <c r="D180" i="2"/>
  <c r="D182" i="2"/>
  <c r="D185" i="2"/>
  <c r="D186" i="2"/>
  <c r="D188" i="2"/>
  <c r="D190" i="2"/>
  <c r="D191" i="2"/>
  <c r="D192" i="2"/>
  <c r="D193" i="2"/>
  <c r="D194" i="2"/>
  <c r="D195" i="2"/>
  <c r="D196" i="2"/>
  <c r="D197" i="2"/>
  <c r="D198" i="2"/>
  <c r="D199" i="2"/>
  <c r="D200" i="2"/>
  <c r="D201" i="2"/>
  <c r="D202" i="2"/>
  <c r="D203" i="2"/>
  <c r="D204" i="2"/>
  <c r="D205" i="2"/>
  <c r="D206" i="2"/>
  <c r="D207" i="2"/>
  <c r="D208" i="2"/>
  <c r="D209" i="2"/>
  <c r="D210" i="2"/>
  <c r="D211" i="2"/>
  <c r="D212" i="2"/>
  <c r="D214" i="2"/>
  <c r="D215" i="2"/>
  <c r="D216" i="2"/>
  <c r="D217" i="2"/>
  <c r="D218" i="2"/>
  <c r="D220" i="2"/>
  <c r="D221" i="2"/>
  <c r="D223" i="2"/>
  <c r="D224" i="2"/>
  <c r="D225" i="2"/>
  <c r="D226" i="2"/>
  <c r="D227" i="2"/>
  <c r="D229" i="2"/>
  <c r="D230" i="2"/>
  <c r="D231" i="2"/>
  <c r="D232" i="2"/>
  <c r="D233" i="2"/>
  <c r="D234" i="2"/>
  <c r="D235" i="2"/>
  <c r="D237" i="2"/>
  <c r="D238" i="2"/>
  <c r="D239" i="2"/>
  <c r="D240" i="2"/>
  <c r="D241" i="2"/>
  <c r="D243" i="2"/>
  <c r="D244" i="2"/>
  <c r="D245" i="2"/>
  <c r="D246" i="2"/>
  <c r="D247" i="2"/>
  <c r="D248" i="2"/>
  <c r="D250" i="2"/>
  <c r="D251" i="2"/>
  <c r="D253" i="2"/>
  <c r="D254" i="2"/>
  <c r="D284" i="2"/>
  <c r="D317" i="2"/>
  <c r="D322" i="2"/>
  <c r="D352" i="2"/>
  <c r="D353" i="2"/>
  <c r="D361" i="2"/>
  <c r="D362" i="2"/>
  <c r="D383" i="2"/>
  <c r="D390" i="2"/>
  <c r="D391" i="2"/>
  <c r="D392" i="2"/>
  <c r="D397" i="2"/>
  <c r="D399" i="2"/>
  <c r="D402" i="2"/>
  <c r="D403" i="2"/>
  <c r="D404" i="2"/>
  <c r="D412" i="2"/>
  <c r="D414" i="2"/>
  <c r="D416" i="2"/>
  <c r="D417" i="2"/>
  <c r="D419" i="2"/>
  <c r="D420" i="2"/>
  <c r="D421" i="2"/>
  <c r="D422" i="2"/>
  <c r="D423" i="2"/>
  <c r="D424" i="2"/>
  <c r="D425" i="2"/>
  <c r="D426" i="2"/>
  <c r="D428" i="2"/>
  <c r="D429" i="2"/>
  <c r="D433" i="2"/>
  <c r="D435" i="2"/>
  <c r="D436" i="2"/>
  <c r="D437" i="2"/>
  <c r="D438" i="2"/>
  <c r="D439" i="2"/>
  <c r="D440" i="2"/>
  <c r="D441" i="2"/>
  <c r="D443" i="2"/>
  <c r="D444" i="2"/>
  <c r="D445" i="2"/>
  <c r="D447" i="2"/>
  <c r="D448" i="2"/>
  <c r="D449" i="2"/>
  <c r="D450" i="2"/>
  <c r="D451" i="2"/>
  <c r="D452" i="2"/>
  <c r="D453" i="2"/>
  <c r="D454" i="2"/>
  <c r="D455" i="2"/>
  <c r="D456" i="2"/>
  <c r="D457" i="2"/>
  <c r="D458" i="2"/>
  <c r="D460" i="2"/>
  <c r="D461" i="2"/>
  <c r="D462" i="2"/>
  <c r="D463" i="2"/>
  <c r="D464" i="2"/>
  <c r="D465" i="2"/>
  <c r="D466" i="2"/>
  <c r="D467" i="2"/>
  <c r="D468" i="2"/>
  <c r="D469" i="2"/>
  <c r="D470" i="2"/>
  <c r="D471" i="2"/>
  <c r="D472" i="2"/>
  <c r="D473" i="2"/>
  <c r="D474" i="2"/>
  <c r="D475" i="2"/>
  <c r="D476" i="2"/>
  <c r="D477" i="2"/>
  <c r="D478" i="2"/>
  <c r="D480" i="2"/>
  <c r="D481" i="2"/>
  <c r="D482" i="2"/>
  <c r="D484" i="2"/>
  <c r="D485" i="2"/>
  <c r="D486" i="2"/>
  <c r="D487" i="2"/>
  <c r="D489" i="2"/>
  <c r="D490" i="2"/>
  <c r="D491" i="2"/>
  <c r="D493" i="2"/>
  <c r="D494" i="2"/>
  <c r="D495" i="2"/>
  <c r="D496" i="2"/>
  <c r="D497" i="2"/>
  <c r="D498" i="2"/>
  <c r="D500" i="2"/>
  <c r="D501" i="2"/>
  <c r="D502" i="2"/>
  <c r="D503" i="2"/>
  <c r="D504" i="2"/>
  <c r="D505" i="2"/>
  <c r="D507" i="2"/>
  <c r="D508" i="2"/>
  <c r="D509" i="2"/>
  <c r="D510" i="2"/>
  <c r="D511" i="2"/>
  <c r="D512" i="2"/>
  <c r="D514"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alcChain>
</file>

<file path=xl/sharedStrings.xml><?xml version="1.0" encoding="utf-8"?>
<sst xmlns="http://schemas.openxmlformats.org/spreadsheetml/2006/main" count="8756" uniqueCount="4600">
  <si>
    <t xml:space="preserve"> Ürün Adı</t>
  </si>
  <si>
    <t>Kullanım Şekli</t>
  </si>
  <si>
    <t xml:space="preserve"> Bileşimi/ içerik</t>
  </si>
  <si>
    <t xml:space="preserve"> Tehlike Tanımları</t>
  </si>
  <si>
    <t xml:space="preserve">İlk Yardım Önlemleri </t>
  </si>
  <si>
    <t>Yangınla Mücadele  Tedbirleri</t>
  </si>
  <si>
    <t>Kaza Sonucu Serbest Kalması Durumunda Alınacak Tedbirler</t>
  </si>
  <si>
    <t>Kullanım ve Depolama</t>
  </si>
  <si>
    <t>Maruz Kalma Kontrolü ve Kişisel Korunma</t>
  </si>
  <si>
    <t>Fiziksel ve Kimyasal Özellikleri</t>
  </si>
  <si>
    <t xml:space="preserve">Stabilite ve Reaktivite   </t>
  </si>
  <si>
    <t>Toksikolojik Bilgi</t>
  </si>
  <si>
    <t>Temizlik/ İmha Yöntemi</t>
  </si>
  <si>
    <t>Tehlikeli Madde Sınıfı Görseli</t>
  </si>
  <si>
    <t xml:space="preserve"> SOLUSCOPE C+</t>
  </si>
  <si>
    <t>5-10 ADET</t>
  </si>
  <si>
    <t>DEZENFEKTAN</t>
  </si>
  <si>
    <t>METOKSİPROPOKSİPROPANOL DIDECYLDIMETHYLAMMONIUM Skin Corr. 1B, H314
CHLORIDE GLYCOLIC ACID PROPAN-2-OL PROPYLENE GLYCOL MONOBUTYL Eye Irrit. 2, H319
ETHER</t>
  </si>
  <si>
    <t>Tehlikeli</t>
  </si>
  <si>
    <t xml:space="preserve">Solunma yoluyla maruz kalınması halinde:
Maruz kaldığı yerden kişiyi uzaklaştırın ve onu açık havaya götürün. 
Göze sıçraması veya gözle temas etmesi halinde:
Gerektiği durumda, kontak lensleri çıkarın.
Göz kapaklarını genişçe açık tutarak 15 dakika boyunca temiz ve tatlı su ile bolca yıkayın.
Bulaşmayan göze doğru suyu akıtmayın.
Bir göz doktorunda veya bir göz kliniğinde derhal gerçekleştirilecek tamamlayıcı bakımlar.
Tıbbi muayeneye kadar su ile yıkamaya devam edin.
Deriye sıçraması veya deriyle temas etmesi halinde:
Mümkün ise, ilk yardımları vermek için kauçuk eldivenler giyin.
Üzerine sıçramış olan veya lekelenen her elbiseyi derhal çıkarın. Bulaşma kirlilikleri giderilmeden önce bu elbiseler tekrar kullanılmayacaktır.
15 dakika boyunca suda bolca yıkayın.
Bulaşmış bölge genişlediği ve/veya deri ile ilgili yaralar göründüğü sırada, bir doktora muayene ettirilmesi veya bir hastahane ortamına
sevkettirilmesi gereklidir.
Yutulması halinde:
Ağızı çalkalayın, kusturmayın, kişiyi sakinleştirin ve onu derhal kiliniğe veya doktora götürün. Doktora etiketi gösterin
</t>
  </si>
  <si>
    <t>Bütün söndürme maddeleri onaylanır : köpük, kum, karbon dioksit, su, toz.</t>
  </si>
  <si>
    <t xml:space="preserve">Sızıntıları kum, toprak, vermikülit, diyatome toprak gibi yanıcı olmayan malzemelerle toplayarak, atıkların imhası için kullanılan bidonlar içinde
muhafaza edin, atıkların imhası için kullanılan bidonlar içinde muhafaza edin.
</t>
  </si>
  <si>
    <t>Deri, gözler ve elbiseler ile her temas etmesini engelleyin.
Etiket üzerinde ele alınan kullanım talimatlarına uyarak bunu kullanın.
İyi havalandırılmış bölgelerde kullanınız</t>
  </si>
  <si>
    <t>Uygun teknik incelemeler
Odaların iyi bir havalandırılmasını sağlayın. Çalışma yerinin havası içindeki konsantrasyonlar, normal kullanım koşulları içinde verilen limit
değerleri aşmamalıdır.
Kişisel koruma önlemleri; örn. kişisel koruma ekipmanı
Temiz ve bakımı gerektiği gibi yapılmış kişisel koruma ekipmanları kullanın.
Kişisel koruma ekipmanlarını çalışma alanından uzak, temiz bir yerde saklayın.
Kullanım sırasında bir şey yemeyin, içmeyin veya sigara kullanmayın. Yeniden kullanmadan önce kirli kıyafetleri çıkarıp yıkayın. Özellikle kapalı
alanların yeterince havalandırıldığından emin olun</t>
  </si>
  <si>
    <t xml:space="preserve">Fiziksel hali: Akışkan sıvı
Koku: zayıf
Renk: mavi
</t>
  </si>
  <si>
    <t xml:space="preserve">
Saklama ve kullanımla ilgili önerilere/talimatlara uyulursa tehlikeli reaksiyon olmaz.
</t>
  </si>
  <si>
    <t xml:space="preserve">Boğaz ağrısı, öksürük, kısa nefes, solunum yetersizliği
Yutma durumunda: yüksek derecede solunum ve sindirim yollarının yanmaları, karın bölgesi ile ilgili sancılar, kan kusma, ağır doku yaraları ve bir
delinme riski.
</t>
  </si>
  <si>
    <t>Karışımın ve/veya kabının uygun atık yönetimi 2008/98/EC no.lu Direktife göre belirlenmelidir.
Ambalajlar tekrar kullanılmamalıdır.
Akarsular içine dökmeyin.</t>
  </si>
  <si>
    <t xml:space="preserve"> SOLUSCOPE P</t>
  </si>
  <si>
    <t>HYDROGEN PEROXIDE ACETIC ACID  PERACETIC ACID</t>
  </si>
  <si>
    <t>Solunma yoluyla maruz kalınması halinde:
Maruz kaldığı yerden kişiyi uzaklaştırın ve onu açık havaya götürün.
Solunum ile ilgili problemlerin ortaya çıkması durumunda (örneğin, kuvvetli öksürükler) :
Kişiyi gövde üstü dik tutulmuş yarı oturur konuma getirin; sakin bir ortamda ve sıcak tutun.
Derhal bir doktor çağırın.
Göze sıçraması veya gözle temas etmesi halinde:
Gerektiği durumda, kontak lensleri çıkarın.
Göz kapaklarını genişçe açık tutarak 15 dakika boyunca temiz ve tatlı su ile bolca yıkayın.
Bulaşmayan göze doğru suyu akıtmayın.
Bir göz doktorunda veya bir göz kliniğinde derhal gerçekleştirilecek tamamlayıcı bakımlar. Ambalaj veya etiketi gösterin.
Tıbbi muayeneye kadar su ile yıkamaya devam edin.
Deriye sıçraması veya deriyle temas etmesi halinde:
Mümkün ise, ilk yardımları vermek için kauçuk eldivenler giyin.
Üzerine sıçramış olan veya lekelenen her elbiseyi derhal çıkarın. Bulaşma kirlilikleri giderilmeden önce bu elbiseler tekrar kullanılmayacaktır.
15 dakika boyunca suda bolca yıkayın.
Bulaşmış bölge genişlediği ve/veya deri ile ilgili yaralar göründüğü sırada, bir doktora muayene ettirilmesi veya bir hastahane ortamına
sevkettirilmesi gereklidir.
Yutulması halinde:
Ağızı çalkalayın, hiç birşey içirmeyin, kusturmayın, kişiyi sakinleştirin ve onu derhal kiliniğe veya doktora götürün. Doktora etiketi gösterin.
Bir gaz yayılması gerekçesiyle, kusma veya yutma durumunda akciğerlere ürünün nüfuz etme riski (emme tehlikesi).</t>
  </si>
  <si>
    <t>Buharlı su püskürtme, köpük, kuru toz ve karbon dioksit.</t>
  </si>
  <si>
    <t>Korumasız kişileri uzakta tutun.
Alevlenebilir bütün kaynakları tehlikenin dışına koyun ve onları uzakta tutun.
Buharların teneffüs edilmesini önleyin.
Olası tüm ateşlenme kaynağını ortadan kaldırın ve odaları havalandırın.
Deri ve gözler ile her temas etmesini engelleyin.
6.2. Çevresel önlemler
Sızıntıları kum, toprak, vermikülit, diyatome toprak gibi yanıcı olmayan malzemelerle toplayarak, atıkların imhası için kullanılan bidonlar içinde
muhafaza edin, atıkların imhası için kullanılan bidonlar içinde muhafaza edin.
Toplanan atıkları geçerli yönetmeliklere uygun olarak bertaraf etmek için varil kullanın (bkz. bölüm 13).
Fıçılar dahil, hatalı kapları sıkıca KAPATMAYIN (ürünün ayrışmasına bağlı olan patlama tehlikesi).
Doğal ortam içine atmayın (akarsular, topraklar ve bitki örtüleri ... ..)
6.3. Muhafaza ve temizliğe yönelik yöntem ve malzemeler
Yanıcı olmayan emici maddeler ile yere saçılmış olan ürünü emdirin, ve süpürün veya kürekle kaldırın. Yokedilmeleri maksadıyla fıçılar içerisine
döküntüleri koyun. Onları başka hiçbir döküntü ile karıştırmayın. Kirlenmiş olan yüzeyi bolca su ile yıkayın.
Tekrar bir kullanımı maksadıyla ürünü tekrar geri almayın.
Yanıcı malzemeleri, ağaç talaşı, kumaşları KULLANMAYIN</t>
  </si>
  <si>
    <t>Deri, gözler ve elbiseler ile her temas etmesini engelleyin.
Etiket üzerinde ele alınan kullanım talimatlarına uyarak bunu kullanın.
Kabı sıkıca kapatmayın.
Boru donanımları içinde ve kapalı kapların içinde ayrışma durumunda patlama ve aşırı basınç tehlikesi.
Yangın önlemleri:
Kullanım alanında yeterli havalandırma sağlanmalıdır.
İzinli olmayan kimselerin uygulama alanına girmesine izin vermeyin.
Bütün ateşlenme kaynaklarını uzakta muhafaza edin - sigara içmeyin.
Alevlenebilir malzemeleri uzakta muhafaza edin.
Kıvılcımlara neden olabilecek aletleri kullanmayın. Sigara içmeyin.</t>
  </si>
  <si>
    <t>Odaların iyi bir havalandırılmasını sağlayın. Çalışma yerinin havası içindeki konsantrasyonlar, normal kullanım koşulları içinde verilen limit
değerleri aşmamalıdır.
Kişisel koruma önlemleri; örn. kişisel koruma ekipmanı
Temiz ve bakımı gerektiği gibi yapılmış kişisel koruma ekipmanları kullanın.</t>
  </si>
  <si>
    <t>Fiziksel hali: Akışkan sıvı
Renk: renksiz
Koku: zayıf, asetik asit karakteristiği</t>
  </si>
  <si>
    <t>Saklama ve kullanımla ilgili önerilere/talimatlara uyulursa tehlikeli reaksiyon olmaz.
Sodyum hipoklorit (javel) ile temas durumunda, gaz klor yayılması
Bazlar ile ekzotermik reaksiyon.</t>
  </si>
  <si>
    <t>Teneffüs etme, solunum yollarının tahriş olmasına neden olabilir.
Boğaz ağrısı, öksürük, kısa nefes, solunum yetersizliği
Yutma durumunda: yüksek derecede solunum ve sindirim yollarının yanmaları, karın bölgesi ile ilgili sancılar, kan kusma, ağır doku yaraları ve bir
delinme riski.
Ürünün uzun süre boyunca teneffüs edilmesi, toksik akciğer ödemine neden olabilir.
Gaz embolizmi riski.</t>
  </si>
  <si>
    <t>Kronik toksisite:
Kalıcı etkilerinin yanında deniz yaşamı için çok zehirlidir. Karışımın ve/veya kabının uygun atık yönetimi 2008/98/EC no.lu Direktife göre belirlenmelidir.
Akarsular içine dökmeyin.
Ambalajlar tekrar kullanılmamalıdır</t>
  </si>
  <si>
    <t xml:space="preserve"> SOLUSCOPE PA</t>
  </si>
  <si>
    <t>2-5 ADET</t>
  </si>
  <si>
    <t>HYDROGEN PEROXIDE SOLUTION ACETIC ACID PERACETIC ACID</t>
  </si>
  <si>
    <t xml:space="preserve">Buharlı su püskürtme, köpük, kuru toz ve karbon dioksit.
</t>
  </si>
  <si>
    <t>Alevlenebilir bütün kaynakları tehlikenin dışına koyun ve onları uzakta tutun.
Buharların teneffüs edilmesini önleyin.
Olası tüm ateşlenme kaynağını ortadan kaldırın ve odaları havalandırın.
Deri ve gözler ile her temas etmesini engelleyin.
6.2. Çevresel önlemler
Sızıntıları kum, toprak, vermikülit, diyatome toprak gibi yanıcı olmayan malzemelerle toplayarak, atıkların imhası için kullanılan bidonlar içinde
muhafaza edin, atıkların imhası için kullanılan bidonlar içinde muhafaza edin.
Toplanan atıkları geçerli yönetmeliklere uygun olarak bertaraf etmek için varil kullanın (bkz. bölüm 13).
Fıçılar dahil, hatalı kapları sıkıca KAPATMAYIN (ürünün ayrışmasına bağlı olan patlama tehlikesi).
Doğal ortam içine atmayın (akarsular, topraklar ve bitki örtüleri ... ..)</t>
  </si>
  <si>
    <t>Harici kullanım ürünü - Yutmayın.
Deri, gözler ve elbiseler ile her temas etmesini engelleyin.
Etiket üzerinde ele alınan kullanım talimatlarına uyarak bunu kullanın.
Kabı sıkıca kapatmayın.
Boru donanımları içinde ve kapalı kapların içinde ayrışma durumunda patlama ve aşırı basınç tehlikesi</t>
  </si>
  <si>
    <t>Odaların iyi bir havalandırılmasını sağlayın. Çalışma yerinin havası içindeki konsantrasyonlar, normal kullanım koşulları içinde verilen limit
değerleri aşmamalıdır.
Kişisel koruma önlemleri; örn. kişisel koruma ekipmanı
Temiz ve bakımı gerektiği gibi yapılmış kişisel koruma ekipmanları kullanın.
Kişisel koruma ekipmanlarını çalışma alanından uzak, temiz bir yerde saklayın.
Kullanım sırasında bir şey yemeyin, içmeyin veya sigara kullanmayın. Yeniden kullanmadan önce kirli kıyafetleri çıkarıp yıkayın. Özellikle kapalı
alanların yeterince havalandırıldığından emin olun</t>
  </si>
  <si>
    <t>Fiziksel hali: Akışkan sıvı
Koku: zayıf, asetik asit karakteristiği
Renk: renksiz</t>
  </si>
  <si>
    <t>Saklama ve kullanımla ilgili önerilere/talimatlara uyulursa tehlikeli reaksiyon olmaz.
Bazlar ile ekzotermik reaksiyon.</t>
  </si>
  <si>
    <t>Teneffüs etme, solunum yollarının tahriş olmasına neden olabilir.
Boğaz ağrısı, öksürük, kısa nefes, solunum yetersizliği
Yutma durumunda: yüksek derecede solunum ve sindirim yollarının yanmaları, karın bölgesi ile ilgili sancılar, kan kusma, ağır doku yaraları ve bir
delinme riski.</t>
  </si>
  <si>
    <t>Akarsular içine dökmeyin.
Ambalajlar tekrar kullanılmamalıdır.</t>
  </si>
  <si>
    <t>%96 ALKOL BAZLI SOLÜSYON</t>
  </si>
  <si>
    <t>20 LT</t>
  </si>
  <si>
    <t>SIVI</t>
  </si>
  <si>
    <t>(-)</t>
  </si>
  <si>
    <t>Teneffüs ettikten sonra: Temiz hava alması sağlanmalı, şikayetler  halinde doktora gidilmeli
Cilde temas: Ürün genelde cildi tahriş etmez.
Gözlere teması halinde: Gözleri, gözkapakları açık bir şekilde birkaç dakika süreyle akan suyun altına tutunuz.
Yuttuktan sonra: Ağzınızı suyla çalkalayın. Hekime başvurun.</t>
  </si>
  <si>
    <t>Yangın söndürme önlemlerini çevreye uydurunuz, daha başka önemli bilgi mevcut değildir.</t>
  </si>
  <si>
    <t>Kişisel koruyucu donanım kullanınız. Bol su ile sulandırınız. Sıvı bağlayıcı malzemeyle eminiz.</t>
  </si>
  <si>
    <t xml:space="preserve">Özel önlemlerin alınması gerekmez. </t>
  </si>
  <si>
    <t>Kimyevi maddeler ile çalışırken geçerli kişisel koruyucu donanımlar kullanılmalıdır.</t>
  </si>
  <si>
    <t xml:space="preserve">Fiziksel hal: Sıvı
Renk:Renksiz
Koku: Kokusuz
</t>
  </si>
  <si>
    <t>Evsel atık ile beraber tasviye edilmesi yasaktır. Kanalizasyona ulaşmasını önleyiniz.</t>
  </si>
  <si>
    <t>ACETONE</t>
  </si>
  <si>
    <t>Tırnak Yüzeyinden Oje Çıkarma</t>
  </si>
  <si>
    <t>Dimetilketon</t>
  </si>
  <si>
    <t>Şiddetli yanıcı, tahriş edici.</t>
  </si>
  <si>
    <t>Soluma sonrası: temiz hava. Doktor çağırın. Deriyle teması halinde: Hemen tüm bulaşmış giyisileri çıkarınız. Deriyi suyla yıkayınız. Göz temasından sonra: bol su ile yıkayın. Göz uzmanı çağırın. Kontakt lensleri çıkarınız. Yuttuktan sonra hemen 2 bardak su içirin. Doktora danışınız.</t>
  </si>
  <si>
    <t>Yangın durumunda Karbon dioksit (CO2) Köpük Kuru toz kullanınız.</t>
  </si>
  <si>
    <t>Kişisel önlemler, koruyucu donanım ve acil durum prosedürleri : 
Acil durum personeli olmayan personeli uyarın Buhar, aerosolünü solumayın. Madde
temasını engelleyin. İyi bir havalandırma olduğundan emin olunuz. Isıdan ve tutuşmaya yol açabilecek herşeyden uzak tutunuz. Tehlike bölgesini boşaltın, acil durum
prosedürlerini uygulayın, bir uzmana danışın.</t>
  </si>
  <si>
    <t xml:space="preserve">Buharların/aerosollerin oluşmasını engelleyin. Çıplak alevden, sıcak yüzeylerden ve tutuşmaya neden olabilecek herseyden uzak
tutunuz.Statik boşalmaya karşı önleyici tedbirler alın. Kirlenen giysiyi değiştirin. Cilt koruyucu krem uygulanması tavsiye edilir. Madde ile çalıştıktan sonra ellerinizi yıkayın. Işıktan koruyun.Kabı sıkıca kapalı olarak kuru ve iyi havalandırılmış yerlerde saklayınız.
Isıdan ve tutuşmaya yol açabilecek herşeyden uzak tutunuz.
+5 ila +30 °C'de depolayın. </t>
  </si>
  <si>
    <t>Göz/yüz koruması : NIOSH (US) veya EN 166 (EU) gibi standartlara uygun olarak test edilmiş ve onaylanmış göz koruma ekipmanı kullanınız. Koruyucu gözlük
Cildin korunması :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Tam temas Malzeme: bütil kauçuk Minimum tabaka kalınlığı 0,7 mm Delinme süresi: 480 min Test edilmiş malzeme:Butoject® (KCL 898)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Sıçrama ile temas Malzeme: Lateks eldivenler Minimum tabaka kalınlığı 0,6 mm Delinme süresi: 10 min  Vücut korunması : Kolay yanmayan antistatik koruyucu giysi. Solunum sisteminin korunması, buharlar/aerosoller oluştuğunda gerekir. Filtreli respiratuar korumayla ilgili tavsiyelerimiz, DIN EN 143, DIN 14387 ve kullanılan respiratuar koruma sistemine ilişkin diğer ek standartlara dayanır. Tavsiye edilen Filtre tipi: AX tipi filtre Girişimci, solunum koruma cihazlarının, cihaz üreticisinin talimatlarınca bakım yapıldığı, temizlendiği ve test edildiğini temin etmelidir. Bu önlemler açık bir şekilde belgelenmelidir. Çevresel maruziyet kontrolü : Kanalizasyona karışmamasına dikkat ediniz. Patlama riski</t>
  </si>
  <si>
    <t xml:space="preserve">Fiziksel hali: sıvı, renksiz, keskin kokulu, hafif aromatik, Koku Eşiği 0,1 ppm, pH 5 - 6 nin 395 g/l nin 20 °C, Erime noktası/erime aralığı: -94,0 °C, Başlangıç kaynama
noktası ve kaynama
aralığı
56,0 °C nin 1.013 hPa, Parlama noktası -17,0 °C - kapalı kap, Üst/alt alev alabilirlik
veya patlama
sınırları
Üst patlayıcı limiti: 13 %(V)
Alt patlayıcı limiti: 2 %(V), Buhar basıncı 245,3 hPa nin 20,0 °C, Su içinde
çözünürlüğü
çözünür, her oranda, Alev alma sıcaklığı 465,0 °C
q) Bozunma sıcaklığı Normal basınçta dekompoze olmadan damıtılabilir.
</t>
  </si>
  <si>
    <t xml:space="preserve">Buharlar havada patlayıcı bir karışım oluşturabilir. Ürün, standart ortam koşulları (oda sıcaklığı) altında kimyasal olarak s tabildir. kromosülfürik asit, kromil klorür, etanolamin, Flor
Kuvvetli oksitleyici maddeler, güçlü indirgeyici ajanlar, Nitrik asit, krom (VI) oksit . ile patlama veya yanıcı gaz yada buharlar oluşturma riski vardır. ametal oksihalidler, halojen-halojen bileşikler
Kloroform, nitratlaştırıcı asit, nitrosil bileşikler, hidrojen peroksid, halojen oksitler, organik nitro bileşikler peroksi bileşikler ile patlama riski vardır. Brom, Alkali metaller, alkali hidroksitler, Helojenlenmiş hidrokarbon, Sülfür diklorür, fosfor oxichloride ile ekzotermik reaksiyon meydana gelir. Ilıma durumundan, kauçuk ve çeşitli plastiklerden kaçınılmalıdır. </t>
  </si>
  <si>
    <t>Solunması halinde; uyuşukluk, baş dönmesi olur. Kronik olarak maruz kalınırsa deride yanmalara (dermatitis) yol açabilir</t>
  </si>
  <si>
    <t xml:space="preserve">Drenaj kanallarını kapatın. Dökülmeleri toplayın, sarın ve pompalayarak uzaklaştırın. Olası
malzeme kısıtlamalarına uyun. Sıvı emici materyal ile alın. İmha için gönderin. Etkilenmiş bölgeyi temizleyin. </t>
  </si>
  <si>
    <t>AESCULAB</t>
  </si>
  <si>
    <t>5 ADET</t>
  </si>
  <si>
    <t>Tıbbi alet bakım spreyi</t>
  </si>
  <si>
    <t>Yanıcı</t>
  </si>
  <si>
    <t>Temiz hava sağlayın.
Semptomların ortaya çıkması durumunda tıbbi tedaviye başvurun.
inhalasyondan sonra
Önlem olarak su ve sabunla yıkayın.
Cilt tahrişi devam ederse bir doktora danışın.
Cilt ile temasından sonra
Derhal bol su ile göz kapaklarının altı da dahil olmak üzere en az 15 dakika yıkayınız.
Göz tahrişi devam ederse, bir uzmana danışın.
Gözle temasından sonra
Kusmaya neden olmayın.
Derhal bir doktor çağırın.
Sadece doktor tavsiyesi üzerine kusturun</t>
  </si>
  <si>
    <t>Yangın durumunda; Köpük, karbondioksit (CO2), kuru kimyasal, su spreyi kullanın.</t>
  </si>
  <si>
    <t xml:space="preserve">Yeterli havalandırma sağlayın.
Tüm ateşleme kaynaklarını ortadan kaldırın.
Cilt, göz ve giysilerle temasından kaçının. Ürünü izlenmeden çevreye boşaltmayın. </t>
  </si>
  <si>
    <t>Yeterli havalandırma sağlayın.
Cilt, göz ve giysilerle temasından kaçının.
Aerosolü solumayın. Basınçlı kap: Güneş ışığından koruyun ve 50 °C'yi aşan sıcaklıklara maruz bırakmayın. Kullanımdan sonra bile delmeyin veya yakmayın.
Çıplak alev veya herhangi bir akkor malzeme üzerine püskürtmeyin. Tutuşturucu kaynaklardan uzak tutun. Sigara içmeyin. Çocukların erişemeyeceği yerlerde saklayın.</t>
  </si>
  <si>
    <t>Özellikle kapalı alanlarda yeterli havalandırma sağlayın.
Uygun mühendislik kontrolleri
Aerosolü solumayın
Molalardan önce ve iş günü sonunda ellerinizi yıkayın.
Kullanırken yemek yemeyin, içmeyin veya sigara içmeyin.
Koruyucu ve hijyen önlemleri
Doğru kullanıldığında, göz koruması takmanıza gerek yoktur.
Gözlerle temasından kaçının.
Göz/yüz koruması
Doğru kullanıldığında, koruyucu eldivenler normalde gerekli değildir.
Cilt ile temasından kaçının.</t>
  </si>
  <si>
    <t>Fiziksel durum: Aerosol, renksiz, karakteristik bir kokuya sahiptir. Erime noktası: - 138,3 °C *)
İlk kaynama noktası ve kaynama aralığı: - 0,5 °C *)
Parlama noktası: - 87 °C *)</t>
  </si>
  <si>
    <t xml:space="preserve">Belirtildiği şekilde saklanır ve uygulanırsa bozunma olmaz.Normal koşullar altında kararlıdır.Oksitleyici maddelerle reaksiyona girer.Yangın veya yoğun ısı, paketlerin şiddetli yırtılmasına neden olabilir. </t>
  </si>
  <si>
    <t>Mevcut verilere dayanarak, sınıflandırma kriterleri karşılanmamıştır.
Toksikolojik veri mevcut değil.</t>
  </si>
  <si>
    <t>Eylemsiz emici malzeme (örn. kum, silika jel, asit bağlayıcı, evrensel bağlayıcı) ile emdirin.
Bertaraf için uygun bir kaba kürekle koyun.</t>
  </si>
  <si>
    <t>Alyuvarlara ve Miyarlara Yönelik Solüsyonlar</t>
  </si>
  <si>
    <t>30 LT</t>
  </si>
  <si>
    <t>In vitro medikal teşhis cihazı veya bileşeni.</t>
  </si>
  <si>
    <t xml:space="preserve">o Genel bilgiler: Özel bir tedbir gerekmemektedir.
o Solunum sonrası: Temiz hava sağlayınız; şikayet durumunda doktora danışınız.
o Ciltle temas sonrası: Genel olarak ürün, cildi tahriş etmez.
o Gözle temas sonrası: Gözünüzü açık tutarak akan suyun altında birkaç dakika yıkayınız.
o Yutma sonrası: Semptomların devam etmesi halinde bir doktora danışınız.
</t>
  </si>
  <si>
    <t xml:space="preserve">o Uygun yangın söndürme araçları:
CO2, toz veya su spreyi. Daha büyük yangınlarda, su spreyi veya alkole dirençli köpükle yangını söndürünüz. Çevre koşullarına uygun yangın söndürme yöntemleri kullanınız.
</t>
  </si>
  <si>
    <t xml:space="preserve">• Kişisel tedbirler, koruyucu ekipmanlar ve acil durum prosedürleri Gerekli değildir.
• Çevresel tedbirler: Bolca suyla yıkayınız.
• Çevreleme ve temizleme yöntemleri ve malzemesi:
Sıvı bağlayıcı malzeme (kum, diyatomit, asit bağlayıcılar, evrensel bağlayıcılar, talaş) ile emdiriniz
</t>
  </si>
  <si>
    <t>Özel bir tedbir gerekmemektedir.</t>
  </si>
  <si>
    <t xml:space="preserve"> Genel koruyucu ve hijyenik önlemler:
Kimyasalların kullanılması sırasında, olağan ihtiyati tedbirlere uyulmalıdır.
 Solunum koruması: Odanın iyi havalandırılması halinde gerekli değildir.
 Ellerin korunması:
        Koruyucu eldivenler
Eldiven malzemesi sızdırmaz olmalıdır ve ürüne / maddeye / preparata karşı dirençli olmalıdır.
 Eldiven malzemesi
Uygun eldivenin seçimi sadece malzemeye değil, aynı zamanda diğer kalite özelliklerine bağlıdır ve üreticiden üreticiye farklılık gösterir. 
Uygun eldivenin seçimi sadece malzemeye değil, aynı zamanda diğer kalite özelliklerine bağlıdır ve üreticiden üreticiye farklılık gösterir. Ürün birden fazla madde içeren bir preparat olduğundan, eldiven malzemesinin direnci önceden hesaplanamamaktadır ve bu nedenle uygulama öncesinde kontrol edilmelidir.
 Eldiven malzemesinin penetrasyon süresi
Koruyucu eldivenlerin üreticisi tarafından tam ortaya çıkış saati bulunmalı ve buna uyulmalıdır.
o Göz koruması: Güvenlik gözlükleri
o Vücut koruması: Koruyucu iş kıyafeti
</t>
  </si>
  <si>
    <t xml:space="preserve">• Biçim: Akışkan
• Renk: Çeşitli renkler
 Koku: Kokusuz
</t>
  </si>
  <si>
    <t>Spesifikasyonlara göre kullanılması halinde ayrışma olmaz.</t>
  </si>
  <si>
    <t>Tahriş edici etkisi bulunmamaktadır.</t>
  </si>
  <si>
    <t>Küçük miktarlar, ev atığıyla birlikte atılabilir.</t>
  </si>
  <si>
    <t>ASETİK ASİT</t>
  </si>
  <si>
    <t>40 LT</t>
  </si>
  <si>
    <t>Kolposkopi işlemi</t>
  </si>
  <si>
    <t>Asetik Asit %100</t>
  </si>
  <si>
    <t>Alevlenir ve tahriş edici madde</t>
  </si>
  <si>
    <t>Genel bilgi Rahatsızlığın devam etmesi halinde tıbbi yardım alın. Bu Güvenlik Bilgi Formunu sağlık personeline gösterin. Kimyasal yanıklar bir doktor tarafından tedavi edilmelidir. Soluma Maruz kalan kişiyi temiz havaya çıkarın ve rahat nefes alabileceği bir pozisyonda sıcak tutun ve dinlendirin. Solunum yollarının açık kalmasını sağlayın. Yaka, kravat veya kemer gibi
giysinin sıkı bölümlerini gevşetin. Burun ve ağzı su ile yıkayın. Bilinci kapalı olan kişiye asla ağızdan bir şey vermeyin. Belirtiler ciddi veya kalıcı ise tıbbi yardım alın. Yutma Ağzı suyla iyice çalkalayın. Birkaç bardak su veya süt içirin. Kusma tehlikeli olabileceğinden dolayı, kazazede kendini rahatsız hissederse kusmayı durdurun. Tıbbi yardım alın. Cilt teması Maddenin hemen cildin üzerinden alınması önemlidir. Hemen bol su ile yıkayın. En az 15 dakika yıkamaya devam edin ve tıbbi yardım alın. Kimyasal yanıklar bir doktor tarafından tedavi edilmelidir.
Göz teması Hemen bol su ile yıkayın. Gözlerinizi ovmayın. Kontakt lens varsa çıkarın ve göz kapaklarını iyice açın. En az 15 dakika yıkamaya devam edin ve tıbbi yardım alın. İlk yardım görevlilerinin korunması Ağız ağza suni teneffüs gerçekleştirilmesi ilk yardım personeli için tehlikeli olabilir.</t>
  </si>
  <si>
    <t>Ürün alevlenirdir. Alkole dirençli köpük, karbondioksit, kuru toz veya su sisi ile söndürün.
Yangını çevrelemek için uygun bir yangın söndürme malzemesi kullanın. Yangını dağıtma ihtimaline karşı, yangını söndürmek için su jeti kullanmayın.</t>
  </si>
  <si>
    <t>Kişisel önlemler Bu Güvenlik Bilgi Formunun 8. Bölümünde gösterilen şekilde koruyucu giysi giyin. Uygun
eğitim olmadan veya kişisel tehlike içeren herhangi bir harekette bulunulmamalıdır. Alanı
boşaltın. Yeterli havalandırma sağlayın. Döküntünün yanında sigara içmeyin, ateş, kıvılcım
veya diğer tutuşturucu kaynaklardan birini kullanmayın. Kirlenmiş olan giysileri hemen çıkarın.
Toz ve buharları solumaktan kaçının. Yetersiz havalandırma halinde uygun bir solunum
koruyucu kullanın. Göz ve cilt ile temasından sakının.Ürün, suyun asitlik derecesini (pH) etkileyerek, sucul organizmalar üzerinde tehlikeli etkiler
gösterebilir. Sucul ortama dökülmesinden kaçının.</t>
  </si>
  <si>
    <t xml:space="preserve">Üreticinin önerilerini okuyun ve takip edin. Bu Güvenlik Bilgi koruyucu giysi giyin. Yiyeceklerden, içeceklerden ve hayvan yemlerinden
uzak tutun. Dökülmeleri en aza indirmek için tüm ambalajları ve kapları dikkatlice elleçleyin.
Kaplar kullanılmadığında sıkıca mühürlenmiş şekilde muhafaza edilmelidir. Sis oluşumundan
kaçının. Ürün alevlenirdir. Isıdan/kıvılcımdan/alevden/sıcak yüzeylerden uzak tutun. – Sigara
içilmez. Ürün aşındırıcıdır. Acil ilk yardım zorunludur. Bütün önlem ifadeleri okunup
anlaşılmadan elleçlemeyin. Koruyucu ekipman olmadan kırılmış paketleri elleçlemeyin. Boş
kapları yeniden kullanmayın.
Çocukların ulaşabileceği yerlerden uzak tutun. Yiyeceklerden, içeceklerden ve hayvan
yemlerinden uzak tutun. Oksitleyici maddelerden, ısıdan ve alevlerden uzak tutun. Sadece
orjinal kabında muhafaza edin. Kabı sıkıca kapalı halde, serin ve iyi havalandırılan bir
ortamda muhafaza edin. Kapları dik bir şekilde tutun. Kapları hasardan koruyun.
</t>
  </si>
  <si>
    <t xml:space="preserve">Uygun mühendislik kontrolleri Yeterli havalandırma sağlayın.
Göz/Yüz korunması Göz ile temasından sakının. Büyük Döküntüler: Risk değerlendirmesi gözlerle temas ihtimalini belirtiyorsa, onaylanmış bir standart ile uyumlu göz koruyucusu kullanılmalıdır. Ellerin korunması Koruyucu eldiven kullanın. En uygun eldiven, eldiven materyalinin delinme süresi hakkında
bilgi verebilecek olan eldiven dağıtıcısına/üreticisine danışılarak seçilmelidir. Elleri
kimyasallara karşı korumak için, eldivenler TS/EN 374 Standardı ile uyumlu olmalıdır. Eldiven üreticisinin belirttiği verilere göre, eldivenlerin koruyucu özelliklerini devam ettirdiğini kullanım
boyunca kontrol edin ve herhangi bir bozulma tespit edildiğinde, eldivenleri en kısa sürede değiştirin. Eldivenlerin sıklıkla değiştirilmesi önerilir.
Diğer cilt ve vücut koruması Ciltle herhangi bir teması önlemek için uygun giysi giyin. Sağlık tedbirleri Elleçlemeden sonra ellerinizi iyice yıkayın. Bu ürünü kullanırken hiçbir şey yemeyin, içmeyin veya sigara içmeyin. Kirlenmiş giysilerinizi yeniden kullanmadan önce yıkayın. Solunum sisteminin
korunması Önerilen özel depolama tedbirleri yoktur. Yeterli havalandırma sağlayın. Büyük Döküntüler: Yetersiz havalandırma halinde, uygun solunum koruyucu kullanılmalıdır. Çevresel maruz kalma kontrolleri
Kaplar kullanılmadığında sıkıca mühürlenmiş şekilde muhafaza edilmelidir. Çevreye
verilmesinden kaçının.
</t>
  </si>
  <si>
    <t xml:space="preserve">Görünüm Renksiz, berrak sıvı
Koku Keskin acı.
pH 2,5
Başlangıç kaynama noktası ve
kaynama aralığı
118 °C
Parlama noktası (min.99,5) 39 °C (min.80,0) 67 °C
Buhar basıncı 21 hPa @ 25°C
Buhar yoğunluğu 2,07
Hacimsel yoğunluk min.99,5 1,048-1,052 kg/m³ min.80 1,070 ± 0,02 kg/m³
Çözünürlük (ler) Su ile her oranda karıştırılabilir.
Dağılım katsayısı : -0,17
Kendiliğinden tutuşma
sıcaklığı
427°C
</t>
  </si>
  <si>
    <t>Bu ürünle ilgili, bilinen herhangi bir reaktif tehlike yoktur. Normal ortam sıcaklıklarında ve tavsiye edildiği gibi kullanıldığında kararlıdır. Öngörülen
depolama şartları altında kararlıdır.
Şu maddeler, ürünle kuvvetli reaksiyon gösterebilirler: Oksitleyici maddeler</t>
  </si>
  <si>
    <t xml:space="preserve">Soluma Solunum yolunda aşınmaya yol açar. Aşırı maruziyetin ardından şu belirtiler görülebilir: Burun
ve boğazda şiddetli tahriş.
Yutma Ağızda, yemek borusunda ve midede kimyasal yanıklara neden olabilir. Aşırı maruziyetin
ardından şu belirtiler görülebilir: Şiddetli karın ağrısı. Bulantı, kusma.
Cilt ile temas Ciddi yanıklara neden olur. Aşırı maruziyetin ardından şu belirtiler görülebilir: Ağrı veya tahriş.
Kızarıklık. Kabarma oluşabilir.
Göz ile temas Ciddi göz hasarına yol açar. Aşırı maruziyetin ardından şu belirtiler görülebilir: Ağrı. Gözlerin
bol suyla yıkanması. Kızarıklık.
Maruz kalma yolu Yutma Soluma Cilt ve/veya göz teması.
</t>
  </si>
  <si>
    <t>Atık oluşumu en aza indirilmeli veya mümkün olan her yerde atık oluşumundan kaçınılmalıdır.
Mümkün olduğu yerlerde, ürünleri yeniden kullanın veya geri dönüştürün. Bu madde ve kabı
güvenli bir biçimde bertaraf edilmelidir. Atıkların elleçlenmesi sırasında, ürünün elleçlenmesi
için uygulanan güvenlik önlemleri dikkate alınmalıdır. Boşaltılmış kaplar elleçlenirken, iyice
temizlenmesine ve yıkanmasına dikkat edilmelidir. Boş kaplar veya katmanlarında kalabilecek
ürün kalıntıları, potansiyel olarak tehlike oluşturabilirler.
Atıkları, yerel Atık Bertaraf Mercilerinin gerekliliklerine uygun olarak, lisanslı bir atık bertaraf
tesisinde bertaraf edin.</t>
  </si>
  <si>
    <t>BETADİN (İSOSOL)</t>
  </si>
  <si>
    <t>100-140 ADET</t>
  </si>
  <si>
    <t>Cilt ve Mukoza Antiseptiği</t>
  </si>
  <si>
    <t>%10 Povidon İyot</t>
  </si>
  <si>
    <t>Zararsız</t>
  </si>
  <si>
    <t>Kazazedeyi tehlike bölgesinden uzaklaştırın.
Islanan giysileri hemen çıkarın.
Kazazedeyi gözetimsiz bırakmayın.
Kazazedeyi rahat ettirin, örtün ve sıcak tutun. Yaralıyı temiz havaya çıkarın ve rahat tutun.
Solunum düzensizleşir veya durursa suni teneffüs uygulayın.
Sprey sisi solunursa, bir doktora danışın ve ambalajı veya SDS'yi gösterin. Sabun ve su ile iyice yıkayın.
Yağlı krem ​​/ merhem sürün. 
Derhal, dikkatlice ve iyice su veya göz banyosu ile durulayın.
Oftalmik tedavi. 
Kusmaya neden olmayın.
Yiyecek veya içecek vermeyin.
Derhal bir doktora danışın. Kendiniz için risklerden kaçının. Koruyucu giysi giyin.</t>
  </si>
  <si>
    <t xml:space="preserve"> Yangın durumunda kuru Köpük, kuru toz, su sisi, toz veya karbondioksit (CO2) ateşi
söndürücü kullanın. </t>
  </si>
  <si>
    <t>Cilt ve gözlerle temasından kaçının. Buharları/aerosolleri solumayın.
Ateşleme kaynaklarını ortadan kaldırın.
Varlığı gerekmeyen tüm kişileri tehlike bölgesinden uzaklaştırın.
Statik boşalmalara karşı önlem alın.
Personel için risk oluşturmadan sızıntıları durdurun. 
Tehlike bölgesinden uzaklaşın ve acil durum personelini bilgilendirin
Acil durumlarda kişisel koruyucu kıyafet giyin (en az koruyucu
yan korumalı gözlük, koruyucu giysi ve ayakkabı) 
herhangi bir risk almayın.
Kişisel koruyucu ekipman kullanın.
Yeterli havalandırma sağlayın.
Ürün dökülmesinden veya sızıntısından etkilenen yüzeylerde artan kayma riski.</t>
  </si>
  <si>
    <t>Kişisel koruyucu ekipman giyin. Isı ve tutuşturucu kaynaklardan uzak tutunuz. Önlem alın statik deşarjlara karşı. Şişeleme, boşaltma, karıştırma veya dozajlama sırasında veya numune, aparat alınırken topraklanmış ve sıçramaya veya yerel emişli aparatlara karşı korunan/ buhar geri kazanım boruları kullanılmalıdır. Kullanarak kanalizasyon sistemine, su ortamına veya toprağa sızmasını önleyin. Cilt veya göz teması veya buharların / sislerin / aerosollerin solunması. Ürün, yiyecek ve içeceklerden uzak tutulmalıdır. Erişime yalnızca yetkili personel tarafından izin verilir. Buharlar / aerosoller, kaynak yerlerinden derhal uzaklaştırılmalıdır. Sadece iyi havalandırılmış alanlarda kullanın. Çalışma alanı buna göre düzenlenmelidir.
Hemen temizlenebilir. Boş kaplar ayrıca ürün kalıntılarını da tutabilir ve bu nedenle bir kaynak olabilir. Uygun gemiler: tankerler, IBC, variller, bidonlar. Uygun malzemeler: paslanmaz çelik, C çelik, polietilen, polipropilen, Teflon. Uygun olmayan malzemeler: doğal kauçuk, bütil kauçuk, EPDM, polistiren. Tankların ve depolama odalarının kalitesi, sorumlu kişilerle kararlaştırılacaktır. Güçlü oksitleyici maddelerle birlikte saklamayın. Kapları yönetmeliklere göre etiketleyin ve kullanın. Oda sıcaklığında saklayın. Ürün stabildir ve doğru bir şekilde saklandığında raf ömrü en az 1 yıl.</t>
  </si>
  <si>
    <t xml:space="preserve">Göz ve yüz koruması : Yan korumalı, sıkı oturan güvenlik gözlükleri kullanılmalıdır. Cilt ve el koruması : Nitril veya Viton'dan yapılmış koruyucu eldivenler, örn. Camatril Velourts 730 (Nitril) veya KCL'den Vitojet 890 (Viton) Geçirgenlik süresi &gt; 480 dakika Kimyasal direncinin (listelenen koruyucu eldivenlerin)
yukarıda) özel uygulamalar için eldiven üreticisi ile açıklığa kavuşturulmalıdır.
Kullanmadan önce sızdırmazlığı kontrol edin. Eldivenler kasten tekrar giyilecekse, çıkarmadan önce temizleyiniz ve iyi havalandırılmış bir yerde saklayın.
Mümkünse pamuklu astar eldiven giyin. Cildin yenilenmesine izin vermek için bir iyileşme aşamasına sahip olun. Vücut Koruması : Duruma göre aleve dayanıklı kimyasal koruyucu giysi, kimyasal dayanıklı, antistatik güvenlik ayakkabıları.
Normal koruyucu giysiler, iş yeri ve iş yeri ile koordine edilmelidir.
ilişkili tehlikeler. Solunum Koruması : Uygulama koşullarına, kapalı sistemlere veya yerel dumana bağlı olarak Ürünü tutmak için ekstraksiyon ekipmanı tavsiye edilir önerilen maruz kalma sınırının altında konsantrasyon. Proses emisyonlarını doğrudan kaynağında izleyin. Resmi, egzoz havası düzenlemelerine uyun
İstisnai durumlarda (örneğin kazayla serbest bırakma nedeniyle), solunum koruyucular kullanılmalıdır. Kullanım süresi sınırlarına uyun. Aşağıdaki solunum koruyucuları önerilir: Organik gazlar ve buharlar için solunum filtresi (tip A). Diğer Koruma : Kişisel koruyucu ekipman seçimi, ortaya çıkan tehlikelere bağlıdır.
üründen, iş yerinden ve elleçlemeden. Amaçlanan koruyucu ekipmanın kullanımı ile ilgili anlaşmaya varılmalıdır. Koruyucu ekipman üreticisi ve yetkililer.
Ürünün elleçlendiği alana giren her kişi yan korumalı koruyucu gözlükler. </t>
  </si>
  <si>
    <t>Sıvı halde, renksiz, berrak, hafif, kaynama aralığı 179 / 191 °C, alevlenme noktası 56,5 °C, patlama sınırları LEL 0,6 Vol.% / UEL 7,0 Vol.%, 
20°C'de buhar basıncı app. 1 hPa, Buhar yoğunluğu (hava = 1) &gt; 1 at 1013 hPa, 15°C'de yoğunluk 759,0 kg/m³, Suda çözünürlük (20°C) neredeyse çözünmez, Çözücülerde / yağlarda çözünürlük (20°C) karışabilir, Ateşleme sıcaklığı&gt; 200 °C, patlayıcı değil,
ancak patlayıcı buhar/hava karışımları üretilebilir, ürün oksitleyici değildir.</t>
  </si>
  <si>
    <t>Ürün, inert bir hidrokarbondur.Kendiliğinden tutuşma sıcaklığı: &gt; 200 °C
Normal koşullar altında kararlıdır. Açık alevler, kıvılcımlar veya güçlü ısı kaynağından kaçınılmalıdır. 
Güçlü oksidasyon maddeleri ile uyumsuzdur. Ürün oda sıcaklığında bozulmaz.</t>
  </si>
  <si>
    <t xml:space="preserve">
Solunum yolu tahrişi; Yüksek konsantrasyonlarda buharlar/sisler/aerosoller solunum yollarını tahriş edebilir
ve mukoza zarları. Termal bozunma ürünlerinin solunması
buhar, sis veya duman şekli sağlığa zararlı olabilir. Aspirasyon tehlikesi; 40°C'de viskozite &lt; 20,5 mm²/s - Asp olarak sınıflandırılır. Zehir. 1-H 304.
Ürünün yutulması veya kusması halinde solunum yollarına girebilir ve
kimyasal pnömoni ve pulmoner ödem.</t>
  </si>
  <si>
    <t>Kalıntıları inert bir malzemeyle (ör. vermikülit, kuru kum, toprak) absorbe edin ve yönetmeliklere göre bertaraf edin. Tüm atık suların bir atık su arıtımında toplanmasını ve arıtılmasını sağlayın. Yanlışlıkla suya dökülmesi durumunda, ürünü bariyerler ve su yüzeyinden uzaklaştırın veya uygun inert emici malzeme ile çıkarın. İçinde akan su ortamında uygun dispersiyon ajanları kullanın. Alınacak önlemler şunlar olabilir: Coğrafi koşullardan, rüzgardan, sıcaklıktan, dalgalardan ve gelgit akışı ve hızından uzak tutmak.</t>
  </si>
  <si>
    <t>BETADİN SCRUP</t>
  </si>
  <si>
    <t>3-5 ADET</t>
  </si>
  <si>
    <t>Antiseptik Anti Mikrobiyal</t>
  </si>
  <si>
    <t>Povidon İyot 5-10%</t>
  </si>
  <si>
    <t>Tahriş Edici</t>
  </si>
  <si>
    <t xml:space="preserve">Gözle teması halinde, gözleri en az 15 dakika boyunca temiz su ile yıkayınız.
Göz kapaklarını açık tutun. Aşınmışsa kontakt lensleri çıkarın. Çok tahriş olursa tıbbi yardım alın. Temas halinde, kirlenmiş giysileri çıkarın. Derhal bol su ile cildi yıkayın
en az 15 dakika boyunca. Cilt reaksiyonu meydana gelirse tıbbi yardım alın. Solunması durumunda temiz havaya çıkarın. Nefes almıyorsa suni teneffüs sağlayın. Eğer
nefes almak zor ise, oksijen verin. Derhal tıbbi yardım alın. Kazara yutulması halinde ağzı bol su ile yıkayınız. Arayarak
derhal tıbbi yardım alın. Tıbbi talimat verilmedikçe kusturmaya çalışmayın.
Bilinci yerinde olmayan bir kişiye asla ağızdan bir şey vermeyin. Mağdur maddeyi yuttuysa veya soluduysa ağızdan ağıza yöntemini kullanmayın.
</t>
  </si>
  <si>
    <t xml:space="preserve"> Yangın durumunda kuru kimyasal, CO2, kuru kum ya da alkole dirençli köpük ile söndürme yöntemlerini kullanınız. </t>
  </si>
  <si>
    <t>Personeli güvenli alanlara tahliye edin. Malzemeyi yeterli havalandırma altında tutun (örn. kimyasal davlumbaz, havalandırmalı terazi)
muhafaza [VBE]). Konteynırı sıkıca kapalı tutun. İşlenen malzeme miktarını en aza indirin
herhangi bir zamanda.</t>
  </si>
  <si>
    <t xml:space="preserve">
Cilt, göz veya giysilerle temasından kaçının. 
Kabı kuru ve iyi havalandırılan bir yerde sıkıca kapalı tutun.</t>
  </si>
  <si>
    <t>Göz ve yüz koruması : Tüketici kullanımı için gerekli değildir. Laboratuvarda, tıbbi veya endüstriyel ortamlarda, koruyucu gözlükler yan kalkanlar ile tavsiye edilir. Gözlük veya tam yüz koruması kullanılması, endüstriyel maruziyet ayarına veya sıçrama olasılığına bağlı olarak gereklidir.  Cilt ve Vücut Koruması : Tüketici kullanımı için gerekli değildir. Laboratuvarda, tıbbi veya endüstriyel ortamlarda, eldiven ve
laboratuvar önlükleri tavsiye edilir.    Solunum Koruması : Mühendislik gerektiren durumlarda, belirli laboratuvar ve üretim görevleri için solunum cihazları gerekebilir.
kontroller havadaki konsantrasyonları önerilen maruz kalma sınırlarının altında tutmaz (uygulanabildiğinde) veya kabul edilebilir bir düzeye (maruz kalma sınırlarının aşılmadığı durumlarda) kurulmuş. Belirlenmeden önce işyeri risk değerlendirmeleri tamamlanmalıdır ve solunum cihazı kullanımı uygulamak. Amerika Birleşik Devletleri'nde, solunum cihazları kullanılıyorsa, NIOSH onaylı olmalı ve güvence altına almak için oluşturulmuş bir solunum koruma programının parçası olmalıdır. OSHA Standardı 29 CFR 1910.134 ile uyumluluk.</t>
  </si>
  <si>
    <t>Sıvı haldedir, kırmızımsı kahverengi renkte, karakteristik bir kokuya sahiptir.</t>
  </si>
  <si>
    <t>%10'luk bir povidon iyot çözeltisi ve %3 hidrojen peroksitin eşit kısımlarından oluşan bir karışım
karıştırıldıktan yaklaşık 100 dakika sonra patlar. 
Tavsiye edilen saklama koşulları altında kararlıdır. Tehlikeli polimerizasyon oluşmaz. Güçlü alkaliler veya indirgeyici maddeler ile bir arada olmamalıdır. Olağan kullanım koşulları altında bozunmaz.</t>
  </si>
  <si>
    <t>Solunum veya yutma yoluyla kanda yüksek konsantrasyonlarda iyot tiroide neden olabilir.
bozukluğu (hipertiroidizm), böbrek bozuklukları, asidoz ve elektrolit bozuklukları gibi
artan iyot seviyeleri ve şiddetli hiponatremi gibi.</t>
  </si>
  <si>
    <t xml:space="preserve">
Güvenliyse daha fazla sızıntı veya dökülmeyi önleyin. Döküleni 
alın ve uygun şekilde etiketlenmiş kaplara aktarın.</t>
  </si>
  <si>
    <t>BROMELİNE ENZİM</t>
  </si>
  <si>
    <t>Cihaz Solüsyonu</t>
  </si>
  <si>
    <t>Proteolitic enzimler</t>
  </si>
  <si>
    <t>Söz konusu solüsyonun solunması, gözle ve deriyle temas etmesi hassasiyete ve tahrişlere sebep olabilir. Risk işaretleri: R 36/37/38; R42</t>
  </si>
  <si>
    <t>Cilde ve göze temasından sakınılmalı; temas halinde ise bol temiz su ile yıkanmalıdır. Göz ile temasında: Derhal bol su ile en az 15 dakika yıkayınız. Kontak lens var ise çıkarınız. Deri ile temasında: Derhal bol su ile yıkayınız. Solunumda: Temiz havaya çıkarılır.</t>
  </si>
  <si>
    <t>Bu ürün yüksek yanıcı özelliğe sahip değildir. Özel bir yangın söndürücü madde önerilmemektedir.</t>
  </si>
  <si>
    <t>Yüzeyden emici malzeme yardımıyla uzaklaştırılmalıdır. Temas eden yerler bol su ile yıkanmalıdır.</t>
  </si>
  <si>
    <t xml:space="preserve">Saklama Koşulları: 2 °C-25 °C arasında saklanmalıdır. Dondurmayınız. </t>
  </si>
  <si>
    <t>Ürünün kullanımı sırasında laboratuar ortamına  uygun giysi giyilmeli, eldiven, gözlük ve maske takılmalıdır. Güvenlik uyarıları: S22,S24,S26,S36,S37</t>
  </si>
  <si>
    <t>Ürün şeffaf ya da hafif sarımsı renkte, karakteristik bir kokusu olan sıvı çözelti şeklindedir.</t>
  </si>
  <si>
    <t>Ürünler saklama koşullarında korunduklarında stabildirler.  Herhangi bir zararlı madde salınımı söz konusu değildir.</t>
  </si>
  <si>
    <t>Ürünler, Yönetmelik (EC) 1907/2006 Madde 31 kapsamında yer alan tehlikeli maddeleri içermemektedir.</t>
  </si>
  <si>
    <t>Eğer varsa, söz konusu ürünlerin ve kirlenmiş ambalajların ortadan kaldırılması için yürürlülükte  olan yerel yönetmeliklere riayet edilmelidir.</t>
  </si>
  <si>
    <t>CHLORHEXİDAL SCRUB BRUSH</t>
  </si>
  <si>
    <t>1 ADET</t>
  </si>
  <si>
    <t>KARIŞIM</t>
  </si>
  <si>
    <t>Dgluconic acid, compound poli(akrilamid-ko-dialildimetilamonyum klorür) fenoksietanol sitrik asit</t>
  </si>
  <si>
    <t>Solunum: Maruz kalan kişiyi ortamdan uzaklaştırıp, temizhavaya çıkarın.
Deri: Bulaşmış giysi ve ayakkabıları çıkarın, yıkamadan tekrar kullanmayın.Temas etmiş bölgeleri bol su ile yıkayın.
Göz: Maruz kalan gözü göz kapakları açık olacak şekilde bol su ile yıkayın.
Yutma: Maruz kalan kişinin bilinci yerindeyse ağız içini bol su ile çalkalayın. Bilinci yerinde olmayan kişilere ağız yoluyla asla herhangi bir şey verilmemelidir.</t>
  </si>
  <si>
    <t>Kuru kimyevi toz, su spreyi, kuru köpük yangın söndürücü olarak kullanılabilir.</t>
  </si>
  <si>
    <t>Uygun olmayan şekilde çevreye deşarj edilmesi toprak ve su kirlenmesine neden olabilir. Kanalizasyona yüzeysel suya yeraltı suyuna karışmasını önleyin. Sulara ya da kanalizasyona karışması halinde yetkili resmi makamlara haber verin.</t>
  </si>
  <si>
    <t>İş yerinde iyi havalandırma sağlandığına emin olun. Uygulama alanında sigara içmeyin. Çalışma sonrası ellerinizi bol su ve sabun ile yıkayın.</t>
  </si>
  <si>
    <t>Gıda maddelerinden, içeceklerden ve hayvan yeminden uzak tutunuz. Kirlenmiş giyim eşyalarını derhal çıkartın, yıkamadan tekrar kullanmayın.</t>
  </si>
  <si>
    <t>Görünüm: Fırçalı süngere emdirilmiş antiseptik sıvı
Koku: Karakteristik
Renk: Kırmızı</t>
  </si>
  <si>
    <t>Önerilen depolama ve kullanım şartlarında kararlıdır.</t>
  </si>
  <si>
    <t>Aşındırıcı ve tahriş etkisi yoktur.</t>
  </si>
  <si>
    <t>Boş kutuları, ilaç kalıntılarını toprağa gömünü veya yakınız. Çöp kutularına veya çöp sahalarına atmayınız.</t>
  </si>
  <si>
    <t>CLOROETHYL SOĞUTUCU SPREY</t>
  </si>
  <si>
    <t>GAZ</t>
  </si>
  <si>
    <t>n-bütan propan kloroetan</t>
  </si>
  <si>
    <t>Çok kolay alevlenir, tehlike</t>
  </si>
  <si>
    <t>Soluma:Maruz kalan kişiyi hemen temiz havaya çıkarın. 
Cilt ile temas: Cildi hemen sabun vebol suyla en az 15 dakika iyice yıkayın.
Göz ile temas: Su ile birkaç dakika boyunca, göz kapaklarının altı da dahil olmak üzere, gözleri bol su ile dikkatlice yıkayın. Gözlerinizi ovmayın. 
Yutma: Bu potansiyel bir maruz kalma yolu olarak düşünülmemelidir.</t>
  </si>
  <si>
    <t>Köpük, kuru kimyasal, karbondioksit ve su sisi</t>
  </si>
  <si>
    <t>Uygun koruyucu eipman olmadan müdahale etmeye kalkışmayın. Cilt ve gözlerle temasından kaçının. İyi bir havalandırma ortamı sağlayınız. Gazıını, sisini, buharını, spreyini solumaktan kaçının.</t>
  </si>
  <si>
    <t xml:space="preserve">Çalışma alanında iyi havalandırma sağlayın. Kimyasalların elleçlenmesi esnasında solunmasını, yutulmasını, göze ve cilde temasını önlemek için endstriyel hijyen standrtlarına ve yaygın ortak kurallara uyunuz. </t>
  </si>
  <si>
    <t>Normal şartlar altında bilinen bir tehlikeli reaksiyonu yoktur.</t>
  </si>
  <si>
    <t>Görünüm: Aerosol
Renk: Renksiz sıvı ve buharı
Koku: Hafif</t>
  </si>
  <si>
    <t>Mevcut bilgilere göre, sınıflandırma kriterlerini karşılamamaktadır.</t>
  </si>
  <si>
    <t>Yer üstü ve yer altı sularına, içme suyu kaynaklarına, duran ve akan sulara, kanalizasyona karışmasını engelleyiniz.</t>
  </si>
  <si>
    <t>Atık ürün ulusal mevzuata uygun bertaraf edilmelidir.</t>
  </si>
  <si>
    <t>DERHAND SOAP</t>
  </si>
  <si>
    <t>El sabunu</t>
  </si>
  <si>
    <t>Karışım</t>
  </si>
  <si>
    <t xml:space="preserve">Tehlikeli olmayan madde veya karışım.
</t>
  </si>
  <si>
    <t>Gözle teması halinde : Su ile çalkalayınız.
Deriyle teması halinde : Su ile çalkalayınız.
Yutulması halinde : Ağzı çalkalayınız. Semptomlar meydana gelirse tıbbi yardım 
alınız.
Solunması halinde : Semptomlar meydana gelirse tıbbi yardım alınız.</t>
  </si>
  <si>
    <t>Yerel şartlar ve çevre için uygun yangın söndürme yöntemleri 
kullanınız.</t>
  </si>
  <si>
    <t>Dökülen maddeyle başa çıkmak için özel giysi gerekiyorsa, uygun 
ve uygun olmayan materyaller hakkında Bölüm 8'de verilen her 
türlü bilgiyi not edin.</t>
  </si>
  <si>
    <t>Özel bir elleçleme gerektirmez</t>
  </si>
  <si>
    <t>İyi bir genel havalandırma çalışanların havadaki kirleticilere 
maruziyetini kontrol için yeterli olmalıdır.</t>
  </si>
  <si>
    <t>Görünüm : sıvı
Renk : yanar döner, pembe
Koku : Parfümler, Esanslar</t>
  </si>
  <si>
    <t xml:space="preserve">Normal kullanım şartları altında, tehlikeli bir reaksiyon sözkonusu değildir.
</t>
  </si>
  <si>
    <t>Normal kullanım şartlarında insan sağlığına zarar verici bilinen 
etkileri yoktur</t>
  </si>
  <si>
    <t>Seyreltimiş ürün gidere boşaltılabilir.</t>
  </si>
  <si>
    <t>DIVERSEY Orion Softcare Alcoplus H500</t>
  </si>
  <si>
    <t>Tehlike</t>
  </si>
  <si>
    <t xml:space="preserve">Solunum: Zarar gören kişiyi açık havaya çıkarın ve rahat nefes alabileceği pozisyonda olmasınıs ağlayın.
Kendinizi iyi hissetmezseniz,ULUSAL ZEHİR DANIŞMA MERKEZİNİN 114 NOLU TELEFONUNU
veya doktoru veya hekimi arayın.
Cilt teması: Kirlenmiş tüm giysilerinizi hemen kaldırın veya çıkarın.
Göz teması: Göz kapaklarını birbirinden ayrık tutun ve gözleri bol miktarda ılık suyla en az 15 dakika yıkayın.
Kontakt lens,varsa ve çıkarması kolaysa, çıkarın.Sürekli durulayın.Tahriş oluşur ve devam ederse
tıbbiyardımalınız.
Yutma: Ağzınızı çalkalayın.Hemen 1 bardak su için.Bilinci yerinde olmayan bir kişiye asla ağızdan bir şey
vermeyin.Kendinizi iyi hissetmezseniz, tıbbi tavsiye veya müdahale alınız.
</t>
  </si>
  <si>
    <t>Karbondioksit. Kurutoz. Su spreyi jeti .Daha büyük yangınları su spreyi jeti veya alkole dayanıklı köpük ile söndürün</t>
  </si>
  <si>
    <t>Tüm tutuşturucu kaynakları kapatın. Alanı havalandırın. Kanalizasyon sistemine, yüzey veya yeraltı sularına karışmasına izin vermeyin. Bol miktarda su ile seyreltin.</t>
  </si>
  <si>
    <t>Kıvılcımdan, alevden ve sıcak yüzeylerden uzak tutun. Sigara içilmez. Isıdan uzak tutun. Statik boşalmaya karşı gerekli tedbirleri alınız.</t>
  </si>
  <si>
    <t>Seyreltilmemiş veya nötralize edilmemiş halde kanalizasyon sistemine veya drenaj çukuruna ulaşmamalıdır.</t>
  </si>
  <si>
    <t>Fiziksel Hali: Sıvı
Renk: Berrak, Renksiz
Koku: Ürüne özel</t>
  </si>
  <si>
    <t>Normal depolama ve kullanım koşulları altında bilinen tepkime zararları yoktur.</t>
  </si>
  <si>
    <t>Karışım hakkında veri bulunmamaktadır.</t>
  </si>
  <si>
    <t xml:space="preserve">Yerel veya ulusal yönetmeliklere uygun şekilde imha ediniz.
Uygun temizleme malzemeleri: Su, gerekliyse temizleyici ajan ile birlikte. </t>
  </si>
  <si>
    <t>DIVERSEY SOFT CARE Mad H5</t>
  </si>
  <si>
    <t>El Dezenefktanı</t>
  </si>
  <si>
    <t>propan-2-o</t>
  </si>
  <si>
    <t>Tehlike.</t>
  </si>
  <si>
    <t>Solunum: Zarar gören kişiyi açık havaya çıkarın ve rahat nefes alabileceği pozisyonda olmasını sağlayın.Kendinizi iyi hissetmezseniz, ULUSAL ZEHİR DANIŞMA MERKEZİNİN 114 NOLU TELEFONUNU
veya doktoru veya hekimi arayın. Ciltteması:Kirlenmiş tüm giysilerinizi hemen kaldırın veya çıkarın.
Gözteması:Göz kapaklarını birbirinden ayrık tutun ve gözleri bol miktarda ılık suyla en az 15 dakika yıkayın. Kontaktlens, varsa ve çıkarması kolaysa, çıkarın. Sürekli durulayın.Tahriş oluşur ve devam ederse tıbbi yardım alınız.
Yutma:Ağzınızı çalkalayın. Hemen 1 bardak su için. Bilinci yerinde olmayan bir kişiye asla ağızdan bir şey
vermeyin. Kendinizi iyi hissetmezseniz, tıbbi tavsiye veya müdahale alınız.</t>
  </si>
  <si>
    <t>Yangın söndürücüler
Karbondioksit. Kuru toz. Su sprey ijeti. Daha büyük yangınları su spreyi jeti veya alkole dayanıklı köpük ile söndürün.</t>
  </si>
  <si>
    <t>Kişisel önlemler koruyucu donanım ve acil durum prosedürleri:
Tüm tutuşturucu kaynakları kapatın. Alanı havalandırın.
Çevresel önlemler: Kanalizasyon sistemine, yüzey veya yeraltısularına karışmasına izin vermeyin. Bol miktarda su ile seyreltiniz.
Muhafaza etme ve temizleme için yöntemler ve materyaller: Sıvı bağlayıcı malzemeler (kum,diatomit,genelbağlayıcılar,talaş)ile emdiriniz.</t>
  </si>
  <si>
    <t>Kıvılcımdan, alevden ve sıcak yüzeylerden uzak tutun.Sigara içilmez. Isıdan uzak tutun. Statik boşalmaya karşı gerekli tedbirleri alınız.
İyi endüstriyel hijyen ve güvenlik uygulamalarına uygun olarak elleçleyin. Yiyecek,içecek ve hayvan yemlerinden uzak tutun.Diversey
tarafından tavsiye edilmedikçe diğer ürünlerle karıştırmayın. Aralardan önce ve gün sonunda ellerinizi yıkayın. Kirlenmiş tüm giysilerinizi
hemen kaldırın veya çıkarın. Kullanılan kişisel koruyucu ekipmanı ayrı olarak depolayın. Sadece yeterli havalandırmayla kullanın. Yerel ve ulusal yönetmeliklere uygun olarak depolayın. İyi havalandırılan yerde depolayın. Kapalı kapta saklayın. Sadece orijinal kabında
saklayın. Soğuk tutun. Isıdan ve doğrudan güneş ışığından uzak tutun.</t>
  </si>
  <si>
    <t>Normal kullanım koşulları altında özel gereklilikler bulunmamaktadır. Seyreltilmemiş veya nötralize edilmemiş halde kanalizasyon sistemine veya drenaj çukuruna
ulaşmamalıdır.</t>
  </si>
  <si>
    <t>Fiziksel Hali: Sıvı
Renk: Berrak, Renksiz
Koku: Ürüne özel
Koku Eşiği:Uygulanamaz</t>
  </si>
  <si>
    <t>Konsantre içerikler veya kirlenmiş ambalaj bir sertifikalı işleyici tarafından veya tesis iznine göre
bertaraf edilmelidir. Atıkların kanalizasyona salınımı önerilmez.Temizlenmiş ambalaj malzemesi
yerel mevzuata uyumlu olarak enerji geri dönüşümü veya geri kazanım için uygundur.</t>
  </si>
  <si>
    <t>ENZYM FOAM</t>
  </si>
  <si>
    <t>10 ADET</t>
  </si>
  <si>
    <t>Tıbbi Alet ve Endoskoplar için Enzimatik Köpük Sprey Temizleyici</t>
  </si>
  <si>
    <t>Boric acid, compd. With 2,2',21-nitrilotris[ethanol]
Alcohols, C12-14 (even numbered), ethoxylated, sulfates, sodium salts(&lt;2.5EO)</t>
  </si>
  <si>
    <t>Aşındırıcıdır.</t>
  </si>
  <si>
    <t>Soluma:Kişiyi temiz havaya çıkarın ve rahat nefes almasını sağlayın.
Yutma:Kendinizi iyi hissetmezseniz, zehir merkezini veya doktoru/hekimi arayınız.
Ciltle temas: Cildi bol suyla yıkayınız.
Gözle Temas: Su ile birkaç dakika dikkatlice durulayın. Kontakt lens, varsa ve çıkarması kolasa, çıkarın. Sürekli durulayın. Derhal br doktor çağırın.</t>
  </si>
  <si>
    <t>Yangın durumunda su spreyi, kuru toz, köpük karbondioksit. Zehirli dumanlar açığa çıkabilir. Uygun koruyucu ekipman olmadan müdahaleye kalkışmayın.</t>
  </si>
  <si>
    <t>Dökülme alanını havalandırın.Acilen güvenlik sorumlularıyla temasa geçin.Tüm tutuşma kaynaklarını eleyiniz.Görevli olmyan kişileri uzak tutun.Dökülmüş maddeye dokunmayın,uzerinde yürümeyin.Toprağa ve su yollarına ve gidere yönlendirmeyiniz..Küçük miktarları  suyla seyreltin veyıkayın.Büüyk miktarlar dökülmüş maddenin etrafını çeviriniz. yada kanalizasyona dökülmesine izin vermeyiniz.Dökülmüş maddeyi uygun bir kaba koyup atınız.</t>
  </si>
  <si>
    <t>Çalışma alanında iyi havalandırma sağlayın. Cilt ve gözlerle temasından kaçınınız. Kişisel koruyucu ekipman kullanın. Ürünü kullanırken hiçbir şey yemeyin, içmeyin. Sigara içmeyin. 
İyi havalandırılan yerde depolayın.</t>
  </si>
  <si>
    <t>Yetersiz havalandırma durumunda uygun solunum ekipmanı giyin.
Uygun koruyucu kıyafet kullanın.
Emniyet gözlükleri ve koruyucu eldiven kullanın.</t>
  </si>
  <si>
    <t xml:space="preserve">Sıvı, şeffaf, renksiz. pH: 6-9. </t>
  </si>
  <si>
    <t>Normal kullanım, depolama ve taşıma koşulları altında reaktif değildir.</t>
  </si>
  <si>
    <t>Ciddi göz hasarına yol açar.</t>
  </si>
  <si>
    <t>Küçük miktarları bol su ile yıkanır,büyük miktarları uygun emici madde ile toplanarak etkisizleştiril tehlikeli atığa atılır atılır.</t>
  </si>
  <si>
    <t>ETER</t>
  </si>
  <si>
    <t>Cilt temizleme</t>
  </si>
  <si>
    <t>Isopropyl ether</t>
  </si>
  <si>
    <t>Kolay alevlenir sıvı ve buhar</t>
  </si>
  <si>
    <t>Solunması halinde ilkyardım müdahaleleri : Zarar gören kişiyi açık havaya çıkarın ve rahat nefes alabileceği pozisyonda
olmasını sağlayın. Kendinizi iyi hissetmezseniz, Ulusal Zehir Danışma Merkezinin 114 nolu telefonunu veya doktoru/hekimi arayın.
Deriyle temas etmesi halinde ilkyardım
müdahaleleri
: Cildinizi su/duş ile durulayın. Kirlenmiş tüm giysilerinizi hemen kaldırın/çıkarın.
Tekrarlı maruz kalmalarda ciltte kuruluğa ve çatlaklara neden olabilir. Gözle temas etmesi halinde ilkyardım
müdahaleleri
: Kontakt lens, varsa ve çıkarması kolaysa, çıkarın. Sürekli durulayın. Su ile birkaç
dakika dikkatlice durulayın. Göz tahrişi kalıcı ise: Tıbbi yardım/bakım alın.
Yutulması halinde ilkyardım müdahaleleri : Ağızınızı yıkayın. Kendinizi kötü hissediyorsanız, tıbbi yardım alın.</t>
  </si>
  <si>
    <t>Uygun söndürme maddeleri; kuru kimyevi toz, köpük, co2'li yangın söndürücü kullanılmalıdır. Uygun olmayan söndürücü maddeler : Ağır su buharı kullanmayın.</t>
  </si>
  <si>
    <t>Ateşleme kaynağını çıkarın. Statik elektrik yükünden kaçınmak için özel dikkat
gösterin. Çıplak ışığa bakmayın. Sigara içmeyin. Buharları solumayın. Tozunu/dumanını/gazını/sisini/buharını/spreyini solumaktan kaçının.Alanı havalandırın.</t>
  </si>
  <si>
    <t xml:space="preserve">
Güvenli elleçleme için önlemler : Çıplak ışığa bakmayın. Sigara içmeyin. Sadece ateş almayan aletler kullanın.
Tozunu/dumanını/gazını/sisini/buharını/spreyini solumaktan kaçının. Sadece
dışarıda veya iyi havalandırılan bir alanda kullanın. Ateş kaynaklarından uzak
durunuz - Sigara içmeyiniz.
Hijyen ölçütleri : Herhangi birşey yemeden, içmeden ve işten ayrılmadan önce orta derecede sabun
ve su kullanarak ellerinizi ve vücudunuzun maruz kalan diğer uzuvlarını yıkayın. Teknik tedbirler : Statik elektrikten kaçınmak için topraklamanın düzgün bir şekilde yerine getirilmesi
gerekmektedir. Kabı ve alıcı ekipmanı toprağa oturtun/bağlayın. Patlamaya dayanıklı
elektrikli/havalandırma/tutuşturucu/… malzeme kullanın.
Saklama koşulları : Yangın bulunmayan bir yerde tutun. Kabı sıkıca kapalı tutun.
Uygun olmayan, uyumsuz ürünler : Oksitleyici madde.
Bağdaşmayan malzemeler : Isı kaynakları.</t>
  </si>
  <si>
    <t>Ellerin koruması : koruyucu eldivenler
Gözlerin koruması : Kimyasal gözlükler veya güvenlik gözlükleri.
Deri ve vücudun korunması : Uygun koruyucu kıyafet kullanın
Solunum yollarının koruması : Solunum koruyucu giyin</t>
  </si>
  <si>
    <t>Hal : Sıvı madde
Moleküler kütle : 102.18 g/mol
Renk : Açık renksiz,  Patlayıcı peroksitler oluşturabilir.</t>
  </si>
  <si>
    <t>Kolay alevlenir sıvı ve buhar. Yanabilen/patlayıcı buhar-hava karışımı oluşturabilir. Güçlü oksitleyiciler ve asitler ile sert bir şekilde reaksiyona girer. Korumasız alev. Direkt güneş ışığı. Sıcaklık. Kıvılcım çıkarır. Aşırı ısınma. Alev alabilen gazları çıkarabilir. Patlayıcı peroksitler oluşturabilir.</t>
  </si>
  <si>
    <t>Tekrarlı maruz kalmalarda ciltte kuruluğa ve çatlaklara neden olabilir. Rehavete veya baş dönmesine yol açabilir.</t>
  </si>
  <si>
    <t xml:space="preserve">Döküntüleri toplayın. Karada uygun konteynerlere süpürün veya kürek kullanarak
taşıyın. Kil veya kizelgur gibi atıl katılar ile en kısa sürede suya batırın. : Kalıntı buharlar yanıcı olduğundan boş konteynerleri dikkatli kullanın. </t>
  </si>
  <si>
    <t>ETİL ALKOL</t>
  </si>
  <si>
    <t>Farmasötik uertüm ve analiz çözücü</t>
  </si>
  <si>
    <t>Etil Alkol</t>
  </si>
  <si>
    <t>Yanıcı, patlayıcı</t>
  </si>
  <si>
    <t xml:space="preserve">Teneffüs Edilirse:Maddenin bulunduğu yer havalandırılır ve kişi temiz havayaçıkartılır. Eğer nefes alıyorsa suni solunum yapılmaz. Kişihareketsiz olarak yatırılır, vücut sıcaklığı kontrol edilir. Sağlıkkoşulları belirlenir. Doktora baş vurulur.Deri İle Temas Ederse:Kirlenen kıyafet ve ayakkabılar çıkartılır. Etkilenen bölgesabun veya deterjanla bol suyla tüm kimyasal uzaklaştırılanakadar (15-20 dakika kadar )yıkanır. Derhal doktora baş vurulur.Gözle  Temas  Ederse               :Gözler bol suyla veya tuzlu suyla kimyasal tamamen gidinceyekadar (15-20 dakika kadar) yıkanır. Derhal doktora baş vurulur.Yutulursa:Eğer kişi ayıksa madde mideden kusturularak çıkartılır.Doktora baş vurulur.
</t>
  </si>
  <si>
    <t>Parlama Noktası:590FPatlama limitleri: % 3,3-19Spesifik Tehlikeleri:Buharı ve hava karışımı patlayıcıdır. Buharı havadan dahaağırdır ve tutuşma kaynağından uzak mesafelere yayılabilir vepatlayabilir.Uygun YangınSöndürme Maddesi:Kuru kimyasallar, CO2, sprey su veya alkol köpüğü kullanılır.Büyük çaplı yangınlarda sprey su sisi veya alkol köpüğükullanılır.Yangınla MücadeledeGerekli Koruyucu Teçhizat:NIOSH-onaylı tam yüz ve göz korumayı da içeren solunumcihazı ve kauçuk eldiven kullanılmalıdır.</t>
  </si>
  <si>
    <t>Kişisel Önlemler:Tam koruyucu elbise ile solunum cihazı kullanılır. Buhar vezerreciklerini solumaktan kaçının. Kullanıldıktan sonra el ve yüztamamen yıkanır. Çevresel Önlemler :Temizlik işi yapılıncaya kadar alana girişi yasaklayın. Risksiz olarakyapabiliyorsanız kaçağı önleyin. Alanı havalandırın. Toprak yadayanıcı olmayan bir madde ile çevirin. Her türlü atık bertaraf, kullanmave rapor için gereken mevcut yasal düzenlemelere uyun.</t>
  </si>
  <si>
    <t>Kullanma:Göz ve deri ile temasından kaçının. Buhar ve zerreciklerinisolumaktan kaçının. Sigara açık alev ve kıvılcıma izinverilmemelidir.Teknik Önlemler: Kapalı ve iyi havalandırılmış yerlerde kullanılmalıdır.Kullanıldığı ortamdaki buhar ve zerrecik konsantrasyonununizin verilen limitlerin altına çekilebilmesi için yeterli mekanikhavalandırma yapılmalıdır.Depolama:İyi havalandırılmış ve kuru yerlerde depolayın. Isı, açık alev ve güneşışığından uzak tutun. Oksitleme vasıtaları ve tehlikeli reaksiyon verenmaddelerle birlikte depolamayınız. Kapları fiziksel hasarlardankoruyarak kapalı ve dik konumda tutun.Ambalaj malzemesi: PVCDiğer önlemler:Kapları kullanılmadıkları zaman sıkıca kapalı muhafaza edin</t>
  </si>
  <si>
    <t>Maruz Kalma Limitleri:1900 mg/m3. Solunum Sisteminin Korunması: Kullanım noktasında buhar ve zerrecikler için NIOSH onaylı uygun  maske kullanın. Uygun solunum cihazları; tüm yüzü koruyan asitler  için kullanılan filtre takılmış yarı maske, pozitif basınç modlu  solunum cihazı yada havalı maske olabilir-Ellerin Korunması:Lastik yada PVC eldiven-Gözlerin Korunması:Kimyasal gözlük ve tam yüz siperi veya tam solunum cihazı  kullanılabilir. Genel olarak kimyasal maddelerle meşgul olurken  kontak lens kullanılmamasının gereği kabul edilir, çünkü kontak  lensler gözdeki yaranın ciddiyetini artırabilir.-Cilt ve Vücudun Korunması:Lastik kaplı elbise, Lastik önlük ve bot9.FİZİKSEL VE KİMYASAL ÖZELLİKLERMolekül Ağırlığı:46,07 g/molFiziksel Görünüş:Berrak, sıvıRenk:RenksizKoku:Karakteristik kokuluKaynama Noktası:78,30CErime noktası: -1160CYoğunluk:0.791 g/cm3(20 0C)Suda Çözünürlük:TamamenStabilite:StabilReaktivite:Asetik anhidrit, kuvvetli oksitleyiciler, perklorik asit,perkloratlar, sülfürik asit ve permanganatlar, asetaldehit,hidroklorik asit ile reaksiyona girer.Kaçınılması GerekenDurumlar:Alev, kıvılcım kaynağından uzak tutulur.</t>
  </si>
  <si>
    <t>Molekül Ağırlığı:46,07 g/molFiziksel Görünüş:Berrak, sıvıRenk:RenksizKoku:Karakteristik kokuluKaynama Noktası:78,30CErime noktası: -1160CYoğunluk:0.791 g/cm3(20 0C)Suda Çözünürlük:Tamamen</t>
  </si>
  <si>
    <t>Stabilite:StabilReaktivite:Asetik anhidrit, kuvvetli oksitleyiciler, perklorik asit,perkloratlar, sülfürik asit ve permanganatlar, asetaldehit,hidroklorik asit ile reaksiyona girer.Kaçınılması GerekenDurumlar:Alev, kıvılcım kaynağından uzak tutulur.</t>
  </si>
  <si>
    <t>Taze ve tuzlu suda biyolojik olarak kolayca parçalanır.</t>
  </si>
  <si>
    <t>Kullanma,depolama,taşıma ve bertaraf mutlaka yerel ve merkeziyasal düzenlemeler takip edilerek yapılmalıdır.Yüzey sularına vekullanma suyu sistemine boşaltmayın.Tehlikeli bölgeyi izole edin ve insanların girmesine izin vermeyin.</t>
  </si>
  <si>
    <t>FARMİSOL</t>
  </si>
  <si>
    <t>%0,02 aktif klor ve %99,98 su</t>
  </si>
  <si>
    <t xml:space="preserve">Solunması halinde kişiyi derhal temiz havaya çıkarın. Cilde temasında cildi tahriş ederse bol su ile yıkayın. Göz ile temasında bol su ile yıkayın. Yutulması durumunda kişiyi kusturmayın. Bilinç yerinde değil ise ağızdan bir şey vermeyin. </t>
  </si>
  <si>
    <t>Su spreyi. Kuru toz. Köpük. Karbondioksit</t>
  </si>
  <si>
    <t xml:space="preserve">Kişisel koruyucu donanım kullanınız. Toz oluşmamasına dikkat ediniz.Buhar, duman ve gazını solumaktan kaçınınız. İyi bir havalandırma olduğundan emin olunuz. </t>
  </si>
  <si>
    <t>Madde veya karışımın güvenli elleçlenmesini sağlamak amacıyla, hem yangının hem de aerosol ve toz oluşmasını önlemek veya kontrol altına almak için gerekli tedbirleri alınız.</t>
  </si>
  <si>
    <t xml:space="preserve">Uygun mühendislik kontrolleri : Çalışma alanında iyi havalandırma sağlayın.
Ellerin koruması : Koruyucu eldivenler
Gözlerin koruması : Koruyucu gözlükler
Deri ve vücudun korunması : Uygun koruyucu kıyafet kullanın
Solunum yollarının koruması : Yetersiz havalandırma durumunda uygun solunum ekipmanı giyin
Çevresel maruziyet kontrolleri : Çevreye verilmesinden kaçının.
</t>
  </si>
  <si>
    <t>Görünüm: Sıvı
Renk: Renksiz
Koku: Hafif klor kokusu</t>
  </si>
  <si>
    <t>Önerilen depolama koşullarında kararlıdır.</t>
  </si>
  <si>
    <t>Yer üstü ve yer altı sularına, içme suyu kaynaklarına, duran ve akan sulara, kanalizasyona karışmasını engelleyimiz.</t>
  </si>
  <si>
    <t>FORMALDEHİT</t>
  </si>
  <si>
    <t>Analiz reaktifi kimyasal üretim, farmasotik üretim ve analiz</t>
  </si>
  <si>
    <t>Formaldehit, metanol</t>
  </si>
  <si>
    <t>Kanserojen, nörolojik depresan, toksik zehirli,yanıcı</t>
  </si>
  <si>
    <t>Genel öneri : İlkyardim yapan kişi gerekli koruyucu tedbirleri kendisi için almalıdır. Doktorunuza başvurduğunuzda bu güvenlik bilgi formunu gösteriniz. Solunması halinde, Solunum sonrasında: temiz hava. Hemen doktor çağırın. Eğer solunum durursa: hemen mekanik solunum uygulayın, gerekliyse oksijen de uygulayın. Deriyle teması halinde: Hemen tüm bulaşmış giyisileri çıkarınız. Deriyi suyla yıkayınız. Hemen bir doktor çağırınız. Gözle teması halinde, Göz temasından sonra: bol su ile yıkayın. Hemen göz uzmanı çağırın. Kontakt lensleri çıkarınız. Yutulması halinde, Yutma sonrası: temiz hava. Kazazedeye etanol içiriniz (örn. 1 bardak %40'lık alkollü içecek). Derhal doktoru arayınız (metanol içildiğini belirtiniz). Yalnızca bir saat içinde tıbbi yardımın mevcut olmadığı özel durumlarda, kazazedeyi kusturunuz (yalnızca bilinci yerinde olan kişileri) ve tekrar etanol içiriniz (yaklaşık 0.3 ml %40'lık alkollü içecek/kg vücut ağırlığı/saat). Nötralize etmeyi denemeyin.</t>
  </si>
  <si>
    <t xml:space="preserve">Uygun yangın söndürücüler
Su Köpük Karbon dioksit (CO2) Kuru tozdur. Madde veya karışımdan kaynaklanan özel zararlar
Yanıcı materyallerle hazırlanmıştır.
Havadan ağır buharlar zemin üzerinde yoğunlaşabilir.
Yoğun ısılarda hava ile patlayıcı karışımlar oluşturur.Yangın durumunda tehlikeli yanıcı gazlar veya buharlar gelişebilir. Yangın söndürme ekipleri için tavsiyelerTehlikeli bölgede solunum aparatı olmaksızın durmayınız. Cilt ile temasını engellemek için güvenli uzaklıkta durun ve uygun koruyucu kıyafet giyin.Ek bilgi Kabı tehlikeli bölgeden uzaklaştırın ve su ile soğutun. Yangın söndürme sularının yeryüzü veya yeraltı sularına karışmasını önleyiniz.
</t>
  </si>
  <si>
    <t xml:space="preserve">Kişisel önlemler, koruyucu donanım ve acil durum prosedürleri
Acil durum personeli olmayan personeli uyarın Buhar, aerosolünü solumayın. Madde
temasını engelleyin. İyi bir havalandırma olduğundan emin olunuz. Isıdan ve tutuşmaya
yol açabilecek herşeyden uzak tutunuz. Tehlike bölgesini boşaltın, acil durum
prosedürlerini uygulayın, bir uzm ana danışın. Çevresel önlemler
Kanalizasyona karışmamasına dikkat ediniz. Muhafaza etme ve temizleme için yöntemler ve materyaller
Drenaj kanallarını kapatın. Dökülmeleri toplayın, sarın ve pompalayarak uzaklaştırın. Olası
malzeme kısıtlamalarına uyun Sıvı emici madde ile dikkatlice alın. İmha için gönderin. Etkilenen bölgeyi temizleyin.
</t>
  </si>
  <si>
    <t>Güvenli elleçleme önerileri
Çekerocak altında çalışın. Maddeyi teneffüs etmeyin. Buharların/aerosollerin oluşmasını
engelleyin.
Yangın ve patlamaya karşı korunma önerileri
Çıplak alevden, sıcak yüzeylerden ve tutuşmaya neden olabilecek herseyden uzak
tutunuz.Statik boşalmaya karşı önleyici tedbirler alın.
Hijyen önlemleri
Derhal kirlenen giysiyi değiştirin. Cilt koruyucu krem uygulayın. Madde ile çalıştıktan sonra
ellerinizi ve yüzünüzü yıkayın. Saklama koşulları
Metal kap kullanılmamlıdır.
Işıktan koruyun.Sıkıca kapatılmış. İyi havalandırılmış bir yerde saklayınız. Kilit altında ya da
yalnızca vasıflı veya yetkili kişilerin girebileceği yerlerde saklayınız.</t>
  </si>
  <si>
    <t>Göz/yüz koruması : NIOSH (US) veya EN 166 (EU) gibi standartlara uygun olarak test edilmiş ve onaylanmış göz koruma ekipmanı kullanınız. Yüze tam oturan güvenlik gözlükleri. Cildin korunması :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Tam temas Malzeme: Nitril kauçuk Minimum tabaka kalınlığı 0,40 mm Delinme süresi: 480 min
Test edilmiş malzeme: Bu öneri güvenlik bilgi formunda ve tarafımızdan tedarik edilen ve tarafımızdanbelirlenen amaçta kullanılan ürünlere uygulanır. Diğer maddelerle çözme vekarıştırma ve EN374'de belirtilen koşullardan sapma durumunda CE-onaylı eldiven üreticisi ile temasa geçin. Sıçrama ile temas Malzeme: Kloropren Minimum tabaka kalınlığı 0,65 mm Delinme süresi: 240 min
Vücut korunması koruyucu giysi Solunum sisteminin korunması buharlar/aerosoller oluştuğunda gerekir. Filtreli respiratuar korumayla ilgili tavsiyelerimiz, DIN EN 143, DIN 14387 ve kullanılan respiratuar koruma sistemine ilişkin diğer ek standartlara dayanır. Girişimci, solunum koruma cihazlarının, cihaz üreticisinin talimatlarınca bakım yapıldığı, temizlendiği ve test edildiğini temin etmelidir. Bu önlemler açık bir şekilde belgelenmelidir.
Çevresel maruziyet kontrolü Kanalizasyona karışmamasına dikkat ediniz.</t>
  </si>
  <si>
    <t xml:space="preserve">Görünüm Fiziksel hali: sıvı
Renk: renksiz
Millipore- 1.04003 Sayfa 7 nin 14
Formaldehit çözeltisi yakl. %37 Analiz için GR yaklaşık %10 metanol ile stabilize edilmiş ACS,Reag. Ph Eur
The life science business of Merck operates as MilliporeSigma in
the US and Canada
b) Koku acı
c) Koku Eşiği 0,05 - 0,125 ppm - (Formaldehit)
d) pH 2,8 - 4,0 nin 20 °C
e) Erime
noktası/Donma
noktası
Erime noktası: &lt; -15 °C
f) Başlangıç kaynama
noktası ve kaynama
aralığı
93 - 96 °C nin 1.013 hPa
g) Parlama noktası 62 °C  Su içinde
çözünürlüğü
nin 20 °C çözünür
</t>
  </si>
  <si>
    <t>Tepkime
Indirgeyici bileşikler polimerleşme eğilimi
Yoğun ısılarda hava ile patlayıcı karışımlar oluşturur.
Parlama noktasından takr. 15 Kelvin altından bir bölge kritik olarak sınıflandırılmalı. Kimyasal kararlılık
Işığa hassaslık
Ürün, standart ortam koşulları (oda sıcaklığı) altında kimyasal olarak s tabildir.
Şu sabitleştirici(leri)yi içermektedir:
Metanol (10 %) Kaçınılması gereken durumlar
Işığa maruz bırakma.
Güçlü ısıtma.Kaçınılması gereken maddeler
çeşitli metaller, çeşitli alaşımlar, Hafif çelik, Bakır</t>
  </si>
  <si>
    <t xml:space="preserve">Yutulması halinde, ciddi derecede ağız ve boğaz yanmasıyla birlikte yemek borusu
ve mide delinmesi riski vardır. Belirtiler: mukozal tahrişler, Öksürük, Solunum darlığı, Olası zararlar:, solunum
sistemindeki zarar. Karişimi yanıklara neden olur. Karışım, gözde ciddi yaralanmaya sebep olur. Körlük riski! Karışım, alerjik cilt reaksiyonuna sebep olabilir. Genetik bozukluğun kanıtı. Karışım, organlara zarar verir. - Gözler, Merkezi sinir sistemi
Karışım, solunum iritasyonuna sebep olabilir.
</t>
  </si>
  <si>
    <t xml:space="preserve">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Genel Esaslarına İlişkin Yönetmelik, 02.04.2015, RG 29314) bertaraf edilmelidir. Kimyasalları orijinal kaplarında bırakın. Başka atıklarla karıştırmayın. Temizlenmemiş kaplara ürünün kendisi gibi işlem yapın.
</t>
  </si>
  <si>
    <t>GLUTERALDEHİT</t>
  </si>
  <si>
    <t>Malzeme Dezenfeksiyonu</t>
  </si>
  <si>
    <t>Formaldehit çözeltisi yakl. %37 Analiz için GR 
yaklaşık %10 metanol ile stabilize edilmiş</t>
  </si>
  <si>
    <t>Toksik, aşındırıcı, genetik hasar</t>
  </si>
  <si>
    <t>Genel öneri; İlkyardim yapan kişi gerekli koruyucu tedbirleri kendisi için almalıdır. Doktorunuza başvurduğunuzda bu güvenlik bilgi formunu gösteriniz.
Solunum sonrasında: temiz hava. Hemen doktor çağırın. Eğer solunum durursa: hemen mekanik solunum uygulayın, gerekliyse oksijen de uygulayın.
Deriyle teması halinde: Hemen tüm bulaşmış giyisileri çıkarınız. Deriyi suyla yıkayınız. Hemen bir doktor çağırınız.
Göz temasından sonra: bol su ile yıkayın. Hemen göz uzmanı çağırın. Kontakt lensleri çıkarınız.
Yutma sonrası: temiz hava. Kazazedeye etanol içiriniz (örn. 1 bardak %40'lık alkollü içecek ). Derhal doktoru arayınız (metanol içildiğini belirtiniz). Yalnızca bir saat içinde tıbbi yardımın mevcut olmadığı özel durumlarda, kazazedeyi kusturunuz (yalnızca bilinci yerinde olan kişileri) ve tekrar etanol içiriniz (yaklaşık 0.3 ml %40'lık alkollü içecek/kg vücut ağırlığı/saat). Nötralize etmeyi denemeyin.</t>
  </si>
  <si>
    <t xml:space="preserve">Uygun yangın söndürücüler
Su Köpük Karbon dioksit (CO2) Kuru toz
Uygun olmayan söndürme aracı
Bu madde/karışım için söndürme maddelerine yönelik bir sınırlama yoktur.
Yanıcı materyallerle hazırlanmıştır.
Havadan ağır buharlar zemin üzerinde yoğunlaşabilir.
Yoğun ısılarda hava ile patlayıcı karışımlar oluşturur.
Yangın durumunda tehlikeli yanıcı gazlar veya buharlar gelişebilir.Tehlikeli bölgede solunum aparatı olmaksızın durmayınız. Cilt ile temasını engellemek için 
güvenli uzaklıkta durun ve uygun koruyucu kıyafet giyin.
Tehlikeli bölgede solunum aparatı olmaksızın durmayınız. Cilt ile temasını engellemek için 
güvenli uzaklıkta durun ve uygun koruyucu kıyafet giyin.
</t>
  </si>
  <si>
    <t>Kişisel önlemler, koruyucu donanım ve acil durum prosedürleri
Acil durum personeli olmayan personeli uyarın Buhar, aerosolünü solumayın. Madde 
temasını engelleyin. İyi bir havalandırma olduğundan emin olunuz. Isıdan ve tutuşmaya 
yol açabilecek herşeyden uzak tutunuz. Tehlike bölgesini boşaltın, acil durum 
prosedürlerini uygulayın, bir uzm ana danışın.
Çevresel önlemler
Kanalizasyona karışmamasına dikkat ediniz.
Muhafaza etme ve temizleme için yöntemler ve materyaller
Drenaj kanallarını kapatın. Dökülmeleri toplayın, sarın ve pompalayarak uzaklaştırın. Olası 
malzeme kısıtlamalarına uyun. Sıvı emici madde ile dikkatlice alın 
(örn. Chemizorb®). İmha için gönderin. Etkilenen bölgeyi temizleyin.</t>
  </si>
  <si>
    <t>Güvenli elleçleme önerileri
Çekerocak altında çalışın. Maddeyi teneffüs etmeyin. Buharların/aerosollerin oluşmasını 
engelleyin.
Yangın ve patlamaya karşı korunma önerileri
Çıplak alevden, sıcak yüzeylerden ve tutuşmaya neden olabilecek herseyden uzak 
tutunuz.Statik boşalmaya karşı önleyici tedbirler alın.
Hijyen önlemleri
Derhal kirlenen giysiyi değiştirin. Cilt koruyucu krem uygulayın. Madde ile çalıştıktan sonra 
ellerinizi ve yüzünüzü yıkayın.
Metal kap kullanılmamlıdır.
Işıktan koruyun.Sıkıca kapatılmış. İyi havalandırılmış bir yerde saklayınız. Kilit altında ya da 
yalnızca vasıflı veya yetkili kişilerin girebileceği yerlerde saklayınız.
Önerilen saklama sıcaklığı, ürün etiketine bakın.</t>
  </si>
  <si>
    <t>Göz/yüz koruması; NIOSH (US) veya EN 166 (EU) gibi standartlara uygun olarak test edilmiş ve onaylanmış göz koruma ekipmanı kullanınız. Yüze tam oturan güvenlik gözlükleri
Cildin korunması;Bu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Tam temas; Malzeme: Nitril kauçuk Minimum tabaka kalınlığı 0,40 mm Delinme süresi: 480 min Test edilmiş malzeme:Camatril® (KCL 730 / Aldrich Z677442, Ebat M)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Sıçrama ile temas Malzeme: Kloropren Minimum tabaka kalınlığı 0,65 mm Delinme süresi: 240 min Test edilmiş malzeme:KCL 720 Camapren® Vücut korunması koruyucu giysi Solunum sisteminin korunması buharlar/aerosoller oluştuğunda gerekir. Filtreli respiratuar korumayla ilgili tavsiyelerimiz, DIN EN 143, DIN 14387 ve 
kullanılan respiratuar koruma sistemine ilişkin diğer ek standartlara dayanır. Tavsiye edilen Filtre tipi: ABEK tipi filtre, Girişimci, solunum koruma cihazlarının, cihaz üreticisinin talimatlarınca bakım 
yapıldığı, temizlendiği ve test edildiğini temin etmelidir. Bu önlemler açık bir şekilde belgelenmelidir. Çevresel maruziyet kontrolü Kanalizasyona karışmamasına dikkat ediniz.</t>
  </si>
  <si>
    <t>Görünüm Fiziksel hali: sıvı
Renk: renksiz
Millipore- 1.04003 Sayfa 7 nin 14
Formaldehit çözeltisi yakl. %37 Analiz için GR yaklaşık %10 metanol ile stabilize edilmiş ACS,Reag. Ph Eur
The life science business of Merck operates as MilliporeSigma in 
the US and Canada
b) Koku acı
c) Koku Eşiği 0,05 - 0,125 ppm - (Formaldehit)
d) pH 2,8 - 4,0 nin 20 °C
e) Erime 
noktası/Donma 
noktası
Erime noktası: &lt; -15 °C
f) Başlangıç kaynama 
noktası ve kaynama 
aralığı
93 - 96 °C nin 1.013 hPa
g) Parlama noktası 62 °C - c.c.</t>
  </si>
  <si>
    <t>Tepkime
Indirgeyici bileşikler polimerleşme eğilimi
Yoğun ısılarda hava ile patlayıcı karışımlar oluşturur.
Parlama noktasından takr. 15 Kelvin altından bir bölge kritik olarak sınıflandırılmalı.
Kimyasal kararlılık
Işığa hassaslık
Ürün, standart ortam koşulları (oda sıcaklığı) altında kimyasal olarak s tabildir.
Şu sabitleştirici(leri)yi içermektedir:
Metanol (10 %)
Kaçınılması gereken durumlar
Işığa maruz bırakma.
Güçlü ısıtma. Kaçınılması gereken maddeler
çeşitli metaller, çeşitli alaşımlar, Hafif çelik, Bakır</t>
  </si>
  <si>
    <t>Akut toksisite Belirtiler: Yutulması halinde, ciddi derecede ağız ve boğaz yanmasıyla birlikte yemek borusu ve mide delinmesi riski vardır.
Belirtiler: mukozal tahrişler, Öksürük, Solunum darlığı, Olası zararlar:, solunum sistemindeki zarar
Cilt aşınması/tahrişi; Karişimi yanıklara neden olur.
Ciddi göz hasarı/göz tahrişi; Karışım, gözde ciddi yaralanmaya sebep olur. Körlük riski!
Solunum veya cilt hassaslaştırıcılığı; Karışım, alerjik cilt reaksiyonuna sebep olabilir.
Eşey hücre mutajenitesi; Genetik bozukluğun kanıtı.
Kanserojenite; Uygun veri yoktur
Üreme sistemi toksisitesi
Belirli Hedef Organ Toksisitesi – Tek maruz kalma
Karışım, organlara zarar verir. - Gözler, Merkezi sinir sistemi
Karışım, solunum iritasyonuna sebep olabilir.
Belirli Hedef Organ Toksisitesi – Tekrarlı maruz kalma
Uygun veri yoktur
Aspirasyon toksisitesi
Uygun veri yoktur</t>
  </si>
  <si>
    <t xml:space="preserve">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Genel Esaslarına İlişkin 
Yönetmelik, 02.04.2015, RG 29314) bertaraf edilmelidir. Kimyasalları orijinal kaplarında 
bırakın. Başka atıklarla karıştırmayın. Temizlenmemiş kaplara ürünün kendisi gibi işlem 
yapın.
</t>
  </si>
  <si>
    <t>GÜMÜŞ NİTRAT KALEMİ</t>
  </si>
  <si>
    <t>15-20 ADET</t>
  </si>
  <si>
    <t>Analiz reaktifi, tıbbi tedavi</t>
  </si>
  <si>
    <t>Gümüş Nitrat</t>
  </si>
  <si>
    <t>Yakıcı</t>
  </si>
  <si>
    <t>Genel öneri
İlkyardim yapan kişi gerekli koruyucu tedbirleri kendisi için almalıdır.
Solunum sonrası: temiz hava. Doktor çağırın.
Deriyle teması halinde: Hemen tüm bulaşmış giyisileri çıkarınız. Deriyi suyla
yıkayınız. Hemen bir doktor çağırınız.
Göz temasından sonra: bol su ile yıkayın. Hemen göz uzmanı çağırın. Kontakt
lensleri çıkarınız. Yuttuktan sonra 2 bardak su içirin. Kusmayı engelleyin (delme riski!). Hemen bir
doktor çağırınız. Nötralize etmeyi denemeyin.
4.2 Akut ve sonradan görülen önemli belirtiler ve etkiler
İritasyon ve korozivite, Öksürük, Baş dönmesi, Kusma, Ishal, mide spazmları,
Solunum darlığı, Bilinç kaybı, ölüm
Korneanın lekelenmesine bağlı olarak kalıcı zarar riski.
Körlük riski!</t>
  </si>
  <si>
    <t>Bu madde/karışım için söndürme maddelerine yönelik bir sınırlama yoktur. Hepsi kullanılabilir.</t>
  </si>
  <si>
    <t>Acil durum personeli olmayan personeli uyarın Tozları teneffüs ettikten sonra. Madde
temasını engelleyin. İyi bir havalandırma olduğundan emin olunuz. Tehlike bölgesini
boşaltın, acil durum prosedürlerini uygulayın, bir uzm ana danışın. Çevresel önlemler
Kanalizasyona karışmamasına dikkat ediniz.Muhafaza etme ve temizleme için yöntemler ve materyaller
Geri dönüşüm için gönderin.
Drenaj kanallarını kapatın. Dökülmeleri toplayın, sarın ve pompalayarak uzaklaştırın.
Olası malzeme kısıtlamalarına uyun (bkz. Bölüm 7 ve 10). Kuru alın. Atılması için
gönderin. Etkilenmiş bölgeyi temizleyin. Tozların çoğalmasını engelleyin.</t>
  </si>
  <si>
    <t xml:space="preserve">Etiketteki önlemleri dikkate alınız. Derhal kirlenen giysiyi değiştirin. Cilt koruyucu krem uygulayın. Madde ile çalıştıktan
sonra ellerinizi ve yüzünüzü yıkayın.Metal kap kullanılmamalıdır. Işıktan koruyun. Sıkıca kapatılmış. Yanıcı malzemelerin yakınlarında saklamayınız.
Önerilen saklama sıcaklığı, ürün etiketine bakın.
</t>
  </si>
  <si>
    <t xml:space="preserve">Uygun Mühendislik Kontrolleri; Teknik önlemlere ve uygun iş operasyonlarına, kişisel koruyucu ekipman kullanımı karşısında öncelik verilmelidir.Bireysel Koruyucu Önlemler; Koruyucu giysi, kullanılan tehlikeli madde konsantrasyonu ve miktarına bağlı olarak, işyerine özgüsel olarak seçilmelidir. Kimyasallardan korunmak için, koruyucu giysilerde bulunan resistanslar her bir tedarikçi tarafından saptanmalıdır.Göz/yüz koruması; Yüze tam oturan güvenlik gözlükleri. Ellerin korunması tam temas: Eldiven malzemesi: Nitril kauçuk, Eldiven kalınlığı: 0,11 mm, Delinme süresi: 480 dakika, sıçrama ile temas: Eldiven malzemesi: Nitril kauçuk, Eldiven kalınlığı: 0,11 mm, Delinme süresi: 480 dakika. Kullanılacak eldivenler EC talimatı 89/686/EEC spesifikasyonlarına ve sonuç standard EN374'e uymalıdır, örneğin KCL 741 Dermatril® L (tam temas), KCL 741 Dermatril® L (sıçrama ile temas). Yukarıda belirtilen etkileme zamanı, tavsiye edilen eldiven çeşidi örneği ile EN374'e uygun olarak laboratuarda KCL ile belirlenmiştir.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(örneğin KCL GmbH, D-36124 Eichenzell, Internet:
www.kcl.de). Diğer koruyucu ekipmanlar koruyucu giysi Solunum sisteminin korunması tozlar oluştuğunda gerekir. Tavsiye edilen Filtre tipi: Zararlı elementlerin katı ve sıvı tanecikleri için P 2 Filtresi
(DIN 3181'e uygun) Girişimci, solunum koruma cihazlarının, cihaz üreticisinin talimatlarınca bakım yapıldığı, temizlendiği ve test edildiğini temin etmelidir. Bu önlemler açık bir şekilde belgelenmelidir. Kanalizasyona karışmamasına dikkat ediniz.
</t>
  </si>
  <si>
    <t>Fiziksel hali kristaller
Renk renksiz
Koku kokusuz
pH 5,4 - 6,4
nin 100 g/l
20 °C
Erime noktası 212 °C
Kaynama noktası/kaynama
aralığı
444 °C
nin 1.013 hPa
(ayrışma)Bu ürün yanıcı değildir.Yoğunluk 4,35 g/cm3
nin 20 °CSu içinde çözünürlüğü 2.160 g/l
nin 20 °C
Bozunma sıcaklığı &gt; 444 °C Patlayıcılık özellikleri Patlayıcı olarak sınıflandırılmamıştır.
Oksitleyici özellikler Madde veya karışım altkategori 2 ile yükseltgen olarak
sınıflandırılmıştır.</t>
  </si>
  <si>
    <t>Işığa hassaslık ve korrozif etkisi vardır. Kaçınılması gereken durumlar
Güçlü ısıtma (dekompozisyon).
Işığa maruz bırakma.
Kaçınılması gereken maddeler
Alüminyum, Hafif çelik
Metaller</t>
  </si>
  <si>
    <t>Akut oral toksisite
Belirtiler: Yutulması halinde, ciddi derecede ağız ve boğaz yanmasıyla birlikte yemek
borusu ve mide delinmesi riski vardır.
Akut solunum(inhalasyon) toksisitesi
Belirtiler: mukozal tahrişler, Öksürük, Solunum darlığı, Olası zararlar:, solunum
sistemindeki zarar
Akut dermal toksisite
Bu bilgi mevcut değildir.
Cilt tahrişi
İn vitro çalışma
Sonuç: Aşındırıcı, Yanıklara neden olur. Aldıktan sonra:
Kusma, mide spazmları, Ishal, Baş dönmesi, Bilinç kaybı, ölüm
Diğer tehlikeli özellikler gözardı edilemez.</t>
  </si>
  <si>
    <t xml:space="preserve">Atık işleme yöntemleri
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Genel Esaslarına İlişkin Yönetmelik, 02.04.2015, R.G
29314) bertaraf edilmelidir. Kimyasalları orijinal kaplarında bırakın. Başka atıklarla
karıştırmayın. Temizlenmemiş kaplara ürünün kendisi gibi işlem yapın. Dökülmeleri toplayın, sarın ve pompalayarak uzaklaştırın.
Olası malzeme kısıtlamalarına uyun (bkz. Bölüm 7 ve 10). Kuru alın. Atılması için
gönderin. Etkilenmiş bölgeyi temizleyin. Tozların çoğalmasını engelleyin.
</t>
  </si>
  <si>
    <t>HİBİTANOL</t>
  </si>
  <si>
    <t>10 LT</t>
  </si>
  <si>
    <t>Antiseptik</t>
  </si>
  <si>
    <t>Etanol, D-glukonik asit, N,N’’-bis(4-klorofenil)
-3,12-diimino-2,4,11,13-
tetraazatetradekanedi amidin bileşiği (2:1)</t>
  </si>
  <si>
    <t>Alevlenir ve tahriş edici madde, sucul ortamda kalıcı</t>
  </si>
  <si>
    <t>Genel Bilgiler; Semptomlara göre tedavi uygulayın.
Soluma; Herhangi bir rahatsızlığın devamı halinde doktora başvurun.
Yutma; Şuuru yerinde olmayan bir kimseyi kesinlikle kusturtmayın ve bir sıvı içirtmeyin! Ağzı iyice çalkalayın. Herhangi bir rahatsızlığın
devamı halinde doktora başvurun.
Ciltle Temas; Kirlenmiş giysileri çıkarın. Cildi hemen sabun ve suyla yıkayın. Herhangi bir rahatsızlığın devamı halinde doktora başvurun.
Gözlerle Temas; Kontak lens varsa gözleri yıkamadan önce çıkarılmalıdırlar. Göz kapaklarını aralayarak gözleri hemen bol suyla yıkayın.
Herhangi bir rahatsızlığın devamı halinde doktora başvurun.</t>
  </si>
  <si>
    <t xml:space="preserve">Uygun yangın söndürücüler: Alkole dayanıklı köpük, Karbondioksit (CO2), kuru kimyasallar, kum ve dolomit.
Uygun olmayan yangın söndürücüler: Mümkünse su KULLANMAYIN. Ürün alevlenir özellikte olup, yüksek sıcaklıkta alevlenebilen buhar/hava karışımları oluşabilir.
Yangın, toksik gazların oluşmasına sebep olur. Yüksek sıcaklık, kabın patlamasına sebep olabilir.
Yangın buharlarını solumaktan kaçının. Mümkünse korunmuş bir yerden yangınla mücadele edin.
Herhangi bir tehlike olmadan yapılması mümkünse kabı, yangın alanından çıkarın.
Alevlere maruz kalmış kapları, yangın sönene kadar suyla soğutun.
</t>
  </si>
  <si>
    <t xml:space="preserve">Koruyucu giysi giyin. Sigara içmeyin, ateş kullanmayın, başka
ateşleyici bir şey kullanmayın. Gözlerle temastan kaçının. Döküntü halinde kaygan taban ve satıhlara dikkat edin. Toprağa veya su yoluna dökülmesinden kaçının. . Muhafaza etme ve temizleme için yöntemler ve materyaller
Büyük döküntüler: Yanıcı maddeleri dökülmüş maddeden uzak tutun. Havalandırın. Vermikülit, kuru kum veya toprağa
emdirerek kutuların içine koyun. Döküntü alanını temizlemek için bol suyla yıkayın.
Küçük döküntüler: Döküntüyü uygun emici bir maddeye emdirin. Toplayın ve kapların içine koyup güvenli bir şekilde kapatın. </t>
  </si>
  <si>
    <t>Üreticinin önerilerini okuyup takip edin. Dikkatli kişisel temizlik gereklidir. Çalışma yerini terk etmeden önce ellerinizi ve kirlenmiş
yerleri yıkayın. Kullanılırken ve kururken, çözücü buharlar çıkar. Kullanım sırasında bir şey yemeyin, içmeyin veya sigara içmeyin.
Gözlerle temasından sakının. Gerekli kimyasal hijyen önlemlerini göz önünde bulundurun. Kap sıkı sıkı kapatılmış olmalıdır.
Direkt güneş ışınlarından koruyun. Kullanılmadığı zaman kapalı tutun. Yangına karşı özel koruyucu tedbirler gerektirmez. . Uyuşmazlıkları da içeren güvenli depolama için koşullar
Sıkı sıkı kapalı orijinal ambalajında, kuru ve serin bir yerde depolayın. 25°C’nin altında bir sıcaklıkta depolayın.
Sıcaktan, kıvılcımlardan ve ateşten koruyun. Yiyeceklerden, içeceklerden ve hayvan yemlerinden uzak tutun.
Çocukların erişemeyeceği yerlerde depolayın.</t>
  </si>
  <si>
    <t>Teknik Tedbirler:
 Uygun havalandırma sağlayın. Çalışmaya Bağlı Maruz Kalma Sınırlarına uyun ve buharları soluma riskini azaltın.
Solunum koruyucu önlemler:
Havalandırma yeterli değilse uygun solunum koruyucusu var olmalıdır.
Elleri koruma:
Ciltle temas tehlikesi olduğu zaman uygun koruyucu eldiven kullanın. Lastik, neopren veya PVC. En uygun eldiven, eldiven
dağıtıcısına danışılarak seçilmelidir. Eldivenci, eldiven materyalinin geçirgenlik/bozulma zamanı hakkında bilgi verebilecektir.
Gözleri Koruma:
Onaylı koruyucu gözlük takın.
Sağlık Tedbirleri:
 Her vardiya değişiminde ve yemekten önce, sigara içmeden önce ve tuvalete gitmeden önce ellerinizi yıkayın. Cildin ıslanması
veya kirlenmesi halinde hemen yıkayın. Kullanım sırasında herhangi bir şey yemeyin, içmeyin ve sigara içmeyin. Kirlenmiş
giysilerin hepsini hemen çıkarın. Kirlenmiş giysileri ayrı tutup tekrar kullanmadan önce yıkayın.
Cildi koruma:
Temas halinde önlük veya koruyucu giysi giyin.
Çevresel önlemler:
Ulusal kanunlar gereğince durulama suyunu imha ediniz. Çevreye kontrolsüz olarak serbest bırakılmasını önleyin.</t>
  </si>
  <si>
    <t>Görünüş Sıvı
Renk Pembe.
Koku Lavanta.
Çözünürlük Uygun bilgi yok.
Kaynama Noktası ~ 88 °C
Parlama noktası &gt;23°C
pH Değeri 5,5-7,0</t>
  </si>
  <si>
    <t xml:space="preserve">Tepkime
 Normal ısı şartları altında ve tavsiye olunan kullanma şartları altında kararlıdır. Ön görülen depolama şartları altında kararlıdır.
 Kimyasal kararlılık
 Normal ısı şartları altında ve tavsiye olunan kullanma şartları altında kararlıdır. Ön görülen depolama şartları altında kararlıdır. Bilinen zararlı tepkimesi yoktur.Yüksek ısıya veya direk güneş ışınlarına maruz bırakmaktan sakının. Sabun ve diğer antiseptiklerle karıştırmayınız. Etkileşim olabilir. </t>
  </si>
  <si>
    <t>Ciddi göz hasarı / tahrişi
 Ciddi göz hasarına yol açar.
 Cilt aşındırıcılığı / tahrişi
 Hafif tahriş edebilir.
Eşey Hücre Mutajenitesi (in vitro – in vivo)
Bilgi yok.
 Kanserojenite
 Bilgi yok.
 Üreme toksisitesi (Fertilite – Gelişim)
 Bilgi yok.
Soluma
Talimatlara uygun şekilde kullanıldığında olumsuz etkiler görülmez.
Yutma
Yutulması halinde rahatsızlığa neden olabilir. Mide bulantısı dahil mide-barsak rahatsızlığı belirtileri.</t>
  </si>
  <si>
    <t>ICE SPRAY</t>
  </si>
  <si>
    <t>1-24 ADET</t>
  </si>
  <si>
    <t>Yüzey Soğutulması</t>
  </si>
  <si>
    <t>Yanıcı, Tahriş edici, Çevreye Zararlı</t>
  </si>
  <si>
    <t>Inhalasyon: Etkilenen kişiyi açık havaya çıkarın. Kişi kötü hissederse bir doktora danışın.Cilde temas: Kirlenmiş giysileri çıkarın. Ürün kurumadan önce cildi bol su ve sabunla yıkayın. İritasyon devam ederse bir doktora danışın.Göze Temas : En az 15 dakika boyunca (ılık) suyla yıkayın. Kontak lensleri çıkartın. Bir doktora danışın.Yutma : Kusturmaya çalışmayın. Ağzını çalkalayın. Bir bardak su verin. Koyulaştırılmış süt veya bir parça tereyağı verin. Gerektiğinde 1 veya 2 çorba kaşığı laksatif (sodyum sülfat) verin. Baygın haldeki kişiye asla ağızdan bir şey vermeyin. Kişi kötü hissederse derhal bir doktora danışın.</t>
  </si>
  <si>
    <t>Karbondioksit (CO2). Alkole dirençli Köpük. Kuru kimyasal. Su sis.</t>
  </si>
  <si>
    <t>Kayma tehlikesini. Dökülen maddeleri derhal temizleyin. Kaymaz tabanlı ayakkabı giyin. Dökülen veya yayılan madde ile temastan kaçının. Buhar/Aerosollerini solumayın. Tutuşturucu kaynaklardan uzakta muhafaza edin.–Sigara içmeyin. Yüksek derecede yanıcı gazların birikmesi patlama riski içerir. Buharlar havadan daha ağırdır. Alçak alanlarda (gaz) birikmesi boğulma riskine neden olabilir. Ürünün kanalizasyon, yüzey suları ve/veya yeraltı sularına karışmasına izin vermeyin. Atık ürünün toprağı veya suyu kirletmesine izin verilmemelidir.</t>
  </si>
  <si>
    <t>Basınçlı kap; Güneş ışığından koruyun. 50 °C aşan sıcaklıklara maruz bırakmayın. Kullanımdan sonrabile delmeyin veya yakmayın. Tutuşturucu kaynaklardanuzakta muhafaza edin.–Sigara içmeyin. Çıplakateş veya akkor halindeki maddelerin üzerine püskürtmeyin. Ateş, ısı kaynakları veya çalışan elektriklicihazların yanında püskürtmeyin. Tüm cihazları bağlayarakve topraklayarak elektriksel devamlılık sağlayın. Aerosollerini solumayın. Buhar solumayın. Göz ve cilt iletemasından sakının. Kaçınmak sıçramasına. Koruyucu giysiler giyin. Serin (&lt; 35 °C), kuru ve iyi havalandırılmış bir yerde dondurmadan saklayın. Güneş ışığından koruyun ve ısı kaynaklarından uzakta tutun. Yiyecek, içecek ve hayvan besleme araçlarından uzak tutunuz.</t>
  </si>
  <si>
    <t>Mühendislik önlemleri:Kimyasallarla standart çalışma önlemlerine uyun. Bkz. İşçilerin işyerinde kanserojen veya mutajen maddelere maruziyetle ilgili risklerden korunmasına ilişkin 2004/37/EG sayılı Direktif.Hijyen önlemleri:Kullanma esnasında bir şey yemeyiniz, içmeyiniz ve sigara içmeyiniz.Kişisel koruyucuekipman:Kişisel koruyucu donanımın etkinliği, diğer unsurlarla birlikte, sıcaklık ve havalandırma derecesine bağlıdır.Söz konusu özel duruma bağlı olarak mutlaka profesyonel destek alın.Vücut koruması:EN 365/367 sırasıyla 345 standardına uygun koruyucu giysiler, iş tulumu veya takımı ve benzer ayakkabılar giyin. Uygun malzeme: nitril. Solunum koruması:Yeterli havalandırma sağlayın. Büyük çaplı maruziyet durumlarında uygun solunum donanımı kullanın. Uygun: gaz filtresi tip A (kahverengi), sınıf I veya daha yüksek, örn. EN 140 standardına uygun yüz maskesiEl koruması:EN 374 standardına uygun emniyet gözlükleri takın. Uygun malzeme: nitrile. ± 0,5mm. Göz koruması:Olası göz teması tehlikesi olduğunda, EN 166 standardına uygun kenar korumaları olan emniyet gözlükleri takın.</t>
  </si>
  <si>
    <t xml:space="preserve">Görünüm: Aerosol,  Renk: Pembe,  Koku: KarakteristikKoku eşik değeri: BilinmiyorpH değeri: 6Parlama Noktası: UygulanamazAlevlenirlik: Yanar.Kaynama Noktası: -Yoğunluk:1,13gr/cm³Çözülebilme Özelliği: Su ile karışabilir. </t>
  </si>
  <si>
    <t xml:space="preserve">Normal koşullar altında kararlıdır. Bilinen bir tehlikeli reaksiyon yoktur.Tutuşma kaynakları ve ısı kaynaklarından uzak durunuz. </t>
  </si>
  <si>
    <t>Tehlikeli atıkları 2000/532/EC sayılı Komisyon Kararına göre bir atık yasası kapsamında 91/689/EEC sayılıDirektife uygun olarak bir resmi kimyasal atık deposuna bertaraf edin</t>
  </si>
  <si>
    <t>ID Tarama, Tanımlama ve Kalite Kontrol Test Hücreleri</t>
  </si>
  <si>
    <t>Ürün, Küresel Uyum Sistemine (GHS) göre sınıflandırılmamıştır.</t>
  </si>
  <si>
    <t xml:space="preserve">o Genel bilgiler: Özel bir tedbir gerekmemektedir.
o Solunum sonrası: Temiz hava sağlayınız; şikayet durumunda doktora danışınız.
o Ciltle temas sonrası: Genel olarak ürün, cildi tahriş etmez.
o Gözle temas sonrası: Gözünüzü açık tutarak akan suyun altında birkaç dakika yıkayınız.
o Yutma sonrası: Semptomların devam etmesi halinde bir doktora danışınız.
o Doktor için bilgiler:
 Hem akut hem de gecikmiş olarak en önemli semptomlar ve etkiler
Daha fazla bilgi bulunmamaktadır.
 Acil tıbbi bakım ve özel tedavinin gerekli olduğunun göstergeleri
Daha fazla bilgi bulunmamaktadır.
</t>
  </si>
  <si>
    <t>CO2, toz veya su spreyi. Daha büyük yangınlarda, su spreyi veya alkole dirençli köpükle yangını söndürünüz.</t>
  </si>
  <si>
    <t xml:space="preserve">• Kişisel tedbirler, koruyucu ekipmanlar ve acil durum prosedürleri
Gerekli değildir.
• Çevresel tedbirler: 
Bolca suyla yıkayınız.
Kanalizasyonlara / yer üstü veya yer altı sularına girmesine izin vermeyiniz.
• Çevreleme ve temizleme yöntemleri ve malzemesi:
Sıvı bağlayıcı malzeme (kum, diyatomit, asit bağlayıcılar, evrensel bağlayıcılar, talaş) ile emdiriniz.
</t>
  </si>
  <si>
    <t xml:space="preserve"> Genel koruyucu ve hijyenik önlemler:
Kimyasalların kullanılması sırasında, olağan ihtiyati tedbirlere uyulmalıdır.
 Solunum koruması:
Odanın iyi havalandırılması halinde gerekli değildir.
 Ellerin korunması:
        Koruyucu eldivenler
Eldiven malzemesi sızdırmaz olmalıdır ve ürüne / maddeye / preparata karşı dirençli olmalıdır.
• Eldiven malzemesi
Uygun eldivenin seçimi sadece malzemeye değil, aynı zamanda diğer kalite özelliklerine bağlıdır ve üreticiden üreticiye farklılık gösterir. Ürün birden fazla madde içeren bir preparat olduğundan, eldiven malzemesinin direnci önceden hesaplanamamaktadır ve bu nedenle uygulama öncesinde kontrol edilmelidir.
• Eldiven malzemesinin penetrasyon süresi
Koruyucu eldivenlerin üreticisi tarafından tam ortaya çıkış saati bulunmalı ve buna uyulmalıdır.
 Göz koruması: Güvenlik gözlükleri
 Vücut koruması: Koruyucu iş kıyafeti
</t>
  </si>
  <si>
    <t xml:space="preserve"> Görünüm:
 Biçim: Akışkan
Renk: Kırmızı
 Koku: Karakteristik
</t>
  </si>
  <si>
    <t>Koruyucu olarak Sodyum Azid kullanılmaktadır. Tahriş edici etkisi bulunmamaktadır.</t>
  </si>
  <si>
    <t>INCIDIN FOAM</t>
  </si>
  <si>
    <t>50-200 ADET</t>
  </si>
  <si>
    <t xml:space="preserve"> Hızlı Yüzey Dezenfektanı</t>
  </si>
  <si>
    <t>2-propanol, etil alkol, kuaterner amonyum bileşikleri,benzil c-12-16-alkildimetil,klorürler</t>
  </si>
  <si>
    <t>Yanıcıdır, Tahriş edicidir.</t>
  </si>
  <si>
    <t>Soluma:Solunması durunuda açıkhavaya çıkarınız.                                                          Yutma:medikal görevli tarafından talimat verilmediyse kusamaya yönlendirmeyiniz.Yutuldu ise ağzı su ile çalkalayınız.                                                       Ciltle temas: Bol miktarda akan su ile gözleri hemen bolsuyla yıkayınız,tahriş oluştu ise medikal yardım alınız.</t>
  </si>
  <si>
    <t>Yangın durumunda sprey,köpük,kuru kimyasal veya CO2 kullanınız.Yanıcı sıvı ve buhar.Buhar ateş patlaması yapabilir.İtfaiyeciler özel koruyucu ekipman kullanmalıdır.</t>
  </si>
  <si>
    <t>Geniş olarak yayılır ve sızar.Acilen güvenlik sorumlularıyla temasa geçin.Tüm tutuşma kaynaklarını eleyiniz.Görevli olmyan kişileri uzak tutun.Dökülmüş maddeye dokunmayın,uzerinde yürümeyin.Toprağa ve su yollarına ve gidere yönlendirmeyiniz..Küçük miktarları  suyla seyreltin veyıkayın.Büüyk miktarlar dökülmüş maddenin etrafınıçeviriniz. yada kanalizasyona dökülmesine izin vermeyiniz.Dökülmüş maddeyi uygun bir kaba koyup atınız.</t>
  </si>
  <si>
    <t>Gözle temasından kaçınınız.Isı,kıvılcım ve ateşten uzak tutunuz.25 C üzerinde saklamayınız.Kabı sıkı ve kapalı tutunuz.Tüm tutuşma kaynaklarından uzakta ve 25 C nin altında saklayınız.. Orijinal kabında saklayınız.</t>
  </si>
  <si>
    <t>Soluma maskesi normal kullanımda gerekli değil. Ellerin korunması normal kullanımda gerekli değil. Sıçrama riski için güvenlik gözlükleri kullanın.</t>
  </si>
  <si>
    <t>Sıvı, renksizden açık sarıya ,limon kokulu, parlama nok. 24 C</t>
  </si>
  <si>
    <r>
      <t xml:space="preserve">Normal koşullar altında stabil.
</t>
    </r>
    <r>
      <rPr>
        <sz val="12"/>
        <color indexed="8"/>
        <rFont val="Tahoma"/>
        <family val="2"/>
        <charset val="162"/>
      </rPr>
      <t xml:space="preserve">organik materyaller, metaller, asitler, alkaliler ile reaksiyon vermez. 
Diğer ürünlerle karıştırmayınız. </t>
    </r>
  </si>
  <si>
    <t>Soluma,yutma, ciltle temasta belirgin bir zararı yok, gözü tahriş eder.</t>
  </si>
  <si>
    <t>Küçük miktarları bol su ile yıkanır,büyük miktarlarıuygun emici madde ile (kumvs) toplanarak etkisizleştirili tıbbi atığa atılır atılır.</t>
  </si>
  <si>
    <t xml:space="preserve">INCIDIN OXYFOAM </t>
  </si>
  <si>
    <t>Yüzey dezenfektanı</t>
  </si>
  <si>
    <t>Tehlikeli olmayan madde veya karışım.</t>
  </si>
  <si>
    <t>Gözle teması halinde : Bol miktarda su ile yıkayınız.
Deriyle teması halinde : Bol miktarda su ile yıkayınız.
Yutulması halinde : Ağzı çalkalayınız. Semptomlar meydana gelirse tıbbi yardım 
alınız.
Solunması halinde : Semptomlar meydana gelirse tıbbi yardım alınız.</t>
  </si>
  <si>
    <t>Yerel şartlar ve çevre için uygun yangın söndürme yöntemleri  kullanınız.</t>
  </si>
  <si>
    <t>Çevre için özel tedbirler alınması gerekmez.</t>
  </si>
  <si>
    <t>Çamaşır suyu veya diğer klor içeren ürünler ile karıştırmayınız. klor gazı salınımına neden olur.</t>
  </si>
  <si>
    <t>Görünüm : sıvı
Renk : renksiz, Renksiz
Koku : karakteristik</t>
  </si>
  <si>
    <t>Normal kullanım şartları altında, tehlikeli bir reaksiyon sözkonusu değildir</t>
  </si>
  <si>
    <t>Bu madde için elde herhangi bir bilgi bulunmamaktadır.</t>
  </si>
  <si>
    <t xml:space="preserve">Seyreltimiş ürün gidere boşaltılabilir.
</t>
  </si>
  <si>
    <t>INCIDIN PRO</t>
  </si>
  <si>
    <t>Tahriş edici, zararlı, çevreye verilmesinden kaçınılmalıdır.</t>
  </si>
  <si>
    <t xml:space="preserve">Gözle teması halinde : En az 15 dakika, göz kapaklarının içi de dahil derhal bol suyla 
yıkayınız. Kontakt lens, varsa ve çıkarması kolaysa, çıkarın. 
Sürekli durulayın. Hemen tıbbi yardım alınız.
Deriyle teması halinde : En az 15 dakika boyunca bol miktarda su ile yıkayınız. Mümkünse 
yumuşak bir sabun kullanınız. Tekrar giymeden önce giysilerinizi 
yıkayınız. Ayakkabıları tekrar kullanmadan önce iyice temizleyiniz. 
Hemen tıbbi yardım alınız.
Yutulması halinde : Ağzı suyla çalkalayınız. Kusturmayın. Bilinci yerinde olmayan bir 
kişiye asla ağız yoluyla bir şey vermeyiniz. Hemen tıbbi yardım 
alınız.
Solunması halinde : Açık havaya çıkarınız. Semptomatik tedavi uygulayınız. 
Semptomlar meydana gelirse tıbbi yardım alınız.
</t>
  </si>
  <si>
    <t>Uygun yangın söndürme 
aracı
: Yerel şartlar ve çevre için uygun yangın söndürme yöntemleri 
kullanınız.</t>
  </si>
  <si>
    <t>Acil durum personelinden 
olmayanlar için öneriler
: İyi bir havalandırma olduğundan emin olunuz. İnsanları, dökülen 
malzemeden/sızıntıdan gelen dumandan uzak tutunuz. 
Solunması, yutulması ve deri ve gözlerle temasından kaçınınız. 
Belirli konsantrasyon limitlerinin aşıldığı ortamlarda çalışan isçiler, 
uygun, onaylanmış maskeler kullanmalıdır. Temizliğin yalnızca 
eğitimli personel tarafından yapıldığından emin olun.</t>
  </si>
  <si>
    <t>Güvenli elleçleme önerileri : Yutmayınız. Gözle, ciltle veya kıyafetle temas ettirmeyin. Yalnızca 
uygun havalandırmayla kullanınız. Elleçlemeden sonra elleri iyice 
yıkayınız. Sprey, buharını solumayın. Mekanik arıza durumunda 
veya ürünün bilinmeyen seyreltiği ile temas halinde, tam Kişisel 
Koruyucu Ekipmanı (KKE) kullanın.
Hijyen önlemleri : Endüstriyel hijyen ve güvenlik kurallarına uygun olarak taşıyınız. 
Tekrar kullanmadan önce kirlenmiş olan giysilerinizi yıkayınız. 
Elleçlemeden sonra yüzünüzü,ellerinizi ve maruz kalan cildi iyice 
yıkayın. Temas ve sıçrama tehlikesi halinde gözlerin ve vücudun 
hızlı bir şekilde yıkanması için gereken ekipmanları sağlayınız.</t>
  </si>
  <si>
    <t>Mühendislik önlemleri : Etkin dışarı atımlı havalandırma sistemi. Konsantrasyonu işyeri maruz kalma standartları altında tutunuz. Hijyen önlemleri : Endüstriyel hijyen ve güvenlik kurallarına uygun olarak taşıyınız. Tekrar kullanmadan önce kirlenmiş olan giysilerinizi yıkayınız. Elleçlemeden sonra yüzünüzü,ellerinizi ve maruz kalan cildi iyice yıkayın. Temas ve sıçrama tehlikesi halinde gözlerin ve vücudun 
hızlı bir şekilde yıkanması için gereken ekipmanları sağlayınız. Göz/yüz koruması (EN 166) : Emniyet gözlükleri, Yüz koruyucu (siper) Ellerin korunması (EN 374) : Tavsiye edilen önleyici cilt koruması. Eldivenler Nitril kauçuk bütil kauçuk
Dayanıklılık süresi: 1 -4 saat Minimum kalınlık nitril kauçuk veya eşdeğeri için 0,4 mm, butil kauçuk için 0,7 mm'dir. (Tavsiye için lütfen eldiven üreticisine / 
distribütörüne başvurun).Parçalanma veya kimyasal olarak delinme belirtileri varsa 
eldivenler atılmalı ve değiştirilmelidir. Deri ve vücudun korunması (EN 14605)
: Kişisel koruyucu ekipmanlar: Uygun koruyucu eldivenler, güvenlik 
gözlükleri ve uygun güvenlik ayakkabıları dahil koruyucu giysiler.
Solunum sisteminin korunması (EN 143, 14387): Yalnızca yeterli havalandırmayla kullanın. Çalışanların havadaki kirleticilere maruziyetini önerilen veya yasal maruz kalma düzeyinin altında tutmak için, kapalı işleme alanları, bölgesel hava 
tahliye havalandırması veya diğer mühendislik kontrollerini kullanın. Çalışanlar,limit değerinin üstündeki yoğunluklara maruz kalıyorlarsa, uygun ve onaylı solunum maskeleri (89/656/EEC, (EU) 2016/425) kullanmalıdır.</t>
  </si>
  <si>
    <t>Görünüm : sıvı, Renk : renksiz, açık sarı, Su içinde çözünürlüğü : çözünür</t>
  </si>
  <si>
    <t>Tepkime
Normal kullanım şartları altında, tehlikeli bir reaksiyon sözkonusu değildir. Tepkime
Normal kullanım şartları altında, tehlikeli bir reaksiyon sözkonusu değildir. Tepkime
Normal kullanım şartları altında, tehlikeli bir reaksiyon sözkonusu değildir.  Zararlı bozunma ürünleri
Yanma özelliklerine bağlı olarak, bozunma ürünleri aşağıdaki materyalleri içerebilir:
Karbon oksitler
Azot oksitler (NOx)</t>
  </si>
  <si>
    <t xml:space="preserve">Olası maruz kalma yolları 
hakkında bilgiler: Solunum, Göz ile temas, Cilt ile temas. 
</t>
  </si>
  <si>
    <t>Ürünün kanalizasyona, su yollarına ya da toprağa girmesine izin 
verilmemelidir. Mümkünse, imha ya da yakma işlemi yerine geri 
dönüşüm tercih edilir. Geri dönüşüm mümkün değilse, yerel 
düzenlemelere uygun olarak imha edin. Atıkları onaylanmış bir 
atık imha tesisinde bertaraf edin. Kullanılmamış ürün olarak imha ediniz. Boş kaplar, geri dönüşüm 
veya bertaraf için onaylanmış bir atık işleme sahasına 
götürülmelidir. Boşalan kapları tekrar kullanmayınız.</t>
  </si>
  <si>
    <t>INCIDIN OXYWİPE</t>
  </si>
  <si>
    <t>Islak Mendil</t>
  </si>
  <si>
    <t xml:space="preserve">Hydrogen peroxide </t>
  </si>
  <si>
    <t>Gözle teması halinde : Bol miktarda su ile yıkayınız.
Deriyle teması halinde : Bol miktarda su ile yıkayınız.
Yutulması halinde : Ağzı çalkalayınız. Semptomlar meydana gelirse tıbbi yardım
alınız.
Solunması halinde : Semptomlar meydana gelirse tıbbi yardım alınız.</t>
  </si>
  <si>
    <t>Uygun yangın söndürme
aracı
: Yerel şartlar ve çevre için uygun yangın söndürme yöntemleri
kullanınız. Tutuşabilir ya da yanıcı özellikte değildir. Yangın söndürme ekibi için
özel koruyucu ekipmanlar
: Kişisel koruyucu ekipmanlarınızı kullanınız.</t>
  </si>
  <si>
    <t>Uygun kişisel koruyucu ekipmanlar giyilir. Çevre için özel tedbirler alınması gerekmez. Güvenli ise sızıntıyı durdurun. Dökülenleri, yanıcı olmayan emici
maddelerle( kum, toprak, diatome toprak veya 'vermisülit' le)
toplayıp, yerel/ulusal kurallara uygun olarak atık kaplarına
koyunuz. Kalıntıları su püskürterek
temizleyiniz. Büyük miktarda dökülen ürünün su kaynaklarıyla
temasını önleyin.</t>
  </si>
  <si>
    <t xml:space="preserve">Güvenli elleçleme önerileri : Elleçlemeden sonra elleri yıkayınız. Mekanik arıza durumunda
veya ürünün bilinmeyen seyreltiği ile temas halinde, tam Kişisel
Koruyucu Ekipmanı (KKE) kullanın. Kişisel korunma için 8. bölüme
bakınız.
Hijyen önlemleri : Ürünü elleçlemeden hemen sonra ve çalışmaya ara vermeden
önce ellerinizi yıkayınız. Depolama alanı ve
kaplarında aranan nitelikler
: Çocukların erişemeyeceği yerde saklayın. Kabı sıkıca kapalı
tutun. Uygun etikete sahip kaplarda saklayın.
Depolama sıcaklığı : 5 °C arasında 25 °C
</t>
  </si>
  <si>
    <t>İyi bir genel havalandırma çalışanların havadaki kirleticilere
maruziyetini kontrol için yeterli olmalıdır. Hijyen önlemleri : Ürünü elleçlemeden hemen sonra ve çalışmaya ara vermeden
önce ellerinizi yıkayınız.
Göz/yüz koruması (EN 166) : Özel koruyucu ekipman gerekmez.
Ellerin korunması (EN 374) : Özel koruyucu ekipman gerekmez.
Deri ve vücudun korunması
(EN 14605)
: Özel koruyucu ekipman gerekmez.
Solunum sisteminin
korunması (EN 143, 14387)
: Yalnızca yeterli havalandırmayla kullanın. Çalışanların havadaki
kirleticilere maruziyetini önerilen veya yasal maruz kalma
düzeyinin altında tutmak için, kapalı işleme alanları, bölgesel hava
tahliye havalandırması veya diğer mühendislik kontrollerini
kullanın. Çalışanlar,limit değerinin üstündeki yoğunluklara maruz
kalıyorlarsa, uygun ve onaylı solunum maskeleri (89/656/EEC,
(EU) 2016/425) kullanmalıdır.</t>
  </si>
  <si>
    <t>Görünüm : sıvı
Renk : opak, Renksiz
Koku : karakteristik
pH : 2.01 - 2.41, 100 % Başlangıç kaynama noktası
ve kaynama aralığı
: 100 °C</t>
  </si>
  <si>
    <t xml:space="preserve">Normal kullanım şartları altında, tehlikeli bir reaksiyon sözkonusu değildir. Normal koşullar altında kararlıdır.
Safsızlık basıncın tehlikeli şekilde yükselmesine neden olabilir-kaplar yırtılabilir. Normal kullanım şartları altında, tehlikeli bir reaksiyon sözkonusu değildir.
</t>
  </si>
  <si>
    <t>Olası maruz kalma yolları
hakkında bilgiler
: Solunum, Göz ile temas, Cilt ile temas. Normal kullanım şartlarında insan sağlığına zarar verici bilinen
etkileri yoktur.</t>
  </si>
  <si>
    <t>Ürün : Seyreltilen ürün, düzenlemelerin izin vermesi durumunda sıhhi
kanalizasyona boşaltılabilir.
Kontamine ambalaj : Yerel ve ulusal yönetmeliklere uygun olarak bertaraf edin.</t>
  </si>
  <si>
    <t>KONİX</t>
  </si>
  <si>
    <t>: 5-kloro-2-metil-4-izotiazolin-3-on [EC no. 247-500-7] ve 2-metil-2H -
izotiazol-3-on [EC no. 220-239-6] (3:1); tepkime kütlesi: 5-kloro-2-metil-4-izotiazolin-3-on [EC 
no. 247-500-7] ve 2-metil-4-izothiazolin-3-on</t>
  </si>
  <si>
    <t>bu ürün doğru mesleki hijyen ve güvenlik prensiplerine uygun elleçlendiği 
takdirde herhangi bir risk teşkil etmez.</t>
  </si>
  <si>
    <t>Solunması halinde ilkyardım müdahaleleri : Kişiyi temiz havaya çıkartın ve rahat nefes almasını sağlayın.
Deriyle temas etmesi halinde ilkyardım 
müdahaleleri
: Cildi bol su ile yıkayın.
Gözle temas etmesi halinde ilkyardım 
müdahaleleri
: Gözleri tedbir amaçlı suyla yıkayın.
Yutulması halinde ilkyardım müdahaleleri : Kendinizi iyi hissetmezseniz, zehir merkezini veya doktoru/hekimi arayın.</t>
  </si>
  <si>
    <t>Dökülme alanını havalandırın.</t>
  </si>
  <si>
    <t>Çalışma alanında iyi havalandırma sağlayın. Kişisel koruyucu ekipman kullanın.
Bu ürünü kullanırken hiçbir şey yemeyin, içmeyiniz veya sigara içmeyin. Ürünü elleçledikten 
sonra daima ellerinizi yıkayın. İyi havalandırılan yerde depolayın. Soğuk tutun.</t>
  </si>
  <si>
    <t>Fiziksel hali : Sıvı
Görünüm : jel.
Renk : Renksiz
Koku : Kokusuz</t>
  </si>
  <si>
    <t>Ürün, normal kullanım, depolama ve taşıma koşulları altında reaktif değildir</t>
  </si>
  <si>
    <t>Onaylı toplayıcının ayırma talimatlarına uygun olarak, içeriği/kabını elemine edin.</t>
  </si>
  <si>
    <t>LISS</t>
  </si>
  <si>
    <t>Düsük iyonik güçte tampon çözeltisi</t>
  </si>
  <si>
    <t>Söz konusu solüsyonun gözle ve deriyle uzun süreli temas etmesi hassasiyete ve tahriºlere sebep olabilir.</t>
  </si>
  <si>
    <t>Cilde ve göze temasından sakınılmalı; temas halinde ise bol temiz su ile yıkanmalıdır.</t>
  </si>
  <si>
    <t>Bu ürün yüksek yanıcı özelliğe sahip değildir.</t>
  </si>
  <si>
    <t>Saklama Koşulları: 2 °C-25 °C arasında saklanmalıdır. Direk güneş ışığından koruyunuz.</t>
  </si>
  <si>
    <t>Temas Durumu: Sıçramasında ve buharından kaçınınız. Her türlü direk temastan kaçınınız. 
Ürünün kullanımı sırasında laboratuar ortamına uygun  giysi giyilmeli, eldiven, gözlük ve maske takılmalıdır</t>
  </si>
  <si>
    <t>Ürün kokusuz ve renksiz sıvı çözelti şeklindedir</t>
  </si>
  <si>
    <t>Ürünler saklama koşullarında korunduklarında stabildirler</t>
  </si>
  <si>
    <t>Eğer varsa, söz konusu ürünlerin ve kirlenmiş ambalajların ortadan kaldırılması için yürürlülükte olan yerel yönetmeliklere riayet edilmelidir.</t>
  </si>
  <si>
    <t>LUGOL</t>
  </si>
  <si>
    <t>Gram boyama</t>
  </si>
  <si>
    <t>seyreltik iyot-potasyum iyodür
çözeltisi</t>
  </si>
  <si>
    <t>Solunması halinde
Teneffüs ettikten sonra: temiz hava.
Deriyle teması halinde
Deriyle teması halinde: Hemen tüm bulaşmış giyisileri çıkarınız. Deriyi suyla yıkayınız.
Gözle teması halinde
Göz temasından sonra: bol su ile yıkayın. Kontakt lensleri çıkarınız.
Yutulması halinde
Yuttuktan sonra hemen 2 bardak su içirin. Kötü hissediliyorsa doktora başvurun.</t>
  </si>
  <si>
    <t>Yerel şartlar ve çevre için uygun yangın söndürme yöntemleri kullanınız. Yanıcı değildir.
Çepeçevre ateş tehlikeli buharları serbest bırakabilir. Yangın durumunda,oksijen tüplü komple maske kullanınız. Yangın söndürme sularının yeryüzü veya yeraltı sularına karışmasını önleyiniz.</t>
  </si>
  <si>
    <t>Kişisel önlemler, koruyucu donanım ve acil durum prosedürleri
Acil durum personeli olmayan personeli uyarın Buhar, aerosolünü solumayın. Tehlike
bölgesini boşaltın, acil durum prosedürlerini uygulayın, bir uzm ana danışın. Kanalizasyona karışmamasına dikkat ediniz.Drenaj kanallarını kapatın. Dökülmeleri toplayın, sarın ve pompalayarak uzaklaştırın. Olası
malzeme kısıtlamalarına uyun). Sıvı-absorbe edici ve notralize edici
malzeme ile  alın. İmha için gönderin. Etkilen
alanı temizleyin.</t>
  </si>
  <si>
    <t>Işıktan koruyun.Sıkıca kapatılmış.
Önerilen saklama sıcaklığı, ürün etiketine bakın.</t>
  </si>
  <si>
    <t>Maruz kalma limiti bulunan hiçbir madde içermez. Göz/yüz koruması
NIOSH (US) veya EN 166 (EU) gibi standartlara uygun olarak test edilmiş ve
onaylanmış göz koruma ekipmanı kullanınız. Koruyucu gözlük
Cildin korunması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Tam temas
Malzeme: Nitril kauçuk
Minimum tabaka kalınlığı 0,11 mm
Delinme süresi: &gt; 480 min
Test edilmiş malzeme:KCL 741 Dermatril® L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Solunum sisteminin korunması
Aerosol oluşumu hariç gerekli değildir.
Çevresel maruziyet kontrolü
Kanalizasyona karışmamasına dikkat ediniz</t>
  </si>
  <si>
    <t xml:space="preserve">Görünüm Fiziksel hali: sıvı
Renk: kahverengi, Koku az, </t>
  </si>
  <si>
    <t xml:space="preserve">Tepkime
Uygun veri yoktur. Ürün, standart ortam koşulları (oda sıcaklığı) altında kimyasal olarak s tabildir.
</t>
  </si>
  <si>
    <t>Zararlı özellikler göz ardı edilemez ama ürün uygun kullanıldığı zaman olası değildir.</t>
  </si>
  <si>
    <t>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Genel Esaslarına İlişkin
Yönetmelik, 02.04.2015, RG 29314) bertaraf edilmelidir. Kimyasalları orijinal kaplarında
bırakın. Başka atıklarla karıştırmayın. Temizlenmemiş kaplara ürünün kendisi gibi işlem
yapın.</t>
  </si>
  <si>
    <t>LUGOL %5</t>
  </si>
  <si>
    <t>5 LT</t>
  </si>
  <si>
    <t xml:space="preserve">Alkol Reagent Sodium Acetate Trihydrate Sulfosalicylic Acid Leucocrystal Violet Hidrojen Peroksit Reagent Destile Su </t>
  </si>
  <si>
    <t xml:space="preserve">Göz, cilt veya solunum rahatsızlığına neden olabilir.
Solunum Zorluğu, Hafif Baş dönmesine neden olabilir. </t>
  </si>
  <si>
    <t>DERİYLE TEMAS Ilık suyla iyice yıkayın.
GÖZLE TEMAS Ilık su ile iyice yıkayın Soğuk musluk suyu ile en az 15 dakika boyunca yıkayın.
SOLUMA Temiz havaya çıkarın, eğer sorun devam ederse, oksijen uygulayın ve doktor ile temasa geçin.
YUTMA Çok miktarda su içirin, kusturmayın.
TAHRİŞ ETMESİ VEYA VÜCUDA HASAR VEREN DİĞER DURUMLARDA, DOKTOR VEYA EN YAKIN ZEHİR KONTROL MERKEZİ İLE
İLETİŞİME GEÇİN.</t>
  </si>
  <si>
    <t>Uygun söndürme araçları; Köpük, KKT, CO2,su, kum</t>
  </si>
  <si>
    <t>Kişisel önlemler, korunma amaçları
ve acil durum prosedürleri :
Acil durum personeli olmayan personeli uyarın. Buhar aerosolünü solumayın. Tehlike
bölgesini boşaltın, acil durum prosedürlerini uygulayın ve bir uzmana danışın.
Çevresel tedbirler: Kanalizasyona boşaltmayın.
Çember altına alma ve temizlik için
yöntem ve malzemeler:
Drenaj kapaklarını kapatın. Dökülmeleri toplayın, sarın ve uzaklaştırın. Olası malzeme
kısıtlamalarına uyun. Sıvı emici materyal ile alın ve imha için gönderin. Etkilenmiş
bölgeyi temizleyin.</t>
  </si>
  <si>
    <t>Sıkıca kapatılmış. +15 ve 25oC’de depolayın. Etiketteki önlemleri dikkatle alınız.</t>
  </si>
  <si>
    <t>İnsan sağlığına zararlı ürün sınıfına girmemektedir.</t>
  </si>
  <si>
    <t xml:space="preserve">DIĞER MADDELERLE UYUMSUZLUK
(KAÇINILMASI GEREKEN ÜRÜNLER) Güçlü Oksitleyici Maddeler, Kuvvetli Asitler, Güçlü Bazlar
</t>
  </si>
  <si>
    <t>Göz, cilt veya solunum rahatsızlığına neden olabilir, Solunum Zorluğu, Işıklı Baş dönmesi
Çevreye atılaması önemlidir.</t>
  </si>
  <si>
    <t>Kimyasalları orijinal kaplarında bırakın. Başka atıklarla karıştırmayın. Temizlenmemiş kaplara ürünün kendisi gibi işlem yapın.</t>
  </si>
  <si>
    <t>METACLEAN</t>
  </si>
  <si>
    <t>2O LT</t>
  </si>
  <si>
    <t>Metal yüzey temizleme</t>
  </si>
  <si>
    <t>Sodyum hidroksit, disodyum metasilikat</t>
  </si>
  <si>
    <t>Tahriş edici, zararlı</t>
  </si>
  <si>
    <t>Genel bilgi Etkilenen kişiyi kontaminasyon kaynağından uzaklaştırın. Herhangi bir rahatsızlık varsa tıbbi yardım alın
devam ediyor.
Soluma Tıbbi yardım alın. Etkilenen kişiyi temiz havaya çıkarın ve sıcak ve dinlendirin.
nefes almak için rahat pozisyon.
Yutma Derhal tıbbi yardım alın. Kusmaya neden olmayın. asla ağızdan bir şey vermeyin
bilinçsiz bir insan. Ağzı suyla iyice çalkalayın. Bol bol su içirin.
Etkilenen kişiyi temiz havaya çıkarın ve rahat bir pozisyonda sıcak ve dinlendirin.
nefes almak. Cilt teması Etkilenen kişiyi kontaminasyon kaynağından uzaklaştırın. Hemen bol suyla durulayın
su. Kirlenmiş giysileri çıkarın. belirtilerden sonra ortaya çıkarsa derhal tıbbi yardım alın.
yıkama.
Göz teması Etkilenen kişiyi kontaminasyon kaynağından uzaklaştırın. Kontak lens varsa çıkarın ve açın.
göz kapakları birbirinden geniş. En az 15 dakika durulamaya devam edin ve tıbbi yardım alın. Soluma Solunum sistemini tahriş eder.
Cilt teması Yanıklara neden olur.
Göz teması Kimyasal göz yanıklarına neden olabilir.</t>
  </si>
  <si>
    <t>Uygun yangın söndürme aracı : Yerel şartlara uygun yangın söndürme tedbirlerini kullanın. koşullar ve çevredeki çevre. Uygun olmayan söndürme medya : Yüksek hacimli su jeti sırasında belirli tehlikeler yangın söndürme : Yangın tehlikesi Isı ve tutuşturucu kaynaklardan uzak tutunuz. Önemli bir mesafeden geri flaş mümkün. Patlayıcı konsantrasyonlar oluşturacak şekilde biriken buharlara dikkat edin. Buharlar alçak alanlarda birikebilir.Tehlikeli yanma Ürün:% s: Bozunma ürünleri aşağıdaki malzemeleri içerebilir: karbon oksitler Özel koruyucu ekipman itfaiyeciler için : Kişisel koruyucu ekipman kullanın. Özel söndürme yöntemler : Açılmamış kapları soğutmak için su spreyi kullanın. Yangın kalıntıları ve kirlenmiş yangın söndürme suyu, yerel yönetmeliklere uygun olarak. Yangın ve/veya patlama durumunda dumanlarını solumayın.</t>
  </si>
  <si>
    <t>Dökülen malzemeye dokunmayın veya üzerine yürümeyin. dahil olmak üzere uygun koruyucu ekipman giyin.
eldiven, gözlük/yüz siperi, solunum cihazı, çizme, giysi veya önlük, uygun şekilde. toplayın ve
uygun atık toplama kaplarına koyun ve sıkıca kapatın. içeren kapları etiketleyin
atık ve kontamine materyalleri mümkün olan en kısa sürede alandan uzaklaştırın. floş
bol su ile kirlenmiş alan. Büyük miktarlar söz konusuysa yetkilileri bilgilendirin.</t>
  </si>
  <si>
    <t>Kullanım önlemleri Dökülmekten kaçının. Cilt ve gözlerle temasından kaçının. Göz yıkama tesisleri ve acil duş
bu ürünle çalışırken mevcut olmalıdır. Sıkıca kapatılmış, orijinal ambalajında, kuru, serin ve iyi havalandırılan bir yerde saklayın. Depolamak
5°C ile 30°C arasındaki sıcaklıklarda kapalı orijinal ambalajında.</t>
  </si>
  <si>
    <t xml:space="preserve">
Göz/yüz koruması Bir risk değerlendirmesi şunları gösteriyorsa, onaylanmış bir standarda uygun gözlük takılmalıdır.
göz teması mümkündür. Aşağıdaki koruma giyilmelidir: Toza dayanıklı, kimyasal
sıçrama gözlüğü.
Ellerin korunması Koruyucu eldiven kullanın.
Diğer cilt ve vücut
koruma
Herhangi bir cilt teması olasılığını önlemek için uygun giysiler giyin.
Hijyen önlemleri Hava kirliliğini izin verilen maruz kalma düzeyine indirmek için mühendislik kontrollerini kullanın. Sağlamak
Göz yıkama istasyonu. Çalışma alanında sigara içmeyin. Her vardiya sonunda ellerinizi yıkayın ve
yemek yemeden, sigara içmeden ve tuvaleti kullanmadan önce. hale gelen giysileri derhal çıkarın.
kirlenmiş. Cilt kirlenirse derhal sabun ve su ile yıkayın. Kullanmak
cildin kurumasını önlemek için uygun cilt kremi. Kullanırken yemek yemeyin, içmeyin veya sigara içmeyin.
Solunum sisteminin korunması Aşağıdaki kartuşa sahip bir solunum cihazı takın: Toz ve buğu filtresi.</t>
  </si>
  <si>
    <t>Görünüm Tozlu, toz şeklinde.
Renk Beyaz.</t>
  </si>
  <si>
    <t xml:space="preserve">Normal ortam sıcaklıklarında kararlıdır. Asitler. oksitleyici maddelerle temasından kaçının. Güçlü asitler. </t>
  </si>
  <si>
    <t>Soluma Solunum sistemi tahrişine neden olabilir.
Yutma Ağız ve boğazda kimyasal yanıklara neden olabilir.
Cilt teması Yanıklara neden olur.
Göz teması Yanıklara neden olur. Gözlerde ciddi hasar riski.
Giriş yolu Soluma Yutma. Cilt ve/veya göz teması</t>
  </si>
  <si>
    <t>ökülen malzemeye dokunmayın veya üzerine yürümeyin. dahil olmak üzere uygun koruyucu ekipman giyin.
eldiven, gözlük/yüz siperi, solunum cihazı, çizme, giysi veya önlük, uygun şekilde. toplayın ve
uygun atık toplama kaplarına koyun ve sıkıca kapatın. içeren kapları etiketleyin
atık ve kontamine materyalleri mümkün olan en kısa sürede alandan uzaklaştırın. floş
bol su ile kirlenmiş alan. Büyük miktarlar söz konusuysa yetkilileri bilgilendirin.</t>
  </si>
  <si>
    <t>MİNUDES</t>
  </si>
  <si>
    <t>1-2 ADET</t>
  </si>
  <si>
    <t>Yer, yüzey dezenfektanı</t>
  </si>
  <si>
    <t>Aminopropil do.</t>
  </si>
  <si>
    <t>Tahriş edici, zehirli</t>
  </si>
  <si>
    <t>İlkyardımcıların kendilerini korumaları gerekir. Solunursa, temiz havaya çıkarılmalı ve doktor çağırılmalı. Deriyle teması halinde: Kirlenmiş tüm giysilerinizi hemen çıkarın, su ile durulayın, duş alın. Derhal bir doktor çağırın. Göz temasından sonra: bol su ile yıkayınız. Hemen göz doktoruna başvurun.Kontak lensleri çıkarın.Yuttuktan sonra: hastaya su içirin (en fazla iki bardak), kusturmaktan kaçının (tehlike perforasyon). Derhal bir doktor çağırın. Nötralize etmeye çalışmayın.</t>
  </si>
  <si>
    <t xml:space="preserve">Yangın durumunda Karbondioksit (CO2), Köpük ve Kuru kimyevi tozlu yangın söndürücü kullanın. </t>
  </si>
  <si>
    <t xml:space="preserve">Acil durum personeli olmayanlar için tavsiyeler: Buharları, aerosolleri solumayın. Maddeden kaçının. Yeterli havalandırma sağlayın. Isı ve tutuşturucu kaynaklardan uzak tutunuz.
Tehlikeli bölgeyi tahliye edin, acil durum prosedürlerini izleyin, bir uzmana danışın. Ürünün kanalizasyona girmesine izin vermeyin. </t>
  </si>
  <si>
    <t>Açık alevlerden, sıcak yüzeylerden ve tutuşturucu kaynaklardan uzak tutunuz. Önlem alınız.
Statik boşalmaya karşı önlemler. Kirlenmiş giysileri hemen değiştirin. Önleyici cilt koruması uygulayın. Madde ile çalıştıktan sonra el ve yüz yıkanmalıdır. Sıkıca kapalı.
Neme duyarlı. İnert gaz altında saklayın.</t>
  </si>
  <si>
    <t>Göz/yüz koruması; Uygun şartlar altında test edilmiş ve onaylanmış göz koruması için ekipman kullanın.NIOSH (ABD) veya EN 166(EU) gibi hükümet standartları. Sıkıca oturan güvenlik gözlük
Cilt koruması; Bu öneri yalnızca güvenlik bilgi formunda belirtilen ürün için geçerlidir, tarafımızdan ve belirtilen kullanım için sağlanır. Çözüldüğünde veya diğerleriyle karıştırıldığında EN374'te belirtilenlerden farklı maddeler ve koşullar altında lütfen CE onaylı eldiven tedarikçisiyle iletişime geçin. Tam iletişim Malzeme: butil-kauçuk, Minimum katman kalınlığı: 0,7 mm Geçiş süresi: 480 dk
Test edilen malzeme: Butoject® (KCL 898) Bu öneri yalnızca güvenlik bilgi formunda belirtilen ürün için geçerlidir, tarafımızdan ve belirtilen kullanım için sağlanır. Çözüldüğünde veya diğerleriyle karıştırıldığında EN374'te belirtilenlerden farklı maddeler ve koşullar altında lütfen CE onaylı eldiven tedarikçisiyle iletişime geçin. Minimum katman kalınlığı: 0,7 mm, Geçiş süresi: 30 dk. Vücut koruması; koruyucu giysi. Solunum koruma; buharlar/aerosoller oluştuğunda gereklidir. Filtreleme solunum korumasına ilişkin önerilerimiz aşağıdakilere dayanmaktadır: standartlar: DIN EN 143, DIN 14387 ve ilgili diğer standartlar kullanılan solunum koruma sistemi. Önerilen Filtre tipi: Filtre tipi ABEK Girişimci, solunum sisteminin bakımını, temizliğini ve test edilmesini sağlamalıdır. Koruyucu cihazlar üreticinin talimatlarına göre gerçekleştirilir. Bu önlemler uygun şekilde belgelendirilmelidir.</t>
  </si>
  <si>
    <t>Rneksiz, berrak ve sıvı bir formdadır. Amin benzeridir. Erime
nokta/donma noktası &lt;-70  °C. ürün nikel asitler,bakır kalay manganezve demirle reaksiyona girer</t>
  </si>
  <si>
    <t xml:space="preserve">Yoğun ısıda hava ile patlayıcı karışımlar oluşturur.
Yaklaşık bir aralık. Parlama noktasının 15 Kelvin altı kritik olarak derecelendirilmelidir. Kimyasal stabilite
Ürün, standart ortam koşullarında (oda sıcaklığı) kimyasal olarak kararlıdır.
Nemli hava veya suya maruz kaldığında ayrışabilir. Güçlü ısıtma. </t>
  </si>
  <si>
    <t>Bilinen toksikolojik etkileri yoktur</t>
  </si>
  <si>
    <t>Zemine dökülmesi halinde üzeri uygun emici maddeyle  kapatılır ve temizlik personeli çağrılır. Personel dökülen kimyasalı "Atıkların Kontrolü Prosedürü"ne göre temizler.</t>
  </si>
  <si>
    <t>Monoklonal Antikorlarla ABO ve RhD Kan Grupları</t>
  </si>
  <si>
    <t xml:space="preserve">• Kişisel tedbirler, koruyucu ekipmanlar ve acil durum prosedürleri
Gerekli değildir.
• Çevresel tedbirler: Bolca suyla yıkayınız.
• Çevreleme ve temizleme yöntemleri ve malzemesi:
Sıvı bağlayıcı malzeme (kum, diyatomit, asit bağlayıcılar, evrensel bağlayıcılar, talaş) ile emdiriniz.
</t>
  </si>
  <si>
    <t xml:space="preserve">• Teknik tesislerin tasarımı hakkında ek bilgiler:
Daha fazla veri bulunmamaktadır; madde 7'ye bakınız.
• Kontrol parametreleri
o Ek bilgiler:
Üretim sırasında geçerli olan listeler dayanak olarak alınmıştır.
• Maruz kalma kontrolleri
o Kişisel koruyucu ekipmanlar:
 Genel koruyucu ve hijyenik önlemler:
Kimyasalların kullanılması sırasında, olağan ihtiyati tedbirlere uyulmalıdır.
 Solunum koruması: 
Odanın iyi havalandırılması halinde gerekli değildir.
 Ellerin korunması:
        Koruyucu eldivenler
Eldiven malzemesi sızdırmaz olmalıdır ve ürüne / maddeye / preparata karşı dirençli olmalıdır.
• Eldiven malzemesi
Uygun eldivenin seçimi sadece malzemeye değil, aynı zamanda diğer kalite özelliklerine bağlıdır ve üreticiden üreticiye farklılık gösterir. Ürün birden fazla madde içeren bir preparat olduğundan, eldiven malzemesinin direnci önceden hesaplanamamaktadır ve bu nedenle uygulama öncesinde kontrol edilmelidir.
• Eldiven malzemesinin penetrasyon süresi
Koruyucu eldivenlerin üreticisi tarafından tam ortaya çıkış saati bulunmalı ve buna uyulmalıdır.
 Göz koruması: Güvenlik gözlükleri
 Vücut koruması: Koruyucu iş kıyafeti
</t>
  </si>
  <si>
    <t xml:space="preserve"> Görünüm:
 Biçim: Sıvı 
Renk: Ürün spesifikasyonuna göre
</t>
  </si>
  <si>
    <t>Koruyucu olarak Sodyum Azid kullanılmaktadırTahriş edici etkisi bulunmamaktadır.</t>
  </si>
  <si>
    <t>NEXİODİN - BATİKON</t>
  </si>
  <si>
    <t>Povidon iyot 5-10%</t>
  </si>
  <si>
    <t>Solunum: Solunması halinde temiz havaya çıkarınız. Solunum düzensiz veya durmuş ise sunisolunum yapınız. Tıbbi yardım alınız.Ciltle temas halinde:Kirlenen giysileri çıkarın. Cildi bol sabunlusu ile yıkayınız. İritasyon (kızarıklık, kaşıntı, şişme) meydana gelirse, tıbbi yardım isteyin.Gözle temas halinde: Gözle temasında derhal, en az 15 dakika bol su ile yıkayınız. Varsa, kontak lensleri çıkarınız ve tıbbi yardım alınız.Yutulması halinde: Kusturmaya çalışmayınız. Bilinci yerindeyse birkaç bardak süt ya da su içiriniz bilinci yerinde değilse asla ağızdan bir şey vermeyiniz. Tıbbi yardım alınız.</t>
  </si>
  <si>
    <t>Uygun Yangın Söndürme Maddeleri: Küçük yangınlardakuru kimyevi toz kullanınız. Büyük yangınlarda su spreyi, sis veya köpük kullanınız. Basınçlı su kullanmayınız.Tehlikeli Bozunma / Yanma Ürünleri : Yangın anında, karbon oksitleri ve azot oksitleri gibi tehlikeli gazlar açığa çıkar.Patlama Tehlikeleri:Povidon iyodin ve hidrojen peroksit %3 karışımı patlayabilir.Özel Koruyucu Teçhizat: Tam korumalı giysiler ile pozitif basınçlı ve kendi kendine yeten bir solunum aparatı kullanılmalıdır.</t>
  </si>
  <si>
    <t>Kişisel Güvenlik Önlemleri : Uygun kişisel koruyucu teçhizat kullanılmalıdır. Personel, alandan tahliye edilmelidir. Çevresel Önlemler : Kanalizasyona, yüzeysel sulara ve yeraltı sularına karışması önlenmeli, imhası için alanın etrafına set çekilmelidir.</t>
  </si>
  <si>
    <t xml:space="preserve">Elleçleme : Göze, cilde ve elbiselere temasından kaçınılmalıdır. Solunmamalıdır. Kullandıktan sonra eller iyice yıkanmalıdır. Depolama : 25 ºC’nin altındakioda sıcaklığında, orjinal ambalajında ağzı sıkıca kapalı olarak, ışıktan uzak, çocukların göremeyeceği, erişemeyeceği yerlerde saklanmalıdır. </t>
  </si>
  <si>
    <t xml:space="preserve">Mühendislik Kontrolleri:Malzeme, çok iyi havalandırılmış ortamlarda, ağzı sıkıca kapatılmış kaplarda saklanmalıdır.Kişisel Koruyucu Donanım:Koruma eldiveni, güvenlik gözlükleri, koruyucu giysiler kullanılmalıdır. </t>
  </si>
  <si>
    <t>Renk : Kırmızımsı kahverengi çözeltiKoku : KarakteristikpH    : 4.5-6.5Toplam İyot Miktarı: %8,5-12Yoğunluk : 1.02 -1.1g/mlÇözünürlük: Suda tamamen çözünür.</t>
  </si>
  <si>
    <t>Stabilite: Stabildir. Reaktivite: Povidon iyot çözeltisi ve hidrojen peroksit %3 karışımı patlar.Geçimsiz Maddeler: Güçlü alkaliler veya indirgeyici ajanlar.Tehlikeli Bozunma Ürünleri:Normal kullanım koşullarında ayrışmaz.Polimerizasyon Tehlikesi:Polimerize olmaz.</t>
  </si>
  <si>
    <t>Giriş yolları: Deriden emilir,soluma, yutma.İnsanlar Üzerinde Toksik Etkileri:Cilt:Hafif cilttahrişine neden olabilir. Deri yoluylaabsorbe edilebilir. Topikal olarak uygulandığındaözellikle kanserum konsantrasyonlarındaiyotyükseltmesine sebep olabilir vetiroidfonksiyonunu etkileyebilirGözler:Göztahrişine neden olabilir. Soluma:Solunum yollarında, mukus ve membranlardatahrişe neden olabilir.Yutma:Düşük toksisite. Aşırı miktardaalınmasıdadahilolmaküzere bulantı, kusma ve karın kırampkarına neden olabilir.Kronik etkileri: Bakteri ve/veya mayalar için mutajeniktir.Akut Oral Toksisite: (Sıçan) LD508000 mg/kg</t>
  </si>
  <si>
    <t>Bertarafı için uygun kaplarda toplanmalıdır. Kimyasal uzaklaştırıldıktan sonra, etkilenmiş bölge su ile iyice yıkanmalıdır.</t>
  </si>
  <si>
    <t xml:space="preserve">NUTUREL </t>
  </si>
  <si>
    <t>2-3 ADET</t>
  </si>
  <si>
    <t>Propan-2-ol Etil Alkol Klor Hekzidin Glukonat</t>
  </si>
  <si>
    <t>Alevlenebilir Buharları uyuşukluğa ve baş dönmesine neden olabilir.</t>
  </si>
  <si>
    <t>Gözde hafif tahrişe sebep olur.Gözlerin 15 dakika boyunca yıkanması gereklidir.
Deride bilinen etkisi bulunmamaktadır.
Solunması halinde buharları baş dönmesi ve uyuşukluğa sebep olur. Hastayı temiz havaya çıkartın.
Yutulması halinde sindirim yollarında tahrişe, mide bulantısı ve kusmaya neden olabilir Hastanın ağzını temiz su ile çalkalayın ve hemen tıbbi yardım alın.</t>
  </si>
  <si>
    <t>CO2, köpük, KKT ile söndürün. Su ile söndürülmez.</t>
  </si>
  <si>
    <t xml:space="preserve">Uygun kişisel koruyucu ekipmanlar giyilir.Kıvılcım çıkarmayan ve güvenli ekipman kullanın. Bol su ile seyreltin. Eğer ürün bir su kaynağına veya kanalizasyona girmişse sorumlu merciye haber verin. Kişilere risk olmayacaksa kanalizasyonu ve bodrumu havalandırın. </t>
  </si>
  <si>
    <t>Ürünü kullanırken, elleçleme yapılırken ve depolarken etrafında sigara içilmesine izin vermeyin. Tutuşturucu kaynaklardan uzak tutun. Sigara içmeyin. Yerel yönetmeliklere uygun olarak depolanmalıdır.</t>
  </si>
  <si>
    <t>Kimyevi maddeler ile çalışırken geçerli kişisel koruyucu donanımlar kullanılmalıdır. Gıda maddelerin, içeceklerden uzak tutunuz. Kirlenmiş, ürün bulaşmış giyim eşyalarını derhal çıkartınız. Ellerinizi iş bitiminde ve işe ara verince yıkayınız.</t>
  </si>
  <si>
    <t>Görünüm: Sıvı
Renk: Renksiz
Koku: Karakteristiktir</t>
  </si>
  <si>
    <t>Normal şartlar altında stabildir.</t>
  </si>
  <si>
    <t>Kronik etki: Etanolün kronik kullanımı karaciğerde siroza sebebiyet verebilir. Ciltte kızarmalara sebebiyet verebilir.Gözde tahrişe sebebiyet olur. Solunması halinde akciğerlerde zarara sebebiyet verebilir. Hafif mukoza iritasyonu. Yüksek miktarda yutulduğunda baş dönmesi, sersemlik, bilinç kaybı, koordinasyon eksikliğine sebep olur.</t>
  </si>
  <si>
    <t>Atıklar ve kullanılmış ambalajlar resmi yönetmeliklere uygun olarak tasfiye edilmelidir.</t>
  </si>
  <si>
    <t>OCTENİSEPT</t>
  </si>
  <si>
    <t>2-phenoxyethanol , octenidindihydrochlorid</t>
  </si>
  <si>
    <t xml:space="preserve">Göz ile teması halinde bol su ile yıkayın. 
Solunması halinde temiz havaya çıkarın.
Yutulması halinde kusturmaya zorlamayın. Ağzını su ile çalkalayın ve bol su içirin. </t>
  </si>
  <si>
    <t>Su, KKT, köpük, CO2</t>
  </si>
  <si>
    <t>Uygun havalandırma sağlayın. Bez gibi emici maddelerle silin. Kum, silika jel, asit bağlayıcılar, üniversel emiciler veya başka uygun inert bir emici meteryale emdirin. Kanalizasyona dökülmemesi gerekmektedir.</t>
  </si>
  <si>
    <t xml:space="preserve">Oda sıcaklığında, orijinal kaplarında depolayın. Güneş ışığından uzak tutun. </t>
  </si>
  <si>
    <t>Yiyecek ve içeceklerden uzak tutun.</t>
  </si>
  <si>
    <t>Fiziksel durum: Sıvı
Renk: Renksiz
Koku: Kokusuz</t>
  </si>
  <si>
    <t>Normal kullanım şartlarında diğer maddeler ile özel reaksiyon tehlikesi yoktur.</t>
  </si>
  <si>
    <t>Toprak altına geçmesini engelleyin.</t>
  </si>
  <si>
    <t>OKSİJENLİ SU</t>
  </si>
  <si>
    <t>1-12 ADET</t>
  </si>
  <si>
    <t>Antiseptik,dezenfektan / İnsan hijyeni ile ilgili biyosidal ürünler</t>
  </si>
  <si>
    <t xml:space="preserve">Hidrojen peroksit
</t>
  </si>
  <si>
    <t>Genel uyarılar: Özel bir önlem gerekmemektedir.
· Solunum: Hastayı maruz kaldığı kaynaktan uzaklaştırıp temiz havaya çıkartın. Uzun süreli temas halinde veya dumanları teneffüs eden kişilere derhal tıbbi müdahale yaptırın ve bu güvenlik bilgi formunu gösterin.
· Deri ile temas: Ürün ile kirlenen elbiseyi derhal çıkarın ve ürünün deriye temas ettiği yerleri bol su ve sabun ile yıkayın. Şikayetlerin artması halinde ve tahrişe sebep olursa doktor tavsiyesi alın.
· Göz ile temas: Gözleri, göz kapakları açık bir şekilde en az 15 dakika süreyle bol su ile yıkayınız. Tahriş olursa uzman doktor yardımı alın. 
· Yutma: Hastanın ağzını temiz su ile çalkalayın ve ardından bol su veya süt içirip hemen tıbbi yardım alın.</t>
  </si>
  <si>
    <t xml:space="preserve">Parlama Noktası : Bu ürün 21°C ile 55°C arasındaki parlama noktası ile yanmayı destekler.Uygun söndürücü maddeler:Köpük ,kuru toz söndürücü ile yangını söndürün, köpük tabakası ile korumaya alın.Söndürmek için basınçlı su veya su spreyi (sisi) kullanmayın.Eğer mümkünse su spreyi uygulayarak yangın dumanlarını aşağıya indirin.Maddenin, yanarken oluĢturduğu maddelerin ya da oluĢan gazların yarattığı özel tehlikeler:Özel bir önlem gerekmemektedir.Yanraken daha fazla oksijen açığa çıkartıp yangının büyümesine sebebiyet verebilir.Özel koruyucu donanım:Özel bir önlem gerekmemektedir.Diğer bilgiler Yangın tehdidi altındaki kapıları püskürtme suyla soğutunuz. Tehlike bölgesindeki kişi sayısını asgariye indirin.Personeli güvenli alana çıkarın.
Gerektiğinden fazla yangın söndürücü kullanarak çevreyi kirletmekten kaçının.Yangınla mücadele artıklarının kanalizasyona ulaşmasına izin verilmemelidir. </t>
  </si>
  <si>
    <t>Kişisel güvenlik önlemleri/Personelin Korunması:Uygun koruyucu kıyafet, eldiven ve göz/yüz koruyucusu kullanın. Kıvılcım çıkarmayan ve güvenli ekipman kullanın. 
Patlama sınırlarını kontrol edin.Çevreyi koruyucu önlemler:Bol su ile seyreltin. Eğer ürün bir su kaynağına veya kanalizasyona girmişse sorumlu merciye haber verin.Kişilere riski olmayacaksa, kanalizasyonu ve bodrumları havalandırın.Temizleme/Toplama/Ġmha yöntemleri:Eğer mümkünse sızıntıyı (kaçağı) durdurun.Yayılmayı elde olan imkanlarla engelleyin.Sıvı bağlayıcı maddelere (kum, diatomit, genel bağlayıcılar veya talaş) emdirin veya köpükle örtün. Toplama esnasında kullandığınız pompa ve ekipmanlarını topraklayın. Alev geçirmez pompa kullanın. Eğer pompa elektrikle çalışıyorsa an az Sınıf T3 pompası kullanın. Madeni yağa dayanıklı ekipman kullanın. Dökülen maddeyi, emici filtreli havalandırmalı kaplara toplayın.  Toplanan maddeyi yerel yönetmeliklere göre imha edin. Kirlenmiş atıkların yayılmasını kontrol altına alın.Ekipmanları olay yerinden taşımadan önce su/deterjan ile yıkayın.</t>
  </si>
  <si>
    <t>Sağlık, güvenlik ve çevrenin korunmasını teminen, işverenin, tehlikeli kimyasallarla çalışılan
işlerde ve işyerlerinde alınacak tedbirlere ilişkin 26/12/2003 tarihli ve 25328 sayılı Resmî 
Gazete’de yayınlanarak yürürlüğe giren “Kimyasal Maddelerle Çalışmalarda Sağlık ve
Güvenlik Önlemleri Hakkında Yönetmelik” hükümlerine uygun olarak, işyerindeki çalışma
usullerinin planlanmasına ve örgütsel tedbirlerin alınmasına özen gösterilmelidir.
Yerel yönetmeliklere uygun olarak depolanmalıdır. Maddelerin bulunduğu depo düzenli olarak temizlenmeli ve iyi bir şekilde
havalandırılmalıdır. 
Isı ve direk güneş ışığından koruyunuz. 
Kapalı ambalajında serin bir yerde depolayın. 
Orijinal ambalajında saklayın.Ambalaj kapağının sıkı kapatıldığından emin olun. Elde açık yara olacak şekilde ürünü kullanmayın.</t>
  </si>
  <si>
    <t xml:space="preserve">Kişisel korunmanın gerekli olduğu yerlerde kullanılacak ekipman ve uygun koruma yöntemleri
9/2/2004 tarihli ve 25368 sayılı Kişisel Koruyucu Donanım Yönetmeliğine uygun olarak
tanımlanmıştır.İstenmeyen bir etki görüldüğü zaman Sağlık Bakanlığı Türkiye Farmakovijilans
Merkezi ( TÜFAM )’ ne bildiriniz.Gıda maddelerinden, içeceklerden uzak tutunuz. 
Kirlenmiş, ürün bulaşmış giyim eşyalarını derhal çıkartınız. 
Ellerinizi iş bitiminde ve işe ara verince yıkayınız. 
Göz ile temasından kaçının.
Normal şartlarda bir koruma gerektirmez.
Havadaki hidrojen peroksit oranı maruziyet limitlerininin üzerindeyse tüplü solunum cihazı kullanımı
önerilir. Uzun süreli temaslarda cildin korunması gerekebilir.
Az da olsa aşırı duyarlı kişilerde hafif yanma meydana getirebilir. 
Tahrişe sebep olursa ürün kullanımı kesilmelidir. Uzun süreli temaslarda cildin korunması gerekebilir.
Az da olsa aşırı duyarlı kişilerde hafif yanma meydana getirebilir. 
Tahrişe sebep olursa ürün kullanımı kesilmelidir. Uzun süreli temaslarda cildin korunması gerekebilir.
Az da olsa aşırı duyarlı kişilerde hafif yanma meydana getirebilir. 
Tahrişe sebep olursa ürün kullanımı kesilmelidir. </t>
  </si>
  <si>
    <t>Görünüm; Berrak Sıvı, renksiz, koku; karakteristik. Ürünün patlama tehlikesi yoktur. Ürünün patlama tehlikesi yoktur.</t>
  </si>
  <si>
    <t xml:space="preserve">Stabildir. Termik ayrışmaya, bozunmaya sebebiyet vermez.Bilinen tehlikeli reaksiyonları yoktur.
</t>
  </si>
  <si>
    <t>Kronik kullanımda deri ve mokuza zarı üzerinde tahriş edicidir. Ciltte; Normal şartlarda %1-5 seyreltilmiş hidrojen peroksitin
deri üzerinde tahribat riski yoktur. Gözde hafif tahrişe ve kızarıklığa sebebiyet verir.</t>
  </si>
  <si>
    <t xml:space="preserve">Ürün resmi yönetmeliklere uygun olarak bertaraf edilmelidir.
Seyreltilmemiş ürünün kanalizasyon sistemine ulaşmasına izin vermeyin.
</t>
  </si>
  <si>
    <t>ONESURFACE</t>
  </si>
  <si>
    <t>Tıbbi Ekipmanlar için Alkolsüz Hızlı Etkili Sprey Dezenfektan/Mendi</t>
  </si>
  <si>
    <t>Soluma
Maruz kalan kişiyi hemen temiz havaya çıkarın. Dinlenme, sıcaklık ve temiz hava sağlayın.
Solunum zorluğu çekildiğinde gereken şekilde eğitilmiş personel tarafından maruz kalmış kişiye oksijen verilebilir.
Herhangi bir rahatsızlığın devamı halinde doktora başvurun.
Yutma
KUSTURMAYIN! Şuuru yerinde olmayan bir kimseyi kesinlikle kusturtmayın ve bir sıvı içirmeyin!
Kusma halinde başını alçak tutun ki midedekiler akciğerlere girmesin. Hemen doktora başvurun!
Ciltle Temas
Cildi bol su ile yıkayınız.
Gözlerle Temas
Kontak lens varsa gözleri yıkamadan önce çıkarılmalıdırlar. Göz kapaklarını aralayarak gözleri hemen bol suyla yıkayın.
En az 15 dakika durulamaya devam ederek bir sağlık uzmanı çağırın.</t>
  </si>
  <si>
    <t>Yangını söndürmek için kullanılacaklar: Köpük. Kuru kimyasallar, kum, dolomit.</t>
  </si>
  <si>
    <t>Sigara içmeyin, ateş kullanmayın, başka ateşleyici bir şey kullanmayın.
Buharları solumaktan ve cilt ile gözlerle temastan sakının. Uygun havalandırma sağlayın.
Döküntü halinde kaygan taban ve satıhlara dikkat edin.</t>
  </si>
  <si>
    <t>Buhar ve zerrecikleri solumaktan kaçının. İyi havalandırılmış alanlarda depolanmalıdır.</t>
  </si>
  <si>
    <t>Uygun havalandırma sağlayın. Mesleki maruziyet sınırlarına dikkat edin ve buhar soluma riskini düşürün.</t>
  </si>
  <si>
    <t>Görünüş Mendil 
Renk Renksiz
Koku Kendine has.</t>
  </si>
  <si>
    <t>Normal ısı şartları altında ve tavsiye olunan kullanma şartları altında kararlıdır. Ön görülen depolama şartları altında kararlıdır.</t>
  </si>
  <si>
    <t>Kullanma, depolama, taşıma ve bertaraf mutlaka yasal düzenlemeler takip edilerek yapılmalıdır. Yüzey sularına ve
kullanma suyu sistemine boşaltmayın. Atıkları usulüne uygun olarak bertaraf edin/ettirin.</t>
  </si>
  <si>
    <t>OPSİTE SPRAY</t>
  </si>
  <si>
    <t>5-25 ADET</t>
  </si>
  <si>
    <t>Medikal tedavi</t>
  </si>
  <si>
    <t>Etil alkol, aseton, dimetiler, ısoporpol alkol, arcylıc copolymer</t>
  </si>
  <si>
    <t>İlk Yardım İnhalasyonu:
Temiz havaya çıkarın, bilinci yerinde değilse toparlanma pozisyonuna geçin. Tıbbi yardım isteyin.
İlk Yardım Cilt / Göz:
Cilt: Yok. Göz: Varsa ve yapması kolaysa kontakt lens(ler)i çıkarın. 10 için temiz su ile yıkayın
dakika. Tıbbi yardım isteyin.
İlk Yardım Alımı:
Kusmaya neden olmayın. Hasta kusarsa derlenme pozisyonuna dönün. İçmek için su verin. Aramak
tıbbi yardım.</t>
  </si>
  <si>
    <t>Yangın durumunda; 
Su spreyi, kuru toz veya buharlaşan sıvı yangın söndürme ekipmanı kullanın.</t>
  </si>
  <si>
    <t xml:space="preserve">Alanı tahliye edin. Yeterli havalandırma sağlayın. Solunum koruması giyin. hepsini ortadan kaldır ateşleme kaynakları.Çevresel önlemler; Güvenliyse sızıntıyı veya daha fazla dökülmeyi önleyin. Malzemenin kanalizasyona veya suya girmesini önleyin dersler. Malzemenin kanalizasyona girmesi veya toprağı, bitki örtüsünü kirletmesi durumunda yetkililere bilgi verin.
</t>
  </si>
  <si>
    <t>Dikkatli davranın. Kutuları delmekten kaçının. Koruyucu gözlük ve eldiven kullanımı,
uygun. Kapalı bir alanda kullanmaktan kaçının. Buharı veya sisi solumaktan kaçının. Serin, kuru bir yerde saklayın. Tutuşturucu kaynaklardan uzak tutun. Çıkışların yakınında saklamayın. Önlemek
bodrumlarda depolamak. Lütfen ürünün lateks olmayan /
sentetik eldivenler.</t>
  </si>
  <si>
    <t>Yeterli havalandırma sağlayın. Ürünü tutarken sigara içmeyin.
Kişisel koruyucu ekipman
Göz koruması ve eldiven giyilmesi tavsiye edilir.</t>
  </si>
  <si>
    <t xml:space="preserve">Renksiz, gaz haldedir. Tatlımsı kokuya sahiptir. </t>
  </si>
  <si>
    <t>Normal koşullar altında tepkisizdir. Normal/tavsiye edilen saklama koşulları altında kararlıdır. Güçlü asitlerden, güçlü bazlardan, güçlü oksitleyici maddelerden kaçının. Isı, alevler, kıvılcımlar. aşırı uçları
sıcaklık ve doğrudan güneş ışığı. Ürün, lateks olmayan / sentetik eldivenlerle reaksiyona girebilecek aseton içerir. Asetik asit, yanma karbon oksitleri üretecektir.</t>
  </si>
  <si>
    <t>Tahriş edici değildir.</t>
  </si>
  <si>
    <t>Toprak, kum veya diğer inert materyalleri kullanarak toplayın ve absorbe edin. için uygun kaplara aktarın.
yerel düzenlemelere göre geri kazanın veya bertaraf edin, ardından alanı bol su ile yıkayın.</t>
  </si>
  <si>
    <t>OPAK JEL</t>
  </si>
  <si>
    <t>K %: % 70 İsopropil Alkol, % 2 Klorheksidin Diglukona</t>
  </si>
  <si>
    <t>Alevlenir sıvı ve buhar
Ciddi göz tahrişine yol açar
 Rehavete veya baş dönmesine yol açabilir.</t>
  </si>
  <si>
    <t xml:space="preserve">Deriye zararı yoktur ancak Klorheksidin’e daha önce aşırı duyarlılık reaksiyonu göstermiş olanlarda kontrendikedir.
Kontamine olmuş kıyafetleri ve ayakkabıları çıkarın. Bölgeyi bol su ve sabun ile yıkayın. Semptomlar gelişirse tıbbi yardım alın.
(b) Göz Gözü açarak 10 dakika bol su ile yıkayın. Tıbbi yardım alın.
(c) Yutma Temiz suyla ağzı çalkalayın. Su içirinbilinci yerinde olmayan kişiye kesinlikle birşey vermeyin. Sağlık personelinin bilgisi dışında kusmaya teşvik etmeyin. Tıbbi yardım alın.
(d) Soluma Kişiyi temiz havaya çıkadın Tıbbi yardım alın.
 Tıbbi Cildinizin dış yüzeyinde kullanınız. Mukoza zarlarına ve açık yaralara Tavsiye sürmeyiniz.
</t>
  </si>
  <si>
    <t>Kuru kimyasal, karbondioksit, su, köpük Yangın sırasında ısıya maruz kalan kapalı kaplarda basınç meydana gelebilir ve patlayabilir.</t>
  </si>
  <si>
    <t>Koruyucu teçhizat takınız. Korunmamış şahısları yaklaştırmayınız.
Çevreyi Koruyucu önlemler: Kanalizasyona ve sulara karışmasını önleyiniz, yangın ve patlamaya karşı önlem alınız. Sigara, ateş, elektrik kaynaklarından gelecek kıvılcım gibi tutuşturma kaynaklarını ortamdan uzaklaştırın. Yeterli havalandırma sağlayınız. Temizleme/Toplama yöntemleri: Sıvı bağlayıcı malzeme (bentonit, vermikülit veya ticari olarak satılan inorganik absorbanlarla, un halinde testere talaşı) ile eminiz. Ardından bölgeyi bol su ile yıkayınız. Toplanan malzemeyi metal kap içerisine alın. Yetkililere haber verin.</t>
  </si>
  <si>
    <t>Depolama: Iyi kapatılmış kaplarda serin ve kuru bir şekilde 25 °C’nin altında muhafaza ediniz. Direk güneş ışığına maruz bırakmayınız. Ateşlemeye sebep olacak kaynaklardan uzak tutunuz.
Birarada depolama ile ilgili uyarılar: Asitlerden ve oksidasyon maddelerinden ayrı muhafaza ediniz. Alkali metallerden(Na gibi) uzak tutunuz.</t>
  </si>
  <si>
    <t>Göz Buharının gözle temasından kaçının.
Solunma: Buharının solunmasından kaçının. Iyi havalandırma sağlayın.</t>
  </si>
  <si>
    <t>Görünüm ve Koku: Homojen,berrak ,karakteristik kokulu, renksiz L likit</t>
  </si>
  <si>
    <t>Isıdan, direk güneş ışığından ve alevlenmeye sebep olacak her türlü şeyden kaçınılmalıdır.er: Güçlü asitler ve oksidasyon maddeleri, alkali metaller Tehlikeli ayrışım maddeleri: Karbonmonoksit, Karbondioksit.: Stabfldir. Tehlikeli polimerizasyon olmaz</t>
  </si>
  <si>
    <t>Göz ile temas etkileri: Kızarıklık, şişme, acı, gözyaşı, bulanıklık Cilt ile temas etkileri: Uzun süre ve tekrarlayan maruz kalma sonucunda bölgesel kızarıklık, kaşınma, kuruma ve cilt çatlaması olabilir.
Yutma etkileri: Karın ağrısı, mide bozukluğu, mide bulantısı, kusma, ishal 
Soluma etkileri: Öksürme, hapşurma, başağrısı, ses kısıklığı, burun ve boğaz ağrısı</t>
  </si>
  <si>
    <t>Ev çöpüyle beraber tasfiye edilmesi yasaktır
Kanalizasyona ulaşmasını önleyiniz.</t>
  </si>
  <si>
    <t>PANA SPRAY</t>
  </si>
  <si>
    <t>Tıbbi alet  temizleyici ve yağlayıcı</t>
  </si>
  <si>
    <t>Umbricant oil, alcohol</t>
  </si>
  <si>
    <t>Cilt : 
Bol sabun ve su ile yıkayınız. Kirlenmiş tüm giysilerinizi hemen çıkarın ve yeniden kullanmadan önce yıkayın. ara
ZEHİR MERKEZİ veya doktor/hekim.
Gözler : 
Gözleri bol su ile yıkayınız. Varsa ve yapması kolaysa kontakt lensleri çıkarın. Durulamaya devam edin. ZEHİR çağırın
MERKEZ veya doktor/hekim.
Yutma : 
Ağzı çalkalayın. ZEHİR MERKEZİ veya doktor/hekim arayın.</t>
  </si>
  <si>
    <t xml:space="preserve">Yangın durumunda; Karbondioksit, köpük, toz. yangın söndürme köpüğü, kuru kum kullanın. Yüksek basınçlı su akışları kullanmayın. </t>
  </si>
  <si>
    <t xml:space="preserve">Kişisel koruyucu giysi ve ekipman giyinin. Çevreye salıverilmesinden kaçının. Güvenliyse tüm tutuşturma kaynaklarını ortadan kaldırın. Mümkünse kişisel risk almadan sızıntıyı durdurun. Buharları suyla azaltın
sprey. </t>
  </si>
  <si>
    <t>Kullandıktan sonra bile delmeyin veya yakmayın. Isıdan, sıcak yüzeylerden, kıvılcımlardan, açık alevlerden uzak tutun ve diğer tutuşturma kaynakları. Sigara İçmek Yasaktır. Yalnızca açık havada veya iyi havalandırılan bir alanda kullanın. Toprak/bağ konteyneri ve alma ekipmanı. Patlamaya dayanıklı elektrikli/havalandırma/aydınlatma ekipmanı kullanın. Statik önlemek için önlem alın
deşarjlar. Kıvılcım çıkarmayan aletler kullanın. Açık alev veya diğer tutuşturucu kaynakların üzerine püskürtmeyin. sonra iyice yıkayın. İyi havalandırılmış bir yerde saklayın. Konteynırı sıkıca kapalı tutun. Sakin ol. Saklama koşullarına ilişkin ek bilgiler: Çocukların ulaşabileceği yerlerden uzak tutun. Perklorik asitten uzak tutun, hidrojenperoksitli su, sodyum peroksit, kromik asit, nitrik asit, oksitleyici maddeler vb. Alevden uzak tutunuz. Patlamaya dayanıklı elektrikli ekipman kullanın. Ekipmanın topraklanması tavsiye edilir. ürün + 16 ve + 32 derecede kendi ambalajında saklanmalıdır.</t>
  </si>
  <si>
    <t>Göz/yüz koruması
Yüz siperli (EN 166) sıçramaya dayanıklı güvenlik gözlükleri takın.
Cilt Koruması
Uygun kimyasallara dayanıklı giysi giyin (EN ISO 6529). Ateşe dayanıklı koruyucu giysiler giyin.
Solunum koruma
Havadaki kirletici seviyeleri önerilen maruz kalma sınırlarını aşarsa, CEN/EN Standardı uygulanabilir solunum
çalışanların maruz kalma seviyelerine uygun koruma. Özel durumlar için bir sağlık ve güvenlik uzmanına danışın.
kullanımınıza uygun solunum cihazları.
Eldiven Önerileri
Uygun kimyasallara dayanıklı eldivenler giyin (EN 374).
Çevresel maruziyet kontrolleri
Çevreye salıverilmesinden kaçının.</t>
  </si>
  <si>
    <t>Görünüm Berraktır, renksiz sıvı. Kaynama Noktası 78.32 °C'de 101.325 kPa (Etanol olarak)Alevlenirlik (katı, gaz) Kolay alevlenir maddedir.</t>
  </si>
  <si>
    <t>Uyumsuz malzemelerle reaksiyona girer. Uyumsuz malzemeler oksitleyici malzemeleri içerir. durumunda patlama riski
ateş. Plastik, kauçuk, kaplama maddesi ile reaksiyona girer. 40 derecede patlama tehlikesi vardır.</t>
  </si>
  <si>
    <t>Başka kimyasallarla karıştırılmamalıdır. Bu materyalin bileşenleri çeşitli kaynaklarda gözden geçirilmiştir.</t>
  </si>
  <si>
    <t>Küçük dökülmeler: Kum veya diğer yanıcı olmayan malzeme ile emdirin. Dökülen malzemeyi uygun şekilde toplayın.
bertaraf için konteyner. Büyük dökülmeler: Daha sonra bertaraf etmek için hendek açın. Gereksiz insanları uzak tutun, tehlike alanını izole edin ve
girişi reddet. Rüzgara karşı durun ve alçak alanlardan uzak durun.</t>
  </si>
  <si>
    <t>PARASİDE</t>
  </si>
  <si>
    <t>2 ADET</t>
  </si>
  <si>
    <t>Ekran Yüzey Temizleyici</t>
  </si>
  <si>
    <t>Propan-2-ol</t>
  </si>
  <si>
    <t>Sıvı ve buhar ileri derecede tutuşabilir, Yutulduğunda veya solunum yollarına girdiğinde ölümcül olabilir, Cilt tahrişlerine neden olmaktadır, Su organizmaları için zehirlidir.</t>
  </si>
  <si>
    <t>inhalasyondan sonra
Temiz hava sağlayın.
Şikâyetler belirdiğinde doktor tedavisine yönlendirin.
Deri teması sonrası
Ciltle teması halinde su ve sabunla yıkayın.
Cilt tahrişinin devam etmesi halinde bir doktora başvurun.
Göz temasından sonra
Gözlerle teması halinde bol miktarda suyla iyice yıkayın. Şikâyetler devam ettiğinde doktora başvurun.
! yuttuktan sonra
Yutulması ya da istifra edilmesi halinde akciğere girme tehlikesi vardır (aspirasyon tehlikesi).
Zorla istifraya sebebiyet vermeyin.
Derhal tıbbi yardım alın</t>
  </si>
  <si>
    <t>Uygun söndürme maddeleri
alkole dayanıklı köpük
Söndürme tozu
Karbondioksit
Su sisi
! Uygun olmayan söndürme maddesi
Yüksek güçlü su püskürtme jeti</t>
  </si>
  <si>
    <t xml:space="preserve">Acil durumlar için eğitilmiş personel için değil
Yeterli havalandırma sağlayın.
Kişisel koruyucu ekipmanı kullanın.
Ateşleme kaynaklarını uzak tutun.
Buhar/toz/aerosol etki ettiğinde solunum maskesi kullanın.
Doğal sulara veya kanalizasyona karıştığında yetkili makamlara haber verin.
Kanalizasyona/yer üstü/yer altı sulara karışmasına engel olun.
Yeraltına/topraklara ulaşmasını engelleyiniz.Buharlaşmaya bırakın.
Artıkları sıvı bağlayıcı maddelerle (örneğin kum, talaş, üniversal bağlayıcı madde, kizelgur) toplayın.
Toplanan malzemeyi usulüne uygun imha edin.
</t>
  </si>
  <si>
    <t>Güvenli kullanım için bilgiler; Aerosol oluşumunu önleyin.
Odanın iyi havalandırılmasını sağlayın. Gerekirse çalışma yerinde emici tertibat kullanın. Genel koruyucu önlemler Göz ve cilt ile temasından sakının. Aerosolleri solumayın. Hijyen önlemleri
Çalışma esnasında sigara içmeyin, yemek yemeyin ve içecek içmeyin. Bu maddenin bulaşmış olduğu tüm giysiler derhal çıkarılmalıdır. İyi havalandırılan mekânlarda çalışın. Ara vermelerden önce ve iş bitişinde eller yıkanmalı. Yangından ve patlamadan korunmaya yönelik bilgiler Tutuşturucu kaynaklardan uzak tutun - sigara içmeyin. Ürün yanabilir.
Buharlar, havayla birlikte patlayabilir bir karışım oluşturabilir. Elektrostatik yüklenmeye karşı önlemler alın. Isının etki etmesini önleyin. Depolama yerleri ve kaplara yönelik beklentiler Orijinal ambalajında sızdırmayacak şekilde saklayın. Birlikte depolama bilgileri Yem maddeleriyle birlikte depolamayın. Gıda maddeleriyle birlikte depolamayın. Depolama koşullarına ilişkin ek bilgiler
+5 ile +25 °C arası saklayın. Kabı sıkı kapalı tutarak serin ve iyi havalanan bir yerde muhafaza ediniz. Isı ve direkt güneş ışınlarına karşı koruyun.</t>
  </si>
  <si>
    <t>Solunum koruması; Yetersiz havalandırma şartlarında uygun solunum cihazı takın.
Emişin yetersiz olduğu durumlarda veya uzun süreli etki halinde solunumu koruyucu maske kullanın. Kısa süreli filtre cihazı, filtre AX/P2, aksi takdirde çevre havasından bağımsız solunumu koruyucu cihaz.
El koruması; Yukarıda söz edilen koruyucu eldivenlerin kimyasallara karşı direncini belirlemek için eldiven imalatçısına danışmak tavsiye edilmektedir.
Eldiven malzemesine ilişkin bilgiler [tür/tip, kalınlık, penetrasyon süresi/taşıma süresi, ıslanma]: Nitril, 0,4 mm, 60 dk.,
480 dk. örn. KCL firmasının "Camatril Profi" ürünü; E-posta: Vertrieb@kcl.de
Kimyasallara karşı koruyucu eldivenlerin modeli, tehlikeli madde konsantrasyonu ve miktarına bağlı olarak çalışma
yerine uygun seçilmelidir.
Göz koruması
Sıkı kavrayan koruma gözlüğü
Diğer korunma tedbirleri
Koruyucu iş kıyafeti
Uygun teknik kontrol tesisleri
Yeterli hava giriş ve çıkışı.</t>
  </si>
  <si>
    <t>Görünüş
sıvı
Boya
renksiz, berrak
Koku
karakteristik
Koku eşiği
belirlenmemiş</t>
  </si>
  <si>
    <t>Bilinen tehlikeli reaksiyonları yoktur. Isıyı uzak tutun.
Temizlenmemiş boş kaplar, havayla birlikte patlayıcı karışımlar oluşturan ürün gazları içebilir.</t>
  </si>
  <si>
    <t>Spesifik hedef organ toksisitesi (bir kerelik maruziyet)
Yorgunluk ve uyuşukluğa yol açabilir.
! Aspirasyon tehlikesi
Yutulduğunda ve solunum yollarına girdiğinde ölüme neden olabilir.
! Pratikten gelen tecrübeler
Ciltle sık sık ve uzun süreli teması cildi kurutabilir. Bu durum cilt şikâyetlerine ve iltihaplarına (dermatit) yol açabilir.
Solunum sistemini tahriş eder.
Mukoza zarlarını tahriş eder.
Solunması narkotik etki/sarhoşluk oluşturmaktadır.
! Genel yorumlar
Ürün, kimyasallarda olması gereken olağan dikkatle kullanılmalıdır.
Daha başka tehlikeli özellikler istisna edilemez.
Ürün kontrol edilmemiştir. İfadede her bir komponentin özelliklerinden yola çıkılmıştır</t>
  </si>
  <si>
    <t>Atık işleme yöntemleri
! Ürün için öneri
Yerel resmî talimatları dikkate alarak imha edin.
Tehlikeli atık olarak imha edin.
Ambalaj için öneri
Resmî yönetmeliklere uygun imha edin.
! Genel bilgiler
Atık madde kodları/Atık madde tanımları, Avrupa Atık Madde Kataloğu (EAKV) uyarınca branşa ve prosese göre
belirlenmelidir.</t>
  </si>
  <si>
    <t>POVİODEKS SCRUP</t>
  </si>
  <si>
    <t>10-50 ADET</t>
  </si>
  <si>
    <t>Tahriş edici, Yanıcı</t>
  </si>
  <si>
    <t>Soluma, maruz kalan kişiyi hemen temiz havaya çıkarın. Herhangi bir rahatsızlığın devamı halinde doktora başvurun. Yutma, ŞUUR YERİNDE OLMAYAN BİR KİMSEYİ KESİNLİKLE KUSTURMAYINIZ VE BİR SIVI İÇİRTMEYİNİZ! Ağzı iyice çalkalayın. Herhangi bir rahatsızlığın devamı halinde doktora başvurun. Ciltle temas, kazazedeyi kirlenme  yerinden uzaklaştırın. Kirlenmiş giysileri çıkarın. Deriyi hemen sabun ve suyla yıkayın. Herhangi bir rahatsızlığın devamı halinde doktora başvurun. Gözlerle temas, Kontak lens varsa gözleri yakmadan önce çıkarılmalıdırlar. Göz kapaklarını aralayarak gözleri hemen bol suyla yıkayınız. En az 15 dakika durulamaya devam edin. Herhangi bir rahatsızlığın devamı halinde doktora başvurunuz.</t>
  </si>
  <si>
    <t xml:space="preserve"> Yangın durumunda kuru kimyasal, CO2, kuru kum ya da alkole dirençli köpük ile söndürme yöntemlerini kullanınız. Ağır su buharı kullanılmaz.</t>
  </si>
  <si>
    <t>Alanda ki kişi sayısı minimuma indirilir. Ortamda ki gazı solumamak adına maske takılır. Havalandırma yapılır. Kanalizasyona veya suya verilmesine engel olunur. Kürek ile süpürülerek kapalı bir kaba koyulur.</t>
  </si>
  <si>
    <t>Cilt ve göz temasından kaçınınız. Herhangi birşey yemeden, içmeden ve işten ayrılmadan önce orta derecede sabun
ve su kullanarak ellerinizi ve vücudunuzun maruz kalan diğer uzuvlarını yıkayın. Kabı sıkıca kapalı tutun.</t>
  </si>
  <si>
    <t>Katı halde, sarımsı - kırmızımsı renktedir. Hafif karakteristik bir kokuya sahiptir. 300 derecede deniz kirleticidir. Suda çözünebilir.</t>
  </si>
  <si>
    <t>Normal koşulları altında kararlıdır. Direkt güneş ışığı gelmesi durumunda kıvılcım çıkarır. Aşırı yüksek ve düşük sıcaklıklardan kaçınılmalıdır. Oksitleyici maddeden kaçınılmalıdır.</t>
  </si>
  <si>
    <t>Birincil cilt tahriş edici olarak insan hakaret yama testinde negatif. Birkaç
dermal hassasiyet vakaları mevcuttur. Havuzlanmış çözelti tutulursa kimyasal benzeri yanık oluşabilir
uzun süre baskı altındayken birkaç saat hastanın cildine
hastane prosedürleri (PVP-1 solüsyonu, %1 mevcut iyot).</t>
  </si>
  <si>
    <t>Kürekle süpürülerek, kapalı bir kap içerisine koyularak, tıbbi atığa atılır.</t>
  </si>
  <si>
    <t>POVİSEPTİN SCRUB BRUSH</t>
  </si>
  <si>
    <t xml:space="preserve">Polyvinylpyrrolidone iodine sodyum lauril sülfat sodyum hidroksit </t>
  </si>
  <si>
    <t>Görünüm: Fırçalı süngere emdirilmiş antiseptik sıvı
Koku: İyot kokusu
Renk: Koyu kahverengi</t>
  </si>
  <si>
    <t>SCHUTZ PLUS YARA KAPATICI SPREY</t>
  </si>
  <si>
    <t>Etil asetat, polimer karışımı, izopropil alkol karbon dioksit</t>
  </si>
  <si>
    <t>Kolay alevlenir</t>
  </si>
  <si>
    <t>Görünüm: Aerosol
Renk: Renksiz sıvı ve buharı
Koku: -</t>
  </si>
  <si>
    <t>SCOP'ANIOS EZ</t>
  </si>
  <si>
    <t>Enzimatik deterjan.</t>
  </si>
  <si>
    <t xml:space="preserve">SODYUM ETASÜLFAT PROTEAZ </t>
  </si>
  <si>
    <t>Alerjik reaksiyon</t>
  </si>
  <si>
    <t>Solunma yoluyla maruz kalınması halinde:
Maruz kaldığı yerden kişiyi uzaklaştırın ve onu açık havaya götürün.
Göze sıçraması veya gözle temas etmesi halinde:
Gerektiği durumda, kontak lensleri çıkarın.
Göz kapaklarını genişçe açık tutarak 15 dakika boyunca temiz ve tatlı su ile bolca yıkayın.
Bir sızlanma, bir kırmızılık veya bir görme sıkıntısı görünüyorsa, bir göz doktoruna muayene ettirin. Ambalaj veya etiketi gösterin.
Deriye sıçraması veya deriyle temas etmesi halinde:
Üzerine sıçramış olan veya lekelenen her elbiseyi derhal çıkarın. Bulaşma kirlilikleri giderilmeden önce bu elbiseler tekrar kullanılmayacaktır.
Suda bolca ve derhal yıkayın.
Derinin tahriş olması durumunda, bir doktora muayene ettirin. Ambalaj veya etiketi gösterin.
Yutulması halinde:
Ağızı çalkalayın, hiç birşey içirmeyin, kusturmayın, kişiyi sakinleştirin ve onu derhal kiliniğe veya doktora götürün. Doktora etiketi gösterin.
4.2. En önemli semptomlar ve hem akut hem de gecikmeli etkileri
Bölüm 11'e bakınız
4.3. Acil tıbbi müdahale ve özel tedavi ihtiyacının gösterilmesi
Doktorun önerileri doğrultusunda kullanın</t>
  </si>
  <si>
    <t>Uygun söndürme yöntemleri
Bütün söndürme maddeleri onaylanır : köpük, kum, karbon dioksit, su, toz.</t>
  </si>
  <si>
    <t>Sızıntıları kum, toprak, vermikülit, diyatome toprak gibi yanıcı olmayan malzemelerle toplayarak, atıkların imhası için kullanılan bidonlar içinde
muhafaza edin, atıkların imhası için kullanılan bidonlar içinde muhafaza edin</t>
  </si>
  <si>
    <t xml:space="preserve">Deri ve gözler ile her temas etmesini engelleyin.
Etiket üzerinde ele alınan kullanım talimatlarına uyarak bunu kullanın. Etiket üzerinde belirtilen önlemleri ve iş güvenliğine ilişkin düzenlemeleri inceleyin.
Yakınında su noktası.
</t>
  </si>
  <si>
    <t>Temiz ve bakımı gerektiği gibi yapılmış kişisel koruma ekipmanları kullanın.
Kişisel koruma ekipmanlarını çalışma alanından uzak, temiz bir yerde saklayın.
Kullanım sırasında bir şey yemeyin, içmeyin veya sigara kullanmayın. Yeniden kullanmadan önce kirli kıyafetleri çıkarıp yıkayın. Özellikle kapalı
alanların yeterince havalandırıldığından emin olun</t>
  </si>
  <si>
    <t xml:space="preserve">Fiziksel hali: Akışkan sıvı
</t>
  </si>
  <si>
    <t>Saklama ve kullanımla ilgili önerilere/talimatlara uyulursa tehlikeli reaksiyon olmaz.</t>
  </si>
  <si>
    <t xml:space="preserve">Teneffüs etme, solunum yollarının tahriş olmasına neden olabilir.
Yutulması, ağız boşluğunda tahrişe neden olabilir.
Boğaz yanması, mide ağrısı, bulantı.
</t>
  </si>
  <si>
    <t>Ambalajlar tekrar kullanılmamalıdır.
Akarsular içine dökmeyin.</t>
  </si>
  <si>
    <t>SEKUMATİC FNP</t>
  </si>
  <si>
    <t>1-4 ADET</t>
  </si>
  <si>
    <t>Nötralize edici yardımcı yıkama ürünü / Alkali temizleme sonrası sıvı nötralizan ve pas sökücü solusyon.</t>
  </si>
  <si>
    <t>Fosforik asit</t>
  </si>
  <si>
    <t>Aşındırıcı, tehlikeli</t>
  </si>
  <si>
    <t>Göz ile temas: Ara ara alt ve üst göz kapaklarını kaldırarak bol miktarda su ile yıkayın. Kontrol edin ve kontak lensleri çıkarın. Yıkamaya en az 15 dakika devam edin. Kimyasal yanıklar bir doktor tarafından hemen tedavi edilmelidir. Derhal tıbbi yardım alın. Bir zehir merkezini ya da bir hekimi arayın. Soluma: Kazazedeyi temiz havaya çıkarın ve nefes alabilmesi için rahat bir pozisyonda tutun. Nefes almıyorsa, nefes düzensizse veya solunum yolları tıkalıysa, eğitimli bir kişininsuni solunum uygulamasını veya oksijen vermesini sağlayın. Bilinç kaybı olursa, düzgün bir pozisyona yerleştirin ve hemen tıbbi yardım isteyin. Hava giriş yolunu açık tutun. Yaka, kravat, kemer veya kuşak gibi giysinin sıkı bölümlerini gevşetin. Derhal tıbbi yardım alın. Bir zehir merkezini ya da bir hekimi arayın. Cilt teması: Kazazedeyi temiz havaya çıkarın ve nefes alabilmesi için rahat bir pozisyonda tutun. Nefes almıyorsa, nefes düzensizse veya solunum yolları tıkalıysa, eğitimli bir kişinin
suni solunum uygulamasını veya oksijen vermesini sağlayın. Bilinç kaybı olursa, düzgün bir pozisyona yerleştirin ve hemen tıbbi yardım isteyin. Hava giriş yolunu açık tutun. Yaka, kravat, kemer veya kuşak gibi giysinin sıkı bölümlerini gevşetin. Derhal tıbbi yardım alın. Bir zehir merkezini ya da bir hekimi arayın. Yutma: Ağızı suyla çalkalayarak yıkayın. Varsa takma dişleri çıkarın. Madde yutulduysa ve maruz kalan kişide bilinç kaybı yoksa, içmesi için az miktarda su verin. Kusma tehlikeli olabileceğinden, maruz kalan kişi kendini kötü hissederse durun. Tıbbi personel tarafından yönlendirilmedikçe kusturmaya çalışmayın. Kusma meydana gelirse, kusmuğun akciğerlere kaçmaması için başı aşağıda tutun. Kimyasal yanıklar bir doktor tarafından hemen tedavi edilmelidir. Bilinci yerinde olmayan kişilere asla ağızdan bir şey vermeyin. Bilinç kaybı olursa, düzgün bir pozisyona yerleştirin ve hemen tıbbi yardım isteyin. Hava giriş yolunu açık tutun. Yaka, kravat, kemer
veya kuşak gibi giysinin sıkı bölümlerini gevşetin. Kazazedeyi temiz havaya çıkarın ve nefes alabilmesi için rahat bir pozisyonda tutun. Derhal tıbbi yardım alın. Bir zehir merkezini ya da bir hekimi arayın.</t>
  </si>
  <si>
    <t>Yangın durumunda, püskürme su (sis), köpük, kuru kimyasallar ve karbondioksit
kullanın.</t>
  </si>
  <si>
    <t>Kişisel risk içeren veya gerekli eğitim alınmadan herhangi bir işlem yapılmamalıdır. Görevli olmayan ve korunmasız personelin girmesini engelleyin. Dökülen
malzemeye dokunmaktan veya üzerinde yürümekten kaçınmaya çalışın. Buhar veya
buğularını solumayın. Yeterli havalandırma sağlayın. Havalandırma yetersiz olduğunda uygun maskeyi takın. Uygun kişisel koruyucu ekipman kullanın. Dökülen ürünün çevreye yayılmasını,toprak ve su kaynaklarına ve kanalizasyona
akmasını önleyin. Ürün, çevresel kirlenmeye neden olduğunda (lağımlar, su yolları,
toprak veya hava) ilgili yetkili makamları bilgilendirin.</t>
  </si>
  <si>
    <t>Uygun kişisel korunma ekipmanını giyin. Ürünün göz,cilt ve giysilere bulaşmasını önleyin. Buhar veya buğularını solumayın. Yutmayın. Eğer normal kullanım sırasında madde solunum açısından bir tehlike gösteriyorsa, maddeyi yeterli havalandırma olduğunda kullanın yada uygun bir solunum cihazı kullanın. Orijinal kabında veya uyumlu maddeden yapılmış bir onaylı alternatif ambalajda
muhafaza edin, kullanılmadığında kabın ağzını sıkıca kapalı tutun. Alkalilerden uzakta tutun. Çalışanlar yemek yemeden, içecek veya sigara içmeden
önce ellerini ve yüzlerini yıkamalıdır. Belirtilen sıcaklıklar arasında depolayın: 0 - 25°C (32 - 77°F). Lokal yönetmeliklere
uygun olarak depolayın. Orijinal ambalajında, direkt güneş ışığından korunmalı, kuru serin ve iyi havalandırlılmış bir alanda uyumsuz olduğu maddelerden uzakta (
Bkz: Bölüm 10) , yiyecek ve içeceklerden ayrı depolayın. Alkalilerden ayrı tutun. Ambalajı kullanım anına kadar ağzı sıkıca kapalı ve mühürlü tutun. Açılan
konteynerler özenle sızdırmaz bir biçimde yeniden kapatılmalı ve akmayı önlemek iç
in yukarı doğru tutulmalıdır. Etiketlenmemiş kaplarda saklamayın. Çevreye bulaş
masından kaçınmak için uygun bir kap kullanın</t>
  </si>
  <si>
    <t>Eğer kullanıcı operasyonları toz, duman, gaz, buhar veya buğu oluşturuyorsa, çalış
anların havadaki kirleticilere maruziyetini önerilen veya yasal maruz kalma düzeyinin
altında tutmak için, kapalı işleme alanları, bölgesel hava tahliye havalandırması
veya diğer mühendislik kontrollerini kullanın. Göz/yüz koruma: Koruyucu gözlük, yüz siperliği veya tüm yüzü koruyucu
ekipman. Ellerin korunması: Eldivenler - butil kauçuk , nitril kauçuk ( Dayanıklılık süresi: 1 - 4 saat ) . Vücudun korunması: Vücut için personel koruyucu ekipman, gerçekleştirilmekte olan göreve ve mevcut
risklere dayanarak seçilmelidir ve bu ürün kullanılmadan önce bir uzman
tarafından onaylanmalıdır.Diğer cilt koruması: Uygun ayakkabılar ve ek cilt koruma önlemleri, gerçekleştirilmekte olan göreve ve
mevcut risklere dayanarak seçilmelidir ve bu ürünler kullanılmadan önce bir uzman
tarafından onaylanmalıdır. Solunum sisteminin
korunması: Bir risk durumu ortaya çıktığında, onaylanmış bir standart ile uyumlu, uygun şekilde
takılmış, hava temizleyici veya hava veren solunum aygıtı kullanın. Maske seçimi,
bilinen veya tahmin edilen maruz kalma düzeyleri, ürünün zararları ve seçilen
maskenin güvenli çalışma sınırları temelinde yapılmalıdır.</t>
  </si>
  <si>
    <t>Sıvı, renksiz, kokusuz. Parlama noktası &gt; 100°C</t>
  </si>
  <si>
    <t>Bu ürün ya da içerik maddelerinin reaktivitesiyle ilgili herhangi özel bir test verisi
mevcut değildir, kararlıdır. Normal depolama ve kullanma koşulları altında, tehlikeli reaksiyonlar meydana
gelmez. Çok hızlı reaksiyon verdiği veya uyumsuz olduğu maddeler: alkaliler. Normal saklama ve kullanma koşullarında, tehlikeli bozunma ürünlerin oluşmaması
gerekir.</t>
  </si>
  <si>
    <t>Soluma : Solunum sitemi için çok tahriş edici veya aşındırıcı gazlar, buharlar veya tozlar açığa
çıkabilir. Sindirim sisitemi için aşındırıcıdır. Yanıklara neden olur. Ağız, boğaz ve midede yan
ıklara neden olabilir. Yutma :
Cilt teması : Ciddi yanıklara neden olur. Göz ile temas : Ciddi göz hasarına neden olur</t>
  </si>
  <si>
    <t>Atıkların oluşmasından kaçınılmalıdır veya mümkün olduğu kadar en aza
indirilmelidir. Boş konteynerler veya astar maddelerde ürün kalıntısı kalabilir. Bu
madde ve kabı güvenli bir biçimde bertaraf edilmelidir. Büyük miktarlardaki atık
ürün kalıntılarının atık su kanalında imha edilmemesi gerekmektedir,
ancak uygun bir atık işleme tesisinde işlenmeleri mümkündür. Fazla miktardaki
ve geri-dönüşümsüz ürünleri ruhsatlı bir atık madde firmasına bertaraf ettirin. Bu ürü
nün, çözeltilerinin ve yan ürünlerinin bertarafı her zaman çevre korunmasına, atık
bertarafı mevzuatlarına ve bölgesel lokal otoritelerin gereksinimlerine uygun yapılmal
ıdır. Dökülen ürünün çevreye yayılmasını,toprak ve su kaynaklarına ve
kanalizasyona akmasını önleyin.</t>
  </si>
  <si>
    <t>SEKUMATİC FR</t>
  </si>
  <si>
    <t>1-3 adet</t>
  </si>
  <si>
    <t>Enzim içerikli sıvı temizleyici.</t>
  </si>
  <si>
    <t>Yağ alkollü etoksilatı&gt;5EO</t>
  </si>
  <si>
    <t>Tahriş edici</t>
  </si>
  <si>
    <t xml:space="preserve">Soluma : Solunması durumunda açık havaya çıkınız. Şüphe durumunda veya 
semptomlar uzarsa tıbbi yardım alınız. 
Yutma : Medikal görevli tarafından talimat verilmediyse kusmaya yönlendirmeyiniz.
Yutuldu ise ağızı su ile çalkalayınız. (eğer kişinin bilinci açıksa). 
Ciltle temas : Temas halinde kontamine olan giysileri çıkararak cildi akan su ve sabunla en
az 15dakika yıkayınız. Hemen tıbbi yardım alınız. 
Gözle temas : Temas halinde gözleri hemen bol suyla yıkayınız, hemen medikal yardım 
alınız. </t>
  </si>
  <si>
    <t xml:space="preserve">Yangın durumunda su spreyi, köpük, kuru kimyasal veya CO2 
kullanınız. </t>
  </si>
  <si>
    <t xml:space="preserve">Geniş olarak yayılır ve sızar. Acilen güvenlik sorumluları ile temasa geçiniz. Dökülmüş olan maddeden kaçınınız ve toprağa, su yollarına ve gidere 
yönlendirmeyiniz. 
Küçük miktarları çok miktarda su ile seyreltin ve yıkayınız. Büyük miktarların 
veya ürünü içeren maddelerin kanalizasyon sistemine dökülmesine izin 
vermeyiniz. Dökülmüş maddeyi uygun bir kaba koyarak atınız.  </t>
  </si>
  <si>
    <t xml:space="preserve">Gözle, deri ve giysi ile temas ettirmeyiniz. Buharını solumayınız. 
Kullanımdan sonra her zaman ellerinizi akan su ve sabunla yıkayınız. Kabı
dikkatle taşıyınız ve açınız. Kabı sıkıca kapalı tutunuz. Yiyecek, içecek ve hayvan yemlerinden uzak 
tutunuz. Sadece orjinal kabında saklayınız. 25 °C üzerinde saklamayınız. Orjinal kabını kullanınız. </t>
  </si>
  <si>
    <t>Eğer çalışanlar limitlerin üzerinde bir konsantrasyona maruz kaldılarsa,uygun 
donanımlı soluk maskesi kullanmalıdırlar. Soluma korunması :Soluma maskesi normal veya planlanan ürünün kullanım koşullarında 
(EN143,141) gerekli değildir. 
Ellerin korunması : Butil lastik veya nitril lastikten eldivenlerle, 1-4 saat. 
 (EN374) 
Gözlerin korunması : İyice yalıtılmış kapalı gözlükler veya tüm yüz koruyucuları 
 (EN166) 
Deri korunması : Uygun güvenli ayakkabı ve önlük kullanınız. 
 (EN 467)</t>
  </si>
  <si>
    <t xml:space="preserve">Fiziksel durum :sıvı
Renk :renksiz 
Koku :kokusuz 
Önemli sağlık, güvenlik ve çevre bilgileri 
pH :14 (%100) Parlama noktası :&gt;100°C       Çözünürlük : soğuk suda kolay çözünür </t>
  </si>
  <si>
    <t xml:space="preserve">Normal koşullar altında stabildir. Asitlerle az reaktif yada geçimsizdir. 
Diğer ürünlerle karıştırmayınız. </t>
  </si>
  <si>
    <t xml:space="preserve">Soluma : Yanıklara sebep olabilir.
Ciltle temas : Ciltte zaman zaman tahriş oluşturabilir. 
Gözle temas :Gözde zaman zaman tahriş oluşturabilir. 
Üreme sistemine etki : Belli bir etki veya kritik tehlike mevcut değildir. </t>
  </si>
  <si>
    <t xml:space="preserve">Atık uygulama talimatlarına göre atılmalıdır. İçeriklerin kalanını mümkün 
olduğunca talimatlara uygun olarak kullanınız. Genel artıklara tamamen 
boşalınca eklenebilir. Ambalajı tamamen boşalınca geri dönüşümde kullanınız. Dökülmesi durumunda derhal emici maddeyle alınarak tıbbi atık kovasına atılır. Buharının da tutuşma riski yüksek olduğundan ateşten uzak tutulmalıdır. </t>
  </si>
  <si>
    <t>SEKUSEPT AKTIV</t>
  </si>
  <si>
    <t>Tıbbı alet ve endoskopi cihaz dezenfektanı</t>
  </si>
  <si>
    <t>Sodyum perkarbonat</t>
  </si>
  <si>
    <t>Gözle teması halinde : En az 15 dakika, göz kapaklarının içi de dahil derhal bol suyla
yıkayınız. Kontakt lens, varsa ve çıkarması kolaysa, çıkarın.
Sürekli durulayın. Tıbbi yardım alınız.
Deriyle teması halinde : En az 15 dakika boyunca bol miktarda su ile yıkayınız. Mümkünse
yumuşak bir sabun kullanınız. Tahriş oluşur ve devam ederse tıbbi
yardım alınız. Yutulması halinde : Ağzı çalkalayınız. Semptomlar meydana gelirse tıbbi yardım
alınız.
Solunması halinde : Semptomlar meydana gelirse tıbbi yardım alınız.</t>
  </si>
  <si>
    <t>Tutuşabilir ya da yanıcı özellikte değildir. Bozunma ürünleri aşağıda tanımlanan maddeleri içerebilir:
Karbon oksitler
Azot oksitler (NOx)
Sülfür oksitler
Fosfor oksitleri</t>
  </si>
  <si>
    <t>Temizliğin yalnızca eğitimli personel tarafından yapıldığından
emin olun. Toprak, yerüstü veya yeraltı sularıyla temasını önleyiniz.</t>
  </si>
  <si>
    <t xml:space="preserve">Güvenli elleçleme önerileri : Deri ve gözlerle temasına mani olun. Yalnızca uygun
havalandırmayla kullanınız. Kullandıktan sonra elleri iyice
yıkayınız.
Hijyen önlemleri : Endüstriyel hijyen ve güvenlik kurallarına uygun olarak taşıyınız.
Tekrar kullanmadan önce kirlenmiş olan giysilerinizi yıkayınız.
Elleçlemeden sonra yüzünüzü,ellerinizi ve maruz kalan cildi iyice
yıkayın.
Asitlerle beraber saklamayınız. Çocukların erişemeyeceği yerde
saklayın. Kabı sıkıca kapalı tutun. Uygun etikete sahip kaplarda
saklayın.
Depolama sıcaklığı : 0 °C -e kadar 25 °C </t>
  </si>
  <si>
    <t>Maruz kalma limiti bulunan hiçbir madde içermez. İyi bir genel havalandırma çalışanların havadaki kirleticilere maruziyetini kontrol için yeterli olmalıdır.
Endüstriyel hijyen ve güvenlik kurallarına uygun olarak taşıyınız.
Tekrar kullanmadan önce kirlenmiş olan giysilerinizi yıkayınız.
Elleçlemeden sonra yüzünüzü,ellerinizi ve maruz kalan cildi iyice
yıkayın. Göz/yüz koruması (EN 166) : Yan siperleri olan güvenlik gözlükleri
Ellerin korunması (EN 374) : Tavsiye ed. ilen önleyici cilt koruma kremi
Eldivenler, Nitril kauçuk, bütil kauçukDayanıklılık süresi: 1 -4 saat
Minimum thickness for butyl-rubber 0.3 mm for nitrile rubber 0.2 mm or equivalent (please refer to the gloves manufacturer/distributor for advise).
Bozunma veya kimyasal olarak delinme belirtileri varsa eldivenler atılmalı değiştirilmelidir. Deri ve vücudun korunması (EN 14605) : Özel koruyucu ekipman gerekmez. Solunum sisteminin korunması (EN 143, 14387)
: Yalnızca yeterli havalandırmayla kullanın. Çalışanların havadaki
kirleticilere maruziyetini önerilen veya yasal maruz kalma
düzeyinin altında tutmak için, kapalı işleme alanları, bölgesel hava
tahliye havalandırması veya diğer mühendislik kontrollerini
kullanın. Çalışanlar,limit değerinin üstündeki yoğunluklara maruz
kalıyorlarsa, uygun ve onaylı solunum maskeleri (89/656/EEC,
89/686/EEC) kullanmalıdır.</t>
  </si>
  <si>
    <t>Görünüm : sıvı
Renk : açık sarı
Koku : Parfümler, Esanslar
pH : 12.0, 100 % Bağıl yoğunluk : 1.04
Su içinde çözünürlüğü : çözünür</t>
  </si>
  <si>
    <t>Olası maruz kalma yolları
hakkında bilgiler
: Solunum, Göz ile temas, Cilt ile temas. Akut zehirlilik tahmini : &gt; 2,000 mg/kg. Gözler : Ciddi göz tahrişine yol açar.
Cilt : Deri tahrişine neden olur.
Yutulması halinde : Normal kullanım şartlarında insan sağlığına zarar verici bilinen
etkileri yoktur.
Solunum : Normal kullanım şartlarında insan sağlığına zarar verici bilinen
etkileri yoktur.
Kronik Maruz Kalma : Normal kullanım şartlarında insan sağlığına zarar verici bilinen
etkileri yoktur. Göz ile temas : Kızarıklık, Ağrı, Tahriş
Cilt ile temas : Kızarıklık, Tahriş
Yutulması halinde : Bilinen veya beklenen semptomplar yoktur.
Solunum : Bilinen veya beklenen semptomplar yoktur.</t>
  </si>
  <si>
    <t xml:space="preserve">Atık ve zararlı atıklar Avrupa Direktiflerine göre atınız.Atık kodları kullanıcı tarafından, tercihen atık
bertaraf mercileriyle görüşülerek belirlenmelidir.Ürün : Yakma veya imha etme yerine tekrar kazanımı tercih edilir. Tekrar
kazanım işlemi elverişli değil ise yerel kanunlara uygun olarak
imha ediniz. Atıkları onaylanmış atık tesislerine atınız.
Kontamine ambalaj : Kullanılmamış ürün olarak imha ediniz. Boş kaplar geri dönüşüm
veya bertarafı için onaylı bir atık bertaraf tesisine götürülmelidir.
Boşalan kapları tekrar kullanmayınız. Bölgesel, eyalet ve federal
yönetmeliklere uygun olarak bertaraf edin.
</t>
  </si>
  <si>
    <t>SEKUSEPT AKTİVE</t>
  </si>
  <si>
    <t>1-3 ADET</t>
  </si>
  <si>
    <t>Cihaz-alet dezenfektanı</t>
  </si>
  <si>
    <t>Sodyum
perkarbonatperkarbonatlar</t>
  </si>
  <si>
    <t>Gözle teması halinde : En az 15 dakika, göz kapaklarının içi de dahil derhal bol suyla
yıkayınız. Kontakt lens, varsa ve çıkarması kolaysa, çıkarın.
Sürekli durulayın. Hemen tıbbi yardım alınız.
Deriyle teması halinde : En az 15 dakika boyunca bol miktarda su ile yıkayınız. Mümkünse
yumuşak bir sabun kullanınız. Tekrar giymeden önce giysilerinizi
yıkayınız. Ayakkabıları tekrar kullanmadan önce iyice temizleyiniz.
Hemen tıbbi yardım alınız.
Yutulması halinde : Ağzı suyla çalkalayınız. Kusturmayın. Bilinci yerinde olmayan bir
kişiye asla ağız yoluyla bir şey vermeyiniz. Hemen tıbbi yardım
alınız.
Solunması halinde : Açık havaya çıkarınız. Semptomatik tedavi uygulayınız.
Semptomlar meydana gelirse tıbbi yardım alınız.</t>
  </si>
  <si>
    <t>Yerel şartlar ve çevre için uygun yangın söndürme yöntemleri
kullanınız. Tutuşabilir ya da yanıcı özellikte değildir.</t>
  </si>
  <si>
    <t>Acil durum personelinden
olmayanlar için öneriler
: İyi bir havalandırma olduğundan emin olunuz. İnsanları, dökülen
malzemeden/sızıntıdan gelen dumandan uzak tutunuz.
Solunması, yutulması ve deri ve gözlerle temasından kaçınınız.
Belirli konsantrasyon limitlerinin aşıldığı ortamlarda çalışan isçiler,
uygun, onaylanmış maskeler kullanmalıdır. Temizliğin yalnızca
eğitimli personel tarafından yapıldığından emin olun.</t>
  </si>
  <si>
    <t>Güvenli elleçleme önerileri : Yutmayınız. Gözle, ciltle veya kıyafetle temas ettirmeyin. Yalnızca
uygun havalandırmayla kullanınız. Elleçlemeden sonra elleri iyice
yıkayınız. Sprey, buharını solumayın. Mekanik arıza durumunda
veya ürünün bilinmeyen seyreltiği ile temas halinde, tam Kişisel
Koruyucu Ekipmanı (KKE) kullanın.
Hijyen önlemleri : Endüstriyel hijyen ve güvenlik kurallarına uygun olarak taşıyınız.
Tekrar kullanmadan önce kirlenmiş olan giysilerinizi yıkayınız.
Elleçlemeden sonra yüzünüzü,ellerinizi ve maruz kalan cildi iyice
yıkayın. Temas ve sıçrama tehlikesi halinde gözlerin ve vücudun
hızlı bir şekilde yıkanması için gereken ekipmanları sağlayınız.</t>
  </si>
  <si>
    <t>Uygun mühendislik kontrolleri Mühendislik önlemleri : Etkin dışarı atımlı havalandırma sistemi. Konsantrasyonu işyeri maruz kalma standartları altında tutunuz. Bireysel koruyucu önlemler Hijyen önlemleri : Endüstriyel hijyen ve güvenlik kurallarına uygun olarak taşıyınız. Tekrar kullanmadan önce kirlenmiş olan giysilerinizi yıkayınız. Elleçlemeden sonra yüzünüzü,ellerinizi ve maruz kalan cildi iyice yıkayın. Temas ve sıçrama tehlikesi halinde gözlerin ve vücudun hızlı bir şekilde yıkanması için gereken ekipmanları sağlayınız. Göz/yüz koruması (EN 166) : Emniyet gözlükleri, Yüz koruyucu (siper), Ellerin korunması (EN 374) : Tavsiye edilen önleyici cilt koruması. Eldivenler; Nitril kauçuk, bütil kauçuk
Dayanıklılık süresi: 1 -4 saat Minimum kalınlık nitril kauçuk veya eşdeğeri için 0,4 mm, butil kauçuk için 0,7 mm'dir. (Tavsiye için lütfen eldiven üreticisine /
distribütörüne başvurun). Parçalanma veya kimyasal olarak delinme belirtileri varsa
eldivenler atılmalı ve değiştirilmelidir. Deri ve vücudun korunması (EN 14605) : Kişisel koruyucu ekipmanlar: Uygun koruyucu eldivenler, güvenlik gözlükleri ve uygun güvenlik ayakkabıları dahil koruyucu giysiler. Solunum sisteminin
korunması (EN 143, 14387) : Yalnızca yeterli havalandırmayla kullanın. Çalışanların havadaki kirleticilere maruziyetini önerilen veya yasal maruz kalma düzeyinin altında tutmak için, kapalı işleme alanları, bölgesel hava tahliye havalandırması veya diğer mühendislik kontrollerini kullanın. Çalışanlar,limit değerinin üstündeki yoğunluklara maruz kalıyorlarsa, uygun ve onaylı solunum maskeleri (89/656/EEC,
(EU) 2016/425) kullanmalıdır.</t>
  </si>
  <si>
    <t>Normal kullanım şartları altında, tehlikeli bir reaksiyon sözkonusu değildir.</t>
  </si>
  <si>
    <t xml:space="preserve">Olası maruz kalma yolları
hakkında bilgiler
: Solunum, Göz ile temas, Cilt ile temas. Akut oral toksisite : Akut toksisite tahmini : 1,628 mg/kg
Akut solunum(inhalasyon)
toksisitesi
: 4 h Akut toksisite tahmini : &gt; 5 mg/l
Test atmosferi: toz/buğu
Akut dermal toksisite : Akut toksisite tahmini : &gt; 2,000 mg/kg
</t>
  </si>
  <si>
    <t>Ürün : Ürünün kanalizasyona, su yollarına ya da toprağa girmesine izin
verilmemelidir. Mümkünse, imha ya da yakma işlemi yerine geri
dönüşüm tercih edilir. Geri dönüşüm mümkün değilse, yerel
düzenlemelere uygun olarak imha edin. Atıkları onaylanmış bir
atık imha tesisinde bertaraf edin.
Kontamine ambalaj : Kullanılmamış ürün olarak imha ediniz. Boş kaplar, geri dönüşüm
veya bertaraf için onaylanmış bir atık işleme sahasına
götürülmelidir. Boşalan kapları tekrar kullanmayınız.</t>
  </si>
  <si>
    <t>SEKUSEPT EASY</t>
  </si>
  <si>
    <t>Perasetik asit +hidrojen peroksit</t>
  </si>
  <si>
    <t>Gözle teması halinde : Göz kapaklarının altı da dahil olmak üzere hemen bol su ile yıkayınız.
en az 15 dakika. Varsa ve kolaysa kontakt lensleri çıkarın
yapmak. Durulamaya devam edin. Derhal tıbbi yardım alın.
Deriyle teması halinde : Derhal bol su ile en az 15 dakika yıkayınız.
Varsa yumuşak bir sabun kullanın. Giysileri yeniden kullanmadan önce yıkayın.
Ayakkabıları tekrar kullanmadan önce iyice temizleyin. Tıbbi yardım alın
hemen.
Yutulması halinde : Ağzı suyla çalkalayın. Kusturmaya ÇALIŞMAYIN. Asla verme
Bilinci yerinde olmayan bir kişiye ağızdan herhangi bir şey. tıbbi olsun
hemen dikkat.
Solunması halinde : Temiz havaya çıkarın. Semptomatik tedavi. Tıbbi yardım alın.</t>
  </si>
  <si>
    <t>Uygun yangın söndürme aracı : Yerel şartlara uygun yangın söndürme tedbirlerini kullanın.
koşullar ve çevredeki çevre.</t>
  </si>
  <si>
    <t>Yeterli havalandırma sağlayın. İnsanları rüzgardan ve rüzgardan uzak tutun
dökülme/sızıntı. Solunması, yutulması ve cilt ile temasından kaçının ve
gözler. İşçiler limitin üzerinde konsantrasyonlarla karşı karşıya kaldıklarında
maruz kalma sınırı, uygun sertifikalı solunum cihazları kullanmaları gerekir.
Temizliğin yalnızca eğitimli personel tarafından yapıldığından emin olun.</t>
  </si>
  <si>
    <t>Yutmayın. Gözlere, cilde veya giysilere temas ettirmeyin. Yeterli havalandırma sağlayın. İşlemden sonra ellerinizi iyice yıkayın. 
Ağartıcı veya diğer klorlu ürünlerle karıştırmak klor gazına neden olur. Endüstriyel hijyen ve güvenlik kurallarına uygun olarak taşıyın.
Kirlenmiş giysileri tekrar kullanmadan önce çıkarın ve yıkayın.
İşlemden sonra yüzü, elleri ve maruz kalan cildi iyice yıkayın.
Hızlı ıslatma veya yıkama için uygun tesisler sağlayın
temas veya sıçrama tehlikesi durumunda gözlerin ve vücudun yıkanmasını sağlayın.</t>
  </si>
  <si>
    <t>Etkili havalandırma sistemi. Hava konsantrasyonlarını koruyun.Hijyen önlemleri : Endüstriyel hijyen ve güvenlik kurallarına uygun olarak taşıyın.
uygulama. Kirlenmiş giysileri tekrar kullanmadan önce çıkarın ve yıkayın.
İşlemden sonra yüzü, elleri ve maruz kalan cildi iyice yıkayın.
işleme. Hızlı ıslatma veya yıkama için uygun tesisler sağlayın
temas veya sıçrama tehlikesi durumunda gözlerin ve vücudun
Göz/yüz koruması (EN 166) : Güvenlik gözlükleri, Yüz kalkanı
El koruması (EN 374) : Önerilen koruyucu cilt koruması eldiven nitril kauçuk butil-kauçuk Atılım süresi: 1 – 4 saat Butil-kauçuk için minimum kalınlık 0,7 mm, nitril kauçuk için 0,4 mm veya eşdeğeri (lütfen eldivenlere bakın) tavsiye için üretici/distribütör). Herhangi bir belirti varsa eldivenler atılmalı ve değiştirilmelidir.
bozulma veya kimyasal atılım. Cilt ve vücut koruması
(EN 14605) : Aşağıdakileri içeren kişisel koruyucu ekipman: uygun koruyucu
eldivenler, koruyucu gözlükler ve koruyucu giysiler Solunum koruması (TR
143, 14387) : Havadaki konsantrasyonlar aşağıdaki değerlerin altında tutuluyorsa gerekli değildir. Maruz Kalma Sınırı Bilgilerinde listelenen maruz kalma sınırı. Sertifikalı kullanın
AB toplantısı solunum koruma ekipmanı
gereksinimleri (89/656/EEC, 89/686/EEC) veya eşdeğeri,
solunum risklerinden kaçınılamaz veya yeterince sınırlandırılamaz.
teknik toplu koruma araçları veya önlemler, yöntemler
veya iş organizasyonu prosedürleri.</t>
  </si>
  <si>
    <t>Görünüm : sıvı
Renk : açık sarı
Koku: sirke benzeri
pH : 1.0, %100
Parlama noktası : Uygulanamaz., Yanmayı sürdürmez.Bağıl yoğunluk : 1.12
Suda çözünürlük : çözünür Oksitleyici özellikler : Evet</t>
  </si>
  <si>
    <t>Normal kullanım koşulları altında bilinen tehlikeli bir reaksiyon yoktur.Normal koşullar altında kararlıdır.Çamaşır suyu veya diğer klorlu ürünlerle karıştırmayın – klor gazına neden olur.Güneş ışığına maruz kalmamalıdır.</t>
  </si>
  <si>
    <t xml:space="preserve">
Soluma, Göz teması, Cilt temasıyla maruz kalınır.Gözler : Ciddi göz hasarına neden olur.
Cilt : Ciddi cilt yanıklarına neden olur.
Yutma : Sindirim sistemi yanıklarına neden olur.
Soluma : Solunum yollarında tahrişe neden olabilir. Burun, boğaz ve
akciğer tahrişi.
Kronik Maruz Kalma : Normal kullanımda sağlıkla ilgili yaralanmalar bilinmemektedir veya beklenmemektedir. Göz teması : Kızarıklık, Ağrı, Korozyon
Cilt teması : Kızarıklık, Ağrı, Korozyon
Yutma : Korozyon, Karın ağrısı
Soluma : Solunum tahrişi, Öksürük</t>
  </si>
  <si>
    <t>Temizleme yöntemleri : Güvenliyse sızıntıyı durdurun. Dökülen veya sızan asitleri asla ıslatmayın
ve talaş, talaş veya benzeri malzemeler içeren tabanlar. izole etmek
atık, uyumsuz maddelerle temas etmesine izin vermez.
malzemeler. Kum veya vermikülit içeren küçük dökülmeler için ve
içerdiği ürünü en az 10 kez su ile seyreltin. Aktar
ağzı açık bir kaba alın ve güvenli bir yere alın.
nötralizasyon* / bertaraf. Büyük dökülmeler için dökülme içerir ve
alanı boşaltın, reaksiyon geçene kadar bırakın, sonra toplayın.
bertarafa kadar. Yerel su şirketinden izin alın /
kanalizasyona boşaltmayı düşünüyorsa yetkili makam. *NÖTRALİZASYON :
seyreltildikten sonra sodyum gibi uygun bir alkali ile nötralize edin
bikarbonat.</t>
  </si>
  <si>
    <t>SEKUSEPT PLUS</t>
  </si>
  <si>
    <t>Enstrüman Dezenfektanı</t>
  </si>
  <si>
    <t>Glucoprotamin
(2-Butoksietoksi) ethanol, Fenoksiethanol, Yağ alkolü etoksilatı ˃5 EO</t>
  </si>
  <si>
    <t>Aşındırıcı, çevre için tehlikeli</t>
  </si>
  <si>
    <t xml:space="preserve">Yerel koşullara uygun söndürme önlemleri kullanın.
</t>
  </si>
  <si>
    <t>Yeterli havalandırma sağlayın. İnsanları rüzgardan ve rüzgardan uzak tutun
dökülme/sızıntı. Solunması, yutulması ve cilt ile temasından kaçınınız.
gözler. İşçiler limitin üzerinde konsantrasyonlarla karşı karşıya kaldıklarında
maruz kalma sınırı, uygun sertifikalı solunum cihazları kullanmaları gerekir.
Temizliğin yalnızca eğitimli personel tarafından yapıldığından emin olun</t>
  </si>
  <si>
    <t>Yemeyin. Gözlere, cilde veya giysilere temas ettirmeyin. Yapamaz
toz/duman/gaz/sis/buhar/sprey soluyun. Yalnızca şununla kullanın:
yeterli havalandırma. İşlemden sonra ellerinizi iyice yıkayın. Endüstriyel hijyen ve güvenlik kurallarına uygun olarak taşıyın.
uygulama. Kirlenmiş giysileri tekrar kullanmadan önce çıkarın ve yıkayın.
İşlemden sonra yüzü, elleri ve maruz kalan cildi iyice yıkayın.
işleme. Hızlı ıslatma veya yıkama için uygun tesisler sağlayın
temas veya sıçrama tehlikesi durumunda gözlerin ve vücudun temizlenebilmesi için. Çocukların erişemeyeceği yerlerde saklayın. Konteynırı sıkıca kapalı tutun. Mağaza
uygun etiketli kaplarda. 0 °C ila 25 °C arasında depolama yapılacak.</t>
  </si>
  <si>
    <t xml:space="preserve">Hijyen önlemleri : Endüstriyel hijyen ve güvenlik kurallarına uygun olarak taşıyın.
uygulama. Kirlenmiş giysileri tekrar kullanmadan önce çıkarın ve yıkayın.
İşlemden sonra yüzü, elleri ve maruz kalan cildi iyice yıkayın.
işleme. Hızlı ıslatma veya yıkama için uygun tesisler sağlayın
temas veya sıçrama tehlikesi durumunda gözlerin ve vücudun
Göz/yüz koruması (EN 166) : Güvenlik gözlükleri
Yüz kalkanı
El koruması (EN 374) : Önerilen koruyucu cilt koruması, eldiven, nitril kauçuk
butil-kauçuk. Atılım süresi: 1 – 4 saat
Butil-kauçuk için minimum kalınlık 0,7 mm, nitril kauçuk için 0,4
mm veya eşdeğeri (lütfen eldivenlere bakın)tavsiye için üretici/distribütör).
Herhangi bir belirti varsa eldivenler atılmalı ve değiştirilmelidir.
bozulma veya kimyasal atılım.
Cilt ve vücut koruması
(EN 14605)
: Aşağıdakileri içeren kişisel koruyucu ekipman: uygun koruyucu
eldivenler, koruyucu gözlükler ve koruyucu giysiler
Solunum koruması (TR
143, 14387): Havadaki konsantrasyonlar aşağıdaki değerlerin altında tutuluyorsa gerekli değildir.
Maruz Kalma Sınırı Bilgilerinde listelenen maruz kalma sınırı. Sertifikalı kullanın
AB toplantısı solunum koruma ekipmanı
gereksinimleri (89/656/EEC, 89/686/EEC) veya eşdeğeri,
solunum risklerinden kaçınılamaz veya yeterince sınırlandırılamaz.
</t>
  </si>
  <si>
    <t>Görünüm : sıvı
Renk : açık mavi
Koku: Parfümler, kokular
pH : 8.0 - 9.0, %100 Suda çözünürlük : çözünür</t>
  </si>
  <si>
    <t>Normal kullanım koşulları altında bilinen tehlikeli bir reaksiyon yoktur. Normal koşullar altında kararlı</t>
  </si>
  <si>
    <t>Soluma, Göz teması, Cilt temasında tahriş edicidir.</t>
  </si>
  <si>
    <t xml:space="preserve">Güvenliyse sızıntıyı durdurun. Döküntüyü kontrol altına alın ve ardından
yanmaz emici malzeme, (örn. kum, toprak,
diyatomlu toprak, vermikülit) ve konteynere yerleştirin.
yerel/ulusal düzenlemelere göre imha edin.
İzleri suyla yıkayın. Büyük dökülmeler için, dökülen malzemeye set çekin
veya başka bir şekilde, akışın belirli bir seviyeye ulaşmamasını sağlayın.
</t>
  </si>
  <si>
    <t>SEKUSEPT PLUS +</t>
  </si>
  <si>
    <t>SEKUSEPT PURE CLEAN</t>
  </si>
  <si>
    <t>Cihaz-alet temizlik ürünü</t>
  </si>
  <si>
    <t>Etanolamin,
sodyumkümensülfon
at,
alanine, n,n bis(carboxymethyl)-, 
trisodium salt</t>
  </si>
  <si>
    <t>Gözle teması halinde : Bol miktarda su ile yıkayınız.
Deriyle teması halinde : Bol miktarda su ile yıkayınız.
Yutulması halinde : Ağzı çalkalayınız. Semptomlar meydana gelirse tıbbi yardım 
alınız.
Solunması halinde : Semptomlar meydana gelirse tıbbi yardım alınız</t>
  </si>
  <si>
    <t>Uygun yangın söndürme aracı: Çevre için uygun yangın söndürme yöntemleri kullanınız.
Uygun olmayan söndürme aracı: Bilinmiyor.</t>
  </si>
  <si>
    <t xml:space="preserve">7 ve 8. bölümlerde bulunan korunma önlemlerine başvurunuz.
Çevre için özel tedbirler alınması gerekmez.
Eğer güvenliyse sızıntıyı durdurunuz.Dökülenleri, yanıcı olmayan 
emici maddelerle( kum, toprak, diatome toprak veya 'vermisülit' le) 
toplayıp, yerel/ulusal kurallara uygun olarak atık kaplarına koyunuz.(Bakınız bölüm 13).Kalıntıları su püskürterek 
temizleyiniz.Büyük miktarda dökülen ürünün su kaynaklarıyla 
temasını önleyin.
</t>
  </si>
  <si>
    <t>Güvenli elleçleme önerileri : Elleçlemeden sonra elleri yıkayınız. Kişisel korunma için 8. bölüme bakınız.
Hijyen önlemleri : Ürünü elleçlemeden hemen sonra ve çalışmaya ara vermeden önce ellerinizi yıkayınız. 
Depolama alanı ve kaplarında aranan nitelikler: Çocukların ulaşabileceği yerlerden uzak tutun. Sıkı kapatılmış 
kapta muhafaza edin. Uygun etikete sahip kaplarda saklayın.
Depolama sıcaklığı : 0 °C -e kadar 30 °C</t>
  </si>
  <si>
    <t>Maruz kalma limiti bulunan hiçbir içeriğe sahip değildir.
Özel koruyucu ekipman gerekmez.
Ürünü elleçlemeden hemen sonra ve çalışmaya ara vermeden 
önce ellerinizi yıkayınız.</t>
  </si>
  <si>
    <t>Görünüş : Sulu çözelti
Renk : renksiz, açık mavi
Koku : az
pH : 9.2 - 9.8, 100 %
Parlama noktası : 100 °C kapalı kap</t>
  </si>
  <si>
    <t>Deri : Normal kullanım şartlarında insan sağlığına zarar verici bilinen 
etkileri yoktur.
Yutulması halinde : Normal kullanım şartlarında insan sağlığına zarar verici bilinen 
etkileri yoktur.
Solunum : Normal kullanım şartlarında insan sağlığına zarar verici bilinen 
etkileri yoktur.
Kronik Maruz Kalma : Normal kullanım şartlarında insan sağlığına zarar verici bilinen 
etkileri yoktur</t>
  </si>
  <si>
    <t>Ürün : Yakma veya imha etme yerine tekrar kazanımı tercih edilir. Tekrar 
kazanım işlemi elverişli değil ise yerel kanunlara uygun olarak 
imha ediniz. Atıkları onaylanmış atık tesislerine atınız.
Kontamine ambalaj : Kullanılmamış ürün olarak imha ediniz. Boş kaplar geri dönüşüm 
veya atım için onaylı bir atık yerine götürülmelidir. Boşalan kapları 
tekrar kullanmayınız.</t>
  </si>
  <si>
    <t>SKİNMAN SOFT</t>
  </si>
  <si>
    <t>100-500 ADET</t>
  </si>
  <si>
    <t>El Dezenfektanı</t>
  </si>
  <si>
    <t xml:space="preserve">2-proponol benzalkonyumkloür çözeltisi undesilenik asit </t>
  </si>
  <si>
    <t>Tehlikeli, yanıcı</t>
  </si>
  <si>
    <t xml:space="preserve">Gözle teması halinde : Temas halinde gözleri derhal bol su ile yıkayınız. en az 15 dakika. Belirtiler ortaya çıkarsa tıbbi yardım alın. Deriyle teması halinde : Semptomlar meydana gelirse tıbbi yardım alın. Yutulması halinde : Ağzı çalkalayın. Belirtiler ortaya çıkarsa tıbbi yardım alın. Zehir Bilgi Merkezi ile iletişime geçin. Solunması halinde : Semptomlar meydana gelirse tıbbi yardım alın.
İlk yardım görevlilerinin korunması : İlk yardıma müdahale edenler için özel bir önlem gerekli değildir. Doktor için notlar : Semptomatik olarak tedavi edin. </t>
  </si>
  <si>
    <t>Kişisel önlemler, koruyucu ekipman ve acil Durum prosedürleri: Tüm tutuşturucu kaynakları uzaklaştırın. tarafından temizliğin yapıldığından emin olun. sadece eğitimli personel. Bölümlerde listelenen koruyucu önlemlere bakın 7 ve 8. Çevresel önlemler : Toprak, yüzey veya yeraltı suları ile temasına izin vermeyin. Yöntemler ve malzemeler : Güvenliyse tüm tutuşturma kaynaklarını ortadan kaldırın. Güvenliyse sızıntıyı durdurun. Çevreleme ve temizleme Dökülenleri kontrol altına alın ve ardından yanıcı olmayan emici maddelerle toplayın malzeme, (örn. kum, toprak, diyatomlu toprak, vermikülit) ve yer yerel/ulusal düzenlemelere göre bertaraf için kapta. İzleri suyla yıkayın. Büyük dökülmeler için, bent döküldü akışın ulaşmamasını sağlamak için malzeme veya başka bir şekilde malzeme içerir.</t>
  </si>
  <si>
    <t>Güvenli elleçleme önerileri : Ateşten, kıvılcımlardan ve ısıtılmış yüzeylerden uzak tutun. gerekli al
statik elektrik boşalmasını önlemek için eylem (ateşlemeye neden olabilir)
organik buharlar). İçeriğin altında olabileceğinden tamburu dikkatlice açın
basınç.
Güvenli saklama koşulları : Isıdan ve tutuşturucu kaynaklardan uzak tutun. Serin, iyi havalandırılmış bir yerde saklayın. Oksitleyici maddelerden uzak tutunuz. Erişemeyeceği yerlerde saklayın
çocukların Konteynırı sıkıca kapalı tutun. Uygun etiketlerde saklayın
kaplar.
Depolama sıcaklığı : 0 °C ila 25 °C</t>
  </si>
  <si>
    <t>Gözlerin korunması : Özel koruyucu ekipman gerekmez.
Ellerin korunması : Özel koruyucu ekipman gerekmez.
Cildin korunması : Özel koruyucu ekipman gerekmez.
Solunum sisteminin korunması : Normalde hiçbir kişisel solunum koruyucu ekipman gerekli değildir.
Hijyen önlemleri : Belirli bir önlem tanımlanmamıştır.</t>
  </si>
  <si>
    <t>Görünüm : sıvı
Renk : renksiz
Koku: alkol benzeri
pH : 5.0, %100
910084-01 4 / 8
Parlama noktası : 20 °C kapalı kap Bağıl yoğunluk : 0.86
Suda çözünürlük : çözünür. Oksitleyici özellikler : Madde veya karışım oksitleyici olarak sınıflandırılmamıştır.</t>
  </si>
  <si>
    <t>Kimyasal kararlılık : Normal koşullar altında kararlıdır.
Tehlikeli olma olasılığı
reaksiyonlar
: Normal kullanım koşulları altında bilinen tehlikeli bir reaksiyon yoktur.
Kaçınılması gereken durumlar : Isı, alevler ve kıvılcımlar.
Uyumsuz malzemeler : Bilinmiyor.
Tehlikeli ayrışma
Ürün:% s
: Bozunma ürünleri aşağıdaki malzemeleri içerebilir:
karbon oksitler</t>
  </si>
  <si>
    <t xml:space="preserve">
Solunuma maruziyet
: Soluma, Göz teması, Cilt teması
Potansiyel Sağlık Etkileri
Gözler : Ciddi göz tahrişine neden olur.
Cilt : Normal kullanımda sağlıkla ilgili yaralanmalar bilinmemektedir veya beklenmemektedir.
Yutma : İzopropanolün yutulmasının merkezi sinir hastalığına neden olduğu gösterilmiştir.
sistem etkileri.
Soluma : Normal kullanımda sağlıkla ilgili yaralanmalar bilinmemektedir veya beklenmemektedir.
Kronik Maruz Kalma : Normal kullanımda sağlık yaralanmaları bilinmemektedir veya beklenmemektedir.
İnsan maruziyeti ile ilgili deneyim
Göz teması : Kızarıklık, Ağrı, Tahriş
Cilt teması : Bilinen veya beklenen bir semptom yok.
Yutma : Uyuşukluk, Karın ağrısı
Soluma : Bilinen veya beklenen bir semptom yok.</t>
  </si>
  <si>
    <t xml:space="preserve">Bertaraf yöntemleri : Mümkün olduğunda, bertaraf veya yakma yerine geri dönüşüm tercih edilir. Eğer
geri dönüşüm uygulanabilir değilse, yerel yönetmeliklere uygun olarak bertaraf edin.
düzenlemeler. Atıkları onaylı bir atık bertaraf tesisinde bertaraf edin.
Bertaraf etme bilgileri : Kullanılmamış ürün olarak imha edin. Boş kaplar götürülmeli
geri dönüşüm veya bertaraf için onaylanmış bir atık işleme sahası. Boş kapları tekrar kullanmayın. Yönetmeliklere uygun olarak imha edin.
</t>
  </si>
  <si>
    <t>SODALİME</t>
  </si>
  <si>
    <t>1-8 ADET</t>
  </si>
  <si>
    <t>Sodyum hidroksit , kalsiyum hidroksit</t>
  </si>
  <si>
    <t xml:space="preserve">Ciddi cilt yanıklarına ve göz hasarına yol açar. Solunum yolu tahrişine yol açabilir. </t>
  </si>
  <si>
    <t xml:space="preserve">Gözlerle teması halinde lens var ise çıkartılır. Gözler 30-60 dakika bol suile yıkanır. Ciltte teması halinde elbiseler hemen çıkartılır. Derhal duş alarak cildi durulayın. Yutma durumunda mmkün olduğu kadar çok miktarda su içiniz. Solunum yapıldıysa derhal tıbbi yardım alınız. </t>
  </si>
  <si>
    <t>Karbondioksit, köpük, toz ve su buharı</t>
  </si>
  <si>
    <t>Sakıncası yok ise su ile ürünü püskürterek toz oluşmasını önleyin. Kişisel koruyucu donanım kullanılması gereklidir.</t>
  </si>
  <si>
    <t xml:space="preserve">Ekipman ve personel için yeterlibir topraklama sistemi olduğundan emin olun. Cilt ve gözlerle temastan kaçının. Toz, buhar ve sisleri solumayın. </t>
  </si>
  <si>
    <t>Yeterli teknik ekipmanın kullanılması kişisel koruyucu ekipmanlara göre her zaman öncelikli olmak zorunda olduğundan , etkin bir yerel aspirasyon aacılığıyla çalışma mekanının iyi havalandırılması garanti edilmelidir. Göz, yüz yıkama haznesi ile acil göz duşu öngörünüz.</t>
  </si>
  <si>
    <t>Fiziksel durum: Katı
Renk: Beyaz
Koku: Kokusuz</t>
  </si>
  <si>
    <t>Çöpleri çevreye atmaktan kaçının. Yetkili makamları, ürünün su yollarına ulusal toprak ve bitki örtüsünü kirletmesi durumunda bilgilendirin.</t>
  </si>
  <si>
    <t>SOLUSCOPE A</t>
  </si>
  <si>
    <t>Dezenfektan</t>
  </si>
  <si>
    <t xml:space="preserve">PROPAN-2-OL 1,2,3-BENZOTRIAZOLE SODYUM NİTRAT N-ALKİLİÇ HİNDİSTAN CEVİZİ"Dİ (PENTA DEKA HİDROKSİETİL) METİL AMONYUM METOSÜLFAT </t>
  </si>
  <si>
    <t>Yangınla mücadele için kullanılan maddelerin artıklarının kanalizasyon sistemine veya su akıntılarına karışmasına engel olun.
Tozlu veya köpüklü söndürücüleri kullanın.
Kutupsal sıvılar için özel köpükler, tozlar ve karbon dioksit.</t>
  </si>
  <si>
    <t>Korumasız kişileri uzakta tutun.
Alevlenebilir bütün kaynakları tehlikenin dışına koyun ve onları uzakta tutun.
Buharların teneffüs edilmesini önleyin.
Olası tüm ateşlenme kaynağını ortadan kaldırın ve odaları havalandırın.
Deri ve gözler ile her temas etmesini engelleyin.
6.2. Çevresel önlemler
Sızıntıları kum, toprak, vermikülit, diyatome toprak gibi yanıcı olmayan malzemelerle toplayarak, atıkların imhası için kullanılan bidonlar içinde
muhafaza edin, atıkların imhası için kullanılan bidonlar içinde muhafaza edin.
Doğal ortam içine atmayın (akarsular, topraklar ve bitki örtüleri ... ..)</t>
  </si>
  <si>
    <t>Harici kullanım ürünü - Yutmayın.
Deri ve gözler ile her temas etmesini engelleyin.
Etiket üzerinde ele alınan kullanım talimatlarına uyarak bunu kullanın.
Solüsyonun etkinleştirilmesi için öngörülenlerden başka ürünler ile karıştırmayın.
İyi havalandırılmış bir mekanda işlem yapınız.
45° C'yi aşmayacak sıcaklıkta kullanınız.</t>
  </si>
  <si>
    <t>Odaların iyi bir havalandırılmasını sağlayın. Çalışma yerinin havası içindeki konsantrasyonlar, normal kullanım koşulları içinde verilen limit
değerleri aşmamalıdır.</t>
  </si>
  <si>
    <t>Fiziksel hali: Akışkan sıvı
Renk: renksiz
Koku: alkol karakteristiği</t>
  </si>
  <si>
    <t xml:space="preserve">Yutulması, mide bulantıları ve baş ağrıları ile birlikte bir karın bölgesi sancısına, sindirim sisteminin bir tahrişine sürükleyebilir.
Uyuklama ve baş dönmesi riski.
</t>
  </si>
  <si>
    <t xml:space="preserve"> OPAKJEL 2-70- EL VE CİLT TEMİZLEYİCİ</t>
  </si>
  <si>
    <t>% 70 İsopropil Alkol, % 2 Klorheksidin Diglukonat</t>
  </si>
  <si>
    <t>Alevlenir
Tahriş Edici</t>
  </si>
  <si>
    <t>Cilt: Deriye zararı yoktur ancak Klorheksidin’e daha önce aşırı duyarlılık reaksiyonu göstermiş olanlarda kontrendikedir. Kontamine olmuş kıyafetleri ve ayakkabıları çıkarın. Bölgeyi bol su ve sabun ile yıkayın. Semptomlar gelişirse tıbbi yardım alın.
Göz: Gözü açarak 10 dakika bol su ile yıkayın. Tıbbi yardım alın.
Yutma: Temiz suyla ağzı çalkalayın. Su içirinbilinci yerinde olmayan kişiye kesinlikle birşey vermeyin. Sağlık personelinin bilgisi dışında kusmaya teşvik etmeyin. Tıbbi yardım alın
Soluma: Kişiyi temiz havaya çıkadın Tıbbi yardım alın.</t>
  </si>
  <si>
    <t>Söndürme malzemeleri: Kuru kimyasal, karbondioksit, su, köpük Yangın sırasında ısıya maruz kalan kapalı kaplarda basınç meydana gelebilir ve patlayabilir. Yangınla mücadelede koruyucu ekipmanlar: Solunum maskesi ve koruyucu giysiler</t>
  </si>
  <si>
    <t>Kişisel güvenlik önlemleri: Koruyucu teçhizat takınız. Korunmamış şahısları yaklaştırmayınız.
Çevreyi Koruyucu önlemler: Kanalizasyona ve sulara karışmasını önleyiniz, yangın ve patlamaya karşı önlem alınız. Sigara, ateş, elektrik kaynaklarından gelecek kıvılcım gibi tutuşturma kaynaklarını ortamdan uzaklaştırın. Yeterli havalandırma sağlayınız. Temizleme/Toplama yöntemleri: Sıvı bağlayıcı malzeme (bentonit, vermikülit veya ticari olarak satılan inorganik absorbanlarla, un halinde testere talaşı) ile eminiz. Ardından bölgeyi bol su ile yıkayınız. Toplanan malzemeyi metal kap içerisine alın. Yetkililere haber verin.</t>
  </si>
  <si>
    <t>Depolama: Iyi kapatılmış kaplarda serin ve kuru bir şekilde 25 °C’nin altında muhafaza ediniz. Direk güneş ışığına maruz bırakmayınız. Ateşlemeye sebep olacak kaynaklardan uzak tutunuz.
Birarada depolama ile ilgili uyarılar: Asitlerden ve oksidasyon maddelerinden ayrı muhafaza ediniz. Alkali metallerden(Na gibi) uzak tutunuz.
Ürünün raf ömrü imal tarihinden itibaren 36 aydır.</t>
  </si>
  <si>
    <t>Güvenli çalışma için uyarılar: Usulüne uygun kullanıldığında özel önlemlerin alınması gerekmez.
Yangın ve patlamadan korunmak için uyarılar: Tutuşturucu maddelerden uzak tutunuz sigara içmeyiniz. Statik boşalmaya karşı önlem alınız.
Göz: Buharının gözle temasından kaçının.
Solunum Koruması: Buharının solunmasından kaçının. Iyi havalandırma sağlayın</t>
  </si>
  <si>
    <t>Görünüm ve koku: Homojen,berrak ,karakteristik kokulu, renksiz L likit
pH © 20°C: 4.5-7.5
 Alev alma sınırları: 13°C</t>
  </si>
  <si>
    <t>Termik ayrışma / kaçınılması gereken şartlar: Isıdan, direk güneş ışığından ve alevlenmeye sebep olacak her türlü şeyden kaçınılmalıdır. Kaçınılması gereken maddeler: Güçlü asitler ve oksidasyon maddeleri, alkali metaller Tehlikeli ayrışım maddeleri: Karbonmonoksit, Karbondioksit Kararlılık ve Reaktivite: Stabfldir. Tehlikeli polimerizasyon olmaz.</t>
  </si>
  <si>
    <t>LD 50(hesaplanan): 6722 mg!kg [oral, sıçan] Zehirlenme belirtileri; 37° C’yi geçen ateş, nefes yetmezliği,göğüs tıkanmasıbitmeyen öksürük ve hırıltı.
Antidotu yoktur.
Göz ile temas etkileri: Kızarıklık, şişme, acı, gözyaşı, bulanıklık Cilt ile temas etkileri: Uzun süre ve tekrarlayan maruz kalma sonucunda bölgesel kızarıklık, kaşınma, kuruma ve cilt çatlaması olabilir.
Yutma etkileri: Karın ağrısı, mide bozukluğu, mide bulantısı, kusma, ishal etkileri: Öksürme, hapşurma, başağrısı, ses kısıklığı, burun ve boğaz ağrıs</t>
  </si>
  <si>
    <t>Ev çöpüyle beraber tasfiye edilmesi yasaktır
Kanalizasyona ulaşmasını önleyiniz.
BAKIM DÜZENLEMELER” uyarınca istenmeyen ürünün atımı durumunda ilgililere
başvurunuz ve onaylanmış yöntemlerle atık giderme yapınız.</t>
  </si>
  <si>
    <t>ANTICHLOR PLUS</t>
  </si>
  <si>
    <t>Sodyum Dikloroizosiyanürat, adipic acid, Sodium Carbonate, sodium dodecylbenzene 
sulfonate</t>
  </si>
  <si>
    <t>Tahriş Edici
Çevre İçin Tehlikeli</t>
  </si>
  <si>
    <t>Gözle teması halinde: En az 15 dakika, göz kapaklarının içi de dahil derhal bol suyla yıkayınız. Kontakt lens, varsa ve çıkarması kolaysa, çıkarın. Sürekli durulayın. Tıbbi 
yardım alınız.
Deriyle teması halinde: Bol miktarda su ile yıkayınız.
Yutulması halinde: Ağzı çalkalayınız. Semptomlar meydana gelirse tıbbi yardım alınız.
Solunması halinde: Açık havaya çıkarınız. Semptomatik tedavi uygulayınız. Semptomlar meydana gelirse tıbbi yardım alınız.</t>
  </si>
  <si>
    <t>Uygun yangın söndürme aracı : Yerel şartlar ve çevre için uygun yangın söndürme yöntemleri kullanınız.
Uygun olmayan söndürme aracı: Bilinen yoktur.</t>
  </si>
  <si>
    <t>Acil durum personelindenolmayanlar için öneriler: Temizliğin yalnızca eğitimli personel tarafından yapıldığından emin olun. 7 ve 
8. bölümlerde bulunan korunma önlemlerine başvurunuz.
Acil durum müdahalesinde bulunanlar için öneriler: Dökülen maddeyle başa çıkmak için özel giysi gerekiyorsa, uygun ve uygun 
olmayan materyaller hakkında Bölüm 8'de verilen her türlü bilgiyi not edin.</t>
  </si>
  <si>
    <t>Güvenli elleçleme önerileri: Deri ve gözlerle temasına mani olun. Tozunu/
dumanını / gazını / sisini /buharını / spreyini solumayın. Sadece yeterli havalandırma ile kullanın. Kullandıktan sonra ellerinizi iyice yıkayın. Bu ürünün asit ve amonyak ile karıştırılması klor gazı salınımına  neden olur. Çamaşır suyu veya diğer klor içeren ürünler ile karıştırmayınız- klor gazı salınımına neden olur. 
Depolama alanı ve kaplarında aranan nitelikler:ocukların erişemeyeceği yerde saklayın. Kabı sıkıca kapalı tutun. 
Uygun etikete sahip kaplarda saklayın.
Depolama sıcaklığı: 0 °C - 25 °C</t>
  </si>
  <si>
    <t>Maruz kalma limiti bulunan hiçbir madde içermez.
Etkin dışarı atımlı havalandırma sistemi. Konsantrasyonu işyeri maruz kalma 
standartları altında tutunuz.
Endüstriyel hijyen ve güvenlik kurallarına uygun olarak taşıyınız. Tekrar 
kullanmadan önce kirlenmiş olan giysilerinizi yıkayınız. Elleçlemeden sonra 
yüzünüzü,ellerinizi ve maruz kalan cildi iyice yıkayın.
Yan siperleri olan güvenlik gözlükleri.</t>
  </si>
  <si>
    <t>Görünüm: Tablet - Sıvı
Renk: Beyaz - Doğal Renk
Koku: Klor - Hafif Klor
ph:5.0 - 6.0 / 5.5 - 6.5</t>
  </si>
  <si>
    <t xml:space="preserve">Normal kullanım şartları altında, tehlikeli bir reaksiyon sözkonusu değildir.
Bu ürünün asit ve amonyak ile karıştırılması klor gazı salınımına neden olur. 
Çamaşır suyu veya diğer klor içeren ürünler ile karıştırmayınız- klor gazı 
salınımına neden olur. </t>
  </si>
  <si>
    <t>Ciddi göz tahrişine yol açar.</t>
  </si>
  <si>
    <t xml:space="preserve">Ürün: Ürünün kanalizasyona, su yollarına ya da toprağa girmesine izin
verilmemelidir. Mümkünse, imha ya da yakma işlemi yerine geri dönüşüm 
tercih edilir. Geri dönüşüm mümkün değilse, yerel düzenlemelere uygun olarak 
imha edin. Atıkları onaylanmış bir atık imha tesisinde bertaraf edin.
Kontamine Ambalaj,: Kullanılmamış ürün olarak imha ediniz. Boş kaplar, geri dönüşüm veya 
bertaraf için onaylanmış bir atık işleme sahasına götürülmelidir.
Boşalan kapları tekrar kullanmayınız. Yerel yönetmeliklere uygun olarak 
bertaraf ediniz.
</t>
  </si>
  <si>
    <t>3M CAVILON</t>
  </si>
  <si>
    <t>Tıbbi cihaz spreyi</t>
  </si>
  <si>
    <t xml:space="preserve">Hekzametildisiloksan, Izooktan, Akrilat Terpolime,1,1,1,5,5,5-hekzametil-3-fenil-3-((trimetilsili)
oksi)trisiloksan ve 1,1,1,7,7,7-hekzametil-3,5-
difenil-3,5-
bis[(trimetilsili)oksi]tetrasiloksan ve 1,1,1,9,9,9-
hekzametil-3,5,7-trifenil 3,5,7-tris((trimetilsili)oksi)pentasiloksan'nın
reaksiyon kütlesi.
</t>
  </si>
  <si>
    <t>Bu ürün, 93/42/EEC (MDD) Direktifinde tanımlandığı üzere, invazif olan veya insan vücuduyla doğrudan fiziksel temasta
kullanılan medikal bir cihazdır ve bu nedenle 1272/2008 sayılı AB Regülasyonu (CLP; Madde 1, paragraf 5) sınıflandırma ve
etiketleme gerekliliklerinden muaftır</t>
  </si>
  <si>
    <t>Soluma: Kişiyi temiz havaya çıkarın. Eğer kendinizi kötü hissederseniz tıbbi yardım alınız.
Cilt ileTeması: İlk yardım gerekmediği öngörülmektedir.
Göz Teması: İlk yardım gerekmediği öngörülmektedir.
Yutulması halinde: Kusturmayın. Derhal tıbbi yardım alın.</t>
  </si>
  <si>
    <t>Yangın durumunda: Söndürme için karbon dioksit veya kuru kimyasal söndürücü kullanın.
Ateşten kaynaklanan ısıya maruz kalan kapalı kaplarda basınç olusabilir ve infilak edebilir.</t>
  </si>
  <si>
    <t xml:space="preserve">Alanı boşaltın. Açık alev / sıcak yüzeyler/ kıvılcımlar/ ısı kaynaklarından uzak tutun. Sigara içmeyin. Sadece parlamayan
malzemeler kullanın. Alani havalandiriniz. Büyük miktarlardaki dökülme için ya da sınırlanmış alanlardaki dökülmeler
için, endüstriyel hijyen kurallarına uygun olarak buharları dağıtmak ya da boşaltmak için mekanik havalandıma sağlayın.
UYARI! Dokulen alan icinde bir motor, tutusturucu kaynagi olabilir ve yanici gaz veya buharlarin yanmasina ya da
patlamasina yol acabilir. - Fiziksel ve kimyasal zararlar, solunum koruma, havalandırma ve kişisel koruyucu ekipmanlar ile
ilgili bilgi için bu Güvenlik Bilgi Formu’nun diğer bölümlerini inceleyiniz.
Çevreye verilmesinden kaçının. Büyük dökülmeler için kanalizasyon yolunu kapatiniz, su yoluna karismamasi için bentler
olusturunuz.
</t>
  </si>
  <si>
    <t>Daha fazla bilgi için Kullanım Talimatlarına başvurunuzz.</t>
  </si>
  <si>
    <t>Göz/yüz koruma: Göz koruma talep edilmez.
Cilt/EL koruması: Koruyucu eldiven gerekli değildir.
Solunum koruma: Maske gerekliliğinde maruz kalma değerlendirmeleri karar vermek için gerekebilir. Eğer maske gerekiyorsa, tüm yüz maskeli
olanları kullanın. Maruz kalma değerlendirmelerine göre, solunumla maruz kalmayı azaltmak için aşağıdaki maske çeşitlerini
kullanabilirsiniz:
Organik buharlar ve partiküller için uygun hava temizleyici yarım yüz veya tam yüz maskesi.</t>
  </si>
  <si>
    <t>Fiziksel durum: Sıvı
Renk: renksiz
Koku: hafif koku, Kokusuz
Ph: 6,41025641025641 mm2/sec</t>
  </si>
  <si>
    <t>Bu malzeme, belirli ajanlar ile belirli sartlar altinda reaktif olabilir. Bölümde ilgili basliga bakin.
Uyumlu olmayan malzemeler:
Kuvvetli oksitleyici ajanlar</t>
  </si>
  <si>
    <t>Soluma: Solunum yolu tahrisi: Semptomlar: öksürük, burun akintisi, hapsirma, ses kisilmasi, bas agrisi, burun ve bogaz agrisi.
Cilt ileTeması: Deri ile temasta belirgin tahrise sebebiyet vermez.
Göz Teması: Malzeme kullaniminda göz ile temas etmesi halinde belirgin bir tahrise sebebiyet vermez.
Ağız yoluyla alım: Aspirasyon Pnömoniti: öksürük, solunum güçlügü, hirilti, kan öksürme, agizda yanma, deride mavimsi renk (siyanosis) ve
ölümcük pnömoniti gibi belirtiler/semptomlar olabilir. Gastrointestinal Irritasyon: Semptomlar; mide bozulmasi, karin
agrisi, kusma, mide bulantisi ve isal</t>
  </si>
  <si>
    <t>AB atık kodu ( satılan ürün gibi)
180106* Tehlikeli bileşenlerden oluşan veya tehlikeli bileşenler içeren kimyasallar</t>
  </si>
  <si>
    <t>ACTO OILSPRAY S</t>
  </si>
  <si>
    <t xml:space="preserve">Alet Bakım
Enstrüman bakım ve koruma ürünleri
</t>
  </si>
  <si>
    <t>butane
propane
isobutane</t>
  </si>
  <si>
    <t>Alevlenir</t>
  </si>
  <si>
    <t>Inhalasyondan sonra:
Etkilenen kişileri temiz havaya çıkarın, sıcak ve sakin kalmalarını sağlayın. Eğer bilinç kayıp fakat
solunum devam ediyor haldeyse kurtarma pozisyonuna getirin ve tıbbi yardım alın. Düzensiz solunumda
veya solunum durmasında suni solunum yapılmalıdır. Temiz hava sağlayın. Solunum yollarının
iritasyonunda doktora gidin.
Cilt temasında:
Cilt temasından sonra Hemen sonra yıkamada kullanacağınız madde: Su ve sabun Deri iritasyonlarında
doktora gidiniz.
Giysi ile teması halinde: Bu maddenin bulaşmış olduğu tüm giysiler derhal çıkarılmalıdır. Kirlenmiş
giysiler tekrar kullanılmadan önce yıkanmalı.
Göz temasından sonra:
Derhal dikkatlice ve özenle göz duşu kullanarak veya suyla yıkayın. Kontakt lens, varsa ve çıkarması
kolaysa, çıkarın. Sürekli çalkalayın. Göz tahrişi kalıcı ise: Tıbbi yardım/bakım alın.
Yuttuktan sonra:
Ağzınızı suyla çalkalayın. Kendinizi iyi hissetmiyorsanız, doktoru arayın.</t>
  </si>
  <si>
    <t xml:space="preserve">Uygun söndürme maddesi: Söndürme tedbirlerini çevreye uygun belirleyin. Karbondioksit (CO2), Söndürme tozu, Püskürtme suyu,
alkole dayanıklı köpük. Buharlara su püskürtücüsü ile müdahale edin.
Uygun olmayan söndürme maddesi:
Yüksek güçlü su püskürtme jeti
</t>
  </si>
  <si>
    <t>Kişisel tedbirler:
Kişisel koruyucu ekipman kullanın. Gaz/buhar/aerosolleri solumayın. Yeterli havalandırma sağlayın.
Çocukların erişemeyeceği yerde saklayın. Kirlenmiş giysiler tekrar kullanılmadan önce yıkanmalı.Ara
vermelerden önce ve iş bitişinde eller yıkanmalı. Isı kaynaklarından uzak tutun (örneğin sıcak yüzeyler),
kıvılcımlar ve açık alevler. Ürün sızıntısı/dökülmesinde ileri kayma tehlikesi bulunmaktadır.
Acil durum planları:
Kişileri emniyete alın. Göz banyolarını hazırlayın ve yerlerini belirgin bir şekilde işaretleyin</t>
  </si>
  <si>
    <t>Güvenli kullanım için bilgiler:
Endüstriyel hijyen ve güvenlik kurallarına uygun olarak kullanınız. Kişisel koruyucu ekipmanlar kullanın
(bakınız bölüm 8). Yeterli havalandırma sağlayın.
Yangın koruma önlemleri:
Isıdan/kıvılcımdan/alevden/sıcak yüzeylerden uzak tutun. – Sigara içilmez. Güneş ışığından koruyun. 50
°C/122 °F aşan sıcaklıklara maruz bırakmayın. Aleve veya diğer ateş kaynaklarına doğru püskürtmeyin.
Basınçlı kap: Kullanımdan sonra bile delmeyin veya yakmayın.
Teknik tedbirler ve depolama şartları:
Kabı sıkı kapalı tutarak serin ve iyi havalanan bir yerde muhafaza ediniz. Ulusal yasalar da dikkate
alınmalıdır! AEROSOLLER Kabı sıkı kapalı tutarak serin ve iyi havalanan bir yerde muhafaza ediniz.
Tavsiye edilen depolama ısısı 5-35 °C : Max. 50 °C
Depolama odaları ve hazne şartları:
Sadece orijinal kaplarında muhafaza edin/depolayın. Zeminler geçirgen olmamalı, sıvılara karşı dayanıklı
ve kolay temizlenebilir olmalıdır.</t>
  </si>
  <si>
    <t xml:space="preserve">Göz/yüz koruması:
Yan korumalı gözlük DIN EN 166 (Berufsgenossenschaftliche Regeln (DGUV-Regeln) 192)
Deri koruması:
Denetlenmiş koruyucu eldivenler kullanılmalıdır EN ISO 374. Ara vermelerden önce ve iş bitişinde eller
yıkanmalı. İşten sonra cilt bakım ürünleri kullanın. Yukarıda söz edilen koruyucu eldivenlerin kimyasallara
karşı direncini belirlemek için eldiven imalatçısına danışmak tavsiye edilmektedir.
Solunum koruması:
Gaz/buhar/aerosolleri solumayın. Sadece iyi havalandırılan yerlerde kullanın. Uygun kullanımda ve
normal şartlarda solunum koruması gerekmemektedir.
Termal tehlikeler:
Isı kaynaklarından uzak tutun (örneğin sıcak yüzeyler), kıvılcımlar ve açık alevler.
Diğer korunma tedbirleri:
Genel emniyet ve sağlık önlemleri: İş yerinde yemek yemeyin, içmeyin, sigara içmeyin, burnunuzu
çekmeyin. Deri, göz ve giysi temasını engelleyin. Ara vermelerden önce ve iş bitişinde eller yıkanmalı.
Kirlenmiş giysiler tekrar kullanılmadan önce yıkanmalı.
</t>
  </si>
  <si>
    <t>Hal: Aerosol 
Renk: renksiz
Koku: karakteristik
Kendi kendini tutuşturma ısısı 365 °C</t>
  </si>
  <si>
    <t>Tepkime:
Kullanım talimatına uygun kullanıldığı ve depolandığında hiç bir tehlikeli reaksiyon gözlenmemiştir.
Kimyasal kararlılık:
Isıtmak basınç artışına ve çatlama tehlikesine neden olur. (&gt;50 °C) Kullanım talimatına uygun kullanıldığı
ve depolandığında hiç bir tehlikeli stabilite sorunu gözlenmemiştir..
Zararlı tepkime olasılığı:
Isıtma patlamaya neden olabilir.
10.4. Kaçınılması gereken durumlar
50 °C'nin üzerindeki ısılara maruz bırkamayın. Isı kaynaklarından uzak tutun (örneğin sıcak yüzeyler),
kıvılcımlar ve açık alevler.
Kaçınılması gereken maddeler:
Kullanılabilir veriler yok
Zararlı bozunma ürünleri:
Nitrojen oksitleri (NOx), Karbondioksit, Karbonmonoksit. Yangın çıkması durumunda: Gazlar/buharlar,
zehirli. Gaz/buharı solumayın.</t>
  </si>
  <si>
    <t>Butane
LC50 Akut inhalasyon toksisite (buharı):
658 mg/l 4 h
Propane
LC50 Akut inhalasyon toksisite (buharı):
&gt;20 mg/l 4 h
İsobutane
LC50 Akut inhalasyon toksisite (buharı):
&gt;20 mg/l 4 h (Sıçan)</t>
  </si>
  <si>
    <t>Atık işleme yöntemleri:
Atık giderilmesi için ilgili ve ruhsatlı atık gidericisine danışın.
Atık anahtarı ürün:
13 02 07 * Kolayca biyolojik olarak bozunabilir motor, şanzıman ve yağlama yağları
Atık anahtarı ambalaj:
16 05 04 * Basınçlı tanklar içinde tehlikeli maddeler içeren gazlar (halonlar dahil)</t>
  </si>
  <si>
    <t>DESTİMAL MEDİKAL CİLT TEMİZLEME MENDİLİ</t>
  </si>
  <si>
    <t>Cilt yüzeyini temizleme amaçlı kullanılır.</t>
  </si>
  <si>
    <t xml:space="preserve">Ethyl Alcohol </t>
  </si>
  <si>
    <t xml:space="preserve"> Soluma Sonrası: Temiz havaya çıkarın ve sıcak tutun ve dinlendirin. Bir hekime danışınız.
Cilt Teması Sonrası: Sabun ve bol su ile yıkayınız. Bir hekime danışınız.
Göz Teması Sonrası:Gözle teması halinde hemen bir göz hekimine başvurun, yeterli bir zaman dilimi için açık göz kapaklarını su ile durulayın.
Yutma Sonrası: Yanlışlıkla yutulması durumunda, bol su ile ağzı (sadece kişinin bilinci yerinde ise) çalkalayın ve acil tıbbi yardım alın.</t>
  </si>
  <si>
    <t xml:space="preserve">Uygun yangın söndürme aracı:CO2, Toz veya su püskürtme. Daha büyük yangınlarda 
su püskürtme ile savaşın. Çevresel koşullara uygun yangın söndürme yöntemleri kullanın.
</t>
  </si>
  <si>
    <t>Kişisel Önlemler, Koruyucu Ekipman ve Acil Durum Prosedürleri:
Kişisel önlemler:Personel kontrol tedbirleri konusunda eğitilmelidir. Koruyucu ekipmanlar mutlaka kullanılmalıdır.
Koruyucu ekipman: NIOSH (US) veya EN 166 (EU) gibi standartlara uygun olarak test edilmiş ve
onaylanmış göz koruma ekipmanı; Tabaka kalınlığı minimum 0,11 mm, emilim süresi minimum 480 dakika olan  Nitril Kauçuk eldiven kullanın
Çevresel Önlemler
Sızıntıların çalışma sahasına yayılmasını önlemek için iş derhal durdurulmalıdır. Ürünün yayıldığı saha suyla 
yıkanmalıdır. Özel önlem alınmasını gerektirmez.</t>
  </si>
  <si>
    <t>Kimyasalların kullanımı sırasında yutulmasını, göze ve cilde temasını önlemek için endüstriyel hijyen standartlarına uyulması zorunludur. Göz ve cilt temasından, yutmaktan, buhar ve aerosollerini solumaktan kaçının. Gerekli hallerde kişisel koruyucu ekipmanlar kullanın.
Maddeyi orijinal ambalajında, kapları ağızları sıkıca kapalı olarak kuru, serin ve iyi havalandırılmış yerlerde, doğrudan gün ışığı almayacak şekilde depolayın. Isıdan ve ısı kaynaklarından uzak tutulmalıdır, aşırı ısınma bozunma hızını artırarak ürünün etkisini azaltır. Ürünün donmamasına dikkat ediniz.Ortamda sigara içmek, yemek ve içmek yasaklanmalı, iyi havalandırma sağlanmalıdır.</t>
  </si>
  <si>
    <t>Göz ve yüz koruma: Gözlük
Cilt Koruma: Eldiven
Solunum Koruma:Teknik egzoz veya havalandırma tedbirleri mümkün değilse veya yetersizse, solunum sistemi koruma cihazları kullanılmalıdır.</t>
  </si>
  <si>
    <t>Görünüm: Berraksıvı
Renk: Renksiz
Koku: Alkol
Çözünürlük: Sudaçözülür
Yoğunluk(20̊C): 0.8-0.95 g/ml
pH-Değeri: 5.0-8.0</t>
  </si>
  <si>
    <t>Tepkime: Bu ürün yada içerik maddelerinin reaktivitesiyle ilgili özel bir veri yoktur.
Kimyasal Stabilite:Madde, depolama, kullanım ve sıcaklık için tavsiye edilen koşullar altında kimyasal olarak kararlıdır.</t>
  </si>
  <si>
    <t>Ciddi göz tahrişine yol açar.
Rehavete veya baş dönmesine yol açabilir.</t>
  </si>
  <si>
    <t>Atık yerel yönetmeliklere uygun olarak bertaraf edilmelidir.Atık kodu
atık bertaraf yetkilileri ile tartışılarak tercih edilip kullanıcılar tarafından 
atanmalıdır.</t>
  </si>
  <si>
    <t>METALCLEAN</t>
  </si>
  <si>
    <t>sodium hydroxide, çözücüler/katkı maddeler</t>
  </si>
  <si>
    <t>Aşındırıcı</t>
  </si>
  <si>
    <t xml:space="preserve">Gözle teması halinde : En az 15 dakika, göz kapaklarının içi de dahil derhal bol suyla 
yıkayınız. Kontakt lens, varsa ve çıkarması kolaysa, çıkarın. Sürekli durulayın. Hemen tıbbi yardım alınız.
Deriyle teması halinde : En az 15 dakika boyunca bol miktarda su ile yıkayınız. Mümkünse 
yumuşak bir sabun kullanınız. Tekrar giymeden önce giysilerinizi yıkayınız. Ayakkabıları tekrar kullanmadan önce iyice temizleyiniz. 
Hemen tıbbi yardım alınız.
Yutulması halinde : Ağzı suyla çalkalayınız. Kusturmayın. Bilinci yerinde olmayan bir 
kişiye asla ağız yoluyla bir şey vermeyiniz. Hemen tıbbi yardım alınız.
Solunması halinde : Açık havaya çıkarınız. Semptomatik tedavi uygulayınız. 
Semptomlar meydana gelirse tıbbi yardım alınız.
</t>
  </si>
  <si>
    <t>Uygun yangın söndürme aracı: Yerel şartlar ve çevre için uygun yangın söndürme yöntemleri 
kullanınız.
Uygun olmayan söndürme aracı: Bilinmiyor.</t>
  </si>
  <si>
    <t xml:space="preserve"> İyi bir havalandırma olduğundan emin olunuz. İnsanları, dökülen 
malzemeden/sızıntıdan gelen dumandan uzak tutunuz. Solunması, yutulması ve deri ve gözlerle temasından kaçınınız. 
Belirli konsantrasyon limitlerinin aşıldığı ortamlarda çalışan isçiler, uygun, onaylanmış maskeler kullanmalıdır. Temizliğin yalnızca 
eğitimli personel tarafından yapıldığından emin olun. 7 ve 8. bölümlerde bulunan korunma önlemlerine başvurunuz.
Toprak, yerüstü veya yeraltı sularıyla temasını önleyiniz.</t>
  </si>
  <si>
    <t>Güvenli elleçleme önerileri : Yutmayınız. Gözle, ciltle veya kıyafetle temas ettirmeyin. Tozunu/dumanını/gazını/sisini/buharını/spreyini solumayın. 
Yalnızca uygun havalandırmayla kullanınız. Kullandıktan sonra 
elleri iyice yıkayınız.
Depolama alanı ve kaplarında aranan nitelikler: Asitlerle beraber saklamayınız. Çocukların erişemeyeceği yerde 
saklayın. Kabı sıkıca kapalı tutun. Uygun etikete sahip kaplarda 
saklayın.
Depolama sıcaklığı : 0 °C -e kadar 25 °C</t>
  </si>
  <si>
    <t xml:space="preserve">Hijyen önlemleri : Endüstriyel hijyen ve güvenlik kurallarına uygun olarak taşıyınız. Tekrar kullanmadan önce kirlenmiş olan giysilerinizi yıkayınız. 
Elleçlemeden sonra yüzünüzü,ellerinizi ve maruz kalan cildi iyice 
yıkayın. Tehlikeli temas ve sıçrama durumunda göz ve derinin 
hızlıca yıkanması için gereken ekipmanları sağlamak
Göz/yüz koruması (EN 166) : Emniyet gözlükleri, Yüz koruyucu (siper)
Ellerin korunması (EN 374) : Tavsiye edilen önleyici cilt koruma kremi
Eldivenler: Nitril kauçuk, bütil kauçuk Dayanıklılık süresi: 1 -4 saat
Deri ve vücudun korunması (EN 14605): Şunları içeren kişisel koruma donanımları: uygun koruma eldivenleri, emniyet gözlükleri ve koruma kıyafetleri
Solunum sisteminin korunması (EN 143, 14387): Solunum riskleri önlenemez veya yeterince prosedürler ile korunaklı olmadığı durumlarda sertifikalı AB gereklilikleri ile uygun olan solunum koruma ekipmanı kullanımını düşünün 
Çevresel maruz kalma kontrolleri
Genel öneri : Depolama kapları yakınında barındırma koşullarına dikkat edin.
</t>
  </si>
  <si>
    <t>Görünüm : katı
Renk : beyaz
Koku : az
pH : 12.7 - 13.0
Parlama noktası : Geçerli değildir.</t>
  </si>
  <si>
    <t>Normal kullanım şartları altında, tehlikeli bir reaksiyon sözkonusu değildir.
Kaçınılması gereken maddeler:
Asitler</t>
  </si>
  <si>
    <t>Ciddi göz hasarına yol açar.
Deride ciddi yanıklara sebep olur.
Sindirim borusunda yanmalara neden olur.
Burun, solunum borusu ve akciğer tahrişlerine neden olabilir.</t>
  </si>
  <si>
    <t>Ürün: Yakma veya imha etme yerine tekrar kazanımı tercih edilir. Tekrar 
kazanım işlemi elverişli değil ise yerel kanunlara uygun olarak 
imha ediniz. Atıkları onaylanmış atık tesislerine atınız.
Kontamine ambalaj : Kullanılmamış ürün olarak imha ediniz. Boş kaplar geri dönüşüm veya bertarafı için onaylı bir atık bertaraf tesisine götürülmelidir. 
Boşalan kapları tekrar kullanmayınız. Bölgesel, eyalet ve federal 
yönetmeliklere uygun olarak bertaraf edin.
Ürün : Seyreltimiş ürün gidere boşaltılabilir</t>
  </si>
  <si>
    <t>WİSAS OTOKLAV CONTA SPREYİ</t>
  </si>
  <si>
    <t>Kayganlaştırır, Antistatik etkisi yapar, su ve nemden korur.</t>
  </si>
  <si>
    <t>Metal Koruyucular</t>
  </si>
  <si>
    <t>Yutulması halinde sağlığa zararlıdır. Göz ile temasından sakınınız. Başka bir ürün ile karıştırmayınız.</t>
  </si>
  <si>
    <t>GÖZLER: Hemen bol su ile yıkayınız.Göz kapaklarınız açık olarak en az 15 dakika yıkamaya devam ediniz. Steril bir gazlı bez ile bandaj yapınız.Tahriş etkisi devam ederse doktora başvurunuz.
CİLT: Sıcak su ve sabun ile birlikte deri ile temas eden yerleri yıkayınız.
SOLUNUM: Temiz havaya çıkınız. Gerekiyorsa doktora başvurnuz.
YUTMA: Ağzınızı bol su ile yıkayınız. Hemen bol miktarda su içiniz. Hastaya alkollü içecek süt ve yiyecek hiç bir şey vermeyiniz. Derhal bir doktora başvurunuz.</t>
  </si>
  <si>
    <t>Her türlü yangın söndürme maddesi ile uyumludur.
Herhangi bir özel tedbire gerek yoktur.</t>
  </si>
  <si>
    <t>KİŞİSEL ÖNLEMLER: Uygun havalandırma sağlayınız.
ÇEVRESEL ÖNLEMLER: Ürünün yere dökülmesi veya sızması durumunda yayıldığı bölgeye etrafa sıçratmakdan sakınarak bol su ile yıkayınız. Çok miktarda ürünü Kanalizasyon sitemine dökmeyiniz. gerekli durumlarda, bu tür atıklar ile ilgili gerekli birime başvurunuz. Kirlenmeden etkilenmeye izin vermeyiniz.
TEMİZLEME YÖNTEMLERİ: Küçük miktardaki saçılmalar su ile yıkanır ve atık su kurallarına uygun olarak bertaraf edilir. Büyük 
miktardaki saçılmaların etrafı çevrilir ve bir pompa yardımı ile kaplara alınır.
EK BİLGİ: Temizlendikten sonra kalan artıkları bol su ile yıkıyarak uzaklaştırınız.</t>
  </si>
  <si>
    <t>KULLANMA:
Depo ve çalışma alanının iyi havalandırılmış olmasına dikkat ediniz. Parlama ve patlamadan korunmayı gerektiren özel bir önlem alınması gerekmez. Kullanım sırasında herhangi bir şey yiyip içmeyiniz. 
C H M MEDİKAL temsilcilerin tavsiyeleri dışında herhangi bir kimyasal ile karıştırmayınız.
DEPOLAMA
Serin ve kuru bir yerde depolayınız.(-10 C ; +30 C ) Direk olarak güneş ışınlarınızn temasından sakınınız. Orjinal ambalajında dik olarak depolayınız. Son kullanma tarihini geçirmeyiniz. Boşalan ürün ambalajlarını güvenli bir atık bölgesine veya tekrar işlenebileceği yere gönderiniz. Depo bölümünde yemek yemek, sigara içmek gibi faliyetlerde bulunmayınız.</t>
  </si>
  <si>
    <t>SİSTEM TASARIMI HAKKINDA BİLGİLER: Yeterli havalandırma sağlanmalıdır
KİŞİSEL KORUMA:
ELLER:Uygun koruyucu eldiven kullanınız. (PVC veya diğer plastik malzemelerden imal edilmiş)
GÖZLER:Koruyucu Gözlükler
CİLT:Maruz kalma ihtimaline göre koruyucu elbise kullanınız. (Hafif ağırlıkda kauçuk, lastik veya plastikten yapılmış koruyucu önlükler)
SOLUNUM:Havalandırmanın yetersiz olduğu durumlarda filtreli maske kullanılmalıdır</t>
  </si>
  <si>
    <t>FİZİKSEL HAL: Stabil Berrak sıvı
RENK: Şeffaf
KOKU: kendine özgü
YOĞUNLUK: 0,802 Gr/Ml
SUDA ÇÖZÜNÜRLÜĞÜ: Suda tamamen çözünür
SICAKLIK STABİLİTESİ: -10 C +30 C
TUTUŞMA NOKTASI 370 C</t>
  </si>
  <si>
    <t>Tavsiye edildiği şekilde kullanıldığı ve depolandığı takdirde kimyasal olarak stabildir.
Tavsiye edildiği şekilde kullanıldığı ve depolandığı takdirde herhangi bir önlem gerekmemektedir.
Tavsiye edildiği şekilde kullanıldığı ve depolandığı takdirde tehlike mevcut değildir.</t>
  </si>
  <si>
    <t xml:space="preserve">VUCUDA GİRİŞ YOLLARI
Cilt iletemas,Göz ile temas,Teneffüs etme,yutma
L 50 oral Farelerde 2100 mg/kg
</t>
  </si>
  <si>
    <t>Bu ürün içerdiği maddelerden dolayı Avrupa birliğinin tehlikeli maddeler yasasının 88/379/EWG
paragrafında belirtildiği gibi tehlikeli maddeler sınıfına ggirmez.En az 25 g/L oranında su ile 
seyreltildikten sonra kanalizasyon sistemine dökebilrsiniz.Gerekli durumlarda deterjan atıkları ile ilgili 
yetkili birime başvurunuz.</t>
  </si>
  <si>
    <t>SUMA EASYFOAM</t>
  </si>
  <si>
    <t>Yüzey Temizlayici</t>
  </si>
  <si>
    <t xml:space="preserve">Sodyum hidroksit sodyum hipoklorit </t>
  </si>
  <si>
    <t>Solunum: Maruz kalan kişiyi temiz havaya çıkarın. 
Cilt teması: Cildi en az 30 dakika su ile temizleyin. Giysilerinizi hemen kaldırı veya çıkarın.
Göz teması: Gözlerinizi hemen 15 dakika boyunca yıkayın.
Yutma: Ağzınızı çalkalayın. Hemen 1 bardak su için. Bilinci yerinde olmayan bir kişiye asla ağızdan br şey vermeyin.</t>
  </si>
  <si>
    <t>Karbon dioksit, kuru kimyevi toz, su spreyi jeti. Daha büyük yangınları su spreyi jeti veya alkole dayanıklı köpük ile söndürün.</t>
  </si>
  <si>
    <t>Yeterli havalandırmayı sağlayın. Toz ve buharı solumayın. Uygun koruyucu giysi giyin. Uygun eldiven kullanın.</t>
  </si>
  <si>
    <t xml:space="preserve">Özel önlemlere gerek yoktur. </t>
  </si>
  <si>
    <t xml:space="preserve">Doğrudan temas ve/veya sıçrama ihtimali olan durumlardan kaçının. </t>
  </si>
  <si>
    <t>Fiziksel hali: Sıvı
Renk: Berrak, Soluk, Sarı
Koku: Klor</t>
  </si>
  <si>
    <t>Normal depolama ve kullanım koşulları altında bilinen zararlı reaksiyonu yoktur.</t>
  </si>
  <si>
    <t>Veri bulunmamaktadır.</t>
  </si>
  <si>
    <t xml:space="preserve">Atıkların kanalizasyona salınımı önerilmez. Temizlenmiş ambalaj malzemesi yerel mevuzate uyumlu olarak enerji geri dönüşümü veya geri kazanım için uygundur. </t>
  </si>
  <si>
    <t>SUMA CYSTAL</t>
  </si>
  <si>
    <t>Parlatıcı</t>
  </si>
  <si>
    <t>alkil alkol alkolsilat sodyum kümen sülfonat alcohols, C13-15-branched and linear, ethoxylated propoxylated 5-kloro-2-metil-4-izotiazolin-3-on ve 2-metil-2H-izotiazaol-3-on</t>
  </si>
  <si>
    <t>Sucul Kronik, Alerjik</t>
  </si>
  <si>
    <t>Fiziksel hali: Sıvı
Renk:Mavi
Koku: Ürünü Özel</t>
  </si>
  <si>
    <t>İNCİDİN PRO</t>
  </si>
  <si>
    <t>3-4 Adet /Max. 5 adet</t>
  </si>
  <si>
    <t>3-4 Adet</t>
  </si>
  <si>
    <t>1-2 Adet</t>
  </si>
  <si>
    <t>1-5 Adet</t>
  </si>
  <si>
    <t>9 - 11 Adet</t>
  </si>
  <si>
    <t>7-8 Adet</t>
  </si>
  <si>
    <t>Asetik Asit</t>
  </si>
  <si>
    <t>Alevlenir sıvı ve buhar.
Ciddi cilt yanıklarına ve göz hasarına yol açar.</t>
  </si>
  <si>
    <t xml:space="preserve">Solunum:Kendinizi korurken, yaralıyı tehlikeli alandan uzaklaştırın ve temiz hava almasını
sağlayınız. Hastayı sakin bir yerde yatırın ve hipotermiye karşı koruyunuz.
Solunum güçlüğü durumunda hastaya oksijen veriniz.Nefes darlığı halinde hastayı yarı oturur pozisyonda yerleştiriniz.Hastaya mümkün olduğunca art arda derinden glukokortikoid inhalasyon spreyi veriniz.
Deri İle Temas:
Kendinizi koruyarak, kirlenen giysileri çıkarınız.
Cildin etkilenen bölgelerini akan suyun altında 10 dakika yıkayınız.Tıbbi tedavi alınız.Eğer mükünse acil duş alınız.Hastayı sakin bir yerde yatırın ve hipotermiye karşı koruyunuz.Acilen doktor çağırınız.
Göz İle Temas:Konsantre buhar, aerosol veya asit ile temas halinde;Etkilenen gözü, çevresini ve göz kapaklarını akan suyun altında 10 dakika yıkayın,
hasar görmeyen gözü koruyunuz.Derhal gözdeki asit artıklarını tamamen çıkarmak için göze doğrudan su jeti ile müdahale ediniz.
Daha sonra, bir göz doktoruna mümkün olan en hızlı ulaşımı sağlayınız.
Yutma:
%10’dan büyük konsantrasyonlarda asit yutulduysa;Hastanın bilinci yerinde ise bol miktarda içecek (su) veriniz.
Hastayı sakin bir yerde yatırın ve hipotermiye karşı koruyunuz.Hastayı kusturmayınız.
Acil doktor çağırınız.Ani kusma durumunda, kusmuğun soluk borusuna kaçmasını önlemek amacıyla hastayı,ayakları başından yukarıda olacak şekilde yüzükoyun yatırınız.
</t>
  </si>
  <si>
    <t xml:space="preserve">Su (sprey - sıçrama değil), kuru kimyasal toz, alkole dayanıklı
köpük, karbon dioksit (CO2) kullanınız.
Gereğinden fazla yangın söndürücü kullanarak çevreyi kirletmekten kaçınınız.
Yangınla mücadele artıklarının kanalizasyona ve yer altı sularına ulaşmasına izin
verilmemelidir.
</t>
  </si>
  <si>
    <t>Acil durum prosedürleri için uzmana danışınız.
Buhar, sis veya gazları solumaktan kaçınınız.
Tüm güvenlik önlemleri iyice okunup anlaşılana kadar ürünle temas
etmeyiniz, dokunmayınız.</t>
  </si>
  <si>
    <t>Hava koşullarını, ortam sıcaklık ve basıncını ürün depolama
standartlarına uygun hale getirerek kontrol altına alın.
Sadece iyi havalandırılmış ortamlarda kullanın.Serin bir yerde muhafaza ediniz. Kapları kuru tutunuz.
İyi havalandırılan bir yerde muhafaza ediniz.
Orijinal kaplarında saklayınız.
Tüm kapların açıkça etiketlenmiş ve sızıntıdan arınmış olduğunu
kontrol ediniz.
Kapları kullanılmadığı zaman sıkıca kapalı tutunuz.
Uyumsuz malzemeler ile temas ettirmeyiniz.
Kaplara fiziksel hasardan kaçınınız.
Özel depolama önlemleri:
Depolama sınıfı 3 (Yanıcı sıvı maddeler)
Sadece aynı depolama sınıfındaki maddelerle bir arada
saklanmalıdır.
Aşağıdaki maddeler ile birlikte depolama yasaktır:
- İlaç, gıda ve hayvan besini içeren katkılar
- Bulaşıcı, radyoaktif ve patlayıcı maddeler
- Gazlar
- Depolama sınıfı 4.1A olan diğer patlayıcı maddeler
- Yanıcı katı maddeler veya duyarlılığı azaltılmış depolama sınıfı
4.1B sınıfı maddeler
- Kendiliğinden yanıcı maddeler
- Su ile temas ettiğinde yanıcı gazlar çıkaran maddeler
- Depolama sınıfı 5.1A olan kuvvetli oksitleyici maddeler
- Amonyum nitrat ve amonyum nitrat içeren karışımlar
- Organik peroksitler ve kendiliğinden reaktif maddeler
- Depolama sınıfı 6.1B olan yanıcı olmayan akut toksik maddeler</t>
  </si>
  <si>
    <t xml:space="preserve">Kullanılan bölgede yeterli havalandırma sağlanması ve havadaki konsantrasyonun
mesleki maruz kalma limitlerinin altında olması sağlanmalıdır.
Göz duşu ve emniyet duşlarının çalışılan yerde olması ilk yardım açısından
gerekmektedir.
Kişisel korunmanın gerekli olduğu yerlerde kullanılacak donanım ve uygun koruma yöntemleri
9.2.2004 tarihli ve 25368 sayılı “Kişisel Koruyucu Donanım Yönetmeliği” ne uygun olarak
tanımlanmıştır. İlgili yönetmeliğe uygun kişisel koruyucu donanım kullanıldığından emin
olunuz.
</t>
  </si>
  <si>
    <t>Görünüm (Atmosfer Sıcaklığı): Sıvı
Renk: Renksiz
Koku: Keskin</t>
  </si>
  <si>
    <t xml:space="preserve">Madde aşağıdakilerle tehlikeli reaksiyona girebilir:
· Alkol, kuvvetli oksitleyici ajanlar, kuvvetli bazlar, alkali hidroksit, kuvvetli asitler,
nitrik asit
· 2-aminoetanol, amonyum nitrat (ısı), brom pentaflorid, klor sülfürik asit; dikromatsülfürik asit, diamınoetan, buzlu asetik asit, asetik anhidrit, etilen glikol, potasyumtert.bütoksit, oleum
</t>
  </si>
  <si>
    <t xml:space="preserve">Gözle Temasında Göz yanmasına sebep olur.
Ciltle Temasında Deri yoluyla emildiğinde zararlıdır. Cilt yanıklarına sebep olur.
Solunması Halinde Solunduğunda zehirlidir. Ürün mukoza zarının ve üst solunum
yollarının dokusuna son derece tahrip edicidir.
(Sindirimi) Yutulması Halinde Yutulduğunda zararlı olabilir. Yanıklara neden olur.
Hedef Organlar Solunum sistemi, Göz, Cilt
Tıbbi Semptomlar Bilgi yok
Tıbbi Uyarılar Hassasiyete bağlı olarak alerjik reaksiyonlara neden olabilir.
</t>
  </si>
  <si>
    <t xml:space="preserve">Madde kullanılmamışsa veya kullanımına engel olacak şekilde kontamine olmamışsa
geri dönüştürülebilir.
· Kirlenmiş olması durumunda süzme, damıtma ya da başka araçlar ile ürünü geri
kazanmak mümkün olabilir.
· Bu ürünün bertarafı hakkında karar verirken raf ömrü göz önünde bulundurulmalıdır.
· Bir malzemenin özellikleri kullanıma bağlı olarak değişebilir ve geri dönüşüm veya
yeniden kullanımı her zaman uygun olmayabilir.Atıklar ve kullanılmış ambalajlar ilgili yönetmeliklere uygun olarak tasfiye edilmelidir.
· Yer üstü ve yer altı sularına, içme suyu kaynaklarına, durgun ve akan sulara,
kanalizasyona karışmasını engelleyiniz.
Bu yanıcı madde lisanslı bir atık bertaraf tesisinde geri dönüşümsüz
çözeltilerle donatılmış yakma fırınında yakılabilir.
· Ürün ilgili yönetmeliklere uygun olarak bertaraf edilmelidir.
· Ürünün evsel atıklar ile birlikte atılmasına izin vermeyiniz.
· Ürünün kanalizasyona ve yer altı sularına karıştırılması kesinlikle yasaktır.
· Bu gibi durumlarda resmi makamlara haber veriniz.
</t>
  </si>
  <si>
    <t>METAL CLEAN</t>
  </si>
  <si>
    <t>alkol swap</t>
  </si>
  <si>
    <t>Enjeksiyon öncesi cilt temizliği
Ofis ekipmanları temizliği
Kişisel ve evsel kullanım için dezenfektan</t>
  </si>
  <si>
    <t>Su (CAS 7732-18-5): %25–35
Etil Alkol (CAS 64-17-5): %65–75</t>
  </si>
  <si>
    <t>H225: Kolay alevlenir sıvı ve buhar
H319: Göz tahrişi yapar
H336: Baş dönmesi veya uyku hali yapabilir
Ek bilgi: Uzun süreli cilt teması dermatite yol açabilir</t>
  </si>
  <si>
    <t>Soluma: Temiz havaya çıkar, sıcak tut, dinlendir
Cilt: Sabun ve bol su ile yıka, gerekirse doktora başvur
Göz: Bol su ile yıka, lens varsa çıkar, göz hekimine başvur
Yutma: Ağız çalkala (bilinç varsa), acil tıbbi yardım al</t>
  </si>
  <si>
    <t>Yanıcıdır
Söndürücüler: CO₂, toz, köpük, su spreyi
Özel tehlike: Buhar havadan ağırdır, zeminde yoğunlaşabilir, patlayıcı karışım oluşturabilir
Yanma ürünleri: Karbon monoksit, karbon dioksit, toksik gazlar</t>
  </si>
  <si>
    <t>Alanı havalandır
Koruyucu gözlük ve nitril eldiven kullan
Küçük döküntü: Su ile temizle
Büyük döküntü: Emici malzeme ile topla, uygun bertaraf tesisine gönder
Kanalizasyona doğrudan boşaltma yasak</t>
  </si>
  <si>
    <t>Kullanım: Buharını soluma, cilt ve göz temasından kaçın
Depolama:
Orijinal ambalajında, kapalı, serin ve havalandırılmış ortamda sakla
Isı, kıvılcım ve açık alevden uzak tut
Donmamasına dikkat et</t>
  </si>
  <si>
    <t>Maruz kalma yolları: Göz, cilt, soluma, yutma
KKD:
Gözlük (EN 166 uyumlu)
Nitril eldiven (≥0.11 mm, ≥480 dk dayanım)
Koruyucu giysi
Havalandırma yetersizse solunum cihazı</t>
  </si>
  <si>
    <t>Görünüm: Berrak sıvı
Renk: Renksiz
Koku: Alkol
Yoğunluk: 0.3–0.95 g/ml
pH: 5.0–8.0
Kaynama noktası: ~30.5–83.5 °C
Parlama noktası: 12 °C
Çözünürlük: Suda çözünür
Yanıcılık: Kolay alevlenir</t>
  </si>
  <si>
    <t>Normal koşullarda stabil
Kaçınılması gereken durumlar: Isı, kıvılcım, açık alev
Uyumsuz maddeler: Güçlü oksitleyiciler
Yanma ürünleri: CO, CO₂, toksik gazlar</t>
  </si>
  <si>
    <t>LD50 oral (fare): 3450 mg/kg (etanol)
Cilt: Tahriş edici olabilir
Göz: Ciddi tahriş yapar
Solunum: Baş dönmesi, uyku hali yapabilir
Kanserojen değil</t>
  </si>
  <si>
    <t>Küçük miktarlar evsel atıklarla bertaraf edilebilir
Büyük miktarlar lisanslı bertaraf tesisine gönderilmeli
Ambalaj boşaltıldıktan sonra temizlenip tekrar kullanılabilir</t>
  </si>
  <si>
    <t>ANTISEPTIK MSDS_TR-2</t>
  </si>
  <si>
    <t>Antiseptik / Antimikrobiyal amaçlı kullanım
Tavsiye edilmeyen özel kullanım belirtilmemiş</t>
  </si>
  <si>
    <t>Povidon-iyot (CAS 25655-41-8): %5–15
Sınıflandırma: Göz Tah. 2 – H319</t>
  </si>
  <si>
    <t>Fiziksel/kimyasal zararlar: Zararlı olarak sınıflandırılmamış
Sağlık zararları:
H319: Ciddi göz tahrişine yol açar
Çevresel zararlar: Zararlı olarak sınıflandırılmamış
Ek bilgi: PBT/vPvB içermez</t>
  </si>
  <si>
    <t>Soluma: Temiz havaya çıkar, rahatsızlık sürerse doktora başvur
Yutma: Ağzı çalkala, bilinçsiz kişiye sıvı verme/kusturma, doktora başvur
Cilt: Kirli giysileri çıkar, sabun ve suyla yıka
Göz: Lens varsa çıkar, bol suyla en az 15 dk yıka</t>
  </si>
  <si>
    <t>Ürün alevlenmez
Çevredeki maddelere uygun söndürücü kullan
Yangın buharlarını solumaktan kaçın
Koruyucu solunum cihazı ve giysi kullan</t>
  </si>
  <si>
    <t>Koruyucu giysi giy, buhar soluma ve göz/cilt temasından kaçın
Kanalizasyona, toprağa veya suya dökme
Döküntüyü emici madde ile topla, kapalı kapta bertaraf et
Alanı bol suyla temizle</t>
  </si>
  <si>
    <t>Kullanım: Göz temasından kaçın, üretici talimatlarını uygula
Depolama:
Orijinal ambalajında, sıkıca kapalı
Serin, kuru, 25 °C altında
Işıktan koru, yiyecek ve içeceklerden uzak tut
Çocukların erişemeyeceği yerde sakla</t>
  </si>
  <si>
    <t>Mesleki limit değer yok
KKD:
Solunum: Havalandırma yetersizse solunum koruyucu
Eller: EN374 uyumlu eldiven
Göz: EN166 uyumlu gözlük veya yüz siperi
Hijyen: İş sırasında yemek, içmek, sigara yasak; kirli giysileri çıkar</t>
  </si>
  <si>
    <t>Görünüm: Sıvı
Renk: Kırmızı-kahverengi
Koku: Karakteristik
Kaynama noktası: ~92 °C
pH: 3.0–5.5
Çözünürlük: Uygun bilgi yok</t>
  </si>
  <si>
    <t>Normal koşullarda stabil
Kaçınılması gereken: Uzun süre aşırı ısı
Uyumsuz maddeler: Diğer antiseptikler, nişasta, sodyum tiyosülfat (iyot inaktive olur)
Yanma ürünleri: CO, CO₂</t>
  </si>
  <si>
    <t>LD50 oral (sıçan): ≥8000 mg/kg
Göz: Ciddi tahriş yapar
Cilt: Hafif tahriş yapabilir
Soluma: Normal kullanımda olumsuz etki yok
Yutma: Bulantı, kusma yapabilir
Kanserojen değil</t>
  </si>
  <si>
    <t>Atıkları usulüne uygun bertaraf et
Boş ambalajlar geri dönüşüme verilebilir
Kirlenmiş ambalajları tekrar kullanma</t>
  </si>
  <si>
    <t>Detro Hexidin Plus_SDS_TR</t>
  </si>
  <si>
    <t>Hijyenik ve cerrahi el dezenfeksiyonu
El bölgesinin temizliği ve hijyen sağlamak için kullanılır</t>
  </si>
  <si>
    <t>Etanol (CAS 64-17-5): %5–15 → H225 (Kolay alevlenir), H319 (Göz tahrişi)
Chlorhexidine digluconate (CAS 18472-51-0): %1–5 → H318 (Ciddi göz hasarı), H400 (Sucul akut toksik), H410 (Sucul kronik toksik)
Parfüm: %0.1–1 → H315 (Cilt tahrişi), H319 (Göz tahrişi), H317 (Cilt hassasiyeti), H411 (Sucul kronik toksik)</t>
  </si>
  <si>
    <t>H318: Ciddi göz hasarına yol açar
H400: Sucul ortamda çok toksik
H411: Sucul ortamda uzun süre kalıcı toksik etki
Ek bilgi: Etanol nedeniyle yanıcı özellik taşır</t>
  </si>
  <si>
    <t>Soluma: Temiz havaya çıkar
Cilt: Bol su ile yıka
Göz: Bol su ile yıka, lens varsa çıkar, doktora başvur
Yutma: Rahatsızlık halinde zehir danışma merkezi veya doktora başvur</t>
  </si>
  <si>
    <t>Söndürücüler: Su spreyi, kuru toz, köpük, CO₂
Tazyikli su kullanma
Yangın sırasında solunum koruması ve tam koruyucu kıyafet gerekli</t>
  </si>
  <si>
    <t>Alanı havalandır, cilt ve göz temasından kaçın
Döküntüyü absorban malzeme ile topla
Kanalizasyona ve akarsulara karışmasını engelle
Atıkları yetkili tesislerde bertaraf et</t>
  </si>
  <si>
    <t>Kullanım: İyi havalandırma sağla, cilt ve göz temasından kaçın
Depolama:
Serin, havalandırılmış ortamda
Güneş ışığından uzak tut
Orijinal ambalajında sakla</t>
  </si>
  <si>
    <t>KKD:
Eldiven
Emniyet gözlüğü
Koruyucu kıyafet
Yetersiz havalandırmada solunum koruması
Çevreye verilmesinden kaçınılmalı</t>
  </si>
  <si>
    <t>Görünüm: Açık pembe sıvı
Koku: Karakteristik
pH: 5–7
Yoğunluk: 0.96–1.04 g/cm³</t>
  </si>
  <si>
    <t>Normal koşullarda stabil
Tehlikeli reaksiyon yok
Zararlı bozunma ürünleri beklenmez</t>
  </si>
  <si>
    <t>Akut toksisite: sınıflandırılmamış
Göz: Ciddi hasar yapar
Cilt/solunum: sınıflandırılmamış
Kanserojen değil</t>
  </si>
  <si>
    <t>Lisanslı bertaraf tesislerinde imha edilmeli
Boş kaplar tekrar kullanılmamalı</t>
  </si>
  <si>
    <t>Detro San HP Spray_SDS_TR</t>
  </si>
  <si>
    <t>Dezenfektan olarak kullanılır
Tavsiye edilmeyen özel kullanım belirtilmemiş</t>
  </si>
  <si>
    <t>Hidrojen peroksit (CAS 7722-84-1): %0.1–1
H271 (Güçlü oksitleyici, yangın/patlama riski)
H332 (Solunması halinde zararlı)
H302 (Yutulması halinde zararlı)
H314 (Ciddi cilt yanıkları ve göz hasarı)
Salisilik asit (CAS 69-72-7): %0.1–1
H361d (Doğmamış çocukta hasara yol açma şüphesi)
H302 (Yutulması halinde zararlı)
H318 (Ciddi göz hasarı)</t>
  </si>
  <si>
    <t>EUH210: Talep halinde güvenlik bilgi formu sağlanabilir
İçerikte düşük konsantrasyonlarda hidrojen peroksit ve salisilik asit bulunduğundan, yüksek konsantrasyonlarda ciddi riskler taşıyabilir</t>
  </si>
  <si>
    <t>Soluma: Temiz havaya çıkar
Cilt: Bol su ile yıka
Göz: Su ile dikkatlice durula
Yutma: Rahatsızlık halinde zehir danışma merkezi veya doktora başvur
İlkyardımcı: Uygun kişisel koruyucu ekipman kullanmalı</t>
  </si>
  <si>
    <t>Söndürücüler: Su spreyi, kuru toz, köpük, CO₂
Tazyikli su kullanma
Yangın halinde zehirli dumanlar açığa çıkabilir
Solunum koruması ve tam koruyucu kıyafet gerekli</t>
  </si>
  <si>
    <t>Alanı havalandır, döküntüyü absorban malzeme ile topla
Kanalizasyona ve akarsulara karışmasını engelle
Atıkları yetkili tesislerde bertaraf et</t>
  </si>
  <si>
    <t>Kullanım: İyi havalandırma sağla, kişisel koruyucu ekipman kullan
Depolama:
Serin, havalandırılmış ortamda
Güneş ışığından uzak tut
Orijinal ambalajında sakla</t>
  </si>
  <si>
    <t>Görünüm: Şeffaf sıvı
Renk: Renksiz
Koku: Karakteristik
pH: 1–3 (asidik)
Yoğunluk: 0.98–1.05 g/cm³</t>
  </si>
  <si>
    <t>Hidrojen peroksit LD50 oral (sıçan): 693–1270 mg/kg
Göz: Ciddi hasar riski (yüksek konsantrasyonda)
Cilt: Tahriş edici olabilir
Solunum: Zararlı olabilir
Salisilik asit: Üreme toksisitesi şüphesi</t>
  </si>
  <si>
    <t>Detro San HP Wipes_SDS_TR</t>
  </si>
  <si>
    <t>Tıbbi cihazlar için temizlik ve dezenfeksiyon mendilleri
Tavsiye edilmeyen özel kullanım belirtilmemiş</t>
  </si>
  <si>
    <t>Söndürücüler: Su spreyi, kuru toz, köpük
Tazyikli su kullanma
Yangın halinde zehirli dumanlar açığa çıkabilir
Solunum koruması ve tam koruyucu kıyafet gerekli</t>
  </si>
  <si>
    <t>Alanı havalandır, döküntüyü mekanik olarak topla
Kanalizasyona ve akarsulara karışmasını engelle
Atıkları yetkili tesislerde bertaraf et</t>
  </si>
  <si>
    <t>KKD:
Eldiven
Emniyet gözlükleri
Koruyucu kıyafet
Yetersiz havalandırmada solunum koruması
Çevreye verilmesinden kaçınılmalı</t>
  </si>
  <si>
    <t>Görünüm: Solüsyon emdirilmiş mendil
Renk: Beyaz
Koku: Karakteristik
pH: 1–3 (asidik)
Yoğunluk: 0.98–1.05 g/cm³
Alevlenmez</t>
  </si>
  <si>
    <t>KİMPA HİBİTANOL-MSDS</t>
  </si>
  <si>
    <t>Medikal alanlarda antiseptik olarak kullanılır
Etkili olduğu mikroorganizmalar: E.coli, S.aureus, E.hirae, P.aeruginosa, C.albicans, Poliovirus, Adenovirus, Norovirus, Vaccinia virüs
Kullanım: Eller ve ön kol suyla yıkanır, ardından 2 mL ürün ile ovulur, 1 dk temas sonrası durulanır</t>
  </si>
  <si>
    <t>Su (CAS 7732-18-5): %75.785
Etanol (CAS 64-17-5): %8 → H225 (Kolay alevlenir)
Lauril glukozit (CAS 110615-47-9): %6.25 → H315 (Cilt tahrişi), H318 (Ciddi göz hasarı)
Lauramin oksit (CAS 1643-20-5): %5 → H302, H315, H318, H400, H411
Klorheksidin Glukonat (CAS 18472-51-0): %4 → H318, H400, H410
Gliserin (CAS 56-81-5): %0.75
Selüloz (CAS 9004-62-0): %0.1625
Trisodyum boya bileşiği: %0.0025</t>
  </si>
  <si>
    <t>H226: Alevlenir sıvı ve buhar
H318: Ciddi göz hasarı
H400: Sucul ortamda çok toksik
H411: Sucul ortamda uzun süre kalıcı toksik etki</t>
  </si>
  <si>
    <t>Soluma: Belirgin etki yok, rahatsızlık halinde doktora başvur
Yutma: Bulantı, kusma olabilir; bilinçsiz kişiye sıvı verilmez
Cilt: Tahriş beklenmez, sabun ve suyla yıka
Göz: Bol suyla yıka, lens varsa çıkar, doktora başvur</t>
  </si>
  <si>
    <t>Söndürücüler: Alkole dayanıklı köpük, CO₂, kuru kimyasal, kum
Su kullanma
Ürün alevlenir, buhar/hava karışımı patlayıcı olabilir
Yangında toksik gazlar (CO, CO₂) oluşur</t>
  </si>
  <si>
    <t>Koruyucu giysi giy, ateş kaynaklarından uzak tut
Toprağa veya suya dökülmesini engelle
Küçük döküntü: emici madde ile topla
Büyük döküntü: kum/toprak ile absorbe et, bol suyla temizle</t>
  </si>
  <si>
    <t>Kullanım: Kapalı tut, güneş ışığından koru, kullanım sırasında sigara içme/yeme/içme yasak
Depolama:
Orijinal ambalajında, 25 °C altında
Kıvılcım ve ateşten uzak
Çocukların erişemeyeceği yerde</t>
  </si>
  <si>
    <t>Etanol limitleri: TWA 1000 ppm (1920 mg/m³)
KKD:
Eldiven (EN374 uyumlu)
Koruyucu gözlük (EN166 uyumlu)
Solunum koruması (yetersiz havalandırmada)
Koruyucu giysi
Çevreye kontrolsüz bırakma yasak</t>
  </si>
  <si>
    <t>Görünüm: Pembe sıvı
Koku: Lavanta
Kaynama noktası: ~88 °C
Parlama noktası: 65 °C
pH: 5.0–7.0
Yoğunluk: ~1.00 g/ml</t>
  </si>
  <si>
    <t>Normal koşullarda stabil
Yüksek ısı ve güneş ışığından kaçın
Sabun ve diğer antiseptiklerle karıştırma
Yanma ürünleri: CO, CO₂</t>
  </si>
  <si>
    <t>ATE oral: &gt;2000 mg/kg
Klorheksidin Glukonat LD50 oral (sıçan): 2270 mg/kg
Dermal LD50 (tavşan): &gt;5000 mg/kg
Cilt: Tahriş edici değil
Göz: Ciddi hasar yapar
Solunum: Normal kullanımda olumsuz etki yok
Kanserojen değil</t>
  </si>
  <si>
    <t>Atıkları usulüne uygun bertaraf et
Boş ambalajlar tekrar kullanılmamalı, yakma tesisinde imha edilebilir</t>
  </si>
  <si>
    <t>schutz yara kapatıcı</t>
  </si>
  <si>
    <t>Temiz, kuru cerrahi yaralarda kullanılır
Tavsiye edilmeyen kullanım: 18 aydan küçük çocuklarda ve açık yaralarda kullanılmaz</t>
  </si>
  <si>
    <t>Etil asetat (CAS 141-78-6): %10–20 → H225 (Kolay alevlenir), H319 (Göz tahrişi), H336 (Baş dönmesi, rehavet)
Polimer karışımı: %10–50 → Sınıflandırılmamamış
İzopropil alkol (CAS 67-63-0): %5–30 → H225, H319, H336
Karbondioksit (CAS 124-38-9): %3–5 → H280 (Basınçlı gaz, ısıtıldığında patlayabilir)</t>
  </si>
  <si>
    <t>H225: Kolay alevlenir sıvı ve buhar
H280: Basınçlı gaz içerir; ısıtıldığında patlayabilir
H319: Ciddi göz tahrişi yapar
H336: Baş dönmesi veya rehavet yapabilir</t>
  </si>
  <si>
    <t>Soluma: Temiz havaya çıkar, gerekirse oksijen ver, doktora başvur
Cilt: Donma riski olabilir; sabun ve bol suyla yıka, tahriş varsa tıbbi yardım al
Göz: Bol suyla yıka, lens varsa çıkar, tahriş sürerse doktora başvur
Yutma: Normal kullanımda maruz kalma yolu değildir</t>
  </si>
  <si>
    <t>Söndürücüler: Köpük, kuru kimyasal, CO₂, su sisi
Uygun olmayan: Su jeti
Yangında toksik gazlar (CO, CO₂, NOx) açığa çıkabilir
Solunum cihazı ve tam koruyucu giysi gerekli</t>
  </si>
  <si>
    <t>İyi havalandırma sağla, ateş kaynaklarını uzaklaştır
Absorban malzeme (kum, vermikülit) ile topla
Kanalizasyona ve suya karışmasını engelle
Atıkları yetkili tesislerde bertaraf et</t>
  </si>
  <si>
    <t>Kullanım: Soluma, yutma, cilt ve göz temasından kaçın; sigara içme/yeme/içme yasak
Depolama:
İyi havalandırılmış, serin ve kuru ortamda
Orijinal ambalajında, dik konumda
Güneş ışığından ve uyumsuz maddelerden uzak tut</t>
  </si>
  <si>
    <t>Karbondioksit limitleri: TWA 5000 ppm (9000 mg/m³)
KKD:
Gözlük veya yüz maskesi (EN166)
Eldiven (butil kauçuk veya PVA, EN374 uyumlu)
Kimyasal tulum (EN14605)
Solunum cihazı (P2 filtre, EN143)
Çevreye kontrolsüz bırakma yasak</t>
  </si>
  <si>
    <t>Görünüm: Aerosol
Renk: Renksiz sıvı ve buhar
Koku: Bilgi yok
pH: Bilgi yok
Çözünürlük: Suda çözünmez
Patlayıcı özellik: Yok
Oksitleyici özellik: Yok</t>
  </si>
  <si>
    <t>Normal koşullarda stabil
Kaçınılması gereken: Isı, alev, sıcak yüzeyler
Uyumsuz maddeler: Alkali metaller, toz metaller
Yanma ürünleri: CO, CO₂, Nox</t>
  </si>
  <si>
    <t>Etil asetat LD50 oral (sıçan): 5620 mg/kg
İzopropil alkol LD50 oral (sıçan): 5840 mg/kg
Göz: Tahriş edici
Cilt: Donma riski, tahriş edici olabilir
Solunum: Baş dönmesi, bilinç kaybı riski
Kanserojen değil</t>
  </si>
  <si>
    <t>Atıklar Atık Yönetimi Yönetmeliği’ne göre bertaraf edilmeli
Ambalajlar tehlikeli atık olarak işlem görmeli
Kanalizasyona ve suya karışması engellenmeli</t>
  </si>
  <si>
    <t>SKINMAN SOFT PROTECT - MSDS</t>
  </si>
  <si>
    <t>Belirlenmiş kullanım: El dezenfektanı / cilt dezenfektanı
Kullanım kısıtlaması: Sanayi ve profesyonel kullanım için</t>
  </si>
  <si>
    <t>Ethanol (CAS 64-17-5): %50–100 → H225 (Kolay alevlenir)
Myristyl Alcohol (CAS 112-72-1): %1–2.5 → H413 (Sucul ortamda uzun süre zararlı), H319 (Göz tahrişi)
Butanone (CAS 78-93-3): %0.5–1 → H225 (Kolay alevlenir), H319 (Göz tahrişi), H336 (Baş dönmesi, rehavet)</t>
  </si>
  <si>
    <t>H225: Kolay alevlenir sıvı ve buhar
H319: Ciddi göz tahrişi yapar
H336: Baş dönmesi veya rehavet yapabilir
H413: Sucul ortamda uzun süre zararlı etki yapabilir</t>
  </si>
  <si>
    <t>Göz: Su ile çalkala
Cilt: Semptom varsa doktora başvur
Yutma: Ağzı çalkala, semptom varsa doktora başvur
Soluma: Semptom varsa doktora başvur</t>
  </si>
  <si>
    <t>Söndürücüler: Yerel şartlara uygun yöntemler (CO₂, köpük, kuru kimyasal)
Uygun olmayan: Yüksek hacimli su jeti
Yangında toksik gazlar: CO, NOx, SOx, fosfor oksitleri</t>
  </si>
  <si>
    <t>Ateş kaynaklarını uzaklaştır
Emici malzeme (kum, toprak, vermikülit) ile topla
Su kaynaklarına karışmasını engelle
Atıkları uygun kaplarda bertaraf et</t>
  </si>
  <si>
    <t>Kullanım: Ateş, kıvılcım ve sıcak yüzeylerden uzak tut; statik boşalmayı önle
Depolama:
0–25 °C arasında, serin ve havalandırılmış ortamda
Oksitleyici maddelerden uzak
Çocukların erişemeyeceği yerde</t>
  </si>
  <si>
    <t>Etanol limit: 1000 ppm (1900 mg/m³)
Butanone limit: TWA 200 ppm, STEL 300 ppm
KKD:
Normal kullanımda özel ekipman gerekmez
Yüksek yoğunlukta solunum maskesi gerekebilir
Çevresel kontrol: Toprak ve suya karışmasını engelle</t>
  </si>
  <si>
    <t>Görünüm: Renksiz sıvı
Koku: Alkolümsü
pH: 6.0–7.0
Parlama noktası: 16 °C
Yoğunluk: 0.81–0.83 g/ml
Çözünürlük: Suda çözünür</t>
  </si>
  <si>
    <t>Normal koşullarda stabil
Kaçınılması gereken: Isı, alev, kıvılcım
Yanma ürünleri: CO, NOx, SOx, fosfor oksitleri</t>
  </si>
  <si>
    <t>Ethanol LD50 oral (sıçan): 10,470 mg/kg
Ethanol LC50 inhalasyon (sıçan): 117 mg/l (4h)
Ethanol LD50 dermal (tavşan): &gt;15,800 mg/kg
Myristyl Alcohol LD50 dermal (tavşan): &gt;8,000 mg/kg
Normal kullanımda insan sağlığına zarar verici bilinen etkisi yoktur</t>
  </si>
  <si>
    <t>Atıklar: Yakma veya geri kazanım tercih edilir
Boş kaplar: Geri dönüşüm veya bertaraf tesisine gönderilmeli, tekrar kullanılmamalı</t>
  </si>
  <si>
    <t>1340-02_Assessment_Report</t>
  </si>
  <si>
    <t>PT1: İnsan hijyeni (el dezenfektanı, antiseptik köpük)
PT2: Yüzey dezenfeksiyonu, çamaşır, atık su, endüstriyel alanlar
PT3: Veteriner hijyeni (hayvan barınakları)
PT4: Gıda ve yem endüstrisi (CIP, ekipman daldırma, sprey, köpük)
PT5: İçme suyu dezenfeksiyonu
PT6: Depolama sırasında ürün koruyucu (ör. kağıt endüstrisi)</t>
  </si>
  <si>
    <t>Perasetik Asit (CAS 79-21-0): %&lt;0.1 – %15 (tipik çözeltiler)
Asetik Asit: ≥99.8% saflıkta başlangıç maddesi
Hidrojen Peroksit: %35–69.9 saflıkta başlangıç maddesi
Stabilizatörler: Sülfürik asit (≤10 g/kg), HEDP (≤14 g/kg), Dipikolinik asit (≤1.6 g/kg)
Su: Çözelti ortamı</t>
  </si>
  <si>
    <t>H226: Alevlenir sıvı ve buhar
H242: Isıtıldığında yangına neden olabilir (organik peroksit)
H332: Solunması halinde zararlı
H312: Cilt ile temasında zararlı
H302: Yutulması halinde zararlı
H314: Ciddi cilt yanıkları ve göz hasarı
H400: Sucul ortamda çok toksik</t>
  </si>
  <si>
    <t>Soluma: Temiz havaya çıkar, semptom varsa doktora başvur
Cilt: Bol su ile yıka, yanık varsa tıbbi yardım al
Göz: Bol su ile yıka, lens varsa çıkar, doktora başvur
Yutma: Ağzı çalkala, semptom varsa doktora başvur</t>
  </si>
  <si>
    <t>Söndürücüler: Köpük, CO₂, kuru kimyasal
Uygun olmayan: Su jeti
Yangında toksik gazlar (CO, NOx, SOx, fosfor oksitleri) açığa çıkabilir
Kaplar basınç altında patlayabilir</t>
  </si>
  <si>
    <t>Ateş kaynaklarını uzaklaştır
Absorban malzeme (kum, vermikülit) ile topla
Kanalizasyona ve suya karışmasını engelle
Atıkları uygun kaplarda bertaraf et</t>
  </si>
  <si>
    <t>Kullanım: Statik boşalmayı önle, ateş ve kıvılcımdan uzak tut
Depolama:
Serin, havalandırılmış ortamda
Oksitleyici maddelerden uzak
Çocukların erişemeyeceği yerde
Kapalı ve etiketli ambalajlarda</t>
  </si>
  <si>
    <t>KKD:
Eldiven (EN374 uyumlu)
Koruyucu gözlük (EN166 uyumlu)
Solunum maskesi (P2 filtre, EN143)
Kimyasal tulum (EN14605)
Çevreye kontrolsüz bırakma yasak</t>
  </si>
  <si>
    <t>Görünüm: Renksiz, keskin sirke kokulu sıvı
Molekül ağırlığı: 76.05 g/mol
Erime noktası: 0 °C
Kaynama noktası: 105–110 °C
Yoğunluk: 1.22 g/cm³ (20 °C)
Buhar basıncı: 1.3–2.6 kPa (20 °C)
Çözünürlük: Suda tamamen çözünür
pKa: 8.24 (25 °C)
Oto-tutuşma sıcaklığı: 280 °C (15% çözelti), 435 °C (5% çözelti)
Patlayıcı özellik: Buhar/hava karışımı patlayıcı olabilir</t>
  </si>
  <si>
    <t>Normal koşullarda stabil
Kaçınılması gereken: Isı, güneş ışığı, uyumsuz maddeler
Yanma ürünleri: CO, CO₂, NOx, SOx, fosfor oksitleri</t>
  </si>
  <si>
    <t>Oral LD50 (sıçan, 5–15% çözelti): 1020–1922 mg/kg
Dermal LD50 (tavşan, 5–15% çözelti): 1147–1957 mg/kg
İnhalasyon LC50 (sıçan, 5% çözelti): 4.08 mg/l (4h)
Cilt: Yanık ve aşındırıcı etki
Göz: Ciddi ve kalıcı hasar
Solunum: Tahriş ve korozif etki
Kanserojen değil, sensitizan değil</t>
  </si>
  <si>
    <t>Atıklar: Onaylı tesislerde bertaraf edilmeli
Boş kaplar tekrar kullanılmamalı
Kanalizasyona ve suya karışması engellenmeli</t>
  </si>
  <si>
    <t>Sekusept Aktiv Ecological - TR</t>
  </si>
  <si>
    <t>Tıbbi cihaz dezenfektanı (Medical Devices Directive’e uygun)
Diğer enstrümanlarla da uyumlu</t>
  </si>
  <si>
    <t>Oksijen bazlı ağartıcı ajanlar (sodyum perkarbonat)
Aktivator (TAED – tetraacetylethylenediamine)
Non-iyonik sürfektanlar
Kompleksleştirici maddeler (organik asit tuzları, fosfonatlar)
Korozyon önleyici (azotlu bileşik, düşük miktarda)
Karbonatlar
Parfüm (≤0.1%)
Etken madde: Perasetik asit (kullanım çözeltisi hazırlanırken oluşur; %2’lik çözeltide 15 dk sonra &gt;1000 mg/kg)</t>
  </si>
  <si>
    <t>Rapor ekolojik sertifika olduğundan doğrudan GHS sınıflandırması verilmemiştir.
Ancak perasetik asit için bilinen riskler:
Oksitleyici özellik
Cilt ve göz için aşındırıcı
Sucul ortamda toksik</t>
  </si>
  <si>
    <t>Belirtilmemiştir (rapor ekolojik odaklıdır).
Genel olarak perasetik asit için: göz ve cilt temasında bol su ile yıkama, soluma halinde temiz havaya çıkarma önerilir.</t>
  </si>
  <si>
    <t>Belirtilmemiştir (rapor ekolojik odaklıdır).
Genel olarak perasetik asit çözeltileri oksitleyici ve yanıcıdır; köpük, CO₂, kuru kimyasal kullanılabilir.</t>
  </si>
  <si>
    <t>Belirtilmemiştir.
Genel olarak: döküntü absorban malzeme ile toplanmalı, kanalizasyona karışması engellenmeli.</t>
  </si>
  <si>
    <t>Kullanım: Tıbbi cihaz dezenfeksiyonu için hazırlanmış çözelti şeklinde
Depolama: Orijinal ambalajında, serin ve kuru ortamda</t>
  </si>
  <si>
    <t>Belirtilmemiştir.
Genel olarak: eldiven, gözlük, koruyucu giysi önerilir.</t>
  </si>
  <si>
    <t>Kullanım çözeltisi pH: ~8 (2% çözeltide)
Çözünürlük: Suda çözünür
Etken madde perasetik asit çözeltide oluşur</t>
  </si>
  <si>
    <t>Perkarbonat ve TAED uygulama sırasında parçalanarak perasetik asit oluşturur
Perasetik asit hızla bozunur (oksijen ve asetik asit oluşur)</t>
  </si>
  <si>
    <t>Belirtilmemiştir (rapor ekolojik odaklıdır).
Genel olarak perasetik asit cilt ve göz için aşındırıcıdır.</t>
  </si>
  <si>
    <t>Atık su arıtma tesislerinde kolaylıkla ayrışır
Fosfonatlar biyolojik olarak parçalanmaz, ancak atık su tesislerinde %90’a kadar çökeltilir
Ambalaj: PE/PP plastik, geri dönüşüme uygun; kartonlar geri dönüştürülmüş kağıttan</t>
  </si>
  <si>
    <t>10 - 12 Adet</t>
  </si>
  <si>
    <t>5 - 10 Adet</t>
  </si>
  <si>
    <t>İNSİDİN OXYWİPE</t>
  </si>
  <si>
    <t>9-10 Adet</t>
  </si>
  <si>
    <t>OP SİTE SPRAY</t>
  </si>
  <si>
    <t>4-5 Adet</t>
  </si>
  <si>
    <t>Maruz Kalma Limitleri:1900 mg/m3. Solunum Sisteminin Korunması: Kullanım noktasında buhar ve zerrecikler için NIOSH onaylı uygun  maske kullanın. Uygun solunum cihazları; tüm yüzü koruyan asitler  için kullanılan filtre takılmış yarı maske, pozitif basınç modlu  solunum cihazı yada havalı maske olabilir-Ellerin Korunması:Lastik yada PVC eldiven-Gözlerin Korunması:Kimyasal gözlük ve tam yüz siperi veya tam solunum cihazı  kullanılabilir. Genel olarak kimyasal maddelerle meşgul olurken  kontak lens kullanılmamasının gereği kabul edilir, çünkü kontak  lensler gözdeki yaranın ciddiyetini artırabilir.-Cilt ve Vücudun Korunması:Lastik kaplı elbise, Lastik önlük ve bot.</t>
  </si>
  <si>
    <t>2-3 Adet</t>
  </si>
  <si>
    <t>Ultrason Jel</t>
  </si>
  <si>
    <t>Ürün bir ultrason jelidir.</t>
  </si>
  <si>
    <t>“reaction mass of 5-chloro-2-methyl-2H-isothiazol-3-one and 2-methyl-2H-isothiazol-3-one (3:1)… ≤ 0.0013%… Acute Tox. 3 (Inhalation, Dermal, Oral), Skin Corr. 1B, Skin Sens. 1, Aquatic Acute 1, Aquatic Chronic 1.”</t>
  </si>
  <si>
    <t>Konix Ultrasound Gel normal kullanımda tehlikeli sınıfta değildir. Ancak içerdiği koruyucu madde nedeniyle alerjik cilt reaksiyonu riski taşır. Etiket üzerinde piktogram veya uyarı kelimesi bulunmaz, yalnızca alerjik reaksiyon ihtimali belirtilir.</t>
  </si>
  <si>
    <t>Solunması halinde:
Kişiyi temiz havaya çıkarın ve rahat nefes alabileceği şekilde dinlendirin.
Cilt teması halinde:
Bol su ile yıkayın.
Kirlenmiş giysileri çıkarın.
Eğer ciltte tahriş veya döküntü oluşursa tıbbi yardım alın.
Göz teması halinde:
Gözleri bol su ile durulayın (önlem amaçlı).
Yutulması halinde:
Kendinizi iyi hissetmezseniz zehir danışma merkezi veya doktora başvurun.
Belirtiler:
Cilt teması sonrası alerjik reaksiyon gelişebilir.
Tıbbi müdahale:
Semptomlara yönelik tedavi uygulanır.</t>
  </si>
  <si>
    <t>Su spreyi
Kuru toz
Köpük
Karbon dioksit (CO₂)</t>
  </si>
  <si>
    <t>Konix Ultrasound Gel dökülme durumunda çevreye salınımı engellenmeli, döküntü emici malzemelerle toplanmalı ve yetkili bertaraf tesisine gönderilmelidir. Müdahale eden personel mutlaka koruyucu ekipman kullanmalıdır.</t>
  </si>
  <si>
    <t>Kullanım (Elleçleme):
Çalışma alanında iyi havalandırma sağlanmalıdır.
Cilt ve göz teması önlenmelidir.
Buhar, gaz, sis veya sprey solunmamalıdır.
Kişisel koruyucu ekipman kullanılmalıdır.
Kirlenmiş iş giysileri işyeri dışına çıkarılmamalı, yeniden kullanılmadan önce yıkanmalıdır.
Ürünle çalışırken yemek yemek, içmek ve sigara içmek yasaktır.
Kullanım sonrası eller mutlaka yıkanmalıdır.
Depolama:
İyi havalandırılan bir yerde saklanmalıdır.
Serin tutulmalıdır.
Normal koşullarda özel bir uyumsuzluk veya tehlikeli reaksiyon beklenmez.</t>
  </si>
  <si>
    <t>Konix Ultrasound Gel normal kullanımda ek kişisel koruyucu donanım gerektirmez. Ancak havalandırma, hijyen ve çevreye salınımı önleme kritik önlemlerdir. Sıçrama riski olan durumlarda göz koruması tercih edilmelidir.</t>
  </si>
  <si>
    <t>“Physical state: Liquid. Appearance: gel. Colour: Colourless. Odour: odourless. pH: 6-8. Density: 0.95 - 1.05 g/cm³. Viscosity, dynamic: 150000 - 200000 cP.”</t>
  </si>
  <si>
    <t>Konix Ultrasound Gel, kararlı ve güvenli bir üründür. Normal koşullarda reaktif değildir, özel bir uyumsuzluk veya tehlikeli bozunma riski bulunmaz.</t>
  </si>
  <si>
    <t>Konix Ultrasound Gel genel olarak düşük toksisiteye sahip, güvenli bir üründür. Normal kullanımda cilt ve göz tahrişi beklenmez, ancak içerdiği koruyucu madde nedeniyle alerjik cilt reaksiyonu riski vardır. Kanserojen, mutajen veya üreme toksik etkisi bulunmamaktadır.</t>
  </si>
  <si>
    <t>Konix Ultrasound Gel dökülme durumunda emici malzemelerle toplanmalı, çevreye salınımı engellenmeli ve lisanslı bertaraf tesisine gönderilmelidir. Ambalaj ve içerik, yetkili toplayıcıların talimatlarına göre imha edilmelidir.</t>
  </si>
  <si>
    <t>***</t>
  </si>
  <si>
    <t>BATİKON</t>
  </si>
  <si>
    <t>SoftCarePlusH400 / Dezenfektan</t>
  </si>
  <si>
    <t>El ve cilt dezenfeksiyonu için geliştirilmiş profesyonel ürün.</t>
  </si>
  <si>
    <t>“İçerik Alkol, C10-16, etoksilenmiş, sülfat, sodyum tuzları (3 EO)… L-(+)-laktik asit… Alkol, C12-14, etoksilenmiş… Zararlılık ifadeleri: H318 - Ciddi göz hasarına yol açar.”</t>
  </si>
  <si>
    <t>“Ciddi göz hasarı, Kategori 1 (H318)… Zararlılık ifadeleri: H318 - Ciddi göz hasarına yol açar.”</t>
  </si>
  <si>
    <t>Normal kullanımda ciddi sağlık etkileri beklenmez.
Ancak göz ile temas halinde ciddi hasar riski vardır.
Solunum:
Kendinizi iyi hissetmezseniz tıbbi yardım alın.
Normal kullanımda bilinen olumsuz etkiler yoktur.
Cilt Teması:
Tahriş söz konusu ise tıbbi yardım alın.
Normal kullanımda bilinen olumsuz etkiler yoktur.
Göz Teması:
Göz kapaklarını açık tutarak en az 15 dakika bol su ile yıkayın.
Kontakt lens varsa çıkarın, durulamaya devam edin.
Derhal Ulusal Zehir Danışma Merkezi (114) veya doktora başvurun.
Yutma:
Ağzınızı çalkalayın, ardından 1 bardak su için.
Bilinci kapalı kişiye ağızdan hiçbir şey vermeyin.
Kendinizi iyi hissetmezseniz tıbbi yardım alın.</t>
  </si>
  <si>
    <t>Karbon dioksit (CO₂)
Kuru toz
Su spreyi jeti
Daha büyük yangınlarda: su spreyi jeti veya alkole dayanıklı köpük</t>
  </si>
  <si>
    <t>“Göz/yüz koruması kullanın… 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</si>
  <si>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 xml:space="preserve">Kullanım:
El ve cilt dezenfeksiyonu için geliştirilmiştir.
Sadece belirtilen kullanım amacıyla kullanılmalıdır.
Diversey tarafından tavsiye edilmedikçe başka ürünlerle karıştırılmamalıdır.
Genel hijyen kurallarına uyulmalı: yiyecek, içecek ve hayvan yemlerinden uzak tutulmalı, çocukların erişemeyeceği yerde kullanılmalıdır.
Göz ile temastan kaçınılmalı, yeterli havalandırma sağlanmalıdır.
Depolama:
Yerel ve ulusal yönetmeliklere uygun şekilde depolanmalıdır.
Kapalı kaplarda ve yalnızca orijinal ambalajında saklanmalıdır.
Çocukların erişemeyeceği yerde bulundurulmalıdır.
Donmaya karşı korunmalıdır.
</t>
  </si>
  <si>
    <t>“Normal kullanım koşulları altında özel gereklilikler bulunmamaktadır… Güvenlik gözlükleri veya koruyucu gözlük (EN 16321 / EN 166)… El korunması: Uygulanamaz… Vücut koruması: Normal kullanım koşulları altında özel gereklilikler bulunmamaktadır… Solunum koruması: Normal kullanım koşulları altında özel gereklilikler bulunmamaktadır.”</t>
  </si>
  <si>
    <t>“Fiziksel hali: Sıvı. Renk: Opak, orta, yeşil. Koku: Ürüne özel… Parlama noktası ~100 °C… Çözünürlük: su: Tamamen karışabilinir… Kinematik viskozite = 850 mPa.s (20 °C)… Patlayıcı değildir, oksitleyici değildir, metallerin aşınması: aşındırıcı değildir.”</t>
  </si>
  <si>
    <t>“Normal depolama ve kullanım koşulları altında bilinen tepkime zararları yoktur… Normal depolama ve kullanım koşulları altında kararlıdır… Normal depolama ve kullanım koşulları altında bilinen zararlı reaksiyon yoktur… Normal depolama ve kullanım koşulları altında bilinmiyor.”</t>
  </si>
  <si>
    <t>“ATE - Oral (mg/kg): &gt;2000… Alkol, C10-16… LD50 &gt;2000 mg/kg… L-(+)-laktik asit LD50 = 3543 mg/kg… Göz teması: Ciddi veya kalıcı hasara neden olabilir… Hassaslaştırıcı değildir… Genotoksisite için kanıt yoktur.”</t>
  </si>
  <si>
    <t>“Bol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</si>
  <si>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Tentürbenjuan</t>
  </si>
  <si>
    <t>Belirlenmiş kullanım: Kimya sanayiinde hammadde, kozmetik ve ilaç sektöründe preparat üretiminde kullanılır
Kısıtlama: Yalnızca profesyonel kullanım için</t>
  </si>
  <si>
    <t>Etanol: %60–80 → H225 (Kolay alevlenir sıvı ve buhar)
Benjoin Reçinesi (Resinoid): %3–6
Saf su: %10–30</t>
  </si>
  <si>
    <t>H225: Kolay alevlenir sıvı ve buhar
Uyarı kelimesi: Tehlike
Ek riskler: Buhar zemine yakın birikebilir, patlayıcı yoğunluğa ulaşabilir</t>
  </si>
  <si>
    <t>Göz: En az 15 dk bol suyla yıka, doktora başvur
Cilt: Sabun ve bol suyla yıka, doktora başvur
Yutma: Kusturma yok, ağzı çalkala, doktora başvur
Soluma: Açık havaya çıkar, solunum durmuşsa suni solunum yap, doktora başvur</t>
  </si>
  <si>
    <t>Parlama noktası: 18 °C
Söndürücüler: Su spreyi, alkole dayanıklı köpük, kuru kimyasal, CO₂
Yanma ürünleri: Karbon oksitler
Özel ekipman: Oksijen tüplü tam yüz maskesi</t>
  </si>
  <si>
    <t>İyi havalandırma sağla, tutuşturucu kaynakları uzaklaştır
Elektriğe karşı korumalı vakum veya ıslak süpürge ile topla
Kanalizasyona karışmasını engelle</t>
  </si>
  <si>
    <t>Kullanım: Buharı soluma, göz temasından kaçın, statik elektriğe karşı önlem al
Depolama: Soğuk, kuru, iyi havalandırılmış yerde, kapalı kaplarda sakla
Uyumsuz maddeler: Alkali metaller, oksitleyiciler, peroksitler</t>
  </si>
  <si>
    <t>Etanol için limit: 1000 ppm (1900 mg/m³)
DNEL: Solunum 950 mg/m³, dermal 343 mg/kg/gün
KKD:
Göz/yüz: Güvenlik gözlüğü, yüz kalkanı
Eldiven: EN 374 standardına uygun koruyucu eldiven
Giysi: Antistatik, kolay yanmayan koruyucu giysi
Solunum: Onaylı solunum maskesi (NIOSH/EN 143)</t>
  </si>
  <si>
    <t>Görünüm: Sıvı
Renk: Açık kahve
Koku: Aromatik/balsamik
Parlama noktası: 18 °C
Özgül ağırlık: 0.870–0.885
Çözünürlük: Etanolde çözünür</t>
  </si>
  <si>
    <t>Normal koşullarda stabil
Kaçınılması gereken koşullar: Isı, alev, kıvılcım
Uyumsuz maddeler: Alkali metaller, oksitleyiciler, peroksitler</t>
  </si>
  <si>
    <t>Etanol LD50 (oral, sıçan): 10,470 mg/kg
Etanol LC50 (inhalasyon, sıçan, 4h): 30,000 mg/l
Etanol LD50 (dermal, tavşan): 15,800 mg/kg
Göz: Orta derecede tahriş
Cilt: Tahriş gözlenmez
Ek bilgi: Merkezi sinir sistemi depresyonu, narkoz riski; uzun süreli maruziyet karaciğer ve kan üzerinde tümörijenik etki gösterebilir</t>
  </si>
  <si>
    <t>Ürün: Kimyasal insinatörde yakılmalı (alevlenir olduğundan dikkatli olunmalı)
Artıklar: Geri kazanım mümkün değilse lisanslı atık firmalarına verilmeli
Ambalaj: Kullanılmamış ürün olarak imha edilmeli</t>
  </si>
  <si>
    <t>SignaSpray® Electrode Solution</t>
  </si>
  <si>
    <t>Belirlenmiş kullanım: Elektrot çözeltisi / cilt hazırlık ürünü
Kısıtlama: Yalnızca profesyonel kullanım için</t>
  </si>
  <si>
    <t>Tehlikeli bileşenler: Yok
Sınıflandırma: Zararlı olarak sınıflandırılmamış</t>
  </si>
  <si>
    <t>Signal Word: Yok
Hazard Statements: Bilinen kritik tehlike yok
OSHA Hazards: Yok</t>
  </si>
  <si>
    <t>Göz: Bol suyla yıka, semptom varsa doktora başvur
Cilt: Sabun ve suyla yıka, tahriş varsa doktora başvur
Yutma: Ağzı çalkala, bol su iç, kusturma yok, doktora başvur
Soluma: Açık havaya çıkar, solunum güçlüğü varsa doktora başvur</t>
  </si>
  <si>
    <t>Parlama noktası: Yanıcı değil
Söndürücüler: Çevredeki yangına uygun söndürücüler
Özel risk: Yok</t>
  </si>
  <si>
    <t>Risk: Zemin üzerinde kayganlık yapar
Temizlik: Emici malzeme ile topla, suyla sil</t>
  </si>
  <si>
    <t>Kullanım: Özel önlem gerekmez
Depolama: Özel önlem gerekmez</t>
  </si>
  <si>
    <t>Maruz kalma limiti yok
Genel havalandırma yeterli
KKD: Özel ekipman gerekmez</t>
  </si>
  <si>
    <t>Görünüm: Şeffaf, yeşil sıvı
Koku: Yok
pH: 4.5–7.0
Yoğunluk: 1.03
Çözünürlük: Suda çözünür
İletkenlik: &gt;20,000 µmhos/cm</t>
  </si>
  <si>
    <t>Normal koşullarda stabil
Uyumsuzluk: Yok
Zararlı bozunma ürünleri: Yok</t>
  </si>
  <si>
    <t>Bilinen akut veya kronik sağlık etkisi yok
Kanserojen değil (NTP, IARC, OSHA)</t>
  </si>
  <si>
    <t>Atık: Tehlikesiz atık olarak yerel yönetmeliklere uygun şekilde bertaraf edilmeli
Ambalaj: Yerel yönetmeliklere uygun şekilde bertaraf edilmeli</t>
  </si>
  <si>
    <t>Detro Hexidin</t>
  </si>
  <si>
    <t>Kullanım: El ve cilt antisepsisi, cerrahi hijyen</t>
  </si>
  <si>
    <t>Klorheksidin glukonat (CAS 18472-51-0): %4
Yardımcı maddeler: Yüzey aktifler, çözücüler, su</t>
  </si>
  <si>
    <t>GHS sınıflandırması:
H318: Ciddi göz hasarına yol açar
H411: Sucul ortamda uzun süre kalıcı, toksik etki
Piktogramlar:
GHS05 (Aşındırıcı)
GHS09 (Çevre)</t>
  </si>
  <si>
    <t>Göz: Bol suyla yıka, hemen doktora başvur
Cilt: Su ve sabunla yıka, tahriş varsa doktora başvur
Yutma: Ağzı çalkala, kusturma yok, doktora başvur
Soluma: Açık havaya çıkar, semptom varsa doktora başvur</t>
  </si>
  <si>
    <t>Ürün yanıcı değildir
Söndürücüler: Çevredeki yangına uygun söndürücüler
Yanma ürünleri: Karbon oksitler</t>
  </si>
  <si>
    <t>İyi havalandırma sağla
Emici malzeme ile topla
Kanalizasyona ve suya karışmasını engelle</t>
  </si>
  <si>
    <t>Kullanım: Göz temasından kaçın, uygun hijyen kurallarına uy
Depolama: Kapalı kaplarda, serin ve kuru yerde sakla
Uyumsuz maddeler: Güçlü oksitleyiciler</t>
  </si>
  <si>
    <t>Maruz kalma limiti bulunmaz
KKD:
Göz/yüz: Koruyucu gözlük
Eldiven: Kimyasal dayanımlı eldiven
Solunum: Normal koşullarda gerekmez</t>
  </si>
  <si>
    <t>Görünüm: Sıvı sabun
Renk: Açık renkli
Koku: Hafif karakteristik
pH: Hafif asidik–nötr
Çözünürlük: Suda çözünür</t>
  </si>
  <si>
    <t>Normal koşullarda stabil
Kaçınılması gereken koşullar: Isı, ışık
Uyumsuz maddeler: Güçlü oksitleyiciler
Zararlı bozunma ürünleri: Yok</t>
  </si>
  <si>
    <t>Göz: Ciddi hasar riski
Cilt: Tahriş edici olabilir
Yutma: Sindirim borusunda tahriş
LD50 (oral, sıçan): ~2000 mg/kg (klorheksidin glukonat)
Kanserojen değil (NTP, IARC, OSHA)</t>
  </si>
  <si>
    <t>Atıklar suya/toprağa karışmamalı
Yerel yönetmeliklere uygun şekilde bertaraf edilmeli
Boş ambalajlar geri dönüşüm veya lisanslı bertaraf tesisine gönderilmeli
Atık kodu: Tehlikeli organik atıklar</t>
  </si>
  <si>
    <t>Detrosan Mendil</t>
  </si>
  <si>
    <t>Kullanım: Yüzey dezenfektanı mendili (alkolsüz, hidrojen peroksit bazlı)</t>
  </si>
  <si>
    <t>Aktif madde: Hidrojen peroksit düşük konsantrasyonlarda
Form: Alkolsüz dezenfektan mendili</t>
  </si>
  <si>
    <t>Sınıflandırma: Zararlı olarak sınıflandırılmamış
Piktogram: Yok
Signal Word: Yok
H-ifadeleri: Yok
PBT/vPvB: İçermez</t>
  </si>
  <si>
    <t>Göz: Bol suyla yıka, semptom varsa doktora başvur
Cilt: Su ile yıka, tahriş varsa doktora başvur
Yutma: Ağzı çalkala, doktora başvur
Soluma: Semptom varsa doktora başvur</t>
  </si>
  <si>
    <t>Ürün yanıcı değildir
Söndürücüler: Çevredeki yangına uygun söndürücüler
Özel risk: Yok</t>
  </si>
  <si>
    <t>Kayganlık riski olabilir
Emici malzeme ile topla, suyla sil
Çevreye özel risk yok</t>
  </si>
  <si>
    <t>Kullanım: Normal hijyen kuralları yeterli
Depolama: Kapalı kaplarda, serin ve kuru yerde sakla</t>
  </si>
  <si>
    <t>Maruz kalma limiti yok
KKD: Özel ekipman gerekmez
Genel havalandırma yeterli</t>
  </si>
  <si>
    <t>Görünüm: Mendil (ıslak)
Çözelti: Şeffaf, hafif kokulu
pH: Nötr–hafif asidik
Çözünürlük: Suda çözünür</t>
  </si>
  <si>
    <t>Normal koşullarda stabil
Uyumsuzluk: Güçlü oksitleyicilerle temas ettirilmemeli
Zararlı bozunma ürünleri: Yok</t>
  </si>
  <si>
    <t>Bilinen akut veya kronik sağlık etkisi yok
Cilt ve göz temasında hafif tahriş riski olabilir
Kanserojen değil (NTP, IARC, OSHA)</t>
  </si>
  <si>
    <t>Atıklar yerel yönetmeliklere uygun şekilde bertaraf edilmeli
Boş ambalajlar geri dönüşüm veya lisanslı bertaraf tesisine gönderilmeli
Tehlikesiz atık sınıfında değerlendirilebili</t>
  </si>
  <si>
    <t>Incidin Spray</t>
  </si>
  <si>
    <t>Kullanım: Yüzey dezenfektanı (manuel uygulama, medikal cihaz ve yüzey temizliği)</t>
  </si>
  <si>
    <t>Aktif maddeler:
Glutaraldehit
Didecyl dimethyl ammonium chloride (DDAC)
Yardımcı çözücüler ve su</t>
  </si>
  <si>
    <t xml:space="preserve">GHS sınıflandırması:
H318: Ciddi göz hasarına yol açar
H315: Deri tahrişine yol açar
H411: Sucul ortamda uzun süre kalıcı, toksik etki
</t>
  </si>
  <si>
    <t>Ürün yanıcı değildir
Söndürücüler: Çevredeki yangına uygun söndürücüler
Yanma ürünleri: Karbon oksitler, azot oksitler</t>
  </si>
  <si>
    <t>Kullanım: Göz ve cilt temasından kaçın, uygun hijyen kurallarına uy
Depolama: Kapalı kaplarda, serin ve kuru yerde sakla
Uyumsuz maddeler: Güçlü oksitleyiciler</t>
  </si>
  <si>
    <t>Maruz kalma limitleri: Glutaraldehit için düşük ppm sınırları geçerlidir
KKD:
Göz/yüz: Koruyucu gözlük
Eldiven: Kimyasal dayanımlı eldiven
Solunum: Yetersiz havalandırmada uygun solunum maskesi</t>
  </si>
  <si>
    <t>Görünüm: Şeffaf sıvı
Renk: Renksiz–hafif sarı
Koku: Karakteristik
pH: Hafif asidik–nötr
Çözünürlük: Suda çözünür</t>
  </si>
  <si>
    <t>Normal koşullarda stabil
Kaçınılması gereken koşullar: Isı, ışık
Uyumsuz maddeler: Güçlü oksitleyiciler
Zararlı bozunma ürünleri: Karbon ve azot oksitleri</t>
  </si>
  <si>
    <t>Göz: Ciddi hasar riski
Cilt: Tahriş edici olabilir
Yutma: Sindirim borusunda tahriş
Soluma: Solunum yollarında tahriş
Kronik etkiler: Uzun süreli maruziyet ciltte hassasiyet yapabilir</t>
  </si>
  <si>
    <t>Derhand Soap</t>
  </si>
  <si>
    <t>Kullanım: El sabunu (kozmetik amaçlı)</t>
  </si>
  <si>
    <t>Formül: Yüzey aktif maddeler, su, parfüm
Tehlikeli bileşen: Yok</t>
  </si>
  <si>
    <t>Sınıflandırma: Zararlı olarak sınıflandırılmamış
Piktogram: Yok
Signal Word: Yok
H-ifadeleri: Yok</t>
  </si>
  <si>
    <t>Göz: Bol suyla yıka, semptom varsa doktora başvur
Cilt: Normal kullanımda risk yok, tahriş varsa suyla yıka
Yutma: Ağzı çalkala, semptom varsa doktora başvur
Soluma: Normal kullanımda risk yok</t>
  </si>
  <si>
    <t>Görünüm: Sıvı sabun
Renk: Belirtilmemiş (genellikle şeffaf veya hafif renkli)
Koku: Parfümlü
pH: Nötr–hafif asidik
Çözünürlük: Suda çözünür</t>
  </si>
  <si>
    <t>Normal kullanımda zararlı değil
Göz ve cilt temasında hafif tahriş riski olabilir
Kanserojen değil (NTP, IARC, OSHA)</t>
  </si>
  <si>
    <t>Atıklar yerel yönetmeliklere uygun şekilde bertaraf edilmeli
Boş ambalajlar geri dönüşüm veya lisanslı bertaraf tesisine gönderilmeli
Tehlikesiz atık sınıfında değerlendirilebilir</t>
  </si>
  <si>
    <t>2024msds_funny_yeni</t>
  </si>
  <si>
    <t>Belirlenmiş kullanım: Köpük sabun, kişisel hijyen ürünü
Kullanım kısıtlaması: Belirtilmemiş</t>
  </si>
  <si>
    <t>Formülünde sağlığa tehlikeli kabul edilen herhangi bir madde bulunmamaktadır
Su bazlı, yüzey aktif madde ve kozmetik katkılar içerir</t>
  </si>
  <si>
    <t>Ürün zararlı olarak sınıflandırılmamıştır
Alev almaz
Sağlık, yangın, reaktivite açısından ciddi bir risk bulunmamaktadır</t>
  </si>
  <si>
    <t>Göz: Bol su ile en az 15 dk yıka, tahriş devam ederse doktora başvur
Cilt: Tahriş veya alerji varsa doktora danış
Yutma: Yutulursa derhal doktora başvur, etiketi göster
İlk yardımcılar: Eldiven ve göz/yüz koruması takmalı</t>
  </si>
  <si>
    <t>Ürün yanıcı değildir
Söndürücüler: Çevredeki maddelere uygun söndürücü kullanılmalı
İtfaiyeciler: Solunum cihazı ve koruyucu giysi kullanmalı</t>
  </si>
  <si>
    <t>Yeterli havalandırma sağla
Emici malzeme (bez, muflon) ile temizle
Çevresel önlem gerekmemektedir</t>
  </si>
  <si>
    <t>Normal kullanımda özel tedbir gerekmez
Etiketteki talimatlara göre saklanmalı
Diğer ürünlerle depolanmasında özel kısıtlama yok</t>
  </si>
  <si>
    <t>Normal kullanımda KKD gerekmez
Gözlük, eldiven, giysi, solunum koruması gereksizdir</t>
  </si>
  <si>
    <t>Görünüm: Likit
Renk: Mavi
Koku: Kendine has
pH: 5.5 ± 0.5
Suda çözünürlük: Sınırsız
Kaynama noktası, erime noktası, viskozite: Belirtilmemiş</t>
  </si>
  <si>
    <t>Normal koşullarda stabil
Kaçınılması gereken durum/madde: Yok
Zararlı bozunma ürünleri: Yok</t>
  </si>
  <si>
    <t>Soluma: Zararlı değil
Cilt: Zararlı değil
Göz: Tahriş edebilir
Yutma: Zararlı değil, ancak tıbbi yardım önerilir</t>
  </si>
  <si>
    <t>Yerel, devlet ve federal kurallara uygun bertaraf edilmeli
Ambalajlar geri dönüşüm veya bertaraf için gönderilmeli</t>
  </si>
  <si>
    <t>ECOBRITE_BOOSTER_PLUS_Turkish</t>
  </si>
  <si>
    <t>Belirlenmiş kullanım: Çamaşır yardımcı ürünü (gaz salan), otomatik işlem
Kullanım kısıtlaması: Yalnızca sanayi ve profesyonel kullanım için</t>
  </si>
  <si>
    <t>Sodyum hidroksit (CAS 1310-73-2, EC 215-185-5): %25–30
H290: Metalleri aşındırabilir
H314: Ciddi cilt yanıklarına ve göz hasarına yol açar</t>
  </si>
  <si>
    <t>H290: Metalleri aşındırabilir
H314: Ciddi cilt yanıklarına ve göz hasarına yol açar
H318: Ciddi göz hasarı
Sinyal kelime: Tehlike</t>
  </si>
  <si>
    <t>Göz: En az 15 dk bol suyla yıka, lensleri çıkar, doktora başvur
Cilt: En az 15 dk bol suyla yıka, sabun kullan, giysileri temizle, doktora başvur
Yutma: Ağzı çalkala, kusturma yok, bilinci yerindeyse su içir, doktora başvur
Soluma: Açık havaya çıkar, semptom varsa doktora başvur</t>
  </si>
  <si>
    <t>Ürün yanıcı değildir
Söndürücüler: Ortama uygun söndürücüler (su spreyi, köpük, CO₂, toz)
Yanma ürünleri: Karbon oksitler, azot oksitler, metal oksitler, fosfor oksitleri</t>
  </si>
  <si>
    <t>İyi havalandırma sağla, soluma ve temas riskinden kaçın
Emici malzeme (kum, toprak, vermikülit) ile topla
Kanalizasyona ve suya karışmasını engelle</t>
  </si>
  <si>
    <t>Kullanım: Yutma ve temas riskinden kaçın, havalandırma sağla, KKD kullan
Depolama: Asitlerle birlikte saklama, çocuklardan uzak tut, orijinal ambalajında, 5–40 °C arası
Uygun olmayan malzeme: Alüminyum, hafif çelik</t>
  </si>
  <si>
    <t>Maruz kalma limiti: Sodyum hidroksit için 1 mg/m³ (solunum)
KKD:
Göz/yüz: Emniyet gözlüğü, yüz siperi
Eldiven: Nitril kauçuk (≥0.4 mm), butil kauçuk (≥0.7 mm), dayanıklılık 1–4 saat
Giysi: Koruyucu iş elbisesi, ayakkabı
Solunum: Havalandırma yetersizse uygun solunum maskesi</t>
  </si>
  <si>
    <t>Görünüm: Sıvı
Renk: Sarı
Koku: Amonyak içerir
pH: 12–14
Yoğunluk: 1.35–1.39
Çözünürlük: Suda çözünür
Parlama noktası: Yok</t>
  </si>
  <si>
    <t>Normal koşullarda stabil
Kaçınılması gereken: Asitler, metaller, organik maddeler, alüminyum, hafif çelik
Zararlı bozunma ürünleri: CO, NOx, metal oksitler, fosfor oksitleri</t>
  </si>
  <si>
    <t>Göz: Ciddi göz hasarı, kızarıklık, ağrı, aşınma
Cilt: Ciddi yanık, kızarıklık, ağrı
Yutma: Sindirim borusunda yanma, karın ağrısı
Soluma: Solunum yolları tahrişi, öksürük
Kronik maruz kalma: Normal kullanımda bilinen zarar yok</t>
  </si>
  <si>
    <t>Geri dönüşüm tercih edilmeli
Atıklar onaylı bertaraf tesislerinde imha edilmeli
Boş kaplar geri dönüşüm veya bertaraf için gönderilmeli</t>
  </si>
  <si>
    <t>ECOLAB FOAM STOP-TR-TR-110589E</t>
  </si>
  <si>
    <t>Belirlenmiş kullanım: Köpük kesici, zemin ve halı temizleme ürünü (yarı otomatik işlem)
Kullanım kısıtlaması: Yalnızca profesyonel kullanım için</t>
  </si>
  <si>
    <t>Karışım, mevcut konsantrasyonlarda insan ve çevre sağlığına zararlı olarak sınıflandırılmamıştır
İçerir: 5-chloro-2-methyl-2H-isothiazol-3-one ve 2-methyl-2H-isothiazol-3-one → alerjik reaksiyona neden olabilir
Toksisitesi bilinmeyen bileşen oranı: %26.7</t>
  </si>
  <si>
    <t>Ürün tehlikeli olarak sınıflandırılmamıştır
Etiket uyarısı: Alerjik reaksiyon riski (izotiyazolinon türevleri)
Tehlike ifadeleri: Bilinen ciddi bir etkisi yok</t>
  </si>
  <si>
    <t>Göz: Bol su ile yıka, lensleri çıkar, semptom varsa doktora başvur
Cilt: Bol su ile yıka, kirli giysileri çıkar, semptom varsa doktora başvur
Soluma: Açık havaya çıkar, semptom varsa doktora başvur
Yutma: Ağzı çalkala, kusturma yok, az su içir, doktora başvur</t>
  </si>
  <si>
    <t>Söndürücüler: Su spreyi, köpük, kuru kimyasal, CO₂
Ürün ısıtıldığında basınç artışı ile kap patlayabilir
İtfaiyeciler: Tam yüz maskesi ve solunum cihazı kullanmalı</t>
  </si>
  <si>
    <t>Küçük döküntü: Su ile seyrelt, inert malzeme ile temizle
Büyük döküntü: Kum, toprak, vermikülit ile absorbe et, uygun atık kabına koy
Kanalizasyona ve suya karışmasını engelle</t>
  </si>
  <si>
    <t>Kullanım: KKD kullan, hijyen kurallarına uy
Depolama: 0–40 °C arası, orijinal ambalajında, güneş ışığından uzak, yiyeceklerden ayrı</t>
  </si>
  <si>
    <t>Maruz kalma limiti: Yok
KKD:
Göz/yüz: Normalde gerekmez
Eldiven: Normalde gerekmez
Giysi: Göreve uygun koruyucu ekipman
Solunum: Risk varsa uygun maske</t>
  </si>
  <si>
    <t>Görünüm: Sıvı
Renk: Beyaz (açık)
Koku: Parfüme benzer
pH: 6–7
Yoğunluk: 0.995–1.005
Çözünürlük: Suda çözünür
Parlama noktası: &gt;100 °C</t>
  </si>
  <si>
    <t>Normal koşullarda stabil
Tehlikeli reaksiyon yok
Tehlikeli bozunma ürünleri: Normal koşullarda oluşmaz</t>
  </si>
  <si>
    <t>Soluma, yutma, cilt, göz: Bilinen ciddi etkisi yok
Alerjik reaksiyon riski mevcut (izotiyazolinon türevleri)
Kanserojenite, mutajenite, üreme toksisitesi: Yok</t>
  </si>
  <si>
    <t>Atıklar çevreye karışmamalı
Tehlikeli atık kodu: 20 01 29* (tehlikeli maddeler içeren deterjanlar)
Ambalajlar geri dönüştürülmeli veya uygun şekilde bertaraf edilmeli</t>
  </si>
  <si>
    <t>el sabunu analiz belgesi</t>
  </si>
  <si>
    <t>Belirlenmiş kullanım: El yıkamada kullanılan sıvı temizlik maddesi
Kullanım kısıtlaması: Yok</t>
  </si>
  <si>
    <t>Raporda kimyasal bileşim detayları verilmemiştir, yalnızca fiziksel/kimyasal özellikler test edilmiştir.</t>
  </si>
  <si>
    <t>Ürün korozif değildir
Mikrobiyolojik açıdan güvenlidir (patolojik mikroorganizmalar bulunmamıştır)
TS 11885 standardına uygundur</t>
  </si>
  <si>
    <t>Raporda özel ilk yardım bilgisi yoktur (ürün temizlik maddesi olduğundan genel sabun kullanımına uygundur).</t>
  </si>
  <si>
    <t>Raporda belirtilmemiştir, ancak sabun bazlı ürünler yanıcı değildir.</t>
  </si>
  <si>
    <t>Raporda belirtilmemiştir.</t>
  </si>
  <si>
    <t>Ambalaj ve işaretleme TS 11885 Madde 6.1 ve 6.2’ye uygundur.</t>
  </si>
  <si>
    <t>Viskozite (25 °C): 1875 mPa·s (Tip 1 için 500–2700 aralığında → uygun)
pH: 6.1 (Tip 1 için 5.0–7.0 aralığında → uygun)
Köpürme/Köpük oluşturma: Deneye uygun
Kararlılık: Deneye uygun
Koroziflik: Deneye uygun
Biyolojik parçalanabilirlik: ≥%80 → uygun</t>
  </si>
  <si>
    <t>Kararlı, korozif değil.</t>
  </si>
  <si>
    <t>Mikrobiyolojik testler:
Staphylococcus aureus: Yok
Escherichia coli: Yok
Salmonella spp.: Yok
Clostridium spp.: Yok
Pseudomonas spp.: Yok
Diğer mikroorganizmalar: ≤1000 adet/ml → uygun</t>
  </si>
  <si>
    <t>Raporda belirtilmemiştir, ancak genel deterjan atık yönetmeliğine uygun bertaraf edilmelidir.</t>
  </si>
  <si>
    <t>FLOORDRESS G-100     TR-TR-116767E-</t>
  </si>
  <si>
    <t>Belirlenmiş kullanım: Zemin ürünü, cila sökücü (manuel işlem)
Kullanım kısıtlaması: Yalnızca sanayi ve profesyonel kullanım için</t>
  </si>
  <si>
    <t>Yağalkolü etoksilatlar (C15 ≤, 5EO ≤): %5–10 → H400, H318, H315
Sodyum kümensülfonat: %3–5 → H319
HEDP veya asit tuzu: %3–5 → H290, H302, H318
Sodyum hidroksit: %2.5–5 → H314, H290
Sülfatlar: %1–2.5 → H302, H315, H319, H400, H410
Propan-2-ol (izopropanol): %1–2.5 → H225, H319, H336
Etanolamin: %1–2.5 → H302, H312, H332, H314, H318
d-Limonene: %0.1–0.25 → H226, H315, H317, H400, H410</t>
  </si>
  <si>
    <t>H290: Metalleri aşındırabilir
H314: Ciddi cilt yanıklarına ve göz hasarına yol açar
H318: Ciddi göz hasarı
H400: Sucul ortamda çok toksik
H410: Sucul ortamda uzun süre kalıcı, çok toksik etki
Ek etiket: d-Limonene → alerjik reaksiyon riski</t>
  </si>
  <si>
    <t>Göz: En az 15 dk bol suyla yıka, lensleri çıkar, doktora başvur
Cilt: En az 15 dk bol suyla yıka, sabun kullan, giysileri temizle, doktora başvur
Yutma: Ağzı çalkala, kusturma yok, doktora başvur
Soluma: Açık havaya çıkar, semptom varsa doktora başvur</t>
  </si>
  <si>
    <t>Ürün yanıcı değildir
Söndürücüler: Ortama uygun (su spreyi, köpük, CO₂, toz)
Yanma ürünleri: CO, NOx, SOx, fosfor oksitleri</t>
  </si>
  <si>
    <t>Havalandırma sağla, soluma ve temas riskinden kaçın
Emici malzeme (kum, toprak, vermikülit) ile topla
Kanalizasyona ve suya karışmasını engelle</t>
  </si>
  <si>
    <t>Maruz kalma limitleri:
Sodyum hidroksit: 2 mg/m³
Propan-2-ol: 200 ppm (500 mg/m³)
Etanolamin: 3 ppm (STEL)
KKD:
Göz/yüz: Emniyet gözlüğü, yüz siperi
Eldiven: Nitril kauçuk (≥0.4 mm), butil kauçuk (≥0.7 mm), dayanıklılık 1–4 saat
Giysi: Koruyucu iş elbisesi, ayakkabı
Solunum: Havalandırma yetersizse uygun solunum maskesi</t>
  </si>
  <si>
    <t>Görünüm: Sıvı
Renk: Renksiz veya menekşe rengi
Koku: Amonyak içerir
pH: 12–14
Çözünürlük: Suda çözünür
Parlama noktası: Yok</t>
  </si>
  <si>
    <t>Normal koşullarda stabil
Kaçınılması gereken: Asitler, metaller, alüminyum, hafif çelik
Zararlı bozunma ürünleri: CO, NOx, SOx, fosfor oksitleri</t>
  </si>
  <si>
    <t>Göz: Ciddi göz hasarı, kızarıklık, ağrı
Cilt: Ciddi yanık, kızarıklık, ağrı
Yutma: Sindirim borusunda yanma, karın ağrısı
Soluma: Solunum yolları tahrişi, öksürük
Kronik maruz kalma: Normal kullanımda bilinen zarar yok</t>
  </si>
  <si>
    <t>Atıklar suya/toprağa karışmamalı
Geri dönüşüm tercih edilmeli, mümkün değilse onaylı bertaraf tesislerinde imha edilmeli
Boş kaplar geri dönüşüm veya bertaraf için gönderilmeli</t>
  </si>
  <si>
    <t>FLOORDRESS M-600</t>
  </si>
  <si>
    <t>Belirlenmiş kullanım: Mermer cilası
Kullanım kısıtlaması: Yalnızca profesyonel kullanım için</t>
  </si>
  <si>
    <t>Magnezyum hekzaflorosilikat (CAS 18972-56-0): %15–30
Xn; R22 → Yutulması halinde sağlığa zararlı
Xi; R36/38 → Gözleri ve cildi tahriş edici
Diğer: boya</t>
  </si>
  <si>
    <t>Sınıflandırma: Xn (Zararlı), Xi (Tahriş edici)
R22: Yutulması halinde sağlığa zararlıdır
R36/38: Gözleri ve cildi tahriş eder</t>
  </si>
  <si>
    <t>Soluma: Temiz havaya çıkar, semptom varsa doktora başvur
Yutma: Kusturma yok, ağızı bol suyla çalkala, derhal doktora başvur
Cilt: Giysileri çıkar, en az 15 dk bol suyla yıka, doktora başvur
Göz: Bol suyla yıka, derhal doktora başvur</t>
  </si>
  <si>
    <t>Söndürücüler: Köpük veya kuru kimyasal toz
İtfaiyeciler: Uygun koruyucu ekipman kullanmalı</t>
  </si>
  <si>
    <t>Çevreye yayılmasını, su ve toprağa karışmasını önle
Küçük döküntü: Su ile yıkayarak uzaklaştır
Büyük döküntü: Set çek, su kaynaklarıyla temasını engelle, uygun atık kabına aktar</t>
  </si>
  <si>
    <t>Kullanım: Göz, cilt ve elbiselerle temasından kaçın, yutma yok
Depolama: Sıkı kapatılmış ambalajda, serin ve kuru yerde, yiyecek ve içeceklerden ayrı</t>
  </si>
  <si>
    <t>Maruz kalma limiti: Belirtilmemiş
KKD:
Solunum: Gerekirse uygun maske
Eldiven: Koruyucu eldiven
Göz: Emniyet gözlüğü
Giysi: Koruyucu önlük</t>
  </si>
  <si>
    <t>Görünüm: Sıvı
Renk: Sarı
Koku: Karakteristik
pH: 1.5–2.5 (asitik)
Yoğunluk: 1.11 g/cm³ (20 °C)</t>
  </si>
  <si>
    <t>Normal şartlarda stabil
Kaçınılması gereken: Alkaliler (reaksiyona girer), diğer ürünlerle karıştırma</t>
  </si>
  <si>
    <t>Soluma: Bilinen ciddi etkisi yok
Yutma: Sağlığa zararlı
Cilt: Tahriş edici
Göz: Tahriş edici
Kanserojenite, mutajenite, üreme toksisitesi: Yok</t>
  </si>
  <si>
    <t>Atıklar geçerli yönetmeliklere uygun bertaraf edilmeli
Ürün mümkünse tamamen tüketilmeli</t>
  </si>
  <si>
    <t>FLOORDRESS R-400     TR-TR-116794E-</t>
  </si>
  <si>
    <t>Belirlenmiş kullanım: Zemin bakım ürünü, cila/emprenye edici (manuel işlem)
Kullanım kısıtlaması: Yalnızca sanayi ve profesyonel kullanım için</t>
  </si>
  <si>
    <t>Yağalkolü etoksilatlar (C15 ≤, 5EO ≤): %1–2.5 → H400, H318, H315
İzotiyazolinon karışımı (CMIT/MIT, 3:1): %0.0015–0.06 → H301, H311, H314, H317, H331, H400, H410
E-caprolactam: %0.25–0.5 → H302, H332, H315, H319, H335</t>
  </si>
  <si>
    <t>H317: Alerjik cilt reaksiyonlarına yol açar
H319: Ciddi göz tahrişine yol açar
Ek etiket: İzotiyazolinon karışımı → alerjik reaksiyon riski</t>
  </si>
  <si>
    <t>Göz: En az 15 dk bol suyla yıka, lensleri çıkar, doktora başvur
Cilt: En az 15 dk bol suyla yıka, sabun kullan, giysileri temizle, doktora başvur
Yutma: Ağzı çalkala, semptom varsa doktora başvur
Soluma: Semptom varsa doktora başvur</t>
  </si>
  <si>
    <t>Kullanım: Deri ve göz temasından kaçın, havalandırma sağla, KKD kullan
Depolama: Çocuklardan uzak tut, orijinal ambalajında, 0–50 °C arası</t>
  </si>
  <si>
    <t>Maruz kalma limiti:
E-caprolactam: TWA 10 mg/m³, STEL 40 mg/m³
KKD:
Göz/yüz: Yan siperli güvenlik gözlüğü
Eldiven: Nitril veya butil kauçuk (≥0.4–0.7 mm), dayanıklılık 1–4 saat
Giysi: Göreve uygun koruyucu kıyafet
Solunum: Havalandırma yetersizse uygun solunum maskesi</t>
  </si>
  <si>
    <t>Görünüm: Emülsiyon
Renk: Süt beyazı
Koku: Çiçeksi
pH: 8.1–9.2
Parlama noktası: Yok</t>
  </si>
  <si>
    <t>Normal koşullarda stabil
Zararlı bozunma ürünleri: CO, NOx, SOx, fosfor oksitleri</t>
  </si>
  <si>
    <t>Göz: Ciddi tahriş
Cilt: Alerjik reaksiyon riski
Yutma: Normal kullanımda bilinen ciddi etki yok
Soluma: Normal kullanımda bilinen ciddi etki yok
İzotiyazolinon karışımı: LD50 oral sıçan = 457 mg/kg, LC50 inhalasyon sıçan = 0.33 mg/l, LD50 dermal tavşan = 660 mg/kg</t>
  </si>
  <si>
    <t>FLOORDRESS T-500     TR-TR-116778E-</t>
  </si>
  <si>
    <t>Belirlenmiş kullanım: Zemin temizleme ürünü (spreyleme ve silme, manuel işlem)
Kullanım kısıtlaması: Yalnızca sanayi ve profesyonel kullanım için</t>
  </si>
  <si>
    <t>Diphosphoric acid, tetrapotassium salt: %10–20 → H319 (Göz tahrişi)
Sodyum kümensülfonat: %5–10 → H319 (Göz tahrişi)
Yağalkolü etoksilatlar (C15 ≤, 5EO ≤): %1–2.5 → H400, H318, H315</t>
  </si>
  <si>
    <t>H319: Ciddi göz tahrişine yol açar
Ek etiket: d-Limonene (parfüm bileşeni) → alerjik reaksiyon riski</t>
  </si>
  <si>
    <t>Göz: En az 15 dk bol suyla yıka, lensleri çıkar, doktora başvur
Cilt: Bol suyla yıka
Yutma: Ağzı çalkala, semptom varsa doktora başvur
Soluma: Semptom varsa doktora başvur</t>
  </si>
  <si>
    <t>Kullanım: Deri ve göz temasından kaçın, havalandırma sağla
Depolama: Çocuklardan uzak tut, orijinal ambalajında, -25 °C ile +40 °C arası</t>
  </si>
  <si>
    <t>Maruz kalma limiti: Yok
KKD:
Göz/yüz: Yan siperli güvenlik gözlüğü
Eldiven: Normalde gerekmez
Giysi: Normalde gerekmez
Solunum: Havalandırma yetersizse uygun solunum maskesi</t>
  </si>
  <si>
    <t>Görünüm: Sıvı
Renk: Renksiz veya sarı
Koku: Parfüm/esans
pH: 10.5–11.5 (alkali)
Parlama noktası: Yok</t>
  </si>
  <si>
    <t>Göz: Ciddi tahriş
Cilt: Normal kullanımda bilinen ciddi etki yok
Yutma: Normal kullanımda bilinen ciddi etki yok
Soluma: Normal kullanımda bilinen ciddi etki yok
Bileşen örnekleri:
Diphosphoric acid, tetrapotassium salt: LD50 oral sıçan &gt;2000 mg/kg
Sodyum kümensülfonat: LD50 oral sıçan &gt;7000 mg/kg, LC50 inhalasyon &gt;770 mg/l
Yağalkolü etoksilatlar: LD50 dermal tavşan &gt;2000 mg/kg</t>
  </si>
  <si>
    <t>FLOORDRESS_E_210_Extra_Turkish (1)</t>
  </si>
  <si>
    <t>İzotiyazolinon karışımı (CMIT/MIT, 3:1): %0.0015–0.06 → H301, H311, H314, H317, H331, H400, H410
E-caprolactam: %0.25–0.5 → H302, H332, H315, H319, H335</t>
  </si>
  <si>
    <t>H317: Alerjik cilt reaksiyonlarına yol açar
Ek etiket: İzotiyazolinon karışımı → alerjik reaksiyon riski</t>
  </si>
  <si>
    <t>Göz: Bol suyla yıka
Cilt: En az 15 dk bol suyla yıka, sabun kullan, giysileri temizle, doktora başvur
Yutma: Ağzı çalkala, semptom varsa doktora başvur
Soluma: Semptom varsa doktora başvur</t>
  </si>
  <si>
    <t>Kullanım: Göz, cilt ve kıyafet temasından kaçın, havalandırma sağla
Depolama: Çocuklardan uzak tut, orijinal ambalajında, 0–50 °C arası</t>
  </si>
  <si>
    <t>Maruz kalma limiti:
E-caprolactam: TWA 10 mg/m³, STEL 40 mg/m³
KKD:
Göz/yüz: Normalde özel ekipman gerekmez
Eldiven: Nitril veya butil kauçuk (≥0.4–0.7 mm), dayanıklılık 1–4 saat
Giysi: Normalde özel ekipman gerekmez
Solunum: Havalandırma yetersizse uygun solunum maskesi</t>
  </si>
  <si>
    <t>Göz: Normal kullanımda bilinen ciddi etki yok
Cilt: Alerjik reaksiyon riski
Yutma: Normal kullanımda bilinen ciddi etki yok
Soluma: Normal kullanımda bilinen ciddi etki yok
İzotiyazolinon karışımı: LD50 oral sıçan = 457 mg/kg, LC50 inhalasyon sıçan = 0.33 mg/l, LD50 dermal tavşan = 660 mg/kg</t>
  </si>
  <si>
    <t>FLOORDRESS_E_210_Extra_Turkish (2)</t>
  </si>
  <si>
    <t>H317: Alerjik cilt reaksiyonlarına yol açar
Ek etiket: İzotiyazolinon karışımı → alerjik reaksiyon risk</t>
  </si>
  <si>
    <t>Görünüm: Sıvı
Renk: Opak, beyaz
Koku: Parfüm/esans
pH: 8.0–9.0
Parlama noktası: Yok</t>
  </si>
  <si>
    <t>FLOORDRESS_E_210_Extra_Turkish</t>
  </si>
  <si>
    <t>INCIDIN PRO- MSDS</t>
  </si>
  <si>
    <t>Belirlenmiş kullanım: Yüzey dezenfektanı, biyosit; manuel işlem, tıbbi alet dezenfeksiyonu
Kullanım kısıtlaması: Yalnızca sanayi ve profesyonel kullanım için</t>
  </si>
  <si>
    <t>Alkoller (CAS 122-99-6): %10–20 → H302, H319
1,3-Propanediamine, n-(3-aminopropyl)-n-dodecyl- (CAS 2372-82-9): %5–10 → H301, H314, H318, H400
Benzalkonyum klorür (CAS 68424-85-1): %5–10 → H302, H330, H314, H318, H400
Etanolamin (CAS 141-43-5): %1–2.5 → H302, H312, H332, H314, H335
C8-10 Poliglikosit (CAS 68515-73-1): %1–2.5 → H315, H318
Alkilpoliglikosidler (CAS 110615-47-9): %1–2.5 → H315, H318</t>
  </si>
  <si>
    <t>H302: Yutulması halinde zararlıdır
H314: Ciddi deri yanıkları ve göz hasarına neden olur
H400: Sudaki yaşam için çok zehirlidir</t>
  </si>
  <si>
    <t>Göz: En az 15 dk bol suyla yıka, lensleri çıkar, doktora başvur
Cilt: En az 15 dk bol suyla yıka, sabun kullan, doktora başvur
Yutma: Ağzı çalkala, kusturma yok, derhal doktora başvur
Soluma: Açık havaya çıkar, semptom varsa doktora başvur</t>
  </si>
  <si>
    <t>Kullanım: Yutma yok, göz ve cilt temasından kaçın, havalandırma sağla
Depolama: Çocuklardan uzak tut, orijinal ambalajında, 0–25 °C arası</t>
  </si>
  <si>
    <t>Maruz kalma limiti:
Etanolamin: TWA 1 ppm, STEL 3 ppm
KKD:
Göz/yüz: Emniyet gözlüğü, yüz siperi
Eldiven: Nitril veya butil kauçuk, su geçirmez eldiven
Giysi: Koruyucu kıyafet
Solunum: Havalandırma yetersizse uygun solunum maskesi</t>
  </si>
  <si>
    <t>Görünüm: Sıvı
Renk: Renksiz, açık sarı
Koku: Amin benzeri
pH: 10.5–11.0
Parlama noktası: &gt;100 °C
Yoğunluk: 1.001–1.007
Çözünürlük: Suda çözünür</t>
  </si>
  <si>
    <t>Göz: Ciddi hasar
Cilt: Ciddi yanıklar
Yutma: Zararlı, sindirim sisteminde yanma
Soluma: Solunum yollarında tahriş
Bileşen örnekleri:
Benzalkonyum klorür: LD50 oral sıçan = 344 mg/kg
Etanolamin: LD50 oral sıçan = 1089 mg/kg
1,3-Propanediamine: LD50 oral sıçan = 261 mg/kg</t>
  </si>
  <si>
    <t>Atıklar suya/toprağa karışmamalı
Geri dönüşüm tercih edilmeli, mümkün değilse onaylı bertaraf tesislerinde imha edilmeli
Boş kaplar geri dönüşüm veya bertaraf için gönderilmeli
Avrupa Atık Kodu: 200129* (Tehlikeli maddeler içeren deterjanlar)</t>
  </si>
  <si>
    <t>INTO      TR-TR-116744E-</t>
  </si>
  <si>
    <t>Belirlenmiş kullanım: Saniter alan temizlik ürünü (manuel işlem)
Kullanım kısıtlaması: Yalnızca sanayi ve profesyonel kullanım için</t>
  </si>
  <si>
    <t>Sulphamidic acid: %5–10 → H315, H319, H412
Yağalkolü etoksilatlar (C15 ≤, 5EO ≤): %5–10 → H302, H319
Ethanol: %1–2.5 → H225</t>
  </si>
  <si>
    <t>H314: Ciddi cilt yanıklarına ve göz hasarına yol açar
H318: Ciddi göz hasarı
Ek uyarı: Çamaşır suyu veya klor içeren ürünlerle karıştırıldığında klor gazı salınımı olur</t>
  </si>
  <si>
    <t>Göz: En az 15 dk bol suyla yıka, lensleri çıkar, doktora başvur
Cilt: En az 15 dk bol suyla yıka, sabun kullan, giysileri temizle, doktora başvur
Yutma: Ağzı çalkala, kusturma yok, bilinci kapalı kişiye ağızdan hiçbir şey verme, doktora başvur
Soluma: Açık havaya çıkar, semptom varsa doktora başvur</t>
  </si>
  <si>
    <t>Kullanım: Yutma yok, göz ve cilt temasından kaçın, havalandırma sağla
Depolama: Kuvvetli bazlardan ve klor bazlı ürünlerden uzak tut, orijinal ambalajında, 0–40 °C arası</t>
  </si>
  <si>
    <t>Maruz kalma limiti:
Ethanol: TWA 1000 ppm (1900 mg/m³)
KKD:
Göz/yüz: Emniyet gözlüğü, yüz siperi
Eldiven: Nitril veya butil kauçuk (≥0.4–0.7 mm), dayanıklılık 1–4 saat
Giysi: Koruyucu kıyafet
Solunum: Havalandırma yetersizse uygun solunum maskesi</t>
  </si>
  <si>
    <t>Görünüm: Sıvı
Renk: Renksiz, sarı
Koku: Parfüm/esans
pH: 0.5–1.0 (çok asidik)
Yoğunluk: 1.035–1.055
Parlama noktası: Yok</t>
  </si>
  <si>
    <t>Normal koşullarda stabil
Uyarı: Klor bazlı ağartıcılar ile karıştırıldığında klor gazı açığa çıkar
Zararlı bozunma ürünleri: CO, NOx, SOx, fosfor oksitleri</t>
  </si>
  <si>
    <t>Göz: Ciddi hasar
Cilt: Ciddi yanıklar
Yutma: Sindirim sisteminde yanma
Soluma: Solunum yollarında tahriş
Bileşen örnekleri:
Sulphamidic acid: LD50 oral sıçan = 3160 mg/kg
Yağalkolü etoksilatlar: LD50 oral sıçan = 1700 mg/kg
Ethanol: LD50 oral sıçan = 10470 mg/kg, LC50 inhalasyon sıçan = 117 mg/l</t>
  </si>
  <si>
    <t>Into_Maxx_Turkish</t>
  </si>
  <si>
    <t>Belirlenmiş kullanım: Saniter alan temizleme ürünü (manuel işlem, spreyleme ve silme)
Kullanım kısıtlaması: Yalnızca sanayi ve profesyonel kullanım için
Seyreltme bilgisi: %0.5–1.5</t>
  </si>
  <si>
    <t>Sulphamidic acid: %5–10 → H315, H319, H412
Seyreltilmiş ürün: Tehlikeli bileşen yok</t>
  </si>
  <si>
    <t>H318: Ciddi göz hasarına yol açar
Ek uyarı: Çamaşır suyu veya klor içeren ürünlerle karıştırıldığında klor gazı salınımı olur</t>
  </si>
  <si>
    <t>Göz: En az 15 dk bol suyla yıka, lensleri çıkar, doktora başvur
Cilt: Bol suyla yıka
Yutma: Ağzı çalkala, semptom varsa doktora başvur
Soluma: Açık havaya çıkar, semptom varsa doktora başvur
Seyreltilmiş ürün: Göz/cilt teması halinde bol suyla yıka, genelde ciddi etki yok</t>
  </si>
  <si>
    <t>Havalandırma sağla, soluma ve temas riskinden kaçın
Emici malzeme (kum, toprak, vermikülit) ile topla
Kanalizasyona ve suya karışmasını engelle
Seyreltilmiş ürün: Çevre için özel tedbir gerekmez</t>
  </si>
  <si>
    <t>Kullanım: Göz ve cilt temasından kaçın, havalandırma sağla, sprey buharını soluma
Depolama: Kuvvetli bazlardan uzak tut, orijinal ambalajında, 0–40 °C arası
Seyreltilmiş ürün: Çocuklardan uzak tut, kapalı ambalajda sakla</t>
  </si>
  <si>
    <t>Maruz kalma limiti: Yok
KKD (satılan ürün):
Göz/yüz: Emniyet gözlüğü, yüz siperi
Eldiven: Normalde gerekmez
Giysi: Normalde gerekmez
Solunum: Havalandırma yetersizse uygun solunum maskesi
Seyreltilmiş ürün: Özel koruyucu ekipman gerekmez</t>
  </si>
  <si>
    <t>Görünüm: Sıvı
Renk: Satılan ürün → renksiz/pembe; Seyreltilmiş → renksiz
Koku: Satılan ürün → az; Seyreltilmiş → kokusuz
pH: Satılan ürün → 0.5–1.5; Seyreltilmiş → 2.1–2.8
Yoğunluk: 1.054–1.064
Çözünürlük: Suda çözünür
Parlama noktası: Yok</t>
  </si>
  <si>
    <t>Normal koşullarda stabil
Uyarı: Klor bazlı ürünlerle karıştırıldığında klor gazı açığa çıkar
Zararlı bozunma ürünleri: CO, NOx, SOx, fosfor oksitleri</t>
  </si>
  <si>
    <t>Göz: Satılan ürün → ciddi hasar; Seyreltilmiş → bilinen ciddi etki yok
Cilt: Normal kullanımda ciddi etki yok
Yutma: Normal kullanımda ciddi etki yok
Soluma: Normal kullanımda ciddi etki yok
Bileşen örnekleri:
Sulphamidic acid: LD50 oral sıçan = 3160 mg/kg, LD50 dermal &gt;2000 mg/kg</t>
  </si>
  <si>
    <t>Satılan ürün: Geri dönüşüm tercih edilmeli, mümkün değilse onaylı bertaraf tesislerinde imha edilmeli
Seyreltilmiş ürün: Gidere boşaltılabilir
Boş kaplar geri dönüşüm veya bertaraf için gönderilmeli</t>
  </si>
  <si>
    <t>Oasis_Pro_Acid_Bath_Turkish</t>
  </si>
  <si>
    <t>Belirlenmiş kullanım: Saniter alan temizleme ürünü (spreyleme ve silme, manuel işlem)
Kullanım kısıtlaması: Yalnızca sanayi ve profesyonel kullanım için
Seyreltme bilgisi: %3.0–8.0</t>
  </si>
  <si>
    <t>Lactic acid: %30–50 → H315, H318
Citric acid monohydrate: %20–25 → H319
Alkoller, C13-15, etoksilatlı: %10–20 → H302, H315, H318, H400
Alkilaminoksitler: %0.25–0.5 → H315, H319, H400
Seyreltilmiş ürün: Lactic acid %2.5–3, Citric acid %1–2.5, Etoksilatlı alkoller %0.5–1</t>
  </si>
  <si>
    <t>H290: Metalleri aşındırabilir
H314: Ciddi cilt yanıklarına ve göz hasarına yol açar
H318: Ciddi göz hasarı
EUH071: Solunum yolunda aşınmaya yol açar
Ek uyarı: Çamaşır suyu veya klor içeren ürünlerle karıştırıldığında klor gazı salınımı olur</t>
  </si>
  <si>
    <t>Göz: En az 15 dk bol suyla yıka, lensleri çıkar, doktora başvur
Cilt: En az 15 dk bol suyla yıka, sabun kullan, doktora başvur
Yutma: Ağzı çalkala, kusturma yok, bilinci kapalı kişiye ağızdan hiçbir şey verme, doktora başvur
Soluma: Açık havaya çıkar, semptom varsa doktora başvur
Seyreltilmiş ürün: Göz/cilt teması halinde bol suyla yıka, genelde ciddi etki yok</t>
  </si>
  <si>
    <t>Kullanım: Yutma yok, göz ve cilt temasından kaçın, havalandırma sağla
Depolama: Kuvvetli bazlardan, alüminyum ve hafif çelikten uzak tut; orijinal ambalajında, -5–40 °C arası
Paketleme malzemesi: Plastik uygun, alüminyum ve hafif çelik uygun değil</t>
  </si>
  <si>
    <t>Maruz kalma limiti: Yok
KKD (satılan ürün):
Göz/yüz: Emniyet gözlüğü, yüz siperi
Eldiven: Nitril veya butil kauçuk (≥0.4–0.7 mm), dayanıklılık 1–4 saat
Giysi: Koruyucu kıyafet
Solunum: Havalandırma yetersizse uygun solunum maskesi
Seyreltilmiş ürün: Özel koruyucu ekipman gerekmez</t>
  </si>
  <si>
    <t>Görünüm: Sıvı
Renk: Satılan ürün → renksiz/pembe; Seyreltilmiş → açık pembe
Koku: Parfümlü
pH: Satılan ürün → 0.7–1.3; Seyreltilmiş → 2.1–2.5
Yoğunluk: 1.152–1.169
Çözünürlük: Suda çözünür
Parlama noktası: Yok</t>
  </si>
  <si>
    <t>Normal koşullarda stabil
Uyarı: Klor bazlı ürünlerle karıştırıldığında klor gazı açığa çıkar
Kaçınılması gereken maddeler: Alüminyum, hafif çelik
Zararlı bozunma ürünleri: CO, NOx, SOx, fosfor oksitleri</t>
  </si>
  <si>
    <t>Göz: Ciddi hasar
Cilt: Ciddi yanıklar
Yutma: Sindirim sisteminde yanma
Soluma: Solunum yollarında tahriş
Bileşen örnekleri:
Lactic acid: LD50 oral sıçan = 3543 mg/kg, LC50 inhalasyon sıçan = 7.94 mg/l
Citric acid: LD50 oral sıçan = 11700 mg/kg
Etoksilatlı alkoller: LD50 oral sıçan = 1250 mg/kg
Alkilaminoksitler: LD50 oral sıçan = 1495 mg/kg</t>
  </si>
  <si>
    <t>Oasis_Pro_Toilet_Turkish</t>
  </si>
  <si>
    <t>Belirlenmiş kullanım: Tuvalet temizleme ürünü (manuel işlem)
Kullanım kısıtlaması: Yalnızca sanayi ve profesyonel kullanım için
Seyreltme bilgisi: %1.0–8.0</t>
  </si>
  <si>
    <t>Fosforik asit: %50–100 → H314, H290
Alkilaminoksitler: %5–10 → H302, H315, H319, H400
2,2'-Oxybisethanol: %2.5–5 → H302, H372
Sodyum Ksilensülfonat: %1–2.5 → H319
Fatty alcohol ethoxylates &gt;5EO: %1–2.5 → H302, H318
Seyreltilmiş ürün: Fosforik asit %2.5–5, Alkilaminoksitler %0.25–0.5</t>
  </si>
  <si>
    <t>H290: Metalleri aşındırabilir
H314: Ciddi cilt yanıklarına ve göz hasarına yol açar
H318: Ciddi göz hasarı
Ek uyarı: Çamaşır suyu veya klor içeren ürünlerle karıştırıldığında klor gazı salınımı olur</t>
  </si>
  <si>
    <t>Kullanım: Yutma yok, göz ve cilt temasından kaçın, havalandırma sağla
Depolama: Kuvvetli bazlardan, alüminyum ve hafif çelikten uzak tut; orijinal ambalajında, 0–40 °C arası
Paketleme malzemesi: Plastik uygun, alüminyum ve hafif çelik uygun değil</t>
  </si>
  <si>
    <t>Maruz kalma limiti:
Fosforik asit: TWA 1 mg/m³, STEL 2 mg/m³
KKD (satılan ürün):
Göz/yüz: Emniyet gözlüğü, yüz siperi
Eldiven: Nitril veya butil kauçuk (≥0.4–0.7 mm), dayanıklılık 1–4 saat
Giysi: Koruyucu kıyafet
Solunum: Havalandırma yetersizse uygun solunum maskesi
Seyreltilmiş ürün: Özel koruyucu ekipman gerekmez</t>
  </si>
  <si>
    <t>Görünüm: Sıvı
Renk: Satılan ürün → renksiz/koyu mavi; Seyreltilmiş → mavi
Koku: Satılan ürün → hoş; Seyreltilmiş → parfümlü
pH: Satılan ürün → 0.1–0.5; Seyreltilmiş → 1.2–1.4
Yoğunluk: 1.4–1.5
Çözünürlük: Suda çözünür
Parlama noktası: Yok</t>
  </si>
  <si>
    <t>Göz: Ciddi hasar
Cilt: Ciddi yanıklar
Yutma: Sindirim sisteminde yanma
Soluma: Solunum yollarında tahriş
Bileşen örnekleri:
Fosforik asit: LD50 oral sıçan = 2600 mg/kg, LC50 inhalasyon sıçan = 0.962 mg/l
Alkilaminoksitler: LD50 oral sıçan = 1041 mg/kg
2,2'-Oxybisethanol: LD50 oral insan = 1120 mg/kg
Sodyum Ksilensülfonat: LD50 oral sıçan = 7000 mg/kg</t>
  </si>
  <si>
    <t>satılan ürün için geri dönüşüm veya onaylı bertaraf tesisi şart, seyreltilmiş ürün ise doğrudan gidere verilebiliyor.</t>
  </si>
  <si>
    <t>ORIX SOFT PARFUM    TR-TR-116896E-institutional</t>
  </si>
  <si>
    <t>Belirlenmiş kullanım: Çamaşır yardımcı ürünü (gazsız), manuel işlem
Kullanım kısıtlaması: Yalnızca sanayi ve profesyonel kullanım için</t>
  </si>
  <si>
    <t>Benzyl Salicylate: %0.25–0.5 → H317, H411
Alkoller (örn. phenylethanol): %0.3–0.5 → H312, H319, H361d
Parfüm bileşenleri: %0.25–0.5 → H400, H410
Çözücüler/katkı maddeleri: %0.1–0.25 → H302, H400, H410
Hexyl cinnamal: %0.1–0.25 → H317, H400, H410
Geraniol: %0.1–0.25 → H315, H318, H317
Hydroxyisohexyl 3-Cyclohexene Carboxaldehyde: %0.1–0.25 → H317, H412
2-(4-tert-Butylbenzyl) propionald-hyd: %0.1–0.25 → H302, H315, H319, H317, H361, H411
Eugenol: %0.1–0.25 → H315, H319, H317</t>
  </si>
  <si>
    <t>H412: Sucul ortamda uzun süre kalıcı, zararlı etki
Ek etiket: İçerdiği parfüm bileşenleri (Benzyl Salicylate, Hexyl cinnamal, Geraniol, vb.) → alerjik reaksiyon riski</t>
  </si>
  <si>
    <t>Göz: Bol suyla yıka
Cilt: Bol suyla yıka
Yutma: Ağzı çalkala, semptom varsa doktora başvur
Soluma: Semptom varsa doktora başvur</t>
  </si>
  <si>
    <t>Kullanım: Havalandırma sağla, temas sonrası elleri yıka
Depolama: Çocuklardan uzak tut, orijinal ambalajında, 5–40 °C arası</t>
  </si>
  <si>
    <t>Maruz kalma limiti: Yok
KKD:
Göz/yüz: Normalde özel ekipman gerekmez
Eldiven: Normalde özel ekipman gerekmez
Giysi: Normalde özel ekipman gerekmez
Solunum: Havalandırma yetersizse uygun solunum maskesi</t>
  </si>
  <si>
    <t>Görünüm: Sıvı
Renk: Renksiz, beyaz
Koku: Parfüm/esans
pH: 6.0–7.0
Parlama noktası: Yok</t>
  </si>
  <si>
    <t>Göz: Normal kullanımda bilinen ciddi etki yok
Cilt: Normal kullanımda bilinen ciddi etki yok
Yutma: Normal kullanımda bilinen ciddi etki yok
Soluma: Normal kullanımda bilinen ciddi etki yok
Bileşen örnekleri:
Benzyl Salicylate: LD50 oral sıçan = 3031 mg/kg
Hexyl cinnamal: LD50 oral sıçan = 3100 mg/kg
Geraniol: LD50 oral sıçan = 4200 mg/kg</t>
  </si>
  <si>
    <t>Atıklar suya/toprağa karışmamalı
Geri dönüşüm tercih edilmeli, mümkün değilse onaylı bertaraf tesislerinde imha edilmeli
Boş kaplar geri dönüşüm veya bertaraf için gönderilmeli
Boşalan kaplar tekrar kullanılmamalı
Atık kodu: Organik tehlikeli maddeler içeren atıklar</t>
  </si>
  <si>
    <t>PILAX      TR-TR-116749E-</t>
  </si>
  <si>
    <t>Belirlenmiş kullanım: Saniter alan temizleme ürünü (manuel işlem)
Kullanım kısıtlaması: Yalnızca sanayi ve profesyonel kullanım için</t>
  </si>
  <si>
    <t>Hidroklorik asit: %10–20 → H314, H335
Alkilamin etoksilatlar: %1–2.5 → H302, H315, H318, H400
Benzalkonyum klorür: %0.25–0.5 → H302, H314, H318, H400, H410</t>
  </si>
  <si>
    <t>H314: Ciddi cilt yanıklarına ve göz hasarına yol açar
H318: Ciddi göz hasarı
H335: Solunum yolu tahrişine yol açabilir
H412: Sucul ortamda uzun süre kalıcı zararlı etki
Ek uyarı: Çamaşır suyu veya klor içeren ürünlerle karıştırıldığında klor gazı salınımı olur</t>
  </si>
  <si>
    <t>Göz: En az 15 dk bol suyla yıka, lensleri çıkar, doktora başvur
Cilt: En az 15 dk bol suyla yıka, sabun kullan, doktora başvur
Yutma: Ağzı çalkala, kusturma yok, bilinci kapalı kişiye ağızdan hiçbir şey verme, doktora başvur
Soluma: Açık havaya çıkar, semptom varsa doktora başvur</t>
  </si>
  <si>
    <t>Kullanım: Yutma yok, göz ve cilt temasından kaçın, havalandırma sağla
Depolama: Kuvvetli bazlardan ve klor bazlı ürünlerden uzak tut; orijinal ambalajında, 0–40 °C arası</t>
  </si>
  <si>
    <t>Maruz kalma limiti:
Hidroklorik asit: TWA 5 ppm, STEL 10 ppm
KKD:
Göz/yüz: Emniyet gözlüğü, yüz siperi
Eldiven: Nitril veya butil kauçuk (≥0.4–0.7 mm), dayanıklılık 1–4 saat
Giysi: Koruyucu kıyafet
Solunum: Havalandırma yetersizse uygun solunum maskesi</t>
  </si>
  <si>
    <t>Görünüm: Sıvı
Renk: Mavi
Koku: Keskin
pH: 0.5–1.0 (çok asidik)
Parlama noktası: Yok</t>
  </si>
  <si>
    <t>Normal koşullarda stabil
Uyarı: Klor bazlı ürünlerle karıştırıldığında klor gazı açığa çıkar
Kaçınılması gereken maddeler: Klor bazlı ağartıcılar, bazlar, metaller
Zararlı bozunma ürünleri: CO, NOx, SOx, fosfor oksitleri</t>
  </si>
  <si>
    <t>Göz: Ciddi hasar
Cilt: Ciddi yanıklar
Yutma: Sindirim sisteminde yanma
Soluma: Solunum yollarında tahriş
Bileşen örnekleri:
Hidroklorik asit: LC50 inhalasyon sıçan = 3789 ppm
Alkilamin etoksilatlar: LD50 oral sıçan &gt;300 mg/kg
Benzalkonyum klorür: LD50 oral sıçan = 344 mg/kg</t>
  </si>
  <si>
    <t>Atıklar suya/toprağa karışmamalı
Geri dönüşüm tercih edilmeli, mümkün değilse onaylı bertaraf tesislerinde imha edilmeli
Boş kaplar geri dönüşüm veya bertaraf için gönderilmeli
Boşalan kaplar tekrar kullanılmamalı
Atık kodu: İnorganik tehlikeli maddeler içeren atıklar</t>
  </si>
  <si>
    <t>PREMY PROTECT ALKAMAX - SDS7404 - TR</t>
  </si>
  <si>
    <t>Belirlenmiş kullanım: Ağır kir ve cila sökücü
Kullanım kısıtlaması: Yalnızca sanayi ve profesyonel kullanım için</t>
  </si>
  <si>
    <t>2-bütoksietanol: %10–20 → H302, H312, H332, H315, H319
D-glukopiranoz, oligomerler, desil oktil glikozitler: %5–10 → H318
2-aminoetanol: %1–5 → H302, H312, H332, H314, H318, H335
Tetrapotasyum pirofosfat: %1–5 → H319
Sodyum hidroksit: %1–5 → H314
Amonyak (susuz): &lt;%1 → H221, H331, H314, H400
Bakır sülfat pentahidrat: &lt;%1 → H302, H318, H400, H410
Bronopol: &lt;%0.02 → H302, H312, H315, H318, H335, H400
CMIT/MIT (izotiazolinon karışımı): &lt;%0.02 → H301, H310, H330, H314, H318, H317, H400, H410</t>
  </si>
  <si>
    <t>H314: Ciddi cilt yanıklarına ve göz hasarına yol açar
H318: Ciddi göz hasarı
H412: Sucul ortamda uzun süre kalıcı, zararlı etki
EUH208: İzotiazolinon içerir → alerjik reaksiyon riski</t>
  </si>
  <si>
    <t>Göz: Hemen bol suyla yıka, lensleri çıkar, en az 10 dk yıka, doktora başvur
Cilt: Hemen bol suyla yıka, giysileri çıkar, en az 15 dk yıka, doktora başvur
Yutma: Ağzı çalkala, su veya süt içir, kusturma yok, doktora başvur
Soluma: Açık havaya çıkar, rahat pozisyonda tut, gerekirse oksijen ver, doktora başvur</t>
  </si>
  <si>
    <t>Ürün alevlenir değildir
Söndürücüler: Alkole dirençli köpük, CO₂, kuru toz, su sisi
Yanma ürünleri: Çok toksik veya aşındırıcı gazlar (ör. amonyak, aşındırıcı buharlar)</t>
  </si>
  <si>
    <t>Koruyucu giysi ve solunum ekipmanı kullan
Kanalizasyona ve suya karışmasını engelle
Küçük döküntüler: Topla
Büyük döküntüler: Yanıcı olmayan emici maddeye emdir, kapalı kaplarda bertaraf et
Alanı bol suyla yıka, asitle nötralize et (ısı açığa çıkabilir)</t>
  </si>
  <si>
    <t>Kullanım: Koruyucu ekipman olmadan elleçleme yok, boş kapları tekrar kullanma
Depolama: Asitlerden, fenollerden, kresollerden uzak tut; orijinal ambalajında, serin ve havalandırmalı ortamda sakla
Depolama sınıfı: Aşındırıcı depolama</t>
  </si>
  <si>
    <t>Maruz kalma limitleri:
2-bütoksietanol: TWA 20 ppm, STEL 50 ppm
2-aminoetanol: TWA 1 ppm, STEL 3 ppm
Sodyum hidroksit: TWA 2 mg/m³
Amonyak: TWA 25 ppm, STEL 35 ppm
KKD:
Göz/yüz: Kimyasal sıçramalara karşı gözlük veya yüz siperi
Eldiven: Kimyasala dirençli, su geçirmez eldivenler (EN 374)
Giysi: Kimyasala dirençli koruyucu giysi
Solunum: Yetersiz havalandırmada uygun solunum cihazı</t>
  </si>
  <si>
    <t>Görünüm: Şeffaf, akışkan sıvı
Renk: Mor
pH: &gt;13 (çok bazik, aşındırıcı)
Çözünürlük: Suda çözünür</t>
  </si>
  <si>
    <t>Normal koşullarda stabil
Kaçınılması gereken maddeler: Asitler, asit anhidritler, fenoller, kresoller
Zararlı bozunma ürünleri: Aşındırıcı gazlar veya buharlar</t>
  </si>
  <si>
    <t>Göz: Ciddi hasar
Cilt: Ciddi yanıklar
Yutma: Kimyasal yanıklar, mide ağrısı, bulantı, kusma
Soluma: Burun ve boğazda şiddetli tahriş, solunum yollarında aşınma
ATE değerleri: Oral ≈ 10,296 mg/kg; Dermal ≈ 8,598 mg/kg; Buhar ≈ 76 mg/l</t>
  </si>
  <si>
    <t>Atıklar suya/toprağa karışmamalı
Küçük döküntüler toplanmalı, büyük döküntüler emici malzeme ile alınmalı
Geri dönüşüm tercih edilmeli, mümkün değilse onaylı bertaraf tesislerinde imha edilmeli
Boş kaplar geri dönüşüm veya bertaraf için gönderilmeli, tekrar kullanılmamalı</t>
  </si>
  <si>
    <t>PREMY PROTECT BATHCARE - SDS7355 - TR</t>
  </si>
  <si>
    <t>Belirlenmiş kullanım: Banyo ve tuvalet temizleyici
Kullanım kısıtlaması: Yalnızca sanayi ve profesyonel kullanım için, kişisel temizlik için kullanılmaz</t>
  </si>
  <si>
    <t>ECODAC KR 8: %10–20 → H302, H318
Sülfamid asit: %10–20 → H315, H319, H412
Fosforik asit: %5–10 → H290, H302, H314, H318
Propan-2-ol (izopropanol): %1–5 → H225, H319, H336
Metanol: &lt;%1 → H225, H301, H311, H331, H370
CMIT/MIT (izotiazolinon karışımı): &lt;%0.02 → H301, H310, H330, H314, H318, H317, H400, H410</t>
  </si>
  <si>
    <t>H314: Ciddi cilt yanıklarına ve göz hasarına yol açar
H318: Ciddi göz hasarı
EUH208: İzotiazolinon içerir → alerjik reaksiyon riski
Ek uyarı: Alkaliler ve aminlerle uyumsuz</t>
  </si>
  <si>
    <t>Ürün alevlenir değildir
Söndürücüler: Alkole dirençli köpük, CO₂, kuru toz, su sisi
Yanma ürünleri: Çok toksik veya aşındırıcı gazlar</t>
  </si>
  <si>
    <t>Koruyucu giysi ve solunum ekipmanı kullan
Kanalizasyona ve suya karışmasını engelle
Küçük döküntüler: Topla
Büyük döküntüler: Yanıcı olmayan emici maddeye emdir, kapalı kaplarda bertaraf et
Alanı bol suyla yıka, alkali ile nötralize et (ısı açığa çıkabilir)</t>
  </si>
  <si>
    <t>Kullanım: Koruyucu ekipman olmadan elleçleme yok, boş kapları tekrar kullanma
Depolama: Alkaliler ve aminlerden uzak tut; orijinal ambalajında, kilit altında, serin ve havalandırmalı ortamda sakla
Depolama sınıfı: Aşındırıcı depolama</t>
  </si>
  <si>
    <t>Maruz kalma limitleri:
Fosforik asit: TWA 1 mg/m³, STEL 2 mg/m³
Metanol: TWA 200 ppm (260 mg/m³)
KKD:
Göz/yüz: Kimyasal sıçramalara karşı gözlük veya yüz siperi
Eldiven: Kimyasala dirençli, su geçirmez eldivenler (EN 374)
Giysi: Kimyasala dirençli koruyucu giysi
Solunum: Yetersiz havalandırmada uygun solunum cihazı</t>
  </si>
  <si>
    <t>Görünüm: Şeffaf, berrak sıvı
Renk: Kehribar rengi
pH: &lt;3 (çok asidik, aşındırıcı)
Çözünürlük: Suda çözünür</t>
  </si>
  <si>
    <t>Normal koşullarda stabil
Kaçınılması gereken maddeler: Alkaliler, aminler
Zararlı bozunma ürünleri: Aşındırıcı gazlar veya buharlar</t>
  </si>
  <si>
    <t>Göz: Ciddi hasar
Cilt: Ciddi yanıklar
Yutma: Kimyasal yanıklar, mide ağrısı, bulantı, kusma
Soluma: Burun ve boğazda şiddetli tahriş, solunum yollarında aşınma
ATE değerleri: Oral ≈ 9,697 mg/kg</t>
  </si>
  <si>
    <t>Atıklar suya/toprağa karışmamalı
Küçük döküntüler toplanmalı, büyük döküntüler emici malzeme ile alınmalı
Nötralize edilip bol suyla kanalizasyona verilebilir (yerel mevzuata uygun şekilde)
Boş kaplar geri dönüşüm veya bertaraf için gönderilmeli, tekrar kullanılmamalı</t>
  </si>
  <si>
    <t>PREMY PROTECT BRIGHTSTAR - SDS7571 - TR</t>
  </si>
  <si>
    <t>Belirlenmiş kullanım: Paslanmaz çelik yüzeyler için temizlik ve bakım ürünü
Kullanım kısıtlaması: Yalnızca sanayi ve profesyonel kullanım için</t>
  </si>
  <si>
    <t>Alfa-alumina: %15–30 → Zararlı değil
Alkol Etoksilat: %5–10 → H315, H318, H400
Lineer Alkil Benzen Sülfonat: &lt;%5 → H302, H314, H318, H412
Alkil Poliglikozit: %1–5 → H315, H318
2-bütoksietanol: &lt;%1 → H302, H312, H332, H315, H319
d-Limonene: &lt;%1 → H226, H315, H317, H400, H410</t>
  </si>
  <si>
    <t>H315: Cilt tahrişine yol açar
H318: Ciddi göz hasarına yol açar
EUH208: d-Limonene içerir → alerjik reaksiyon riski</t>
  </si>
  <si>
    <t>Göz: Hemen bol suyla yıka, lensleri çıkar, en az 10 dk yıka
Cilt: Bol suyla yıka, tahriş varsa doktora başvur
Yutma: Ağzı çalkala, kusturma yok, doktora başvur
Soluma: Açık havaya çıkar, rahat pozisyonda tut</t>
  </si>
  <si>
    <t>Ürün alevlenir değildir
Söndürücüler: Alkole dirençli köpük, CO₂, kuru toz, su sisi
Yanma ürünleri: Zararlı gazlar veya buharlar</t>
  </si>
  <si>
    <t>Koruyucu giysi ve solunum ekipmanı kullan
Kanalizasyona ve suya karışmasını engelle
Emici malzeme ile topla, kapalı kaplarda bertaraf et
Alanı bol suyla yıka, asitle nötralize et (ısı açığa çıkabilir)</t>
  </si>
  <si>
    <t>Kullanım: Koruyucu ekipman olmadan elleçleme yok, boş kapları tekrar kullanma
Depolama: Asitlerden uzak tut; orijinal ambalajında, serin ve havalandırmalı ortamda sakla
Depolama sınıfı: Asit reaktif depolama</t>
  </si>
  <si>
    <t>Maruz kalma limitleri:
Alfa-alumina: TWA 15 mg/m³ (toplam toz), 5 mg/m³ (solunabilir toz)
2-bütoksietanol: TWA 20 ppm, STEL 50 ppm
KKD:
Göz/yüz: Kimyasal sıçramalara karşı gözlük veya yüz siperi
Eldiven: Kimyasala dirençli, su geçirmez eldivenler (EN 374)
Giysi: Kimyasala dirençli koruyucu giysi
Solunum: Yetersiz havalandırmada uygun solunum cihazı</t>
  </si>
  <si>
    <t>Görünüm: Viskoz sıvı
Renk: Beyaz, opak
pH: 4.0–5.0 (seyreltik çözelti)
Yoğunluk: 1.5 g/ml @20 °C
Çözünürlük: Suda çözünür</t>
  </si>
  <si>
    <t>Normal koşullarda stabil
Kaçınılması gereken maddeler: Asit anhidritler, asitler, fenoller, kresoller
Zararlı bozunma ürünleri: Zararlı gazlar veya buharlar</t>
  </si>
  <si>
    <t>Göz: Ciddi tahriş
Cilt: Tahriş, kızarıklık
Yutma: Tahriş edici
Soluma: Yüksek konsantrasyonlarda solunum sistemi hasarı
ATE değerleri: Oral ≈ 73,500 mg/kg</t>
  </si>
  <si>
    <t>Atıklar suya/toprağa karışmamalı
Küçük döküntüler toplanmalı, büyük döküntüler emici malzeme ile alınmalı
Geri dönüştürülemeyen ürünler lisanslı bertaraf tesislerinde imha edilmeli
Boş kaplar temizlenmeli, tekrar kullanılmamalı</t>
  </si>
  <si>
    <t>PREMY PROTECT CLEANSHINE - SDS7515 - TR</t>
  </si>
  <si>
    <t>Belirlenmiş kullanım: Polimer bazlı sert zemin cilası
Kullanım kısıtlaması: Yalnızca sanayi ve profesyonel kullanım için</t>
  </si>
  <si>
    <t>Alcohols, C12-14, ethoxylated: %1–5 → H400, H412
Propan-2-ol (izopropanol): %1–5 → H225, H319, H336
Triizobütil fosfat: &lt;%0.2 → H317
CMIT/MIT (izotiazolinon karışımı): &lt;%0.02 → H301, H310, H330, H314, H318, H317, H400, H410</t>
  </si>
  <si>
    <t>EUH208: Triizobütil fosfat ve CMIT/MIT içerir → alerjik reaksiyon riski
Genel sınıflandırma: Fiziksel, sağlık ve çevresel zarar açısından zararlı olarak sınıflandırılmamış</t>
  </si>
  <si>
    <t>Göz: Hemen bol suyla yıka
Cilt: Su ile yıka, uzun süreli temas kuruluk yapabilir
Yutma: Ağzı çalkala, kusturma yok, semptom varsa doktora başvur
Soluma: Açık havaya çıkar, rahat pozisyonda tut</t>
  </si>
  <si>
    <t>Koruyucu giysi kullan
Kanalizasyona ve suya karışmasını engelle
Emici malzeme ile topla, kapalı kaplarda bertaraf et
Alanı bol suyla yıka</t>
  </si>
  <si>
    <t>KKD:
Göz/yüz: Kimyasal sıçramalara karşı gözlük veya yüz siperi
Eldiven: Kimyasala dirençli, su geçirmez eldivenler (EN 374)
Giysi: Kimyasala dirençli koruyucu giysi
Solunum: Yetersiz havalandırmada uygun solunum cihazı</t>
  </si>
  <si>
    <t>Görünüm: Opak sıvı
Renk: Beyaz
pH: 8.5–10.0 (hafif bazik)
Çözünürlük: Suda çözünür
Katı madde oranı: %15–17</t>
  </si>
  <si>
    <t>Göz: Geçici tahriş yapabilir
Cilt: Uzun süreli temas kuruluk yapabilir
Yutma: Gastrointestinal semptomlar (mide bozulması, bulantı)
Soluma: Yüksek konsantrasyonlarda solunum sistemi hasarı
Genel sınıflandırma: Zararlı olarak sınıflandırılmamış</t>
  </si>
  <si>
    <t>Atıklar suya/toprağa karışmamalı
Geri dönüştürülemeyen ürünler lisanslı bertaraf tesislerinde imha edilmeli
Boş kaplar temizlenmeli, tekrar kullanılmamalı</t>
  </si>
  <si>
    <t>PREMY PROTECT FRESH CLEAN - SDS7410 - TR</t>
  </si>
  <si>
    <t>Belirlenmiş kullanım: Genel temizlik ürünü / yüzey temizleyici
Kullanım kısıtlaması: Yalnızca sanayi ve profesyonel kullanım için, kişisel temizlik için kullanılmaz</t>
  </si>
  <si>
    <t>Propan-2-ol (izopropanol): %5–10 → H225, H319, H336
Benzenesülfonik asit türevleri: %1–5 → H302, H314, H318, H412
ECODAC KR 8: %1–5 → H302, H318
Butil Diglikol Eter: %1–5 → H319
Sodyum hidroksit: &lt;%1 → H314
Bronopol: &lt;%0.02 → H302, H312, H315, H318, H335, H400
CMIT/MIT (izotiazolinon karışımı): &lt;%0.02 → H301, H310, H330, H314, H318, H317, H400, H410</t>
  </si>
  <si>
    <t>H314: Ciddi cilt yanıklarına ve göz hasarına yol açar
H318: Ciddi göz hasarı
EUH208: İzotiazolinon içerir → alerjik reaksiyon riski</t>
  </si>
  <si>
    <t>Maruz kalma limitleri:
Sodyum hidroksit: TWA 2 mg/m³
Butil Diglikol Eter: TWA 10 ppm, STEL 15 ppm
KKD:
Göz/yüz: Kimyasal sıçramalara karşı gözlük veya yüz siperi
Eldiven: Kimyasala dirençli, su geçirmez eldivenler (EN 374)
Giysi: Kimyasala dirençli koruyucu giysi
Solunum: Yetersiz havalandırmada uygun solunum cihazı</t>
  </si>
  <si>
    <t>Görünüm: Berrak sıvı
Renk: Mavi
pH: 7.0–9.0 (hafif bazik)
Çözünürlük: Suda çözünür</t>
  </si>
  <si>
    <t>Normal koşullarda stabil
Kaçınılması gereken maddeler: Asit anhidritler, asitler, fenoller, kresoller
Zararlı bozunma ürünleri: Çok toksik veya aşındırıcı gazlar</t>
  </si>
  <si>
    <t>Göz: Ciddi hasar
Cilt: Ciddi yanıklar
Yutma: Kimyasal yanıklar, mide ağrısı, bulantı, kusma
Soluma: Burun ve boğazda şiddetli tahriş, solunum yollarında aşınma
ATE değerleri: Oral ≈ 22,924 mg/kg</t>
  </si>
  <si>
    <t>PREMY PROTECT NEUCARE - SDS7374 - TR</t>
  </si>
  <si>
    <t>Belirlenmiş kullanım: Nötr zemin temizleme ürünü
Kullanım kısıtlaması: Yalnızca sanayi ve profesyonel kullanım için, kişisel temizlik için kullanılmaz</t>
  </si>
  <si>
    <t>ECODAC KR 8: %5–10 → H302, H318
Propan-2-ol (izopropanol): %1–5 → H225, H319, H336
Disodyum tetraborat dekahidrat: &lt;%1 → H360FD (üreme sistemi toksisitesi, yüksek konsantrasyonda)
Bronopol: &lt;%0.02 → H302, H312, H315, H318, H335, H400
CMIT/MIT (izotiazolinon karışımı): &lt;%0.02 → H301, H310, H330, H314, H318, H317, H400, H410</t>
  </si>
  <si>
    <t>H318: Ciddi göz hasarına yol açar
EUH208: İzotiazolinon içerir → alerjik reaksiyon riski</t>
  </si>
  <si>
    <t>Göz: Hemen bol suyla yıka, lensleri çıkar, en az 10 dk yıka, doktora başvur
Cilt: En az 10 dk suyla yıka, tahriş varsa doktora başvur
Yutma: Ağzı çalkala, kusturma yok, doktora başvur
Soluma: Açık havaya çıkar, rahat pozisyonda tut</t>
  </si>
  <si>
    <t>Koruyucu giysi ve solunum ekipmanı kullan
Kanalizasyona ve suya karışmasını engelle
Küçük döküntüler: Topla
Büyük döküntüler: Emici malzeme ile al, kapalı kaplarda bertaraf et
Alanı bol suyla yıka</t>
  </si>
  <si>
    <t>Kullanım: Koruyucu ekipman olmadan elleçleme yok, boş kapları tekrar kullanma
Depolama: Asitlerden uzak tut; orijinal ambalajında, serin ve havalandırmalı ortamda sakla
Depolama sınıfı: Aşındırıcı depolama</t>
  </si>
  <si>
    <t>Görünüm: Şeffaf sıvı
Renk: Yeşil
pH: 7.0–9.0 (nötr–hafif bazik)
Çözünürlük: Suda çözünür</t>
  </si>
  <si>
    <t>Normal koşullarda stabil
Kaçınılması gereken maddeler: Asit anhidritler, asitler, fenoller, kresoller
Zararlı bozunma ürünleri: Aşındırıcı gazlar veya buharlar</t>
  </si>
  <si>
    <t>Göz: Ciddi hasar
Cilt: Yanık ve tahriş riski
Yutma: Kimyasal yanıklar, mide ağrısı, bulantı, kusma
Soluma: Solunum yollarında aşınma, burun ve boğazda tahriş
ATE değerleri: Oral ≈ 40,000 mg/kg</t>
  </si>
  <si>
    <t>Atıklar suya/toprağa karışmamalı
Küçük döküntüler toplanmalı, büyük döküntüler emici malzeme ile alınmalı
Boş kaplar temizlenmeli, tekrar kullanılmamalı
Atıklar uygun kaplarda toplanıp etiketlenmeli, lisanslı bertaraf tesislerine gönderilmeli</t>
  </si>
  <si>
    <t>PREMY PROTECT ULTIMATE SC20 - SDS7476 - TR</t>
  </si>
  <si>
    <t>Belirlenmiş kullanım: Yüksek konsantre cam temizleme ürünü
Kullanım kısıtlaması: Yalnızca sanayi ve profesyonel kullanım için</t>
  </si>
  <si>
    <t>Etanol: %10–20 → H225 (alevlenir sıvı)
Docusate sodium: %1–5 → H315, H318
Bronopol: &lt;%0.2 → H302, H312, H315, H318, H335, H400
CMIT/MIT (izotiazolinon karışımı): &lt;%0.02 → H301, H310, H330, H314, H318, H317, H400, H410
İzoöjenol: &lt;%0.01 → H317</t>
  </si>
  <si>
    <t>H319: Ciddi göz tahrişine yol açar
H317: Alerjik cilt reaksiyonlarına yol açabilir
H412: Sucul ortamda uzun süre kalıcı, zararlı etki</t>
  </si>
  <si>
    <t>Göz: Hemen bol suyla yıka, lensleri çıkar, en az 10 dk yıka
Cilt: Su ve sabunla yıka, hassas kişilerde alerjik reaksiyon riski
Yutma: Ağzı çalkala, kusturma yok, doktora başvur
Soluma: Açık havaya çıkar, rahat pozisyonda tut</t>
  </si>
  <si>
    <t>Ürün alevlenir değildir (etanol içerir, yanıcı buhar riski)
Söndürücüler: Alkole dirençli köpük, CO₂, kuru toz, su sisi
Yanma ürünleri: Zararlı gazlar veya buharlar</t>
  </si>
  <si>
    <t>Koruyucu giysi ve solunum ekipmanı kullan
Kanalizasyona ve suya karışmasını engelle
Küçük döküntüler: Topla
Büyük döküntüler: Emici malzeme ile al, kapalı kaplarda bertaraf et
Alanı bol suyla yıka
Çevre için tehlikeli → kanalizasyona boşaltma yok</t>
  </si>
  <si>
    <t>Kullanım: Koruyucu ekipman olmadan elleçleme yok, boş kapları tekrar kullanma
Depolama: Asitlerden uzak tut; orijinal ambalajında, serin ve havalandırmalı ortamda sakla
Depolama sınıfı: Çeşitli tehlikeli maddelerin depolanması</t>
  </si>
  <si>
    <t>Maruz kalma limitleri:
Etanol: TWA 1000 ppm (1920 mg/m³)
KKD:
Göz/yüz: Kimyasal sıçramalara karşı gözlük veya yüz siperi
Eldiven: Kimyasala dirençli, su geçirmez eldivenler (EN 374)
Giysi: Kimyasala dirençli koruyucu giysi
Solunum: Yetersiz havalandırmada uygun solunum cihazı</t>
  </si>
  <si>
    <t>Görünüm: Berrak sıvı
Renk: Mavi
pH: 7.0–9.0 (nötr–hafif bazik)
Çözünürlük: Suda çözünür</t>
  </si>
  <si>
    <t>Normal koşullarda stabil
Kaçınılması gereken durumlar: Uzun süre aşırı ısı
Kaçınılması gereken maddeler: Asitler, fenoller, kresoller
Zararlı bozunma ürünleri: Zararlı gazlar veya buharlar</t>
  </si>
  <si>
    <t>Göz: Ciddi tahriş
Cilt: Hassas kişilerde alerjik reaksiyon riski, uzun süreli temas kuruluk yapabilir
Yutma: Gastrointestinal semptomlar, hassas kişilerde alerjik reaksiyon riski
Soluma: Yüksek konsantrasyonlarda solunum sistemi hasarı
IARC: Kansere neden olabilecek madde içerir (Grup 1, insanlar için kanserojen)</t>
  </si>
  <si>
    <t>PREMY PROTECT ULTIMATE SC30 - SDS7585 - TR</t>
  </si>
  <si>
    <t>Belirlenmiş kullanım: Yüksek konsantre asidik banyo temizleme ürünü
Kullanım kısıtlaması: Yalnızca sanayi ve profesyonel kullanım için, kişisel temizlik için kullanılmaz</t>
  </si>
  <si>
    <t>Laktik asit: %40–60 → H315, H318
Alcohols, C12-18, ethoxylated: %10–20 → H302, H318
N,N-dimethyltetradecylamine N-oxide: &lt;%1 → H302, H315, H318, H400, H411
Bronopol: &lt;%0.2 → H302, H312, H315, H318, H335, H400
CMIT/MIT (izotiazolinon karışımı): &lt;%0.02 → H301, H310, H330, H314, H318, H317, H400, H410</t>
  </si>
  <si>
    <t>H315: Cilt tahrişine yol açar
H318: Ciddi göz hasarına yol açar
H317: Alerjik cilt reaksiyonlarına yol açabilir
H412: Sucul ortamda uzun süre kalıcı, zararlı etki</t>
  </si>
  <si>
    <t>Göz: Hemen bol suyla yıka, lensleri çıkar, en az 10 dk yıka, doktora başvur
Cilt: Su ve sabunla yıka, tahriş varsa doktora başvur
Yutma: Ağzı çalkala, kusturma yok, doktora başvur
Soluma: Açık havaya çıkar, rahat pozisyonda tut</t>
  </si>
  <si>
    <t>Koruyucu giysi ve solunum ekipmanı kullan
Kanalizasyona ve suya karışmasını engelle
Küçük döküntüler: Topla
Büyük döküntüler: Emici malzeme ile al, kapalı kaplarda bertaraf et
Alanı bol suyla yıka, alkali ile nötralize et (ısı açığa çıkabilir)
Çevre için tehlikeli → kanalizasyona boşaltma yok</t>
  </si>
  <si>
    <t>Kullanım: Koruyucu ekipman olmadan elleçleme yok, boş kapları tekrar kullanma
Depolama: Alkaliler ve aminlerden uzak tut; orijinal ambalajında, serin ve havalandırmalı ortamda sakla
Depolama sınıfı: Asitler</t>
  </si>
  <si>
    <t>Görünüm: Berrak sıvı
Renk: Pembe
pH: 1.0–3.0 (çok asidik, aşındırıcı)
Çözünürlük: Suda çözünür</t>
  </si>
  <si>
    <t>Normal koşullarda stabil
Kaçınılması gereken maddeler: Alkaliler, aminler
Zararlı bozunma ürünleri: Zararlı gazlar veya buharlar</t>
  </si>
  <si>
    <t>Göz: Ciddi hasar
Cilt: Tahriş ve alerjik reaksiyon riski
Yutma: Tahriş edici, hassas kişilerde alerjik reaksiyon riski
Soluma: Yüksek konsantrasyonlarda solunum sistemi hasarı
ATE değerleri: Oral ≈ 2,717 mg/kg</t>
  </si>
  <si>
    <t>PREMY PROTECT ULTIMATE SC50 - SDS7621 - TR</t>
  </si>
  <si>
    <t>Belirlenmiş kullanım: Yüksek konsantre tuvalet temizleme ürünü
Kullanım kısıtlaması: Yalnızca tasarlanan amaç için kullanılır</t>
  </si>
  <si>
    <t>Fosforik asit: %40–60 → H290, H302, H314, H318
Ethanol, 2,2'-iminobis-, N-tallow alkyl derivs., N-oxides: %10–20 → H226, H315, H319, H400, H410
Dietilen glikol: %5–10 → H302
Sodyum ksilen sülfonat: %1–5 → H315, H319
Hexan-1-ol, ethoxylated: %1–5 → H302, H315, H319</t>
  </si>
  <si>
    <t>H290: Metalleri aşındırabilir
H302: Yutulması halinde zararlıdır
H314: Ciddi cilt yanıklarına ve göz hasarına yol açar
H318: Ciddi göz hasarı
H400/H410: Sucul ortamda uzun süre kalıcı, çok toksik etki</t>
  </si>
  <si>
    <t>Göz: Hemen bol suyla yıka, lensleri çıkar, en az 10 dk yıka, doktora başvur
Cilt: Su ve sabunla yıka, ciddi yanık riski → doktora başvur
Yutma: Ağzı çalkala, kusturma yok, doktora başvur
Soluma: Açık havaya çıkar, rahat pozisyonda tut</t>
  </si>
  <si>
    <t>Kullanım: Koruyucu ekipman olmadan elleçleme yok, boş kapları tekrar kullanma
Depolama: Alkaliler ve aminlerden uzak tut; kilit altında, orijinal ambalajında sakla
Depolama sınıfı: Asitler</t>
  </si>
  <si>
    <t>Görünüm: Sıvı
Renk: Koyu mavi
pH: &lt;2.0 (çok asidik, aşındırıcı)
Çözünürlük: Suda çözünür</t>
  </si>
  <si>
    <t>Göz: Ciddi hasar
Cilt: Yanık ve tahriş riski
Yutma: Zararlı, gastrointestinal semptomlar
Soluma: Baş ağrısı, bulantı, baş dönmesi, solunum sistemi hasarı
ATE değerleri: Oral ≈ 814 mg/kg</t>
  </si>
  <si>
    <t>Atıklar suya/toprağa karışmamalı
Küçük döküntüler toplanmalı, büyük döküntüler emici malzeme ile alınmalı
Geri dönüşüm uygun değilse yakma veya gömme yapılmalı
Boş kaplar temizlenmeli, tekrar kullanılmamalı</t>
  </si>
  <si>
    <t>PREMY PROTECT ULTIMATE SC80 - SDS7593 - TR</t>
  </si>
  <si>
    <t>Belirlenmiş kullanım: Yüksek konsantre hijyenik yüzey temizleme ürünü
Kullanım kısıtlaması: Yalnızca sanayi ve profesyonel kullanım için, kişisel temizlik için kullanılmaz</t>
  </si>
  <si>
    <t>Didesildimetilamonyum klorür: %5–10 → H301, H314, H400, H410
Quaternary ammonium compounds, benzyl-C12-14-alkyldimethyl, chlorides: %5–10 → H302, H314, H318, H410
D-Glucose, decyl octyl ethers, oligomeric: %5–10 → H315, H318
Etanol: %1–5 → H225</t>
  </si>
  <si>
    <t>H314: Ciddi cilt yanıklarına ve göz hasarına yol açar
H318: Ciddi göz hasarı
H411: Sucul ortamda uzun süre kalıcı, toksik etki</t>
  </si>
  <si>
    <t>Koruyucu giysi ve solunum ekipmanı kullan
Kanalizasyona ve suya karışmasını engelle
Küçük döküntüler: Topla
Büyük döküntüler: Emici malzeme ile al, kapalı kaplarda bertaraf et
Alanı bol suyla yıka, asitle nötralize et (ısı açığa çıkabilir)
Çevre için tehlikeli → kanalizasyona boşaltma yok</t>
  </si>
  <si>
    <t>Görünüm: Berrak sıvı
Renk: Sarı
pH: 10.0–12.0 (bazik, aşındırıcı)
Çözünürlük: Suda çözünür</t>
  </si>
  <si>
    <t>Göz: Ciddi hasar
Cilt: Yanık ve tahriş riski
Yutma: Kimyasal yanıklar, mide ağrısı, bulantı, kusma
Soluma: Burun ve boğazda tahriş, solunum yollarında aşınma
ATE değerleri: Oral ≈ 2,057 mg/kg
IARC: Kansere neden olabilecek madde içerir (Grup 1, insanlar için kanserojen)</t>
  </si>
  <si>
    <t>PREMY PROTECT ULTIMAX N - SDS7373 - TR</t>
  </si>
  <si>
    <t>Belirlenmiş kullanım: Otomatlarda kullanıma uygun temizlik ürünü
Kullanım kısıtlaması: Yalnızca sanayi ve profesyonel kullanım için, kişisel temizlik için kullanılmaz</t>
  </si>
  <si>
    <t>ECODAC KR 8: %1–5 → H302, H318
Propan-2-ol (izopropanol): %1–5 → H225, H319, H336
Tetrapotasyum pirofosfat: %1–5 → H319
Alcohols, C9-11, ethoxylated: %1–5 → H302, H318
Bronopol: &lt;%0.02 → H302, H312, H315, H318, H335, H400
CMIT/MIT (izotiazolinon karışımı): &lt;%0.02 → H301, H310, H330, H314, H318, H317, H400, H410</t>
  </si>
  <si>
    <t>Görünüm: Şeffaf sıvı
Renk: Mavi
pH: 7.0–9.0 (nötr–hafif bazik)
Çözünürlük: Suda çözünür</t>
  </si>
  <si>
    <t>Göz: Ciddi hasar
Cilt: Yanık ve tahriş riski
Yutma: Kimyasal yanıklar, mide ağrısı, bulantı, kusma
Soluma: Solunum yollarında aşınma, burun ve boğazda tahriş
ATE değerleri: Oral ≈ 16,667 mg/kg</t>
  </si>
  <si>
    <t>Rilan_Turkish</t>
  </si>
  <si>
    <t>Belirlenmiş kullanım: Mutfak ve saniter alan temizleme ürünü (manuel işlem)
Kullanım kısıtlaması: Yalnızca sanayi ve profesyonel kullanım için</t>
  </si>
  <si>
    <t>Yağalkolü etoksilatlar (≤C15, ≤5EO): %2.5–3 → H400, H318, H315
Etanolamin: %0.1–0.25 → H302, H312, H332, H314, H335, H412
Diğer bileşenler: Parfümler, esanslar</t>
  </si>
  <si>
    <t>H319: Ciddi göz tahrişine yol açar
Ek riskler: Etanolamin → akut toksisite, solunum yolu tahrişi, uzun süreli sucul zararlılık</t>
  </si>
  <si>
    <t>Ürün yanıcı değildir
Söndürücüler: Yerel şartlara uygun söndürücüler
Yanma ürünleri: Karbon oksitler</t>
  </si>
  <si>
    <t>Eğitimli personel tarafından temizlenmeli
Emici malzeme (kum, toprak, vermikülit) ile topla
Kanalizasyona ve suya karışmasını engelle
Alanı suyla temizle</t>
  </si>
  <si>
    <t>Kullanım: Deri ve gözle temasından kaçın, uygun havalandırma sağla
Depolama: Çocuklardan uzak, kapalı ve etiketli kaplarda, -5 °C ile 40 °C arasında sakla
Depolama sınıfı: Aşındırıcı depolama</t>
  </si>
  <si>
    <t>Etanolamin limitleri:
STEL (15 dk): 3 ppm (7.6 mg/m³)
TWA (8 saat): 1 ppm (2.5 mg/m³)
KKD:
Göz/yüz: Yan siperli güvenlik gözlükleri (EN 166)
Eldiven/giysi: Özel ekipman gerekmez, ancak hijyen kurallarına uyulmalı
Solunum: Yeterli havalandırma sağlanmalı, gerekirse solunum maskesi kullanılmalı</t>
  </si>
  <si>
    <t>Görünüm: Çamur kıvamında sıvı
Renk: Beyaz
Koku: Parfüm/esans
pH: 9.9–10.5 (bazik)
Yoğunluk: 1.27–1.37
Çözünürlük: Suda çözünür
Viskozite: 3415 mm²/s (40 °C)</t>
  </si>
  <si>
    <t>Normal koşullarda stabil
Kaçınılması gereken maddeler: Bilinmiyor
Zararlı bozunma ürünleri: Karbon oksitler</t>
  </si>
  <si>
    <t>Göz: Ciddi tahriş
Cilt: Normal kullanımda zararlı değil
Yutma: Normal kullanımda zararlı değil
Soluma: Normal kullanımda zararlı değil
Etanolamin LD50: Oral (sıçan) 1089 mg/kg, Dermal (tavşan) 1025 mg/kg
Yağalkolü etoksilatlar LD50: &gt;2000 mg/kg</t>
  </si>
  <si>
    <t>Geri dönüşüm tercih edilmeli
Geri dönüşüm mümkün değilse lisanslı bertaraf tesislerinde imha edilmeli
Boş kaplar geri dönüşüm veya bertaraf için gönderilmeli, tekrar kullanılmamalı</t>
  </si>
  <si>
    <t>SIRAFAN-TR-TR-116717E-</t>
  </si>
  <si>
    <t>Belirlenmiş kullanım: Biyosit, manuel spreyleme ve silme işlemi
Kullanım kısıtlaması: Yalnızca sanayi ve profesyonel kullanım için</t>
  </si>
  <si>
    <t>Yağalkolü etoksilatlar (≤C15, ≤5EO): %5–10 → H400, H318, H315
Benzalkonyum klorür: %3–5 → H302, H314, H318, H400, H410</t>
  </si>
  <si>
    <t>H315: Deri tahrişine neden olur
H318: Ciddi göz hasarına yol açar
H400: Sucul ortamda çok toksiktir
H411: Sucul ortamda uzun süre kalıcı, toksik etki</t>
  </si>
  <si>
    <t>Göz: En az 15 dk bol suyla yıka, lensleri çıkar, doktora başvur
Cilt: En az 15 dk suyla yıka, sabun kullan, tahriş devam ederse doktora başvur
Yutma: Ağzı çalkala, semptom varsa doktora başvur
Soluma: Açık havaya çıkar, semptom varsa doktora başvur</t>
  </si>
  <si>
    <t>Ürün yanıcı değildir
Söndürücüler: Yerel şartlara uygun söndürücüler
Yanma ürünleri: Karbon oksitler, azot oksitler, sülfür oksitleri, fosfor oksitleri</t>
  </si>
  <si>
    <t>İyi havalandırma sağla, soluma ve temas riskinden kaçın
Emici malzeme (kum, toprak, vermikülit) ile topla
Kanalizasyona ve suya karışmasını engelle
Alanı suyla temizle</t>
  </si>
  <si>
    <t>Kullanım: Deri ve gözle temasından kaçın, uygun havalandırma sağla
Depolama: Çocuklardan uzak, kapalı ve etiketli kaplarda, 5–50 °C arasında sakla
Depolama sınıfı: Çevre için tehlikeli sıvılar</t>
  </si>
  <si>
    <t>KKD:
Göz/yüz: Emniyet gözlükleri, yüz siperi (EN 166)
Eldiven: Nitril veya bütil kauçuk (EN 374), dayanıklılık 1–4 saat
Giysi: Özel ekipman gerekmez
Solunum: Yetersiz havalandırmada uygun solunum maskesi</t>
  </si>
  <si>
    <t>Görünüm: Sıvı
Renk: Renksiz veya yeşil
Koku: Dezenfektan kokusu
pH: 9.0–9.7 (bazik)
Çözünürlük: Suda çözünür</t>
  </si>
  <si>
    <t>Normal koşullarda stabil
Zararlı bozunma ürünleri: Karbon oksitler, azot oksitler, sülfür oksitleri, fosfor oksitleri</t>
  </si>
  <si>
    <t>Göz: Ciddi hasar
Cilt: Tahriş riski
Yutma: Normal kullanımda zararlı değil
Soluma: Normal kullanımda zararlı değil
LD50 değerleri:
Benzalkonyum klorür (oral, sıçan): 344 mg/kg
Benzalkonyum klorür (dermal, tavşan): 3340 mg/kg
Yağalkolü etoksilatlar (dermal, tavşan): &gt;2000 mg/kg</t>
  </si>
  <si>
    <t>Atıklar suya/toprağa karışmamalı
Geri dönüşüm tercih edilmeli, mümkün değilse lisanslı bertaraf tesislerinde imha edilmeli
Boş kaplar geri dönüşüm veya bertaraf için gönderilmeli, tekrar kullanılmamalı</t>
  </si>
  <si>
    <t>TR-TR-103628E-HELIOS BRILLANT-22978.15633.30406.14114</t>
  </si>
  <si>
    <t>Belirlenmiş kullanım: Paslanmaz çelik bakım ürünü (manuel işlem)
Kullanım kısıtlaması: Yalnızca sanayi ve profesyonel kullanım için</t>
  </si>
  <si>
    <t>Yağalkolü etoksilatlar (≤C15, ≤5EO): %3–5 → H400, H318, H315
Etanol: %2.5–5 → H225 (kolay alevlenir sıvı ve buhar)
Sitrik asit monohidrat: %1–2.5 → H319 (göz tahrişi)</t>
  </si>
  <si>
    <t>H319: Ciddi göz tahrişine yol açar
Ek bilgi: Çamaşır suyu veya klor içeren ürünlerle karıştırıldığında klor gazı salınımı riski vardır</t>
  </si>
  <si>
    <t>Ürün yanıcıdır (etanol içerir)
Söndürücüler: Yerel şartlara uygun söndürücüler
Yanma ürünleri: Karbon oksitler, azot oksitler, sülfür oksitleri, fosfor oksitleri
Özel risk: Buhar zemine yakın birikebilir, patlayıcı yoğunluğa ulaşabilir</t>
  </si>
  <si>
    <t>Tutuşma kaynaklarını uzaklaştır
Emici malzeme (kum, toprak, vermikülit) ile topla
Kanalizasyona ve suya karışmasını engelle
Alanı suyla temizle</t>
  </si>
  <si>
    <t>Kullanım: Deri ve gözle temasından kaçın, uygun havalandırma sağla, ateş/kıvılcım kaynaklarından uzak tut
Depolama: Çocuklardan uzak, kapalı ve etiketli kaplarda, 0–40 °C arasında sakla
Depolama sınıfı: Yanıcı sıvılar</t>
  </si>
  <si>
    <t>KKD:
Göz/yüz: Yan siperli güvenlik gözlükleri (EN 166)
Eldiven/giysi: Özel ekipman gerekmez
Solunum: Yetersiz havalandırmada uygun solunum maskesi</t>
  </si>
  <si>
    <t>Görünüm: Sıvı
Renk: Beyaz
Koku: Parfüm/esans
pH: 2.9–3.7 (asidik)
Parlama noktası: 57 °C (kolay alevlenir)
Yoğunluk: 1.28–1.33
Çözünürlük: Suda çözünür
Viskozite: 2072 mm²/s (40 °C)</t>
  </si>
  <si>
    <t>Normal koşullarda stabil
Kaçınılması gereken maddeler: Çamaşır suyu ve klor içeren ürünler (klor gazı riski)
Zararlı bozunma ürünleri: Karbon, azot, sülfür ve fosfor oksitleri</t>
  </si>
  <si>
    <t>Göz: Ciddi tahriş
Cilt: Normal kullanımda zararlı değil
Yutma: Normal kullanımda zararlı değil
Soluma: Normal kullanımda zararlı değil
LD50 değerleri:
Etanol (oral, sıçan): 10,470 mg/kg
Sitrik asit monohidrat (oral, sıçan): 11,700 mg/kg
Yağalkolü etoksilatlar (dermal, tavşan): &gt;2000 mg/kg</t>
  </si>
  <si>
    <t>TR-TR-103874E-POLISH CLEANER-22978.15633.20559.8180</t>
  </si>
  <si>
    <t>2-butoxyethanol: %30–50 → H302, H312, H332, H315, H319
Hidrokarbonlar (C10–C13, n-alkanes, isoalkanes, cyclics, &lt;2% aromatics): %30–50 → H304, EUH066
Propan: %10–20 → H220 (çok kolay alevlenir gaz)</t>
  </si>
  <si>
    <t>H222: Çok kolay alevlenir aerosol
H229: Basınçlı kap: ısıtıldığında patlayabilir
H315: Deride tahrişe neden olur
H319: Ciddi göz tahrişine yol açar
Ek bilgi: R12, R20/21/22, R65, R66</t>
  </si>
  <si>
    <t>Göz: En az 15 dk bol suyla yıka, lensleri çıkar, doktora başvur
Cilt: En az 15 dk suyla yıka, sabun kullan, tahriş devam ederse doktora başvur
Yutma: Ağzı çalkala, semptom varsa doktora başvur
Soluma: Semptom varsa doktora başvur</t>
  </si>
  <si>
    <t>Ürün çok kolay alevlenir aerosol
Söndürücüler: Yerel şartlara uygun söndürücüler
Uygun olmayan: Yüksek hacimli su jeti
Yanma ürünleri: Karbon oksitler, azot oksitler, sülfür oksitleri, fosfor oksitleri
Özel risk: Basınçlı kaplar ısıtıldığında patlayabilir</t>
  </si>
  <si>
    <t>Kullanım: Deri ve gözle temasından kaçın, uygun havalandırma sağla, ateş/kıvılcım kaynaklarından uzak tut
Depolama: Çocuklardan uzak, kapalı ve etiketli kaplarda, 0–40 °C arasında sakla
Depolama sınıfı: Aerosoller, kolay alevlenir</t>
  </si>
  <si>
    <t>Maruz kalma limitleri (2-butoxyethanol):
STEL (15 dk): 50 ppm (246 mg/m³)
TWA (8 saat): 20 ppm (98 mg/m³)
KKD:
Göz/yüz: Yan siperli güvenlik gözlükleri (EN 166)
Eldiven: Nitril veya bütil kauçuk (EN 374), dayanıklılık 1–4 saat
Giysi: Özel ekipman gerekmez
Solunum: Yetersiz havalandırmada uygun solunum maskesi (AX filtre)</t>
  </si>
  <si>
    <t>Görünüm: Aerosol
Renk: Renksiz
Koku: Alkolümsü
pH: 6.0–7.0 (nötr)
Parlama noktası: 76 °C (kapalı kap)
Yoğunluk: 0.807–0.847
Çözünürlük: Suda kısmen çözünür</t>
  </si>
  <si>
    <t>Normal koşullarda stabil
Kaçınılması gereken koşullar: Isı, alevler, kıvılcımlar
Zararlı bozunma ürünleri: Karbon, azot, sülfür ve fosfor oksitleri</t>
  </si>
  <si>
    <t>Göz: Ciddi tahriş
Cilt: Tahriş riski
Yutma: Normal kullanımda zararlı değil
Soluma: Yanlış kullanımda zararlı veya ölümcül olabilir
LD50 değerleri:
2-butoxyethanol (oral, sıçan): 1500 mg/kg
2-butoxyethanol (balık LC50, 96h): 1474 mg/l</t>
  </si>
  <si>
    <t>Atıklar suya/toprağa karışmamalı
Geri dönüşüm tercih edilmeli, mümkün değilse lisanslı bertaraf tesislerinde imha edilmeli
Boş kaplar geri dönüşüm veya bertaraf için gönderilmeli, tekrar kullanılmamalı
Avrupa Atık Kataloğu: 200113* (Çözücüler)</t>
  </si>
  <si>
    <t>TR-TR-115822E-NEOMAX N.PDF</t>
  </si>
  <si>
    <t>Belirlenmiş kullanım: Zemin temizleme ürünü (yarı otomatik işlem)
Kullanım kısıtlaması: Yalnızca sanayi ve profesyonel kullanım için</t>
  </si>
  <si>
    <t>Fatty alcohol alkoxylate: %1–2.5 → H315, H319, H412
Di(2-Etilhekzil) Sodyum Sülfosukinat: %1–2.5 → H315, H318
Yağalkolü etoksilatlar (≤C15, ≤5EO): %1–2.5 → H302, H315, H319
Propan-2-ol (izopropanol): %0.5–1 → H225, H319, H336
Etanol: %0.1–0.25 → H225, H319</t>
  </si>
  <si>
    <t>H319: Ciddi göz tahrişine yol açar
H315: Cilt tahrişine yol açar
H225: Kolay alevlenir sıvı ve buhar
H412: Sucul ortamda uzun süre kalıcı, zararlı etki</t>
  </si>
  <si>
    <t>Ürün yanıcı değildir (düşük konsantrasyonlu alkol içerir)
Söndürücüler: Yerel şartlara uygun söndürücüler
Yanma ürünleri: Karbon oksitler, sülfür oksitler, metal oksitler</t>
  </si>
  <si>
    <t>Kullanım: Deri ve gözle temasından kaçın, uygun havalandırma sağla
Depolama: Çocuklardan uzak, kapalı ve etiketli kaplarda, 0–40 °C arasında sakla
Depolama sınıfı: Temizlik kimyasalları</t>
  </si>
  <si>
    <t>Maruz kalma limitleri:
Propan-2-ol: TWA 400 ppm (980 mg/m³)
Etanol: TWA 1000 ppm (1900 mg/m³)
KKD:
Göz/yüz: Yan siperli güvenlik gözlükleri (EN 166)
Eldiven/giysi: Özel ekipman gerekmez
Solunum: Yetersiz havalandırmada uygun solunum maskesi</t>
  </si>
  <si>
    <t>Görünüm: Sıvı
Renk: Renksiz, yeşilimsi mavi
Koku: Çiçeksi
pH: 6.5–7.4 (nötr)
Yoğunluk: 1.001–1.007
Çözünürlük: Suda çözünür</t>
  </si>
  <si>
    <t>Normal koşullarda stabil
Zararlı bozunma ürünleri: Karbon, sülfür ve metal oksitleri</t>
  </si>
  <si>
    <t>Göz: Ciddi tahriş
Cilt: Normal kullanımda zararlı değil
Yutma: Normal kullanımda zararlı değil
Soluma: Normal kullanımda zararlı değil
LD50 değerleri:
Fatty alcohol alkoxylate: &gt;2000 mg/kg
Di(2-Etilhekzil) Sodyum Sülfosukinat: 3000 mg/kg
Yağalkolü etoksilatlar: 1250 mg/kg
Propan-2-ol: 4710 mg/kg
Etanol: 10,470 mg/kg</t>
  </si>
  <si>
    <t>TR-TR-116566E-CARPET A.PDF</t>
  </si>
  <si>
    <t>Belirlenmiş kullanım: Halılar için ön yıkama (elle püskürtme ve fırçalama)
Kullanım kısıtlaması: Yalnızca sanayi ve profesyonel kullanım için</t>
  </si>
  <si>
    <t>Sodyum Loril Sülfat (SLS): %1–2.5 → H302, H315, H318
Konsantrasyona bağlı olarak göz tahrişi kategorileri (Kategori 1–2B arası)</t>
  </si>
  <si>
    <t>Genel sınıflandırma: Zararlı olmayan madde veya karışım
Bileşen bazında: SLS → yutulma halinde zararlı, cilt tahrişi, ciddi göz hasarı</t>
  </si>
  <si>
    <t>Ürün yanıcı değildir
Söndürücüler: Yerel şartlara uygun söndürücüler
Yanma ürünleri: Karbon oksitler, sülfür oksitler, metal oksitler</t>
  </si>
  <si>
    <t>Kullanım: Elleçlemeden sonra elleri yıka, bilinmeyen seyreltilerde tam KKD kullan
Depolama: Çocuklardan uzak, kapalı ve etiketli kaplarda, 0–35 °C arasında sakla</t>
  </si>
  <si>
    <t>Maruz kalma limiti bulunmaz
KKD:
Göz/yüz: Özel ekipman gerekmez
Eldiven/giysi: Özel ekipman gerekmez
Solunum: Yetersiz havalandırmada uygun solunum maskesi</t>
  </si>
  <si>
    <t>Görünüm: Sıvı
Renk: Bulanık, renksiz
Koku: Parfüm/ıtır
pH: 6.3–6.7 (nötr)
Yoğunluk: 1.005–1.009
Çözünürlük: Suda çözünür</t>
  </si>
  <si>
    <t>Göz: Normal kullanımda zararlı değil
Cilt: Normal kullanımda zararlı değil
Yutma: Normal kullanımda zararlı değil
Soluma: Normal kullanımda zararlı değil
LD50 değerleri:
Sodyum Loril Sülfat (oral, sıçan): 1200 mg/kg</t>
  </si>
  <si>
    <t>Seyreltilmiş ürün kanalizasyona boşaltılabilir (yerel düzenlemeler izin verirse)
Boş kaplar uygun şekilde bertaraf edilmeli, tekrar kullanılmamalı
Atık kodu: Tehlikeli olmayan organik atıklar</t>
  </si>
  <si>
    <t>TR-TR-116569E-CARPET SHAMPOO(116569E)-22978.15633.33792.63708</t>
  </si>
  <si>
    <t>Belirlenmiş kullanım: Halı temizleme ürünü (yarı otomatik işlem)
Kullanım kısıtlaması: Yalnızca sanayi ve profesyonel kullanım için
Seyreltme bilgisi: %6.7–16.7</t>
  </si>
  <si>
    <t>Alkolsülfatlar: %1–2.5 → H315, H318
İkincil alkansülfonatlar: %1–2.5 → H315, H319
Seyreltilmiş ürün: Tehlikeli bileşen içermez</t>
  </si>
  <si>
    <t>Satılan ürün: Zararlı olmayan madde veya karışım
Seyreltilmiş ürün: Zararlı olmayan madde veya karışım
Bileşen bazında: Cilt tahrişi ve göz hasarı riski</t>
  </si>
  <si>
    <t>Ürün yanıcı değildir
Söndürücüler: Yerel şartlara uygun söndürücüler
Yanma ürünleri: Karbon oksitler, azot oksitler, sülfür oksitler, fosfor oksitleri</t>
  </si>
  <si>
    <t>Kullanım: Elleçlemeden sonra elleri yıka
Depolama: Çocuklardan uzak, kapalı ve etiketli kaplarda, 0–50 °C arasında sakla</t>
  </si>
  <si>
    <t>Görünüm: Sıvı
Renk: Beyaz
Koku: Parfüm/esans (seyreltilmiş ürün: hoş koku)
pH: Satılan ürün 8.2–9.2, seyreltilmiş ürün 7.4–7.6
Yoğunluk: 1.021–1.029
Çözünürlük: Suda çözünür</t>
  </si>
  <si>
    <t>Normal koşullarda stabil
Zararlı bozunma ürünleri: Karbon, azot, sülfür ve fosfor oksitleri</t>
  </si>
  <si>
    <t>Göz: Normal kullanımda zararlı değil
Cilt: Normal kullanımda zararlı değil
Yutma: Normal kullanımda zararlı değil
Soluma: Normal kullanımda zararlı değil
LD50 değerleri:
Alkolsülfatlar (oral, sıçan): 2175 mg/kg
İkincil alkansülfonatlar (oral, sıçan): 3983 mg/kg</t>
  </si>
  <si>
    <t>Seyreltilmiş ürün gidere boşaltılabilir
Boş kaplar uygun şekilde bertaraf edilmeli, tekrar kullanılmamalı
Atık kodu: Tehlikeli olmayan organik atıklar</t>
  </si>
  <si>
    <t>TR-TR-116571E-CARPET B.PDF</t>
  </si>
  <si>
    <t>Propan-2-ol (izopropanol): %10–20 → H225, H319, H336
Nafta (petrol), hidrojenle muamele edilmiş ağır: %5–10 → H304, H315, H226, H336, H411
Alcohols, C16-18 ve C18-unsatd., ethoxylated: %2.5–5 → H315
Yağalkolü etoksilatlar (&gt;5EO): %1–2.5 → H302, H318, H400</t>
  </si>
  <si>
    <t>H226: Alevlenir sıvı ve buhar
H315: Cilt tahrişine yol açar
H319: Ciddi göz tahrişine yol açar
H336: Rehavete veya baş dönmesine yol açabilir
H412: Sucul ortamda uzun süre kalıcı, zararlı etki</t>
  </si>
  <si>
    <t>Ürün alevlenir sıvı (parlama noktası 26 °C)
Söndürücüler: Yerel şartlara uygun söndürücüler
Uygun olmayan: Yüksek hacimli su jeti
Yanma ürünleri: Karbon oksitler
Özel risk: Buhar zemine yakın birikebilir, patlayıcı yoğunluğa ulaşabilir</t>
  </si>
  <si>
    <t>Kullanım: Deri ve gözle temasından kaçın, uygun havalandırma sağla, ateş/kıvılcım kaynaklarından uzak tut
Depolama: Çocuklardan uzak, kapalı ve etiketli kaplarda, 0–30 °C arasında sakla
Depolama sınıfı: Alevlenir sıvılar</t>
  </si>
  <si>
    <t>Maruz kalma limitleri (propan-2-ol):
TWA (8 saat): 400 ppm (980 mg/m³)
KKD:
Göz/yüz: Yan siperli güvenlik gözlükleri (EN 166)
Eldiven: Nitril veya bütil kauçuk (EN 374), dayanıklılık 1–4 saat
Giysi: Özel ekipman gerekmez
Solunum: Yetersiz havalandırmada uygun solunum maskesi (A tipi filtre)</t>
  </si>
  <si>
    <t>Görünüm: Sıvı
Renk: Bulanık, renksiz
Koku: Alkolümsü
pH: 6.7–7.7 (nötr)
Parlama noktası: 26 °C
Yoğunluk: 0.955–0.965
Çözünürlük: Suda çözünür</t>
  </si>
  <si>
    <t>Normal koşullarda stabil
Kaçınılması gereken koşullar: Isı, alev, kıvılcım
Zararlı bozunma ürünleri: Karbon oksitleri</t>
  </si>
  <si>
    <t>Göz: Ciddi tahriş
Cilt: Tahriş riski
Yutma: Normal kullanımda zararlı değil
Soluma: Merkezi sinir sistemini etkileyebilir (baş dönmesi, uyuşukluk)
LD50 değerleri:
Propan-2-ol (oral, sıçan): 4710 mg/kg
Nafta (oral, sıçan): &gt;5000 mg/kg
Yağalkolü etoksilatlar (&gt;5EO): &gt;300 mg/kg</t>
  </si>
  <si>
    <t>Atıklar suya/toprağa karışmamalı
Geri dönüşüm tercih edilmeli, mümkün değilse lisanslı bertaraf tesislerinde imha edilmeli
Boş kaplar geri dönüşüm veya bertaraf için gönderilmeli, tekrar kullanılmamalı
Atık kodu: Tehlikeli organik atıklar</t>
  </si>
  <si>
    <t>TR-TR-116734E-FLOORDRESS P-300.PDF</t>
  </si>
  <si>
    <t>Belirlenmiş kullanım: Zemin temizleme ürünü (manuel işlem)
Kısıtlama: Yalnızca sanayi ve profesyonel kullanım için</t>
  </si>
  <si>
    <t>Yağalkolü etoksilatlar (≤C15, ≤5EO): %5–10 → H315, H318, H400
Propan-2-ol (izopropanol): %2.5–5 → H225, H319, H336
Borates, tetra, sodium salts (decahydrate): %0.1–0.25 → H360FD, H319
Isoeugenol: %0.01–0.1 → H317</t>
  </si>
  <si>
    <t>H317: Alerjik cilt reaksiyonlarına yol açabilir
H318: Ciddi göz hasarına yol açar
Ek riskler: Üreme toksisitesi (boratlar), çevresel zararlılık (yağalkolü etoksilatlar)</t>
  </si>
  <si>
    <t>Göz: En az 15 dk bol suyla yıka, lensleri çıkar, doktora başvur
Cilt: En az 15 dk suyla yıka, sabun kullan, giysileri temizle, doktora başvur
Yutma: Ağzı çalkala, semptom varsa doktora başvur
Soluma: Açık havaya çıkar, semptom varsa doktora başvur</t>
  </si>
  <si>
    <t>Ürün yanıcı değildir (düşük propan-2-ol içeriği)
Söndürücüler: Yerel şartlara uygun söndürücüler
Yanma ürünleri: Karbon oksitler</t>
  </si>
  <si>
    <t>İyi havalandırma sağla, solumadan kaçın
Emici malzeme (kum, toprak, vermikülit) ile topla
Kanalizasyona ve suya karışmasını engelle
Alanı suyla temizle</t>
  </si>
  <si>
    <t>Kullanım: Deri ve gözle temasından kaçın, uygun havalandırma sağla
Depolama: Çocuklardan uzak, kapalı ve etiketli kaplarda, 0–40 °C arasında sakla</t>
  </si>
  <si>
    <t>DNEL (propan-2-ol):
Dermal (çalışan): 888 mg/kg
Solunum (çalışan): 500 mg/m³
KKD:
Göz/yüz: Emniyet gözlüğü, yüz koruyucu
Eldiven: Nitril veya bütil kauçuk (EN 374), dayanıklılık 1–4 saat
Giysi: Özel ekipman gerekmez
Solunum: Yetersiz havalandırmada uygun solunum maskesi</t>
  </si>
  <si>
    <t>Görünüm: Sıvı
Renk: Renksiz, yeşil
pH: 7.5–9.5
Yoğunluk: 0.985–1.005
Çözünürlük: Suda çözünür</t>
  </si>
  <si>
    <t>Normal koşullarda stabil
Zararlı bozunma ürünleri: Karbon oksitleri</t>
  </si>
  <si>
    <t>Göz: Ciddi hasar riski
Cilt: Alerjik reaksiyon riski
Yutma: Normal kullanımda zararlı değil
Soluma: Normal kullanımda zararlı değil
LD50 değerleri:
Propan-2-ol (oral, sıçan): 5840 mg/kg
Isoeugenol (oral, sıçan): 1560 mg/kg
Yağalkolü etoksilatlar (dermal): &gt;2000 mg/kg</t>
  </si>
  <si>
    <t>TR-TR-116795E-OASIS PRO GLASS.PDF</t>
  </si>
  <si>
    <t>Belirlenmiş kullanım: Cam temizleme ürünü (manuel sprey ve silme işlemi)
Kısıtlama: Yalnızca sanayi ve profesyonel kullanım için</t>
  </si>
  <si>
    <t>Etanol: %5–10 → H225, H319
Di(2-Etilhekzil) Sodyum Sülfosukinat: %1–2.5 → H315, H318</t>
  </si>
  <si>
    <t>Genel sınıflandırma: Zararlı olmayan madde veya karışım
Bileşen bazında:
Etanol → kolay alevlenir, göz tahrişi
Sülfosukinat → cilt tahrişi, ciddi göz hasarı</t>
  </si>
  <si>
    <t>Ürün alevlenir sıvı (parlama noktası 43 °C)
Söndürücüler: Yerel şartlara uygun söndürücüler
Yanma ürünleri: Karbon oksitler, sülfür oksitler, metal oksitler
Özel risk: Buhar zemine yakın birikebilir, patlayıcı yoğunluğa ulaşabilir</t>
  </si>
  <si>
    <t>Kullanım: Ateş/kıvılcım kaynaklarından uzak tut, statik elektrikten koru
Depolama: Çocuklardan uzak, kapalı ve etiketli kaplarda, 0–40 °C arasında sakla</t>
  </si>
  <si>
    <t>Görünüm: Sıvı
Renk: Renksiz, mavi
Koku: Parfümlü
pH: 6.3–7.3
Parlama noktası: 43 °C
Yoğunluk: 0.986–0.992
Çözünürlük: Suda çözünür</t>
  </si>
  <si>
    <t>Normal koşullarda stabil
Kaçınılması gereken koşullar: Isı, alev, kıvılcım
Zararlı bozunma ürünleri: Karbon, sülfür ve metal oksitleri</t>
  </si>
  <si>
    <t>Göz: Normal kullanımda zararlı değil
Cilt: Normal kullanımda zararlı değil
Yutma: Normal kullanımda zararlı değil
Soluma: Normal kullanımda zararlı değil
LD50 değerleri:
Etanol (oral, sıçan): 10,470 mg/kg
Sülfosukinat (oral, sıçan): 3000 mg/kg</t>
  </si>
  <si>
    <t>TR-TR-116796E-OASIS PRO ALL BATH.PDF</t>
  </si>
  <si>
    <t>Belirlenmiş kullanım: Saniter alan temizliği (manuel sprey ve silme)
Kısıtlama: Yalnızca sanayi ve profesyonel kullanım için
Seyreltme bilgisi: %1–3</t>
  </si>
  <si>
    <t>Fatty alcohol alkoxylate: %10–20 → H315, H319, H412
Alkoller, C13, etoksillenmiş: %5–10 → H302, H318
Etanolamin: %5–10 → H302, H312, H332, H314, H318, H335, H412
Propan-2-ol: %2.5–5 → H225, H319, H336
Benzalkonyum klorür: %0.5–1 → H302, H314, H318, H400, H410</t>
  </si>
  <si>
    <t>H314: Ciddi cilt yanıklarına ve göz hasarına yol açar
H318: Ciddi göz hasarına yol açar
H335: Solunum yolu tahrişine yol açabilir
H412: Sucul ortamda uzun süre kalıcı, zararlı etki
Ek riskler: Benzalkonyum klorür → akut ve kronik sucul toksisite</t>
  </si>
  <si>
    <t>Göz: En az 15 dk bol suyla yıka, lensleri çıkar, doktora başvur
Cilt: En az 15 dk suyla yıka, giysi/ayakkabıları temizle, doktora başvur
Yutma: Ağzı çalkala, kusturma yok, bilinci kapalı kişiye ağızdan bir şey verme, doktora başvur
Soluma: Açık havaya çıkar, semptom varsa doktora başvur</t>
  </si>
  <si>
    <t>Ürün alevlenir sıvı (parlama noktası 45 °C)
Söndürücüler: Yerel şartlara uygun söndürücüler
Yanma ürünleri: Karbon oksitler, azot oksitler, metal oksitler
Özel risk: Buhar zemine yakın birikebilir, patlayıcı yoğunluğa ulaşabilir</t>
  </si>
  <si>
    <t>İyi havalandırma sağla, tutuşturucu kaynakları uzaklaştır
Emici malzeme (kum, toprak, vermikülit) ile topla
Kanalizasyona ve suya karışmasını engelle
Alanı suyla temizle</t>
  </si>
  <si>
    <t>Kullanım: Yutma, cilt ve göz temasından kaçın, uygun havalandırma sağla, ateş/kıvılcım kaynaklarından uzak tut
Depolama: Çocuklardan uzak, kapalı ve etiketli kaplarda, -5 °C ile 40 °C arasında sakla
Uyumsuz malzemeler: Asitler</t>
  </si>
  <si>
    <t>Maruz kalma limitleri:
Etanolamin: TWA 1 ppm (2.5 mg/m³), STEL 3 ppm (7.6 mg/m³)
Propan-2-ol: TWA 400 ppm (980 mg/m³)
KKD:
Göz/yüz: Emniyet gözlüğü, yüz koruyucu
Eldiven: Nitril veya bütil kauçuk (EN 374), dayanıklılık 1–4 saat
Giysi: Koruyucu giysi ve ayakkabı
Solunum: Yetersiz havalandırmada uygun solunum maskesi (A-P filtre)</t>
  </si>
  <si>
    <t>Görünüm: Sıvı
Renk: Turuncu (seyreltilmiş: açık turuncu)
Koku: Az (seyreltilmiş: parfümlü)
pH: Satılan ürün 11.4–12.4, seyreltilmiş ürün 10.4–10.9
Parlama noktası: 45 °C
Yoğunluk: 1.015–1.02
Çözünürlük: Suda çözünür</t>
  </si>
  <si>
    <t>Normal koşullarda stabil
Kaçınılması gereken koşullar: Isı, alev, kıvılcım
Uyumsuz malzemeler: Asitler
Zararlı bozunma ürünleri: Karbon, azot ve metal oksitleri</t>
  </si>
  <si>
    <t>Burada ürünün ve bileşenlerinin akut toksisite değerleri (LD50, LC50), deri ve göz etkileri, solunum etkileri, kanserojenite, mutajenite, üreme toksisitesi gibi başlıklar yer alır.</t>
  </si>
  <si>
    <t>Ürün: Mümkünse geri dönüşüm tercih edilmeli, değilse lisanslı bertaraf tesislerinde imha edilmeli.
Kontamine ambalaj: Boş kaplar geri dönüşüm veya bertaraf için gönderilmeli, tekrar kullanılmamalı.
Atık kodu: Tehlikeli maddeler içeren organik atıklar (Avrupa Atık Kataloğu’na göre).</t>
  </si>
  <si>
    <t>TR-TR-119328E-ECOBRITE LAUNDRY POWDER.PDF</t>
  </si>
  <si>
    <t>Belirlenmiş kullanım: Çamaşırhane deterjanı (manuel işlem)
Kısıtlama: Yalnızca sanayi ve profesyonel kullanım için</t>
  </si>
  <si>
    <t>Sodyum karbonat (soda): %30–60 → H319
Benzensülfonik asit, C10–13-sec-alkil türevleri: %10–30 → H302, H314, H318, H412
Alkoller, C13–15, dallanmış ve linear, etoksilatlı: %5–10 → H302, H318, H400, H412</t>
  </si>
  <si>
    <t>H314: Ciddi cilt yanıklarına ve göz hasarına yol açar
H318: Ciddi göz hasarına yol açar
Ek riskler: Yutulma halinde zararlı, sucul ortamda toksik</t>
  </si>
  <si>
    <t>Kullanım: Yutma, cilt ve göz temasından kaçın, uygun havalandırma sağla
Depolama: Çocuklardan uzak, kapalı ve etiketli kaplarda, 0–50 °C arasında sakla</t>
  </si>
  <si>
    <t>Maruz kalma limiti bulunmaz
KKD:
Göz/yüz: Emniyet gözlüğü, yüz koruyucu
Eldiven: Nitril veya bütil kauçuk (EN 374), dayanıklılık 1–4 saat
Giysi: Koruyucu giysi ve ayakkabı
Solunum: Yetersiz havalandırmada uygun solunum maskesi</t>
  </si>
  <si>
    <t>Görünüm: Toz
Renk: Beyaz
pH: 10–11
Yoğunluk: Belirtilmemiş
Çözünürlük: Suda çözünür</t>
  </si>
  <si>
    <t>Göz: Ciddi hasar riski
Cilt: Ciddi yanık riski
Yutma: Sindirim borusunda yanma, karın ağrısı
Soluma: Solunum yollarında tahriş, öksürük
LD50 değerleri:
Sodyum karbonat (oral, sıçan): 2800 mg/kg
Benzen sülfonik asit türevleri (oral, sıçan): 1470 mg/kg
Alkoller C13–15 etoksilatlı (oral, sıçan): 1250 mg/kg</t>
  </si>
  <si>
    <t>USONA POWER GEL</t>
  </si>
  <si>
    <t>Belirlenmiş kullanım: Biyosit (manuel işlem)
Kısıtlama: Yalnızca sanayi ve profesyonel kullanım için</t>
  </si>
  <si>
    <t>Sodyum hipoklorit: %3–5 → H314, H318, H400, H410, H290
Alkoller, C12–14, etoksile, sülfatlar, sodyum tuzları: %1–2.5 → H315, H318, H412
Sodyum hidroksit: %0.5–1 → H314, H290
Aminler, C12–14 alkildimetil, N-oksitler: %0.25–0.5 → H302, H315, H318, H400, H411</t>
  </si>
  <si>
    <t>H290: Metalleri aşındırabilir
H314: Ciddi cilt yanıklarına ve göz hasarına yol açar
H318: Ciddi göz hasarı
H400: Sucul ortamda çok toksik
H411: Sucul ortamda uzun süre kalıcı toksik etki
Ek risk: Asit veya amonyak ile karıştırıldığında klor gazı salınımı</t>
  </si>
  <si>
    <t>Göz: En az 15 dk bol suyla yıka, lensleri çıkar, doktora başvur
Cilt: En az 15 dk suyla yıka, sabun kullan, giysi/ayakkabıları temizle, doktora başvur
Yutma: Ağzı çalkala, kusturma yok, bilinci yerinde ise su içir, doktora başvur
Soluma: Açık havaya çıkar, semptom varsa doktora başvur</t>
  </si>
  <si>
    <t>Kullanım: Yutma, cilt ve göz temasından kaçın, uygun havalandırma sağla
Özel uyarı: Asit ve amonyak ile karıştırma → klor gazı riski
Depolama: Çocuklardan uzak, kapalı ve etiketli kaplarda, -20 °C ile 30 °C arasında sakla
Ambalaj: Plastik uygun; alüminyum ve hafif çelik uygun değil</t>
  </si>
  <si>
    <t>Maruz kalma limitleri:
Klor gazı: STEL 0.5 ppm (1.5 mg/m³)
KKD:
Göz/yüz: Emniyet gözlüğü, yüz koruyucu
Eldiven: Nitril veya bütil kauçuk (EN 374), dayanıklılık 1–4 saat
Giysi: Koruyucu giysi ve ayakkabı
Solunum: Yetersiz havalandırmada uygun solunum maskesi</t>
  </si>
  <si>
    <t>Görünüm: Sıvı
Renk: Renksiz, açık sarı
Koku: Naneli
pH: 12–13
Parlama noktası: Geçerli değil
Çözünürlük: Suda çözünür</t>
  </si>
  <si>
    <t>Normal koşullarda stabil
Kaçınılması gereken maddeler: Asitler, metaller (alüminyum, hafif çelik)
Zararlı bozunma ürünleri: Karbon, sülfür ve metal oksitleri</t>
  </si>
  <si>
    <t>Göz: Ciddi hasar riski
Cilt: Ciddi yanık riski
Yutma: Sindirim borusunda yanma
Soluma: Solunum yollarında tahriş, öksürük
LD50 değerleri:
Sodyum hipoklorit (oral, sıçan): 5230 mg/kg
Alkoller C12–14 sülfatlar (oral, sıçan): 3350 mg/kg
Amin oksitler (oral, sıçan): 1064 mg/kg</t>
  </si>
  <si>
    <t>XENSE FLOOR   SURFACE        TR-TR-116766E-</t>
  </si>
  <si>
    <t>Alkiletersülfatlar: %2.5–3 → H315, H318, H412
3-butoxypropan-2-ol: %1–2.5 → H315, H319
d-Limonene: %0.5–1 → H226, H315, H317, H400, H410</t>
  </si>
  <si>
    <t>H412: Sucul ortamda uzun süre kalıcı, zararlı etki
Ek riskler: d-Limonene → alerjik cilt reaksiyonu, alevlenir sıvı, akut sucul toksisite</t>
  </si>
  <si>
    <t>Ürün yanıcı değildir (ancak d-Limonene içerir → alevlenir sıvı riski)
Söndürücüler: Yerel şartlara uygun söndürücüler
Yanma ürünleri: Karbon, azot, sülfür ve fosfor oksitleri</t>
  </si>
  <si>
    <t>Kullanım: Uygun havalandırma sağla, elleri yıkayarak hijyen kurallarına uy
Depolama: Çocuklardan uzak, kapalı ve etiketli kaplarda, -5 °C ile 40 °C arasında sakla</t>
  </si>
  <si>
    <t>Görünüm: Sıvı
Renk: Mavi
Koku: Limon
pH: 6.8–7.8
Yoğunluk: 0.998–1.006
Çözünürlük: Suda çözünür</t>
  </si>
  <si>
    <t>Göz: Normal kullanımda zararlı değil
Cilt: Normal kullanımda zararlı değil
Yutma: Normal kullanımda zararlı değil
Soluma: Normal kullanımda zararlı değil
LD50 değerleri:
Alkiletersülfatlar (oral, sıçan): 3350 mg/kg
3-butoxypropan-2-ol (oral, sıçan): 2500 mg/kg
d-Limonene (oral, sıçan): 4400 mg/kg</t>
  </si>
  <si>
    <t>konix-ultrasound-gel</t>
  </si>
  <si>
    <t>Lugol Solüsyonu</t>
  </si>
  <si>
    <t>Mikrobiyoloji Laboratuvarında Gram boyama için kullanılmaktadır.</t>
  </si>
  <si>
    <t>İyot Kristali(%0,8/0,9),Potasyum İyodür Kristali(%1,7-2,0),Sodyum Bikarbonat(%0,8-0,9)</t>
  </si>
  <si>
    <t>Yanıcı ve zehirleyici</t>
  </si>
  <si>
    <t>DERİYLE TEMAS: Bol su ile yıkayın. Kirlenen giysiyi çıkarın. GÖZLE TEMAS: Birkaç dakika suyla iyice durulayınız. Eğer mevcut ve kolaysa kontaktlensleri çıkarınızSOLUMA: Teneffüs ettikten sonra temiz hava . YUTMA:Hemen 2 bardak su için doktora danışın.</t>
  </si>
  <si>
    <t>SÖNDÜRME ŞEKLİ:Uygun söndürme aracı: Köpük, KKT, CO2,su, kum</t>
  </si>
  <si>
    <t>Kişisel önlemler, korunma amaçları ve acil durum prosedürleri:Acil durum personeli olmayan personeli uyarın. Buhar aerosolünü solumayın.  Tehlike bölgesini boşaltın, acil durum prosedürlerini uygulayın ve bir uzmana danışın.Çevresel tedbirler:Kanalizasyona boşaltmayın. Çember altına alma ve temizlik için yöntem ve malzemeler:Drenaj kapaklarını kapatın. Dökülmeleri toplayın, sarınve uzaklaştırın. Olası malzemekısıtlamalarınauyun. Sıvı emici materyal ile alın ve imha için gönderin. Etkilenmiş bölgeyi temizleyin.</t>
  </si>
  <si>
    <t>Güvenli kullanım ve taşınması için laboratuar kurallarına karşılık önlemler alınmalı. Yangın ve patlama için önlem alınması gerekmez. Sıkıca kapatılmış. +15 ve 25oC’de depolayın. Etiketteki önlemleri dikkatle alınız.</t>
  </si>
  <si>
    <t>Teknik önlemlere ve uygun iş operasyonlarına, kişisel koruyucu ve ekipman kullanımı karşısında öncelik verilmelidir.</t>
  </si>
  <si>
    <t xml:space="preserve">FİZİKSEL HAL; Sıvı. KOKU VE GÖRÜNÜM; İyot Kokusu –Koyu Kahverengi </t>
  </si>
  <si>
    <t>REAKTİVİTESİ: Erimiş madde(ler)in az konsantrasyonu nedeniyle hiç istisnasız suyun genel olarak bilinen reaksiyon ortakları.Kaçınılması gereken koşullar: Işığa maruz bırakma.</t>
  </si>
  <si>
    <t>Akut oral toksisite: Olası zararlar; mukoza zarının ağızda, yemek borusunda ve gastrointestinal sistemde tahriş, gastroinstestinal rahatsızlıklar.Akur solunum (inhalasyon) toksisitesi: Olası zararlar; mukozal tahrişlerCilt tahrişi: Karışımıderide uzun süre teması sonucundaderi tahrişine neden olur.Göz tahrişi: Karışımıgöze uzun süre teması sonucundaciddi göz tahrişine neden olur.Spesifik hedef organ sistemik zehirlilik –tek maruz kalma:Madde veya karışım belirli hedef organ zehri olarak sınıflandırılmamıştır, tek maruziyet.Spesifik hedef organ sistemik zehirliliği –tekrarlanan maruz kalma:Madde veya karışım belirli hedef organ zehri olarak sınıflandırılmamıştır, tekrarlımaruziyet.Aspirasyon tehlikesi:Sınıflandırma kriteri, eldeki veriler açısından yerine getirilmemiştir.</t>
  </si>
  <si>
    <t>Atık maddeler, 2008/98/AT Sayılı Yönerge ve diğer ulusal ve yerel yönetmelikler doğrultusunda bertaraf edilmelidir.Kimyasalları orijinal kaplarında bırakın. Başka atıklarla karıştırmayın. Temizlenmemiş kaplara ürünün kendisi gibi işlem yapın.</t>
  </si>
  <si>
    <t>Giemsa</t>
  </si>
  <si>
    <t>Periferek Yayma</t>
  </si>
  <si>
    <t>Metanol,organik ve inorganik bileşiklerin alkolik solisyonu</t>
  </si>
  <si>
    <t xml:space="preserve">Solunduktan sonra temiz havaya çıkınız. Kendinizi kötü hissediyorsanız bir hekime müracat ediniz.cilt ile temas ederse hemen bol suyla yıkayınız ve giysileri çıkarınız. Gözle temas ederse hemen en az 10 dakika göz kapağı tamamen açık olacak şekilde bol suyla yıkayınız ve bir hekime müracaat ediniz. soluma durmuşsa hemen ağızdan ağıza suni solunum yaptırınız. akabinde hızlı tıbbi yardım isteyiniz ve hızla suni solunum cihazlarına bağlanmasını sağlayınız. </t>
  </si>
  <si>
    <t>Kabul edilen kimyasal atıkları yok etme metodlarına göre imha edilir ve geri dönüşüm sistemine gönderilmelidir. Kanalizasyon sistemine girmesine izin vermeyin ,sıvı emici materyalllerle alın imha için gönderin etkilenmiş bölgeyi temizleyin.</t>
  </si>
  <si>
    <t>May - Grünwalds</t>
  </si>
  <si>
    <t xml:space="preserve">
Hematolojik leke.</t>
  </si>
  <si>
    <t>Zehirli, alevlenebilir, organlara hasar açar</t>
  </si>
  <si>
    <t>GÖZLER: Olası lensleri çıkarın. Göz kapaklarını iyice açarak, derhal ve bol su ile en az 15 dakika yıkayınız. Problemin devam etmesi halinde
bir doktora danışınız.
DERİ: Kirlenmiş giysileri üzerinizden çıkarınız. Derhal bir duş alınız. Derhal bir doktor çağırınız. Kirlenmiş giysileri tekrar giymeden evvel
yıkayınız.
SOLUNUM: Kişiyi açık havaya çıkarınız. Solunum kesilirse, suni solunum uygulayınız. Derhal bir doktor çağırınız.
YUTMA: Derhal bir doktor çağırınız. Kusturmaya çalışmayınız. Doktor tarafından açık şekilde izin verilmemiş olan hiçbir şeyi ağızdan
vermeyiniz.</t>
  </si>
  <si>
    <t>Yangın söndürme teçhizatları: karbonik anhidrit, köpük, kimya tozu. Yanmamış ürün kaçakları ve dökülmeleri halinde, tutuşabilir buharları
dağıtmak ve kaçakları durdurmaya çalışan kişileri korumak için su buharı kullanılabilir.</t>
  </si>
  <si>
    <t xml:space="preserve">Kişisel önlemler, koruyucu donanım ve acil durum prosedürleri
Tehlike olmadığı takdirde, kaçağın yayılmasını önleyiniz.
Deri, gözler ve kişisel giysilerin kontamine olmasının önlenmesi için uygun koruyucu donanımları (güvenlik bilgi formunun 8’inci bölümünde
yer alan kişisel koruyucu donanımlar dâhil) giyin. Bu bilgiler gerek çalışan görevliler gerekse acil durum müdahaleleri için geçerlidir.
Koruyucu ekipmanı olmayan kişileri ilgili alandan uzaklaştırınız. Patlamaya dayanıklı ekipman kullanınız. Kaçağın meydana gelmiş olduğu
alandan her türlü ateşleme veya ısı kaynağını (sigara, alev, kıvılcım, v.b.) gideriniz.
6.2. Çevresel önlemler
Ürünün kanalizasyonlara, yüzeysel sulara, yeraltı sularına sızmasını önleyiniz.
</t>
  </si>
  <si>
    <t xml:space="preserve">Sadece orijinal kabında muhafaza ediniz. Kapları kapalı, iyi havalandırılan yerlerde ve direkt güneş ışıklarından koruyarak muhafaza ediniz.
Serin ve iyi havalandırılan yerlerde, ısı kaynaklarından, çıplak ateş, kıvılcım ve diğer tutuşma kaynaklarından uzakta muhafaza ediniz.
Bölüm 10’da belirtilenleri kontrol ederek, kapları olası uygunsuz malzemelerden uzakta muhafaza edin.
</t>
  </si>
  <si>
    <t>Uygun teknik önlemlerin alınmasının, kişisel koruma ekipmanlarına nispet ile daima öncelikli olması gerektiği ışığında, etkin bir yerel emme
aracılığı ile çalışma mekanının iyi havalandırılması garanti edilmelidir.
Kişisel koruyucu ekipmanların seçimi için, gerekmesi halinde kendi kimyasal madde tedarikçilerinize fikir danışınız.
Kişisel koruyucu donanımlar, bunların yürürlükteki standartlara uygunluğunu kanıtlayan CE işaretini taşımalıdır.
Göz yüz yıkama haznesi ile acil duşu öngörünüz.
EL KORUMA
Elleri, kategori III iş eldivenleri ile koruyunuz (ref. EN 374 standardı).
İş eldivenleri malzemesinin kati seçimi için aşağıdaki hususlar dikkate alınmalıdır: uyumluluk, degradasyon, kırılma süresi ve içine işleme</t>
  </si>
  <si>
    <t xml:space="preserve">Fiziksel Durumu sıvı
Renk lacivert
Koku kokusuz Başlangıç kaynama noktası 65 °C
Kaynama aralığı Mevcut değil
Parlama noktası &lt; 23 °C
</t>
  </si>
  <si>
    <t>Ürün, normal kullanım ve depolama şartlarında kararlıdır.</t>
  </si>
  <si>
    <t>Ürün ile ilgili deneysel toksikolojik verilerin bulunmaması halinde, ürünün sağlık açısından olası tehlikeleri kapsanan madde özellikleri
bazında sınıflandırma için referans alınan normatif bağlamında öngörülen kriterlere göre değerlendirilmiştir</t>
  </si>
  <si>
    <t>Mümkün ise, tekrar kullanınız. Ürünün kalıntıları, tehlikeli özel atık olarak kabul edilmelidir. Bu ürünü kısmen içeren atıkların tehlikeliliği yürürlükteki kanun hükümlerine göre değerlendirilmelidir.
Bertaraf edilme, ulusal ve olası yerel kanunlara uygun olarak atık idaresi konusunda yetki sahibi bir şirkete teslim edilerek
gerçekleştirilmelidir.
Atıkların taşınması ADR ’ye tabi olabilir.
KONTAMİNE AMBALAJLAR
Kontamine olmuş ambalajlar, atık idaresine ilişkin ulusal kanunlara uygun olarak geri kazanım veya imha edilmek üzere gönderilmelidir.</t>
  </si>
  <si>
    <t>Benedict</t>
  </si>
  <si>
    <t>Biyokimya ve mikrobiyolojide şeker analizinde kullanılır.</t>
  </si>
  <si>
    <t>sodyum sitrat, sodyum karbonat,bakır sülfat,saf su</t>
  </si>
  <si>
    <t>Zehirleyici, tahriş edici</t>
  </si>
  <si>
    <t>Genel öneri
İlkyardim yapan kişi gerekli koruyucu tedbirleri kendisi için almalıdır.
Teneffüs ettikten sonra: temiz hava. Tıbbi yardım alınız.
Deriyle teması halinde: Hemen tüm bulaşmış giyisileri çıkarınız. Deriyi suyla yıkayınız. Hemen
bir doktor çağırınız.
Göz temasından sonra: bol su ile yıkayın. Kontakt lensleri çıkarınız. Hemen göz uzmanı çağırın.
Yuttuktan sonra 2 bardak su içirin. Kusmayı engelleyin (delme riski!). Hemen bir doktor çağırınız.
Nötralize etmeyi denemeyin</t>
  </si>
  <si>
    <t>Yerel şartlar ve çevre için uygun yangın söndürme yöntemleri kullanınız</t>
  </si>
  <si>
    <t xml:space="preserve">Acil durum personeli olmayan personeli uyarın Madde temasını engelleyin. Buhar, aerosolünü
solumayın. İyi bir havalandırma olduğundan emin olunuz. Tehlike bölgesini boşaltın, acil durum
prosedürlerini uygulayın, bir uzm ana danışın.
</t>
  </si>
  <si>
    <t>Depolama alanı ve kaplarında aranan nitelikler
Aluminyum, teneke ya da çinko kap kullanılmamalıdır.
Saklama koşulları
Sıkıca kapatılmış.</t>
  </si>
  <si>
    <t>Maruz kalma limiti bulunan hiçbir madde içermez. Koruyucu giysi, kullanılan tehlikeli madde konsantrasyonu ve miktarına bağlı olarak , işyerine
özgüsel olarak seçilmelidir. Kimyasallardan korunmak için, koruyucu giysilerde bulunan
resistanslar her bir tedarikçi tarafından saptanmalıdır.</t>
  </si>
  <si>
    <t>Fiziksel hali sıvı
Renk renksiz
Koku kokusuz
Koku Eşiği Uygulanmaz
pH yaklaşık 14
nin 20 °C</t>
  </si>
  <si>
    <t>Ürün, standart ortam koşulları (oda sıcaklığı) altında kimyasal olarak s tabildir</t>
  </si>
  <si>
    <t>Yutulması halinde, ciddi derecede ağız ve boğaz yanmasıyla birlikte yemek borusu ve
mide delinmesi riski vardır., Ağrı, şok, Kusma, ödem, çökmek, ölüm</t>
  </si>
  <si>
    <t>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Genel Esaslarına İlişkin Yönetmelik, 02.04.2015, R.G 29314) bertaraf edilmelidir.
Kimyasalları orijinal kaplarında bırakın. Başka atıklarla karıştırmayın. Temizlenmemiş kaplara
ürünün kendisi gibi işlem yapın</t>
  </si>
  <si>
    <t>Hidroklorik Asit</t>
  </si>
  <si>
    <t>24 Stlik idrar koruyucu olarak kullanılmaktadır.</t>
  </si>
  <si>
    <t>Hidroklorik asit, Muriaitk asit,Klorohidrik asit,Hidrojen klorür</t>
  </si>
  <si>
    <t>aşındırıcı,tahriş edici,zehirli</t>
  </si>
  <si>
    <t>Solunması halinde
Teneffüs ettikten sonra: temiz hava.
Deriyle teması halinde
Deriyle teması halinde: Hemen tüm bulaşmış giyisileri çıkarınız. Deriyi suyla yıkayınız.
Gözle teması halinde
Göz temasından sonra: Bol suyla yıkayın. Göz doktorunuzu arayın. Kontakt lensleri
çıkarınız.
Yutulması halinde
Yuttuktan sonra hemen 2 bardak su içirin. Doktora danışınız.</t>
  </si>
  <si>
    <t>Yerel şartlar ve çevre için uygun yangın söndürme yöntemleri kullanınız.</t>
  </si>
  <si>
    <t>Acil durum personeli olmayan personeli uyarın Madde temasını engelleyin. Buhar,
aerosolünü solumayın. Tehlike bölgesini boşaltın, acil durum prosedürlerini uygulayın, bir
uzm ana danışın.</t>
  </si>
  <si>
    <t>Derhal kirlenen giysiyi değiştirin. Cilt koruyucu krem uygulayın. Madde ile çalıştıktan sonra
ellerinizi ve yüzünüzü yıkayın. Aluminyum, teneke ya da çinko kap kullanılmamalıdır.
Sıkıca kapatılmış.
Önerilen saklama sıcaklığı, ürün etiketine bakın.</t>
  </si>
  <si>
    <t>Maruz kalma limiti bulunan hiçbir madde içermez. Göz/yüz koruması
Koruyucu gözlük
Cildin korunması
Bu öneri güvenlik bilgi formunda ve tarafımızdan tedarik edilen ve tarafımızdan
belirlenen amaçta kullanılan ürünlere uygulanır. Diğer maddelerle çözme ve
karıştırma ve EN374'de belirtilen koşullardan sapma durumunda CE-onaylı eldiven
üreticisi ile temasa geçin.
Tam temas
Malzeme: Nitril kauçuk. Tavsiye edilen Filtre tipi: P2 tipi filtre</t>
  </si>
  <si>
    <t>Görünüm Fiziksel hali: sıvı
Renk: renksiz
Koku: kokusuz</t>
  </si>
  <si>
    <t>Ürün, standart ortam koşulları (oda sıcaklığı) altında kimyasal olarak s tabildir.</t>
  </si>
  <si>
    <t xml:space="preserve"> Mukoza zarının ağızda, boğazda, yemek borusunda ve gastrointestinal sistemde
tahriş. Karişimi deri ve göz tahrişine neden olur.</t>
  </si>
  <si>
    <t>Atık maddeler, ulusal ve yerel yönetmelikler doğrultusunda bertaraf edil melidir.
Kimyasalları orijinal kaplarında bırakın. Başka atıklarla karış tırmayın. Temizlenmemiş
kaplara ürünün kendisi gibi işlem yapın. Atık maddeler, 2008/98/AT Sayılı Yönerge ve
diğer ulusal ve yerel yönetmelikler doğrultusunda (Atık Yönetimi Yönetmeliği, 02.04.2015,
R.G. 29314) bertaraf edilmelidir. Kimyasalları orijinal kaplarında bırakın. Başka atıklarla
karıştırmayın. Temizlenmemiş kaplara ürünün kendisi gibi işlem yapın.</t>
  </si>
  <si>
    <t>Rosin Ayıracı</t>
  </si>
  <si>
    <t>Bilirubin tayininde kullanılır.</t>
  </si>
  <si>
    <t>İyot,metil alkol</t>
  </si>
  <si>
    <t>tahriş edici,yanıcı,zehirli</t>
  </si>
  <si>
    <t>Fehling A Çözeltisi</t>
  </si>
  <si>
    <t>Biyokimyada idrarda şeker analizinde kullanılır.</t>
  </si>
  <si>
    <t>bakır II sülfat 5 sulu</t>
  </si>
  <si>
    <t>tahriş edici ve zehirleyici</t>
  </si>
  <si>
    <t>Fehling B Çözeltisi</t>
  </si>
  <si>
    <t>Erchlich Ayıracı</t>
  </si>
  <si>
    <t>ürobilinojen tayininde kullanılır</t>
  </si>
  <si>
    <t>P-Dimetil Aminobenzaldehit ve HCL</t>
  </si>
  <si>
    <t>tahriş edici ,zehirli</t>
  </si>
  <si>
    <t>Sülfosalik Asit</t>
  </si>
  <si>
    <t>İdrarda protein tetkiki amacıyla kullanılır.</t>
  </si>
  <si>
    <t>Sülfürik Asit</t>
  </si>
  <si>
    <t>Gram Denatüre</t>
  </si>
  <si>
    <t xml:space="preserve">Laboratuvar ortamında, Gram boyama prosedürü kapsamında mikroorganizma preparatlarının boyanması amacıyla manuel olarak kullanılır. </t>
  </si>
  <si>
    <t>Etanol (denatüre), metanol, izopropil alkol, kristal mor ve di-amonyum oksalat içeren kimyasal karışımdır.</t>
  </si>
  <si>
    <t>Çok alevlenir sıvı ve buhar olup; yutulması, solunması veya ciltle teması halinde zararlıdır. Metanol içeriği nedeniyle tek maruz kalmada organ hasarına yol açabilir. Kristal mor içeriği nedeniyle kansere yol açma şüphesi bulunmaktadır ve sucul çevre için çok toksiktir.</t>
  </si>
  <si>
    <t>Solunması halinde temiz havaya çıkarılır. Ciltle temasında bol su ve sabunla yıkanır. Göz temasında en az 15 dakika su ile yıkanarak tıbbi yardım alınır. Yutulması halinde kusturulmaz, derhal sağlık kuruluşuna başvurulur.</t>
  </si>
  <si>
    <t>CO₂, kuru toz veya köpük kullanılır. Alkol buharları patlayıcıdır. Yangın sırasında CO ve CO₂ gazları açığa çıkabilir. Müdahalede bağımsız solunum cihazı ve koruyucu ekipman kullanılmalıdır.</t>
  </si>
  <si>
    <t>Alan izole edilir, ateşleme kaynakları uzaklaştırılır. Dökülen madde emici inert malzeme ile toplanır, etiketli kaplarda tehlikeli atık olarak bertaraf edilir. Kanalizasyona verilmez. Müdahalede uygun KKD kullanılır.</t>
  </si>
  <si>
    <t>Sadece iyi havalandırılmış laboratuvar ortamında kullanılır
Alev, kıvılcım ve sıcak yüzeylerden uzak tutulur
Buharları solunmaz, cilt ve göz ile temasından kaçınılır
Kullanım sırasında uygun kişisel koruyucu donanım (kimyasal dayanımlı eldiven, gözlük/yüz siperi, laboratuvar önlüğü) kullanılır
Yeme, içme ve sigara kullanım alanında yasaktır
Sadece eğitimli ve yetkilendirilmiş personel tarafından kullanılır
Kullanım sonrası eller bol su ve sabun ile yıkanır            Orijinal ambalajında, ağzı sıkıca kapalı şekilde muhafaza edilir
Serin, kuru ve iyi havalandırılan alanlarda depolanır
Doğrudan güneş ışığından ve ısı kaynaklarından uzak tutulur
Alevlenebilir maddeler için ayrılmış dolaplarda saklanması önerilir
Oksitleyici maddeler ve uyumsuz kimyasallardan ayrı depolanır
Depolama alanlarında yangın söndürme ekipmanı bulundurulur
Yetkisiz kişilerin erişimi engellenir</t>
  </si>
  <si>
    <t>Çalışma ortamı iyi havalandırılmış olmalı, gerekli durumlarda lokal aspirasyon sistemi kullanılmalıdır. Buhar birikimini ve solunumu önlemek amacıyla kapalı alanlarda yeterli hava sirkülasyonu sağlanır. Kimyasalla çalışırken cilt ve göz temasından kaçınılmalı, uygun kişisel koruyucu donanım kullanılmalıdır. Kimyasal dayanımlı koruyucu eldiven (EN ISO 374), koruyucu gözlük veya yüz siperi (EN 166) ve laboratuvar önlüğü / koruyucu giysi (EN 13034) zorunludur. Havalandırmanın yetersiz olduğu durumlarda organik buhar filtreli solunum maskesi (EN 140 – EN 14387, A tipi filtre) kullanılmalıdır. Çalışma sırasında yeme, içme ve sigara içilmesi yasaktır. Kullanım sonrası eller bol su ve sabun ile yıkanmalıdır.</t>
  </si>
  <si>
    <t>Ürün sıvı formda olup alkol benzeri karakteristik kokuya sahiptir. Kristal mor içeren çözelti mor renkte, denatüre alkol bileşeni ise renksizdir. Suda tamamen çözünür yapıdadır. Parlama noktası 23 °C’nin altında olduğundan çok alevlenir özellik gösterir. Buharlaşma hızı yüksektir ve buharları havadan ağır olup kapalı alanlarda zeminde birikebilir. Düşük viskoziteli, akışkan yapıya sahiptir. Normal kullanım koşullarında kimyasal olarak kararlıdır ancak ısı, kıvılcım ve açık alev kaynaklarından uzak tutulmalıdır.</t>
  </si>
  <si>
    <t>Ürün, önerilen kullanım ve depolama koşulları altında kimyasal olarak kararlıdır. Normal kullanım sırasında tehlikeli reaksiyon beklenmez. Isı, kıvılcım, açık alev ve statik elektrik kaynakları ile temas etmesi durumunda alevlenme ve yangın riski oluşur. Güçlü oksitleyici maddelerle temasından kaçınılmalıdır. Uygun olmayan koşullarda veya yangın sırasında bozunarak karbon monoksit (CO) ve karbon dioksit (CO₂) gibi zararlı gazlar açığa çıkabilir. Kaplar basınç artışına karşı korunmalı, yüksek sıcaklıklara maruz bırakılmamalıdır.</t>
  </si>
  <si>
    <t>Ürün; solunması, yutulması veya cilt ile teması halinde zararlı etkilere yol açabilir. Buharlarının solunması baş dönmesi, baş ağrısı ve merkezi sinir sistemi üzerinde baskılayıcı etki oluşturabilir. Metanol içeriği nedeniyle tek maruz kalmada organ hasarı riski bulunmaktadır. Cilt ve göz ile temasında tahriş ve ciddi göz hasarı oluşturabilir. Uzun süreli veya tekrarlı maruziyet durumlarında kristal mor içeriğine bağlı olarak kansere yol açma şüphesi mevcuttur. Alerjik reaksiyon riski düşük olmakla birlikte hassas kişilerde tahriş belirtileri görülebilir.</t>
  </si>
  <si>
    <t>Ürün ve ürünle kontamine olmuş atıklar tehlikeli kimyasal atık olarak değerlendirilmelidir. Artan veya kullanılmayan ürünler, sızdırmaz ve etiketli kaplar içerisinde toplanarak yetkili lisanslı bertaraf tesislerine gönderilmelidir. Kanalizasyona, yüzey sularına veya toprağa dökülmesi engellenmelidir. Dökülme sonrası kullanılan emici malzemeler, temizlik bezleri ve koruyucu ekipmanlar da tehlikeli atık kapsamında imha edilmelidir. Boş ambalajlar tamamen boşaltıldıktan sonra uygun şekilde temizlenmeli veya mevzuata uygun olarak bertaraf edilmelidir.</t>
  </si>
  <si>
    <t>Gram Fuksin</t>
  </si>
  <si>
    <t>Ürün, mikrobiyolojik laboratuvarlarda Gram boyama yöntemi kapsamında mikroorganizmaların boyanması amacıyla kullanılır.</t>
  </si>
  <si>
    <t>Ürün; etanol, metanol ve/veya izopropil alkol bazlı çözücü içerisinde çözünmüş bazik fuksin (kristal mor türevleri) içermektedir.</t>
  </si>
  <si>
    <t>Ürün çok alevlenir sıvı ve buhar özelliğine sahiptir. Solunması, yutulması veya cilt ile teması halinde zararlı etkilere yol açabilir. Metanol içeriği nedeniyle tek maruz kalmada organ hasarı riski bulunmaktadır. Göz ile temasında ciddi göz hasarı oluşturabilir. Uzun süreli veya tekrarlı maruziyet durumlarında, bazik fuksin içeriğine bağlı olarak kansere yol açma şüphesi mevcuttur. Sucul ortamlar için çok toksik olup çevreye salınımı halinde uzun süreli olumsuz etkilere neden olabilir.</t>
  </si>
  <si>
    <t>Solunması halinde; maruz kalan kişi temiz havaya çıkarılır, rahat nefes alması sağlanır ve belirtiler devam ederse tıbbi yardım alınır.
Cilt ile teması halinde; kirlenmiş giysiler çıkarılır, temas eden bölge bol su ve sabun ile yıkanır. Tahriş devam ederse doktora başvurulur.
Göz ile teması halinde; göz kapakları açık tutularak en az 15 dakika boyunca bol su ile yıkanır, kontakt lens varsa çıkarılır ve derhal tıbbi yardım alınır.
Yutulması halinde; ağız su ile çalkalanır, kusturulmaz ve derhal sağlık kuruluşuna başvurulur. Bilinci kapalı kişiye ağızdan hiçbir şey verilmez.</t>
  </si>
  <si>
    <t>Ürün çok alevlenir sıvı özelliği gösterir. Yangın durumunda alkole dayanıklı köpük, kuru kimyevi toz, karbondioksit (CO₂) veya su spreyi kullanılır. Basınçlı su jeti kullanılmaz. Yangın sırasında açığa çıkan buharlar patlayıcı hava–buhar karışımı oluşturabilir. Kaplar ısıya maruz kalması halinde patlama riski taşıdığından güvenli mesafeden su spreyi ile soğutulmalıdır. Yangına müdahale eden personel tam koruyucu giysi ve bağımsız solunum cihazı (SCBA) kullanmalıdır. Yanma sonucu karbon monoksit (CO) ve karbon dioksit (CO₂) gibi zararlı gazlar açığa çıkabilir.</t>
  </si>
  <si>
    <t>Dökülme veya sızıntı durumunda alan derhal havalandırılır ve tüm ateşleme kaynakları ortamdan uzaklaştırılır. Yetkisiz personelin alana girişi engellenir. Müdahale eden personel uygun kişisel koruyucu donanım (kimyasal dayanımlı eldiven, koruyucu gözlük/yüz siperi ve gerekirse organik buhar filtreli solunum maskesi) kullanmalıdır. Dökülen ürün yanıcı olmayan emici malzeme (kum, vermikülit, absorban ped vb.) ile toplanarak sızdırmaz ve etiketli atık kaplarına alınır. Kanalizasyona, yüzey sularına ve toprağa karışması önlenir. Toplanan atıklar tehlikeli kimyasal atık olarak mevzuata uygun şekilde bertaraf edilir.</t>
  </si>
  <si>
    <t>Ürün yalnızca mikrobiyolojik laboratuvarlarda, eğitimli ve yetkilendirilmiş personel tarafından kullanılmalıdır. Kullanım sırasında iyi havalandırma sağlanmalı, gerekirse lokal aspirasyon sistemi kullanılmalıdır. Cilt ve göz temasından kaçınılmalı, uygun kişisel koruyucu donanım kullanılmalıdır. Ürün açık alev, kıvılcım ve sıcak yüzeylerden uzak tutulmalı, buharları solunmamalıdır.
Depolama sırasında ürün, orijinal ambalajında, ağzı sıkıca kapalı şekilde; serin, kuru ve iyi havalandırılmış alanlarda muhafaza edilmelidir. Doğrudan güneş ışığından ve ısı kaynaklarından uzak tutulmalı, oksitleyici maddelerle birlikte depolanmamalıdır. Yanıcı sıvılar için uygun dolaplarda saklanması önerilir ve yetkisiz kişilerin erişimi engellenmelidir.</t>
  </si>
  <si>
    <t>Çalışma ortamında yeterli genel ve/veya lokal havalandırma sağlanmalı, buhar birikimi önlenmelidir. Gerekli durumlarda çeker ocak kullanılmalıdır. Kimyasal ile çalışırken cilt, göz ve solunum yoluyla maruziyetin önlenmesi amacıyla uygun kişisel koruyucu donanım kullanılmalıdır. Kimyasala dayanıklı eldiven (EN ISO 374), koruyucu gözlük veya yüz siperi (EN 166) ve laboratuvar önlüğü / koruyucu giysi (EN 13034 – Tip 6) zorunludur. Havalandırmanın yetersiz olduğu durumlarda organik buhar filtreli solunum maskesi (EN 140 / EN 14387 – A tipi filtre) kullanılmalıdır. Çalışma sırasında yeme, içme ve sigara içilmesi yasaktır; kullanım sonrası eller bol su ve sabun ile yıkanmalıdır.</t>
  </si>
  <si>
    <t>Ürün sıvı formdadır ve alkol bazlı çözeltiye özgü karakteristik kokuya sahiptir. Bazik fuksin içeriği nedeniyle mor/kırmızımsı renktedir. Suda tamamen çözünür. Parlama noktası 23 °C’nin altında olup çok alevlenir özellik gösterir. Buharlaşma hızı yüksektir; buharları havadan ağırdır ve kapalı alanlarda birikebilir. Düşük viskoziteli, akışkan yapıya sahiptir. Normal kullanım ve depolama koşullarında kimyasal olarak kararlıdır, ancak ısı, kıvılcım ve açık alev kaynaklarından uzak tutulmalıdır.</t>
  </si>
  <si>
    <t>Ürün, önerilen kullanım ve depolama koşulları altında kimyasal olarak kararlıdır. Normal kullanım sırasında tehlikeli bir reaksiyon beklenmez. Isı, kıvılcım, açık alev ve statik elektrik kaynakları ile temas etmesi durumunda alevlenme ve yangın riski oluşur. Güçlü oksitleyici maddelerle temasından kaçınılmalıdır. Yangın veya uygun olmayan koşullarda bozunarak karbon monoksit (CO) ve karbon dioksit (CO₂) gibi zararlı gazlar açığa çıkabilir. Kaplar yüksek sıcaklığa maruz bırakılmamalı ve basınç artışına karşı korunmalıdır.</t>
  </si>
  <si>
    <t>Ürün; solunması, yutulması veya cilt ile teması halinde zararlı etkilere neden olabilir. Buharlarının solunması durumunda baş dönmesi, baş ağrısı, mide bulantısı ve merkezi sinir sistemi üzerinde baskılayıcı etki görülebilir. Metanol içeriği nedeniyle tek maruziyette organ hasarı riski bulunmaktadır. Cilt ile teması halinde tahriş, göz ile temasında ise ciddi göz hasarı oluşabilir. Uzun süreli veya tekrarlayan maruziyetlerde bazik fuksin içeriğine bağlı olarak kansere yol açma şüphesi mevcuttur. Alerjik reaksiyon riski düşük olmakla birlikte hassas kişilerde irritasyon görülebilir.</t>
  </si>
  <si>
    <t>Ürün ve ürünle kontamine olmuş tüm atıklar tehlikeli kimyasal atık olarak değerlendirilmelidir. Dökülme veya kullanım sonrası artan ürünler, sızdırmaz ve etiketli kaplarda toplanarak lisanslı bertaraf tesislerine gönderilmelidir. Kanalizasyona, yüzey sularına veya toprağa dökülmesi engellenmelidir. Temizlik sırasında kullanılan emici malzemeler, bezler ve kişisel koruyucu donanımlar da tehlikeli atık kapsamında imha edilmelidir. Boş ambalajlar tamamen boşaltıldıktan sonra mevzuata uygun şekilde temizlenmeli veya bertaraf edilmelidir.</t>
  </si>
  <si>
    <t>Gram Jensen</t>
  </si>
  <si>
    <t>Ürün, mikrobiyolojik laboratuvarlarda Gram boyama (Gram Jensen yöntemi) kapsamında mikroorganizmaların boyanması amacıyla kullanılır.</t>
  </si>
  <si>
    <t>Ürün; alkol bazlı çözücü (etanol, metanol ve/veya izopropil alkol) içerisinde çözünmüş bazik fuksin (kristal mor türevi boyar madde) içeren kimyasal karışımdır.</t>
  </si>
  <si>
    <t>Ürün çok alevlenir sıvı ve buhar özelliği gösterir. Solunması, yutulması veya cilt ile teması halinde zararlı olabilir. Metanol içeriği nedeniyle tek maruziyette organ hasarı riski bulunmaktadır. Göz ile temasında ciddi göz tahrişi ve hasarı oluşturabilir. Uzun süreli veya tekrarlayan maruziyetlerde bazik fuksin içeriğine bağlı olarak kansere yol açma şüphesi mevcuttur. Ayrıca sucul ortamlar için zararlı/toksik etki gösterdiğinden çevreye kontrolsüz salınımı önlenmelidir.</t>
  </si>
  <si>
    <t>Solunması halinde; maruz kalan kişi derhal temiz havaya çıkarılır, rahat nefes alması sağlanır ve belirtiler devam ederse tıbbi yardım alınır.
Cilt ile teması halinde; kirlenmiş giysiler çıkarılır, temas eden bölge bol su ve sabun ile yıkanır. Tahriş oluşması halinde doktora başvurulur.
Göz ile teması halinde; göz kapakları açık tutularak en az 15 dakika boyunca bol su ile yıkanır, varsa kontakt lensler çıkarılır ve derhal tıbbi yardım alınır.
Yutulması halinde; ağız su ile çalkalanır, kusturulmaz ve derhal sağlık kuruluşuna başvurulur. Bilinci kapalı kişiye ağızdan hiçbir şey verilmez.</t>
  </si>
  <si>
    <t>Ürün çok alevlenir sıvı ve buhar özelliğine sahiptir. Yangın durumunda alkole dayanıklı köpük, kuru kimyevi toz veya karbondioksit (CO₂) ile müdahale edilmelidir. Geniş alan yangınlarında su spreyi yalnızca soğutma amacıyla kullanılabilir; basınçlı su jeti kullanılmamalıdır. Yangın sırasında açığa çıkan buharlar hava ile patlayıcı karışımlar oluşturabilir. Isıya maruz kalan kaplar patlama riski taşıdığından güvenli mesafeden su spreyi ile soğutulmalıdır. Yangına müdahale eden personel tam koruyucu giysi ve bağımsız solunum cihazı (SCBA) kullanmalıdır. Yanma sonucu karbon monoksit (CO) ve karbon dioksit (CO₂) gibi zararlı gazlar açığa çıkabilir.</t>
  </si>
  <si>
    <t>Dökülme veya sızıntı durumunda alan derhal havalandırılır ve açık alev, kıvılcım ve statik elektrik kaynakları ortamdan uzaklaştırılır. Yetkisiz personelin alana girişi engellenir. Müdahaleyi yapan kişiler uygun kişisel koruyucu donanım (kimyasala dayanıklı eldiven, koruyucu gözlük/yüz siperi ve gerekirse organik buhar filtreli solunum maskesi) kullanmalıdır. Dökülen ürün yanıcı olmayan emici malzeme (kum, vermikülit, absorban ped vb.) ile toplanarak sızdırmaz ve etiketli atık kaplarına alınır. Ürünün kanalizasyona, yüzey sularına veya toprağa karışması önlenir. Toplanan atıklar mevzuata uygun şekilde tehlikeli kimyasal atık olarak bertaraf edilir.</t>
  </si>
  <si>
    <t>Ürün yalnızca mikrobiyolojik laboratuvarlarda, eğitimli ve yetkilendirilmiş personel tarafından kullanılmalıdır. Kullanım sırasında çalışma alanı iyi havalandırılmalı, gerekirse lokal aspirasyon sistemi kullanılmalıdır. Cilt ve göz ile temastan kaçınılmalı, uygun kişisel koruyucu donanım kullanılmalıdır. Ürün açık alev, kıvılcım ve sıcak yüzeylerden uzak tutulmalı; buharları solunmamalıdır.
Depolama sırasında ürün, orijinal ambalajında, ağzı sıkıca kapalı şekilde; serin, kuru ve iyi havalandırılan alanlarda muhafaza edilmelidir. Doğrudan güneş ışığından ve ısı kaynaklarından uzak tutulmalı, oksitleyici maddelerle birlikte depolanmamalıdır. Yanıcı sıvılar için uygun dolaplarda saklanması önerilir ve yetkisiz kişilerin erişimi engellenmelidir.</t>
  </si>
  <si>
    <t>Çalışma ortamında yeterli genel havalandırma sağlanmalı, gerekli durumlarda lokal aspirasyon veya çeker ocak kullanılmalıdır. Kimyasal buharların solunması önlenmeli, cilt ve göz ile temasından kaçınılmalıdır. Çalışma sırasında uygun kişisel koruyucu donanım kullanılmalıdır. Kimyasala dayanıklı eldiven (EN ISO 374), koruyucu gözlük veya yüz siperi (EN 166) ve laboratuvar önlüğü / koruyucu giysi (EN 13034 – Tip 6) kullanılmalıdır. Havalandırmanın yetersiz olduğu durumlarda organik buhar filtreli solunum maskesi (EN 140 / EN 14387 – A tipi filtre) kullanılmalıdır. Çalışma sırasında yeme, içme ve sigara içilmesi yasaktır; kullanım sonrası eller bol su ve sabun ile yıkanmalıdır.</t>
  </si>
  <si>
    <t>Ürün sıvı formda olup alkol bazlı çözeltiye özgü karakteristik kokuya sahiptir. Bazik fuksin/kristal mor içeriği nedeniyle mor–kırmızımsı renktedir. Suda tamamen çözünür yapıdadır. Parlama noktası 23 °C’nin altındadır ve bu nedenle çok alevlenir özellik gösterir. Buharlaşma hızı yüksektir; buharları havadan ağırdır ve kapalı alanlarda zeminde birikebilir. Düşük viskoziteli, akışkan yapıdadır. Normal kullanım ve depolama koşullarında kimyasal olarak kararlıdır ancak ısı, kıvılcım ve açık alev kaynaklarından uzak tutulmalıdır.</t>
  </si>
  <si>
    <t>Ürün, önerilen kullanım ve depolama koşulları altında kimyasal olarak kararlıdır. Normal kullanım sırasında tehlikeli bir reaksiyon beklenmez. Isı, kıvılcım, açık alev ve statik elektrik kaynaklarına maruz kalması halinde alevlenme ve yangın riski oluşur. Güçlü oksitleyici maddelerle temasından kaçınılmalıdır. Yangın veya uygun olmayan koşullarda bozunarak karbon monoksit (CO) ve karbon dioksit (CO₂) gibi zararlı gazlar açığa çıkabilir. Kaplar yüksek sıcaklığa maruz bırakılmamalı ve basınç artışına karşı korunmalıdır.</t>
  </si>
  <si>
    <t>Ürün; solunması, yutulması veya cilt ile teması halinde zararlı etkilere neden olabilir. Alkol buharlarının solunması baş dönmesi, baş ağrısı, mide bulantısı ve merkezi sinir sistemi üzerinde baskılayıcı etki oluşturabilir. Metanol içeriği nedeniyle tek maruziyette organ hasarı riski bulunmaktadır. Cilt ile teması halinde tahriş, göz ile teması halinde ise ciddi göz tahrişi ve hasarı meydana gelebilir. Uzun süreli veya tekrarlayan maruziyetlerde, bazik fuksin/kristal mor içeriğine bağlı olarak kansere yol açma şüphesi mevcuttur. Alerjik reaksiyon riski düşük olmakla birlikte hassas kişilerde irritasyon görülebilir.</t>
  </si>
  <si>
    <t>Ürün ve ürünle kontamine olmuş tüm malzemeler tehlikeli kimyasal atık olarak değerlendirilmelidir. Dökülme veya kullanım sonrası artan ürünler, sızdırmaz ve etiketli kaplarda toplanarak lisanslı bertaraf tesislerine gönderilmelidir. Ürünün kanalizasyona, yüzey sularına ve toprağa karışması engellenmelidir. Temizlik sırasında kullanılan emici malzemeler, bezler ve kişisel koruyucu donanımlar da tehlikeli atık kapsamında imha edilmelidir. Boş ambalajlar tamamen boşaltıldıktan sonra mevzuata uygun şekilde temizlenmeli veya bertaraf edilmelidir.</t>
  </si>
  <si>
    <t>İmmersion Yağı</t>
  </si>
  <si>
    <t>İmmersiyon yağı, ışık mikroskobunda yüksek büyütmeli (özellikle 100x immersiyon objektifi) incelemelerde çözünürlük ve görüntü netliğini artırmak amacıyla kullanılır.</t>
  </si>
  <si>
    <t>Ürün, mikroskobik incelemelerde kullanılmak üzere formüle edilmiş yüksek safiyetli mineral yağlar ve/veya sentetik hidrokarbonlardan oluşmaktadır.</t>
  </si>
  <si>
    <t>Ürün, mevcut mevzuatlara (CLP/GHS) göre tehlikeli madde olarak sınıflandırılmamıştır. Normal kullanım koşullarında insan sağlığı ve çevre açısından ciddi bir risk oluşturmaz. Ancak uzun süreli veya tekrarlayan temaslarda cilt ve gözlerde hafif tahrişe neden olabilir. Yutulması halinde mide rahatsızlıkları görülebilir. Yağ bazlı yapısı nedeniyle zeminde dökülmesi kayganlık riski oluşturur. Isıtılması veya uygunsuz koşullarda kullanılması durumunda bozunma ürünleri ortaya çıkabilir.</t>
  </si>
  <si>
    <t>Solunması halinde: Normal kullanım koşullarında solunma riski düşüktür. Buhar veya aerosol oluşmuşsa kişi temiz havaya çıkarılmalı, rahatsızlık devam ederse tıbbi yardım alınmalıdır.
Cilt ile temas halinde: Kontamine giysiler çıkarılmalı, cilt bol su ve sabun ile yıkanmalıdır. Uzun süreli temas sonrası tahriş oluşursa doktora başvurulmalıdır.
Göz ile temas halinde: Gözler derhal bol su ile, göz kapakları açık tutulacak şekilde en az 15 dakika yıkanmalıdır. Tahrişin devam etmesi durumunda göz doktoruna başvurulmalıdır.
Yutulması halinde: Ağız su ile çalkalanmalı, kusturulmaya çalışılmamalıdır. Rahatsızlık hissi oluşursa tıbbi yardım alınmalıdır.</t>
  </si>
  <si>
    <t>Ürün normal kullanım koşullarında yüksek derecede yanıcı değildir, ancak yanıcı sıvılar gibi davranabilir. Yangın durumunda köpük, kuru kimyevi toz, karbondioksit (CO₂) veya su spreyi kullanılabilir. Basınçlı su jeti doğrudan söndürme amacıyla önerilmez. Yangın sırasında karbon monoksit (CO) ve karbon dioksit (CO₂) gibi zararlı gazlar açığa çıkabilir. Yangına müdahale eden personel uygun kişisel koruyucu donanım ve gerektiğinde bağımsız solunum cihazı (SCBA) kullanmalıdır. Isıya maruz kalan kaplar güvenli mesafeden su spreyi ile soğutulmalıdır.</t>
  </si>
  <si>
    <t>Dökülme veya sızıntı durumunda alan güvenli hale getirilmeli ve kaygan zemin riski nedeniyle uyarı işaretleri yerleştirilmelidir. Yetkisiz personelin alana girişi engellenmelidir. Temizlik sırasında koruyucu eldiven kullanılması önerilir. Dökülen ürün, emici malzeme (bez, kağıt havlu, absorban ped vb.) ile toplanmalı ve uygun, sızdırmaz atık kaplarına alınmalıdır. Ürünün kanalizasyona, yüzey sularına veya toprağa karışması önlenmelidir. Temizlik sonrası yüzeyler uygun temizlik maddeleri ile yıkanmalıdır.</t>
  </si>
  <si>
    <t>İmmersiyon yağı, yalnızca mikroskobik incelemelerde, eğitimli ve yetkilendirilmiş personel tarafından kullanılmalıdır. Kullanım sırasında yağın cilt ve göz ile temasından kaçınılmalı, çalışma sonrası eller yıkanmalıdır. Ürün mikroskop objektifleri ile uyumlu olacak şekilde kullanılmalı, aşırı miktarda uygulanmamalıdır.
Depolama sırasında ürün, orijinal ambalajında, ağzı sıkıca kapalı olarak; serin, kuru ve iyi havalandırılan alanlarda muhafaza edilmelidir. Doğrudan güneş ışığından, aşırı ısıdan ve ateş kaynaklarından uzak tutulmalıdır. Oksitleyici maddelerden ayrı depolanması önerilir. Yetkisiz kişilerin erişimi engellenmelidir.</t>
  </si>
  <si>
    <t>Normal kullanım koşullarında özel bir mühendislik kontrolü gerektirmez. Çalışma alanında genel havalandırmanın yeterli olması yeterlidir. Cilt ve göz ile uzun süreli temastan kaçınılmalıdır. Kişisel koruyucu donanım olarak koruyucu eldiven (EN ISO 374) ve koruyucu gözlük (EN 166) kullanılması önerilir. Laboratuvar önlüğü gibi uygun iş giysileri giyilmelidir. Solunum koruyucu normal koşullarda gerekli değildir; ancak aerosol oluşması halinde uygun solunum koruyucu kullanılabilir. Çalışma sonrası eller bol su ve sabun ile yıkanmalıdır.</t>
  </si>
  <si>
    <t>Ürün sıvı formda olup şeffaf – açık sarı renktedir. Hafif karakteristik yağ kokusuna sahiptir. Suda çözünmez, ancak organik çözücülerle kısmen uyum gösterebilir. Yüksek viskoziteli ve akışkanlığı düşük yapıdadır. Parlama noktası yüksektir ve normal laboratuvar koşullarında kolay alevlenmez. Düşük buhar basıncına sahip olup uçucu değildir. Kırılma indisi mikroskobik kullanım için optimize edilmiştir. Normal kullanım ve depolama koşullarında kimyasal olarak kararlıdır.</t>
  </si>
  <si>
    <t>Ürün normal koşullarda stabildir, ancak ısıtma durumundan kaçınılmalıdır.
Uyumsuz maddeler: Alkali metaller, alkalin toprak metalleri ve güçlü oksitleyici ajanlarla temasından kaçınılmalıdır.
Uygun olmayan çalışma materyalleri: Kauçuk, demir, çinko ve alüminyum ile kullanılmamalıdır.
Tehlikeli ayrışma ürünleri: Belirtilmiş veri bulunmamaktadır; ancak uygun olmayan koşullarda zararlı gaz veya buhar oluşma riski göz ardı edilmemelidir.
Ürünle çalışırken uygun depolama koşulları (15–25 °C, iyi havalandırılmış ortam, kapalı kaplar) sağlanmalı ve yalnızca yetkili kişiler erişim sağlamalıdır.</t>
  </si>
  <si>
    <t>Ürünün toksikliği hakkında nicel veri sınırlıdır, ancak bileşenleri ciddi sağlık riskleri taşır.
Üreme ve gelişim toksisitesi: Hayvan deneylerine göre teratojenik etki riski yüksektir. Hamile kadınların maruziyeti kesinlikle engellenmelidir. Üreme performansını azaltabileceği yönünde bulgular vardır.
Kanserojen potansiyel: Kanserojen etkisi sınırlı kanıtlarla ilişkilendirilmiştir.
Akut etkiler: Göz temasında hafif tahriş; yutulduğunda mide bulantısı, kusma, baş dönmesi, baş ağrısı. Yüksek miktarda alındığında halüsinasyonlar görülebilir.
Kronik etkiler: Uzun süreli maruziyet karaciğer ve böbreklerde hasara yol açabilir.</t>
  </si>
  <si>
    <t>Kaza sonrası temizlik: Sıvı emici materyal (ör. Chemizorb®) ile toplanmalı, etkilenen alan iyice temizlenmelidir. Buhar ve aerosol solunmasından kaçınılmalı, ortam havalandırılmalıdır.
Çevresel önlem: Kanalizasyona, yüzey sularına veya toprağa karışmasına izin verilmemelidir.
Ürün imhası: Ulusal mevzuata uygun şekilde bertaraf edilmelidir. Ülke ve maddeye özel bilgiler için Merck’in retrologistik sistemi (www.retrologistik.de) kullanılabilir.
Ambalaj imhası: Ambalajlar ülke kurallarına uygun şekilde imha edilmeli veya geri dönüşüm sistemine gönderilmelidir.</t>
  </si>
  <si>
    <t>Metilen Mavisi Çözeltisi</t>
  </si>
  <si>
    <t>Genel laboratuvar çalışmaları için tasarlanmıştır. Özellikle bakterilerin metakromatik materyallerinin boyanmasında ve Ziehl-Neelsen asit-fast boyama metodunda sayım boyası olarak kullanılır.</t>
  </si>
  <si>
    <t>Etanol (%96)
CAS No: 64-17-5, EC No: 200-578-6
Sınıflandırma: Alevlenir sıvı Kategori 2 (H225), Göz tahrişi Kategori 2 (H319)
Konsantrasyon: ≥ 25 – &lt; 30 %
Metilen Mavisi
CAS No: 61-73-4, EC No: 200-515-2
Sınıflandırma: Akut Toksisite Kategori 4 (H302 – Yutulması halinde zararlıdır)
Konsantrasyon: &lt; 1 %</t>
  </si>
  <si>
    <t>“H225: Çok alevlenir sıvı ve buhar. H319: Ciddi göz tahrişine yol açar.”</t>
  </si>
  <si>
    <t>Genel öneri: Doktora danışın ve güvenlik bilgi formunu gösterin.
Solunum halinde: Kişiyi temiz havaya çıkarın, hemen doktor çağırın. Solunum durursa mekanik solunum uygulayın, gerekirse oksijen maskesi kullanın.
Deriyle temas halinde: Bol su ile yıkayın, kirli giysileri çıkarın, derhal tıbbi yardım alın.
Gözle temas halinde: Göz kapakları açık şekilde en az 15 dakika bol suyla yıkayın, tıbbi yardım alın.
Yutulması halinde: Ağız bol su ile çalkalanmalı, hasta şuuru yerindeyse bol su içirilmelidir. Kusma engellenmeli ve derhal tıbbi yardım istenmelidir.</t>
  </si>
  <si>
    <t>Uygun söndürücüler: Su, alkole dayanıklı köpük, kuru kimyasal veya karbondioksit kullanılmalıdır.
Özel riskler:
Yanıcıdır, parlama riski vardır.
Atmosfer sıcaklığında hava ile patlayıcı karışımlar oluşturabilir.
Buharlar havadan ağırdır, zeminde yoğunlaşabilir.
Yangın halinde tehlikeli yanıcı gazlar veya buharlar açığa çıkabilir.
Yangınla mücadele ekipmanları:
Özel solunum maskesi ve koruyucu elbise kullanılmalıdır.
Bağımsız solunum aparatı ile müdahale edilmelidir.
Ek bilgi: Yangın sırasında buhar birikimi patlayıcı yoğunluğa ulaşabileceğinden dikkatli olunmalıdır.</t>
  </si>
  <si>
    <t>Kişisel Önlemler:
Koruyucu ekipman kullanın.
Buhar, duman veya gazını solumaktan kaçının.
İyi havalandırma sağlayın.
Tutuşma kaynaklarını uzaklaştırın, personeli güvenli alana çıkarın.
Buhar zeminde birikebilir, patlayıcı yoğunluğa ulaşabileceğinden dikkatli olun.
Çevresel Önlemler:
Kanalizasyona ve yüzey sularına karışmasına izin vermeyin.
Sızıntı veya dökülme halinde yetkili resmi makamlara haber verin.
Temizlik ve Bertaraf:
Drenaj kanallarını kapatın.
Dökülmeleri sıvı emici materyal ile toplayın ve uygun şekilde imha için gönderin.
Etkilenen bölgeyi iyice temizleyin.</t>
  </si>
  <si>
    <t>Kullanım:
Genel laboratuvar çalışmaları için tasarlanmıştır.
Bakteri metakromatik materyallerin boyanmasında ve Ziehl-Neelsen asit-fast boyama metodunda sayım boyası olarak kullanılır.
Göz ve cilt ile temasından kaçınılmalı, buharı solunmamalıdır.
Tutuşturucu kaynaklardan uzak tutulmalı, sigara içilmemelidir.
Depolama:
Soğuk, kuru ve iyi havalandırılmış ortamda saklanmalıdır.
Kaplar sıkıca kapalı tutulmalı, açılan kaplar dikkatle kapatılarak dik konumda muhafaza edilmelidir.
Ürün etiketinde belirtilen saklama sıcaklığına uyulmalıdır.</t>
  </si>
  <si>
    <t>Mühendislik Kontrolleri:
İyi havalandırma sağlanmalı.
Endüstriyel hijyen kurallarına uyulmalı, çalışma aralarında ve gün sonunda eller yıkanmalıdır.
Kişisel Koruyucu Donanım:
Göz/Yüz Koruması: EN 166 standartlarına uygun, yan korumalı emniyet gözlükleri kullanılmalıdır.
El Koruması: Taşıma sırasında uygun koruyucu eldiven takılmalıdır.
Vücut Koruması: Maddenin türü, konsantrasyonu ve miktarına göre işyeri koşullarına uygun koruyucu giysi seçilmelidir.
Solunum Koruması: Normal koşullarda gerek yoktur; ancak buhar yoğunluğu yüksekse ek önlem alınmalıdır.
Çevresel Maruziyet Kontrolü:
Sızıntı ve dökülmelerin kanalizasyona veya çevreye karışması önlenmelidir.
Çevreye salınımı engellenmelidir.</t>
  </si>
  <si>
    <t>Görünüm: Sıvı, mavi renkli
Koku: Alkol kokusu
pH: 10,7 ± 0,1
Yoğunluk: 0,94 ± 0,01 g/cm³
Çözünürlük: Suda çözünür
Koku eşiği, erime noktası, kaynama noktası, parlama noktası, buhar basıncı, buhar yoğunluğu, akışkanlık: Uygun veri yoktur
Patlayıcılık / Oksitleyici özellikler: Belirtilmemiştir</t>
  </si>
  <si>
    <t>Kimyasal Kararlılık: Önerilen kullanım ve depolama koşullarında stabildir.
Kaçınılması Gereken Durumlar: Açık alev ve yüksek sıcaklıktan uzak tutulmalıdır.
Zararlı Tepkime Olasılığı:
Hidrojen peroksit, perkloratlar, perklorik asit, nitrik asit, civa(II) nitrat, permanganik asit, nitriller, peroksi bileşikler, kuvvetli oksitleyici maddeler, nitrosil bileşikler, peroksitler, sodyum, potasyum, halojen oksitler, kalsiyum hipoklorit, nitrojen dioksit, metalik oksitler, uranyum hekzaflorür, iyodürler, klor, alkali metaller, alkali toprak metaller, alkali oksitler, etilen oksit, gümüş bileşikleri, amonyak, konsantre sülfürik asit ve benzeri maddelerle patlama veya ekzotermik reaksiyon riski vardır.
Halojen-halojen bileşikleri, krom (VI) oksit, kromil klorür, flor, hidrürler, fosfor oksitleri, potasyum permanganat ile yanıcı gaz veya buhar oluşabilir.
Zararlı Bozunma Ürünleri: Belirtilmiş veri yoktur.</t>
  </si>
  <si>
    <t>Akut Toksisite:
Etanol (%96): LD50 Oral (sıçan) 6200 mg/kg; LD50 Dermal (tavşan) &gt; 20000 mg/kg.
Metilen Mavisi: LD50 Oral (sıçan) 1180 mg/kg.
Cilt Teması: Veri bulunmamaktadır.
Göz Teması: Ciddi göz tahrişine yol açar.
Solunum/Deri Hassasiyeti: Veri yoktur.
Mutajenite/Kanserojenite/Üreme Toksisitesi: Veri yoktur.
Belirli Hedef Organ Toksisitesi (Tek/tekrarlı maruz kalma): Veri yoktur.
Aspirasyon Zararı: Veri yoktur.</t>
  </si>
  <si>
    <t>Temizlik (Kaza Sonrası):
Drenaj kanalları kapatılmalı.
Dökülmeler sıvı emici materyal ile toplanmalı, sarılarak uzaklaştırılmalı.
Etkilenen bölge iyice temizlenmeli.
Buhar ve gaz birikimine karşı ortam havalandırılmalı.
İmha / Bertaraf:
Artıklar ve geri kazanımı mümkün olmayan çözeltiler, lisanslı bir atık firmasına verilmelidir.
Bertaraf işlemleri 2008/98/AT sayılı Atık Yönergesi ve ilgili ulusal/yerel yönetmeliklere uygun yapılmalıdır.
Kimyasallar orijinal kaplarında muhafaza edilmeli, başka atıklarla karıştırılmamalıdır.
Temizlenmemiş kaplar ürünle aynı şekilde bertaraf edilmelidir.</t>
  </si>
  <si>
    <t>MULTİLİGHT</t>
  </si>
  <si>
    <t>Sert yüzey temizleyici olarak tasarlanmıştır.</t>
  </si>
  <si>
    <t>Sodyum alkilbenzensülfonat
CAS No: 90194-45-9
EC No: 290-656-6
Sınıflandırma: Akut toksisite – Oral Kategori 4 (H302), Cilt tahrişi Kategori 2 (H315), Ciddi göz hasarı Kategori 1 (H318)
Konsantrasyon: %3 – 10    Anyonik yüzey aktifler: %5 – 15
Noniyonik yüzey aktifler, parfümler, 2-Bromo-2-Nitropropane-1,3-Diol: &lt;%5</t>
  </si>
  <si>
    <t>Sınıflandırma (CLP/GHS, 1272/2008/EC):
Göz tahrişi, Kategori 2 → H319: Ciddi göz tahrişine yol açar.</t>
  </si>
  <si>
    <t>Solunum: Kendinizi iyi hissetmezseniz tıbbi yardım alın. Normal kullanımda bilinen olumsuz etkiler yoktur.
Cilt Teması: Cildi bol ılık su ile yıkayın. Tahriş oluşursa tıbbi yardım alın. Normal kullanımda bilinen etkiler yoktur.
Göz Teması: Göz kapaklarını açık tutarak bol su ile en az 15 dakika yıkayın. Kontakt lens varsa çıkarın. Tahriş devam ederse tıbbi yardım alın.
Yutma: Ağzınızı çalkalayın, 1 bardak su için. Bilinci yerinde olmayan kişiye ağızdan hiçbir şey verilmemelidir. Kendinizi iyi hissetmezseniz tıbbi yardım alın.</t>
  </si>
  <si>
    <t>Uygun Söndürücüler:
Karbon dioksit (CO₂)
Kuru toz
Su spreyi jeti
Büyük yangınlarda: alkole dayanıklı köpük veya su spreyi jeti
Uygun Olmayan Söndürücüler: Belirtilmemiştir (uygulanamaz).
Özel Zararlar: Normal kullanımda bilinen özel zarar yoktur.
Yangın Söndürme Ekipleri İçin Tavsiyeler:
Kapalı devre solunum aparatı kullanılmalıdır.
Eldiven, göz/yüz koruyucu içeren uygun koruyucu giysi giyilmelidir.</t>
  </si>
  <si>
    <t>Kişisel Önlemler:
Özel bir acil durum önlemi gerekmemektedir.
Normal kullanımda ek koruyucu tedbirler gerekmez, ancak sıçrama ihtimali olan durumlarda dikkatli olunmalıdır.
Çevresel Önlemler:
Kanalizasyon sistemine, yüzey veya yeraltı sularına karışmasına izin vermeyin.
Dökülme durumunda bol miktarda su ile seyreltin.
Temizlik ve Bertaraf:
Sıvı bağlayıcı malzemeler (kum, diatomit, genel bağlayıcılar) ile emdirin.
Toplanan malzemeleri uygun şekilde bertaraf edin (bkz. Bölüm 13).</t>
  </si>
  <si>
    <t>Kullanım:
Sert yüzey temizleyici olarak profesyonel kullanım için tasarlanmıştır.
Diversey tarafından tavsiye edilmedikçe başka ürünlerle karıştırılmamalıdır.
Yiyecek, içecek ve hayvan yemlerinden uzak tutulmalıdır.
Çalışma sırasında ve sonrasında eller, yüz ve cilt iyice yıkanmalıdır.
Kirlenmiş giysiler hemen çıkarılmalıdır.
Yeterli havalandırma sağlanarak kullanılmalıdır.
Depolama:
Yerel ve ulusal yönetmeliklere uygun şekilde depolanmalıdır.
Kapalı kapta ve yalnızca orijinal ambalajında saklanmalıdır.
Kaçınılması gereken durumlar ve maddeler için Bölüm 10’a bakılmalıdır.</t>
  </si>
  <si>
    <t>Teknik Kontroller:
Normal kullanım koşullarında özel bir gereklilik yoktur.
Seyreltilmemiş ürünün doldurma ve transfer işlemlerinde sıçrama riskine karşı dikkat edilmelidir.
Kurumsal Kontroller:
Doğrudan temas ve sıçramalardan kaçınılmalıdır.
Kullanıcıların eğitilmiş personel olması önerilir.
Kişisel Koruyucu Donanım:
Göz/Yüz Koruması: Normalde gerekli değildir; ancak sıçrama riski varsa EN 16321 / EN 166 standartlarına uygun gözlük kullanılmalıdır.
El Koruması: Kullanımdan sonra eller durulanmalı ve kurulanmalıdır. Uzun süreli temasta cilt koruması gerekebilir.
Vücut Koruması: Normal kullanımda özel gereklilik yoktur.
Solunum Koruması: Normal kullanımda gerekli değildir.
Çevresel Maruziyet Kontrolleri:
Normal kullanım koşullarında özel gereklilik yoktur.
Kanalizasyona veya yüzey sularına doğrudan salınımından kaçınılmalıdır.
Seyreltilmiş Ürün İçin Not:
Tavsiye edilen maksimum konsantrasyon: %0,6.
Bu durumda da ek koruyucu önlem gerekmemektedir.</t>
  </si>
  <si>
    <t>“Fiziksel hali: Sıvı. Renk: Pembe. Koku: Hafif parfümlü. pH = 9. Parlama noktası &gt; 93.4 °C. Bağıl yoğunluk = 1.01 (20 °C). Çözünürlük: su ile tamamen karışabilir. Patlayıcı değildir. Oksitleyici değildir.”</t>
  </si>
  <si>
    <t>Normal depolama ve kullanım koşulları altında kararlıdır… Normal depolama ve kullanım koşulları altında bilinen zararlı reaksiyon yoktur… Normal depolama ve kullanım koşulları altında bilinmiyor.</t>
  </si>
  <si>
    <t>Akut Toksisite (Karışım):
ATE Oral (mg/kg): &gt;2000 → düşük akut toksisite.
Sodyum alkilbenzensülfonat: LD50 Oral (sıçan) &gt;1470 mg/kg (OECD 401).
Cilt Teması:
Sodyum alkilbenzensülfonat tavşanlarda tahriş edici (OECD 404).
Karışım için normal kullanımda ciddi cilt etkisi beklenmez.
Göz Teması:
Karışım: Göz tahrişi Kategori 2 (Eye irritant 2).
Sodyum alkilbenzensülfonat tavşanlarda ciddi göz hasarı (OECD 405).
Solunum:
Akut solunum toksisitesi için veri bulunmamaktadır.
Normal kullanımda bilinen olumsuz etki yoktur.
Hassaslaşma:
Sodyum alkilbenzensülfonat kobaylarda cilt hassaslaştırıcı değildir (OECD 406).
Solunum hassaslaştırıcı etkisine dair veri yoktur.
CMR (Kanserojenite, Mutajenite, Üreme Toksisitesi):
Sodyum alkilbenzensülfonat için veri bulunmamaktadır.
Tekrarlanan Doz Toksisitesi:
Sub-akut, sub-kronik ve kronik toksisite için veri bulunmamaktadır.
Aspirasyon Zararı:
Ürün aspirasyon zararı ile sınıflandırılmamıştır.</t>
  </si>
  <si>
    <t>“Konsantre içerikler veya kirlenmiş ambalaj bir sertifikalı işleyici tarafından veya tesis iznine göre bertaraf edilmelidir. Atıkların kanalizasyona salınımı önerilmez. Temizlenmiş ambalaj malzemesi yerel mevzuata uyumlu olarak enerji geri dönüşümü veya geri kazanım için uygundur.”</t>
  </si>
  <si>
    <t>SUMACHLOR</t>
  </si>
  <si>
    <t>Gıda işleme yardımcısı, koruyucu ve dezenfeksiyon ajanı; proses suyunda kullanılır.</t>
  </si>
  <si>
    <t>“sodyum hipoklorit (aktif klor)… %1-3… EUH031, H314, H318, H400, H410, H290.”</t>
  </si>
  <si>
    <t>“Cilt tahrişi, Kategori 2 (H315). Göz tahrişi, Kategori 2 (H319). Kronik sucul toksisite, Kategori 3 (H412)… Uyarı kelimesi: Dikkat. H315 + H319 - Cilt tahrişine ve göz tahrişine yol açar. H412 - Sucul ortamda uzun süre kalıcı, zararlı etki.”</t>
  </si>
  <si>
    <t xml:space="preserve">Solunum: Kendinizi iyi hissetmezseniz tıbbi yardım alın. Normal kullanımda bilinen olumsuz etkiler yoktur.
Cilt Teması: Cildi bol ılık su ile yıkayın. Tahriş oluşursa tıbbi yardım alın. Normal kullanımda bilinen etkiler yoktur.
Göz Teması: Göz kapaklarını açık tutarak bol su ile en az 15 dakika yıkayın. Kontakt lens varsa çıkarın. Tahriş devam ederse tıbbi yardım alın.
Yutma: Ağzınızı çalkalayın, 1 bardak su için. Bilinci yerinde olmayan kişiye ağızdan hiçbir şey verilmemelidir. Kendinizi iyi hissetmezseniz tıbbi yardım alın. </t>
  </si>
  <si>
    <t>“Uygun yangın söndürücü madde: Karbon dioksit. Kuru toz. Su spreyi jeti. Daha büyük yangınları su spreyi jeti veya alkole dayanıklı köpük ile söndürün… Herhangi bir yangın anında, kendi kendine yeterli kapalı devre solunum aparatı ve eldiven ve göz/yüz koruyucu içeren uygun koruyucu giysi giyiniz.”</t>
  </si>
  <si>
    <t>“Bol miktarda su ile seyreltiniz. Kanalizasyon sistemine, yüzey veya yeraltı sularına karışmasına izin vermeyin… Sıvı bağlayıcı malzemeler (kum, diatomit, genel bağlayıcılar) ile emdiriniz. Dökülen maddeleri orijinal kabına geri koymayın.”</t>
  </si>
  <si>
    <t>Kullanım:
Gıda işleme yardımcısı, koruyucu ve dezenfeksiyon ajanı olarak kullanılır.
Sadece profesyonel ve endüstriyel kullanım için uygundur.
Spreyini solumayın, yeterli havalandırma sağlayın.
Yiyecek, içecek ve hayvan yemlerinden uzak tutun.
Diversey tarafından tavsiye edilmedikçe başka ürünlerle karıştırmayın.
Elleçlemeden sonra yüz, eller ve cilt iyice yıkanmalıdır.
Kirlenmiş giysiler çıkarılmalı ve yıkanmadan tekrar kullanılmamalıdır.
Cilt ve göz ile temastan kaçınılmalıdır.
Depolama:
Yerel ve ulusal yönetmeliklere uygun şekilde depolanmalıdır.
Kapalı kapta ve yalnızca orijinal ambalajında saklanmalıdır.
Donmaya karşı korunmalıdır.</t>
  </si>
  <si>
    <t>Teknik ve Kurumsal Kontroller:
Normal kullanımda özel gereklilik yoktur.
Doğrudan temas ve sıçramalardan kaçınılmalıdır.
Ürün yalnızca iyi havalandırılan alanlarda kullanılmalıdır.
Kişisel Koruyucu Donanım:
Göz/Yüz Koruması: Normalde gerekli değildir; ancak sıçrama riski varsa EN 16321 / EN 166 standartlarına uygun gözlük önerilir.
El Koruması:
Kısa süreli temas için: nitril kauçuk eldiven (≥0.4 mm, ≥30 dakika nüfuz etme süresi).
Uzun süreli temas için: butil kauçuk eldiven (≥0.7 mm, ≥480 dakika nüfuz etme süresi).
Kullanımdan sonra eller durulanmalı ve kurulanmalıdır.
Vücut Koruması: Normal kullanımda özel gereklilik yoktur.
Solunum Koruması: Normal kullanımda gerekli değildir. Sprey uygulamalarında iyi havalandırma sağlanmalıdır.
Çevresel Maruziyet Kontrolleri:
Normal kullanımda özel gereklilik yoktur.
Seyreltilmemiş ürünün kanalizasyona veya yüzey sularına karışmasından kaçınılmalıdır.
Seyreltilmiş Ürün İçin Not:
Tavsiye edilen maksimum konsantrasyon: %0,5.
Bu durumda ek koruyucu önlem gerekmemektedir.</t>
  </si>
  <si>
    <t>“Fiziksel hali: Sıvı. Renk: Berrak, soluk, sarı. Koku: Klor. pH ≥ 11.5 (saf)… Bağıl yoğunluk = 1.04 (20 °C). Çözünürlük: su ile tamamen karışabilir. Patlayıcı değildir. Oksitleyici değildir.”</t>
  </si>
  <si>
    <t>“Normal depolama ve kullanım koşulları altında kararlıdır… Asitlerle toksik klor gazı açığa çıkaran reaksiyona girer… Zararlı bozunma ürünleri: Klor.”</t>
  </si>
  <si>
    <t>Akut Toksisite (Karışım):
ATE Oral (mg/kg): &gt;2000 → düşük akut toksisite.
Sodyum hipoklorit (aktif klor):
Oral LD50 (sıçan): 1100 mg/kg (OECD 401).
Dermal LD50 (tavşan): &gt;20000 mg/kg (OECD 402).
Solunum LC50 (sıçan, buhar): &gt;10.5 mg/l (OECD 403).
Tahriş ve Aşındırıcılık:
Cilt: Aşındırıcı (OECD 404, tavşan).
Göz: Ciddi hasar (OECD 405, tavşan).
Solunum: Tahriş edici.
Hassaslaşma:
Cilt: Hassaslaştırıcı değildir (OECD 406, kobay faresi).
Solunum: Hassaslaştırıcı değildir.
CMR Etkileri (Kanserojenite, Mutajenite, Üreme Toksisitesi):
Mutajenite: Kanıt yok (OECD 471, 474).
Kanserojenite: Kanıt yok, olumsuz test sonuçları.
Üreme toksisitesi: NOAEL = 5 mg/kg (sıçan), üreme toksisitesi için kanıt yok.
Tekrarlanan Doz Toksisitesi:
Sub-akut oral NOAEL = 50 mg/kg (sıçan, 90 gün, OECD 408).
Dermal ve solunum için veri bulunmamaktadır.
Kronik toksisite için veri bulunmamaktadır.
Aspirasyon Zararı:
Ürün aspirasyon zararı ile sınıflandırılmamıştır.</t>
  </si>
  <si>
    <t>“Büyük miktarda dökülen sıvıyı toplamak için hendek açın. Sıvı bağlayıcı malzemeler (kum, diatomit, genel bağlayıcılar) ile emdiriniz. Dökülen maddeleri orijinal kabına geri koymayın. Bertaraf etmek için kapalı ve uygun kaplarda toplayın… Konsantre içerikler veya kirlenmiş ambalaj bir sertifikalı işleyici tarafından veya tesis iznine göre bertaraf edilmelidir.”</t>
  </si>
  <si>
    <t>ClaxHypo</t>
  </si>
  <si>
    <t>Çamaşır deterjanı yardımcısı. Sadece profesyonel kullanım içindir. Belirlenen kullanımlarından başka diğer kullanımları tavsiye edilmez.</t>
  </si>
  <si>
    <t>“EUH031, H314, H318, H400, H411, H290… Uyarı kelimesi: Tehlike… H314 - Ciddi cilt yanıklarına ve göz hasarına yol açar. H410 - Sucul ortamda uzun süre kalıcı, çok toksik etki. EUH031 - Asitlerle temasında toksik gaz çıkarır.”</t>
  </si>
  <si>
    <t>“Cildi en az 30 dakika yavaşça akan bol ılık su ile yıkayın… Gözleri bol miktarda ılık suyla en az 15 dakika yıkayın… Yutulması ağızda, boğazda şiddetli bir yanma etkisine ve yemek borusu ile midenin delinme tehlikesine neden olur.”</t>
  </si>
  <si>
    <t>“Yeterli havalandırma sağlayın. Toz veya buharı solumayın… Bol miktarda su ile seyreltiniz. Kanalizasyon sistemine, yüzey veya yeraltı sularına karışmasına izin vermeyin… Sıvı bağlayıcı malzemeler (kum, diatomit, genel bağlayıcılar) ile emdiriniz. Dökülen maddeleri orijinal kabına geri koymayın.”</t>
  </si>
  <si>
    <t>Kullanım:
Çamaşır deterjanı yardımcısı olarak profesyonel kullanım için tasarlanmıştır.
Yiyecek, içecek ve hayvan yemlerinden uzak tutulmalıdır.
Diversey tarafından tavsiye edilmedikçe başka ürünlerle karıştırılmamalıdır.
Elleçlemeden sonra yüz, eller ve cilt iyice yıkanmalıdır.
Kirlenmiş giysiler hemen çıkarılmalı ve yıkanmadan tekrar kullanılmamalıdır.
Buharı solunmamalı, yalnızca yeterli havalandırma sağlanarak kullanılmalıdır.
Cilt ve göz ile temastan kaçınılmalıdır.
Depolama:
Yerel ve ulusal yönetmeliklere uygun şekilde depolanmalıdır.
Kapalı kapta ve yalnızca orijinal ambalajında saklanmalıdır.
Kaçınılması gereken durumlar için Bölüm 10.4’e, maddeler için Bölüm 10.5’e bakılmalıdır.
Ürün metalleri aşındırabileceği ve asitlerle reaksiyona girerek toksik klor gazı açabileceği için uygun depolama koşulları sağlanmalıdır.</t>
  </si>
  <si>
    <t>Kontrol Parametreleri:
Sodyum hidroksit için işyeri maruziyet limiti: 2 mg/m³ (uzun süreli).
Teknik ve Kurumsal Kontroller:
Ürün seyreltilirken özel dozajlama sistemleri kullanıldığında ek koruyucu ekipman gerekmez.
Doğrudan temas ve sıçramalardan kaçınılmalıdır.
Eğitimli personel tarafından kullanılmalıdır.
Kişisel Koruyucu Donanım (seyreltilmemiş ürün için):
Göz/Yüz Koruması: Güvenlik gözlüğü veya yüzü tamamen kapatan maskeler (EN 16321).
El Koruması:
Uzun süreli temas: Butil kauçuk eldiven ≥0.7 mm, nüfuz etme süresi ≥480 dakika.
Sıçramalara karşı: Nitril kauçuk eldiven ≥0.4 mm, nüfuz etme süresi ≥30 dakika.
Vücut Koruması: Kimyasala dirençli giysi ve botlar (EN 14605).
Solunum Koruması:
Sıçrama veya partikül riski varsa yarım maske (EN 140) veya tam yüz maskesi (EN 136) P2 filtresi ile (EN 143).
Seyreltilmiş Ürün (%0.56’ya kadar):
Normal kullanım koşullarında ek koruyucu önlem gerekmemektedir.
Çevresel Maruziyet Kontrolleri:
Seyreltilmemiş ürün kanalizasyona veya drenaj sistemine ulaşmamalıdır.
Normal kullanımda özel gereklilik yoktur.</t>
  </si>
  <si>
    <t>“Fiziksel hali: Sıvı. Renk: Berrak, Sarı. Koku: Klor. pH ≥ 11.5 (saf)… Bağıl yoğunluk = 1.08 (20 °C). Çözünürlük: su: Tamamen karışabilinir… Patlayıcı değildir. Oksitleyici değildir. Metallerin aşınması: Aşındırıcı.”</t>
  </si>
  <si>
    <t>Akut Toksisite (Karışım):
ATE Oral (mg/kg): &gt;2000 → düşük akut toksisite.
Sodyum hipoklorit (aktif klor):
Oral LD50 (sıçan): 1100 mg/kg (OECD 401).
Dermal LD50 (tavşan): &gt;20000 mg/kg (OECD 402).
Solunum LC50 (sıçan, buhar): &gt;10.5 mg/l (OECD 403).
Sodyum hidroksit:
Dermal LD50 (tavşan): 1350 mg/kg.
Tahriş ve Aşındırıcılık:
Cilt: Aşındırıcı (OECD 404, tavşan).
Göz: Ciddi hasar (OECD 405, tavşan).
Solunum: Tahriş edici.
Hassaslaşma:
Cilt: Hassaslaştırıcı değildir (OECD 406, kobay faresi).
Solunum: Hassaslaştırıcı değildir.
CMR Etkileri (Kanserojenite, Mutajenite, Üreme Toksisitesi):
Mutajenite: Kanıt yok (OECD 471, 474).
Kanserojenite: Kanıt yok, olumsuz test sonuçları.
Üreme toksisitesi: NOAEL = 5 mg/kg (sıçan), üreme toksisitesi için kanıt yok.
Tekrarlanan Doz Toksisitesi:
Sub-akut oral NOAEL = 50 mg/kg (sıçan, 90 gün, OECD 408).
Dermal ve solunum için veri bulunmamaktadır.
Kronik toksisite için veri bulunmamaktadır.
Aspirasyon Zararı:
Ürün aspirasyon zararı ile sınıflandırılmamıştır.</t>
  </si>
  <si>
    <t>TitanDivosanQCVT50</t>
  </si>
  <si>
    <t>Yüzey dezenfektanı olarak kullanılır.</t>
  </si>
  <si>
    <t>“didesildimetilamonyumklorür… %3-10… Cilt aşınması, Kategori 1B (H314) Akut toksisite - Oral, Kategori 4 (H302) Ciddi göz hasarı, Kategori 1 (H318) Akut sucul toksisite, Kategori 1 M=10 (H400) Kronik sucul toksisite, Kategori 2 (H411).”</t>
  </si>
  <si>
    <t>“Cilt tahrişi, Kategori 2 (H315) Ciddi göz hasarı, Kategori 1 (H318) Akut sucul toksisite, Kategori 1 (H400) Kronik sucul toksisite, Kategori 3 (H412)… Uyarı kelimesi: Tehlike… H315 - Cilt tahrişine yol açar. H318 - Ciddi göz hasarına yol açar. H410 - Sucul ortamda uzun süre kalıcı, çok toksik etki.”</t>
  </si>
  <si>
    <t>“Cildi yavaşça akan bol ılık su ile yıkayın. Ciltte tahriş söz konusu ise: Tıbbi yardım veya müdahale alın… Gözleri bol miktarda ılık suyla en az 15 dakika yıkayın… Ağzınızı çalkalayın. Hemen 1 bardak su için… Kendinizi iyi hissetmezseniz, tıbbi tavsiye veya müdahale alınız.”</t>
  </si>
  <si>
    <t>“Göz/yüz koruması kullanın. Tekrarlı veya uzun süreli temas: Uygun eldiven kullanın… 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</si>
  <si>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Kullanım:
Yüzey dezenfektanı olarak profesyonel ve endüstriyel kullanım için tasarlanmıştır.
İyi endüstriyel hijyen ve güvenlik uygulamalarına uygun şekilde kullanılmalıdır.
Yiyecek, içecek ve hayvan yemlerinden uzak tutulmalıdır.
Diversey tarafından tavsiye edilmedikçe başka ürünlerle karıştırılmamalıdır.
Kullanımdan sonra yüz, eller ve cilt iyice yıkanmalıdır.
Kirlenmiş giysiler çıkarılmalı ve yıkanmadan tekrar kullanılmamalıdır.
Spreyini solumaktan kaçınılmalı, yalnızca yeterli havalandırma sağlanarak kullanılmalıdır.
Cilt ve göz ile temastan kaçınılmalıdır.
Depolama:
Yerel ve ulusal yönetmeliklere uygun şekilde depolanmalıdır.
Kapalı kapta ve yalnızca orijinal ambalajında saklanmalıdır.
Donmaya karşı korunmalıdır.</t>
  </si>
  <si>
    <t>Teknik Kontroller:
Ürün özel dozajlama sistemleri ile seyreltilirse doğrudan temas riski azalır ve ek koruyucu ekipman gerekmez.
Yalnızca iyi havalandırılmış alanlarda kullanılmalıdır.
Kurumsal Kontroller:
Doğrudan temas ve sıçramalardan kaçınılmalıdır.
Eğitimli personel tarafından kullanılmalıdır.
Kişisel Koruyucu Donanım (seyreltilmemiş ürün için):
Göz/Yüz Koruması: Güvenlik gözlükleri veya koruyucu gözlük (EN 16321).
El Koruması:
Uzun süreli temas: Butil kauçuk eldiven ≥0.7 mm, nüfuz etme süresi ≥480 dakika.
Sıçramalara karşı: Nitril kauçuk eldiven ≥0.4 mm, nüfuz etme süresi ≥30 dakika.
Vücut Koruması: Normal kullanımda özel gereklilik yoktur; ancak uzun süreli temas ihtimalinde kimyasala dayanıklı giysi tercih edilmelidir.
Solunum Koruması: Normal kullanımda özel gereklilik yoktur.
Kişisel Koruyucu Donanım (seyreltilmiş ürün için, %2’ye kadar):
Normal kullanımda ek koruyucu önlem gerekmemektedir.
Sprey şişeleri ile uygulamada da özel gereklilik yoktur.
Çevresel Maruziyet Kontrolleri:
Seyreltilmemiş veya nötralize edilmemiş ürün kanalizasyona veya drenaj sistemine ulaşmamalıdır.
Normal kullanımda özel gereklilik bulunmamaktadır.</t>
  </si>
  <si>
    <t>“Fiziksel hali: Sıvı. Renk: Berrak, Renksiz. Koku: Ürüne özel. pH ~7 (saf), seyreltme pH = 6 (%2)… Parlama noktası &gt;100 °C… Bağıl yoğunluk = 1.00 (20 °C). Çözünürlük: su: Tamamen karışabilinir… Patlayıcı değildir. Oksitleyici değildir. Metallerin aşınması: Aşındırıcı değildir.”</t>
  </si>
  <si>
    <t>“Normal depolama ve kullanım koşulları altında kararlıdır… Normal depolama ve kullanım koşulları altında bilinen zararlı reaksiyon yoktur… Normal depolama ve kullanım koşulları altında bilinmiyor.”</t>
  </si>
  <si>
    <t>Akut Toksisite (Karışım):
ATE Oral (mg/kg): &gt;2000 (düşük akut toksisite).
Didesildimetilamonyumklorür:
Oral LD50 (sıçan): 238 mg/kg → toksik kabul edilir.
Dermal LD50: Veri bulunmamaktadır.
Solunum LC50: Veri bulunmamaktadır.
Tahriş ve Aşındırıcılık:
Cilt: Aşındırıcı (OECD 404, tavşan).
Göz: Ciddi hasar (Kategori 1).
Solunum: Veri bulunmamaktadır.
Hassaslaşma:
Cilt: Hassaslaştırıcı değildir (OECD 406, kobay faresi).
Solunum: Veri bulunmamaktadır.
CMR Etkileri (Kanserojenite, Mutajenite, Üreme Toksisitesi):
Mutajenite: Genotoksisite için kanıt yok, olumsuz test sonuçları (OECD 471, 473, 476).
Kanserojenite: Veri bulunmamaktadır.
Üreme toksisitesi: Veri bulunmamaktadır.
Tekrarlanan Doz Toksisitesi:
Sub-akut / sub-kronik oral, dermal ve solunum için veri bulunmamaktadır.
Kronik toksisite için veri bulunmamaktadır.
Aspirasyon Zararı:
Ürün aspirasyon zararı ile sınıflandırılmamıştır.</t>
  </si>
  <si>
    <t>“Büyük miktarda dökülen sıvıyı toplamak için hendek açın. Sıvı bağlayıcı malzemeler (kum, diatomit, genel bağlayıcılar) ile emdiriniz. Dökülen maddeleri orijinal kabına geri koymayın. Bertaraf etmek için kapalı ve uygun kaplarda toplayın… Seyreltilmemiş veya nötralize edilmemiş halde kanalizasyon sistemine veya drenaj çukuruna ulaşmamalıdır.”</t>
  </si>
  <si>
    <t>SumaQuickD4.1</t>
  </si>
  <si>
    <t>Propan-2-ol (İzopropil alkol): %20–30
Didesildimetilamonyumklorür: &lt;%0.01</t>
  </si>
  <si>
    <t>H226: Alevlenir sıvılar, Kategori 3 – Alevlenir sıvı ve buhar
H336: Belirli hedef organ toksisitesi – Tek maruz kalma, Kategori 3 – Rehavete veya baş dönmesine yol açabilir
H319: Göz tahrişi, Kategori 2 – Ciddi göz tahrişine yol açar</t>
  </si>
  <si>
    <t>Solunum: Açık havaya çıkarın, rahat nefes almasını sağlayın. Gerekirse UZEM 114 veya doktora başvurun.
Cilt Teması: Bol ılık su ile yıkayın, kirlenmiş giysileri çıkarın. Tahriş varsa tıbbi yardım alın.
Göz Teması: En az 15 dakika bol su ile yıkayın, kontakt lens varsa çıkarın. Tahriş devam ederse doktora başvurun.
Yutma: Ağzı çalkalayın, 1 bardak su için. Bilinci kapalı kişiye ağızdan hiçbir şey vermeyin. Kendinizi iyi hissetmezseniz tıbbi yardım alın.
Belirtiler: Solunumda baş dönmesi/rehavet, gözde ciddi tahriş; cilt ve yutma için normal kullanımda bilinen etkiler yoktur.</t>
  </si>
  <si>
    <t>Karbon dioksit (CO₂)
Kuru toz
Su spreyi jeti
Büyük yangınlarda: alkole dayanıklı köpük veya su spreyi jeti</t>
  </si>
  <si>
    <t>“Tüm tutuşturucu kaynakları kapatın. Alanı havalandırın. Yeterli havalandırma sağlayın. Toz veya buharı solumayın. Göz/yüz koruması kullanın… 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</si>
  <si>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Kullanım:
Yüzey dezenfektanı olarak yalnızca profesyonel kullanım için uygundur.
İyi endüstriyel hijyen ve güvenlik uygulamalarına uygun şekilde kullanılmalıdır.
Yiyecek, içecek ve hayvan yemlerinden uzak tutulmalıdır.
Diversey tarafından tavsiye edilmedikçe başka ürünlerle karıştırılmamalıdır.
Aralardan önce ve gün sonunda eller yıkanmalıdır.
Kirlenmiş giysiler çıkarılmalı ve ayrı depolanmalıdır.
Cilt ve göz ile temastan kaçınılmalıdır.
Buhar ve sprey solunmamalıdır.
Sadece iyi havalandırılan alanlarda kullanılmalıdır.
Depolama:
Yerel ve ulusal yönetmeliklere uygun şekilde depolanmalıdır.
İyi havalandırılan yerde, kapalı kapta ve yalnızca orijinal ambalajında saklanmalıdır.
Donmaya karşı korunmalı, soğuk tutulmalı, ısıdan ve doğrudan güneş ışığından uzak tutulmalıdır.</t>
  </si>
  <si>
    <t>“Sadece iyi havalandırılmış alanlarda kullanın. Doğrudan temas ve/veya sıçrama ihtimali olan durumlardan kaçının… Güvenlik gözlükleri normalde gerekli değildir, ancak sıçramaların oluşabileceği durumlarda tavsiye edilir… Normal kullanım koşulları altında özel gereklilikler bulunmamaktadır… Seyreltilmemiş veya nötralize edilmemiş halde kanalizasyon sistemine veya drenaj çukuruna ulaşmamalıdır.”</t>
  </si>
  <si>
    <t>“Fiziksel hali: Sıvı, berrak, renksiz… pH = 7… Parlama noktası ~25 °C… Yoğunluk 0.96 (20 °C)… Suda tamamen karışabilir… Propan-2-ol alt patlama limiti %2, üst patlama limiti %13… Buhar basıncı 4200 Pa (20 °C)… Patlayıcı değildir, buharlar hava ile patlayıcı karışımlar oluşturabilir… Oksitleyici değildir… Metallerin aşınması: Aşındırıcı değildir.”</t>
  </si>
  <si>
    <t>Akut Toksisite (Karışım):
ATE Oral (mg/kg): &gt;2000 → düşük akut toksisite.
Propan-2-ol:
LD50 Oral (sıçan): 5840 mg/kg (OECD 401).
LD50 Dermal (tavşan): &gt;2000 mg/kg.
LC50 Solunum (sıçan, buhar): &gt;25 mg/l (6 saat).
Didesildimetilamonyumklorür:
LD50 Oral (sıçan): 238 mg/kg → toksik.
Dermal ve solunum için veri bulunmamaktadır.
Tahriş ve Aşındırıcılık:
Propan-2-ol: Ciltte tahriş edici değil, gözde tahriş edici.
Didesildimetilamonyumklorür: Ciltte aşındırıcı, gözde ciddi hasar.
Hassaslaşma:
Her iki bileşen de cilt hassaslaştırıcı değildir (OECD 406).
Solunum hassaslaştırıcı etkileri için veri yoktur.
CMR Etkileri (Kanserojenite, Mutajenite, Üreme Toksisitesi):
Propan-2-ol: Mutajenite ve genotoksisite için kanıt yoktur, olumsuz test sonuçları. Kanserojen olduğuna dair kanıt yoktur.
Didesildimetilamonyumklorür: Genotoksisite için kanıt yoktur, olumsuz test sonuçları. Kanserojenite ve üreme toksisitesi için veri yoktur.
Tekrarlanan Doz Toksisitesi:
Propan-2-ol: Merkezi sinir sistemi etkilenebilir (tek maruziyet).
Diğer yollar için veri bulunmamaktadır.
Aspirasyon Zararı:
Ürün aspirasyon zararı ile sınıflandırılmamıştır.</t>
  </si>
  <si>
    <t>Sumagrill</t>
  </si>
  <si>
    <t>Fırın ve ızgara temizleyicisi
Fritöz temizleyicisi
Mutfak yüzey temizleyicisi</t>
  </si>
  <si>
    <t>“Sodyum hidroksit… Cilt aşınması, Kategori 1A (H314) Metaller için aşındırıcıdır, Kategori 1 (H290)… (2-methoxymethylethoxy)propanol… Sınıflandırılmamıştır.”</t>
  </si>
  <si>
    <t>“Cilt aşınması, Kategori 1A (H314)… Ciddi göz hasarı, Kategori 1 (H318)… Metaller için aşındırıcıdır, Kategori 1 (H290)… EUH071 – Solunum yolunda aşınmaya yol açar</t>
  </si>
  <si>
    <t>Genel Bilgi:
Bilinci kapalı kişiyi uygun pozisyona getirin, temiz hava sağlayın.
Solunum durursa suni solunum uygulayın, ancak ağızdan ağza değil; solunum maskesi veya torba kullanın.
Solunum:
Zarar gören kişiyi açık havaya çıkarın, rahat nefes almasını sağlayın.
Hemen UZEM 114 veya doktora başvurun.
Cilt Teması:
Cildi en az 30 dakika bol ılık su ile yıkayın.
Kirlenmiş giysileri çıkarın.
Hemen UZEM 114 veya doktora başvurun.
Göz Teması:
Göz kapaklarını açık tutarak en az 15 dakika bol su ile yıkayın.
Kontakt lens varsa çıkarın.
Hemen UZEM 114 veya doktora başvurun.
Yutma:
Ağzı çalkalayın, 1 bardak su için.
Bilinci kapalı kişiye ağızdan hiçbir şey vermeyin.
Kusturmayın.
Hemen UZEM 114 veya doktora başvurun.
Belirtiler:
Solunum: Solunum yolunda aşınma.
Cilt: Ciddi yanıklar.
Göz: Ciddi veya kalıcı hasar.
Yutma: Ağız, boğaz ve mide dokusunda yanma, delinme riski.</t>
  </si>
  <si>
    <t>“Uygun koruyucu giysi giyin. Göz/yüz koruması kullanın. Uygun eldiven kullanın… Bol miktarda su ile seyreltiniz. Kanalizasyon sistemine, yüzey veya yeraltı sularına karışmasına izin vermeyin… Büyük miktarda dökülen sıvıyı toplamak için hendek açın. Nötralize edici ajan kullanın. Kum, diatomit veya genel bağlayıcılar ile emdiriniz. Dökülen maddeleri orijinal kabına geri koymayın. Bertaraf etmek için kapalı ve uygun kaplarda toplayın.”</t>
  </si>
  <si>
    <t>Kullanım:
Fırın, ızgara, fritöz ve mutfak yüzey temizleyicisi olarak kullanılır.
Sadece profesyonel kullanım içindir.
İyi endüstriyel hijyen ve güvenlik uygulamalarına uygun şekilde elleçlenmelidir.
Yiyecek, içecek ve hayvan yemlerinden uzak tutulmalıdır.
Diversey tarafından tavsiye edilmedikçe başka ürünlerle karıştırılmamalıdır.
Kullanım sonrası yüz, eller ve cilt iyice yıkanmalıdır.
Kirlenmiş giysiler hemen çıkarılmalı ve yeniden kullanılmadan önce yıkanmalıdır.
Cilt ve göz ile temastan kaçınılmalı, sprey solunmamalıdır.
Yalnızca iyi havalandırılan alanlarda kullanılmalıdır.
Depolama:
Yerel ve ulusal yönetmeliklere uygun şekilde depolanmalıdır.
Kapalı kapta ve yalnızca orijinal ambalajında saklanmalıdır.
Metalleri aşındırabileceği için uygun kaplarda muhafaza edilmelidir.
Asitlerle reaksiyona girebileceğinden asitlerden uzak tutulmalıdır.
Normal depolama koşullarında kararlıdır, ancak donmaya karşı korunmalı ve doğrudan güneş ışığından uzak tutulmalıdır.</t>
  </si>
  <si>
    <t>“Sadece iyi havalandırılmış alanlarda kullanın… Güvenlik gözlükleri veya koruyucu gözlük… Kimyasala dayanıklı koruyucu eldiven… Doğrudan cilt maruziyeti ve/veya sıçramaların gerçekleşebileceği durumlarda kimyasala dirençli giysi ve botlar giyin… Solunum korunma ekipmanının tedarikçisine danışılarak benzer koruma sağlayan farklı bir tür seçilebilir… Seyreltilmemiş veya nötralize edilmemiş halde kanalizasyon sistemine ulaşmamalıdır.”</t>
  </si>
  <si>
    <t>“Fiziksel hali: Sıvı, berrak, kahverengi… pH ≥ 11.5… Parlama noktası &gt;93 °C… Yoğunluk ~1.12 (20 °C)… Çözünürlük: su ile tamamen karışabilir… Metallerin aşınması: Aşındırıcı.”</t>
  </si>
  <si>
    <t>“Normal depolama ve kullanım koşulları altında bilinen tepkime zararları yoktur… Normal depolama ve kullanım koşulları altında kararlıdır… Metaller için aşındırıcıdır. Asitlerle reaksiyona girer.”</t>
  </si>
  <si>
    <t>“Sodyum hidroksit… LD50 dermal 1350 mg/kg (tavşan)… aşındırıcı… Mutajenite için kanıt yoktur, olumsuz test sonuçları… Kanserojen olduğuna dair kanıt yoktur… (2-methoxymethylethoxy)propanol LD50 oral &gt;5000 mg/kg (sıçan)… tahriş edici değildir… Hassaslaştırıcı değildir.”</t>
  </si>
  <si>
    <t>“Büyük miktarda dökülen sıvıyı toplamak için hendek açın. Nötralize edici ajan kullanın. Kum, diatomit, genel bağlayıcılar ile emdiriniz. Dökülen maddeleri orijinal kabına geri koymayın. Bertaraf etmek için kapalı ve uygun kaplarda toplayın… Seyreltilmemiş veya nötralize edilmemiş halde kanalizasyon sistemine veya drenaj çukuruna ulaşmamalıdır.”</t>
  </si>
  <si>
    <t>SumaDip</t>
  </si>
  <si>
    <t>Bulaşık yıkama ürünü olarak kullanılır.</t>
  </si>
  <si>
    <t>“Potasyum hidroksit… Cilt aşınması, Kategori 1A (H314)… Sodyum hipoklorit… EUH031, H314, H318, H400, H410, H290… Aminler, C12-14… H302, H315, H318, H400, H411.”</t>
  </si>
  <si>
    <t>“Cilt aşınması, Kategori 1A (H314)… Ciddi göz hasarı, Kategori 1 (H318)… Akut sucul toksisite, Kategori 1 (H400)… Kronik sucul toksisite, Kategori 2 (H411)… Metaller için aşındırıcıdır, Kategori 1 (H290)… EUH031 Asitlerle temasında toksik gaz açığa çıkar.”</t>
  </si>
  <si>
    <t>Genel Bilgi:
Bilinci kapalı kişiyi uygun pozisyona getirin, temiz hava sağlayın.
Solunum düzensiz veya durmuşsa suni solunum uygulayın, ancak ağızdan ağza/buruna değil; solunum maskesi veya torba kullanın.
Solunum:
Kişiyi açık havaya çıkarın, rahat nefes alabileceği pozisyonda tutun.
Kendini iyi hissetmezse tıbbi yardım alın.
Cilt Teması:
Cildi en az 30 dakika bol ılık su ile yıkayın.
Kirlenmiş giysileri hemen çıkarın.
Hemen UZEM 114 veya doktora başvurun.
Göz Teması:
Göz kapaklarını açık tutarak en az 15 dakika bol su ile yıkayın.
Kontakt lens varsa çıkarın.
Durulamaya devam edin.
Hemen UZEM 114 veya doktora başvurun.
Yutma:
Ağzı çalkalayın, 1 bardak su için.
Bilinci kapalı kişiye ağızdan hiçbir şey vermeyin.
Kusturmayın, dinlendirin.
Hemen UZEM 114 veya doktora başvurun.
Belirtiler:
Solunum: Klor hassas kişilerde bronkospazm.
Cilt: Ciddi yanıklar.
Göz: Ciddi veya kalıcı hasar.
Yutma: Ağız, boğaz ve mide dokusunda yanma, delinme riski.</t>
  </si>
  <si>
    <t>*“Yeteraki ifade: “Yeterli havalandırma sağlayın. Toz veya buharı solumayın. Uygli havalandırma sağlayın. Toz veya buharı solumayın. Uygun koruyucu giysiun koruyucu giysi giyin. Göz/yüz koruması kullanın. U giyin. Göz/yüz koruması kullanın. Uygun eldiven kullanygun eldiven kullanın… Bol miktardaın… Bol miktarda su ile seyreltiniz su ile seyreltiniz. Kanalizasyon sistem. Kanalizasyon sistemine, yüzey veya yerine, yüzey veya yeraltı sularına karaltı sularına karışmasına izin vermeyin… Büyük miktarda dökülen sıvıyı toplamak içinışmasına izin vermeyin… Büyük miktarda dökülen sıv hendek açın. Kum, diatomit, genelıyı toplamak için hendek açın. Kum, diatomit, genel bağlayıcılar ile bağlayıcılar ile emdiriniz. Dökülen maddeleri orijinal kabına geri koymayın. Bertaraf etmek emdiriniz. Dökülen maddeleri orijinal kabına geri koy için kapalı ve uygun kaplarda toplaymayın. Bertaraf etmek için kapalı ve uygun kaplarda toplayın.”</t>
  </si>
  <si>
    <t>Kullanım:
Bulaşık yıkama ürünü olarak kullanılır.
Sadece profesyonel kullanım içindir.
İyi endüstriyel hijyen ve güvenlik uygulamalarına uygun şekilde elleçlenmelidir.
Yiyecek, içecek ve hayvan yemlerinden uzak tutulmalıdır.
Diversey tarafından tavsiye edilmedikçe başka ürünlerle karıştırılmamalıdır.
Kullanım sonrası yüz, eller ve cilt iyice yıkanmalıdır.
Kirlenmiş giysiler hemen çıkarılmalı ve yeniden kullanılmadan önce yıkanmalıdır.
Cilt ve göz ile temastan kaçınılmalı, buharı solunmamalıdır.
Yalnızca iyi havalandırılan alanlarda kullanılmalıdır.
Depolama:
Yerel ve ulusal yönetmeliklere uygun şekilde depolanmalıdır.
Kapalı kapta ve yalnızca orijinal ambalajında saklanmalıdır.
Metalleri aşındırabileceği için uygun kaplarda muhafaza edilmelidir.
Asitlerle reaksiyona girerek toksik klor gazı açığa çıkarabileceğinden asitlerden uzak tutulmalıdır.</t>
  </si>
  <si>
    <t>“Güvenlik gözlükleri veya koruyucu gözlük… Kimyasala dayanıklı koruyucu eldiven… Uzun süreli temas için butil kauçuk ≥0.7 mm, ≥480 dak… Sıçramalara karşı nitril kauçuk ≥0.4 mm, ≥30 dak… Doğrudan cilt maruziyeti ve/veya sıçramaların gerçekleşebileceği durumlarda kimyasala dirençli giysi ve botlar giyin… Seyreltilmemiş veya nötralize edilmemiş halde kanalizasyon sistemine ulaşmamalıdır.”</t>
  </si>
  <si>
    <t>“Fiziksel hali: Sıvı, berrak, soluk sarı… Koku: Klor… pH ≥ 11.5… Yoğunluk = 1.15 (20 °C)… Çözünürlük: su ile tamamen karışabilir… Metallerin aşınması: Aşındırıcı.”</t>
  </si>
  <si>
    <t>“Normal depolama ve kullanım koşulları altında kararlıdır… Metaller için aşındırıcıdır. Asitlerle reaksiyona girer. Asitlerle toksik klor gazı açığa çıkaran reaksiyona girer… Zararlı bozunma ürünleri: Klor.”</t>
  </si>
  <si>
    <t>“Potasyum hidroksit LD50 oral 333 mg/kg (sıçan)… Sodyum hipoklorit LD50 oral 1100 mg/kg… Aminler LD50 oral 1064 mg/kg… Sodyum hipoklorit LC50 &gt;10.5 mg/l (sıçan, buhar)… Potasyum hidroksit ve sodyum hipoklorit aşındırıcı… Aminler tahriş edici ve gözde ciddi hasar… Aminler cilt hassaslaştırıcıdır.”</t>
  </si>
  <si>
    <t>“Bol miktarda su ile seyreltiniz. Kanalizasyon sistemine, yüzey veya yeraltı sularına karışmasına izin vermeyin… Büyük miktarda dökülen sıvıyı toplamak için hendek açın. Kum, diatomit, genel bağlayıcılar ile emdiriniz. Dökülen maddeleri orijinal kabına geri koymayın. Bertaraf etmek için kapalı ve uygun kaplarda toplayın.”</t>
  </si>
  <si>
    <t>SumaInox</t>
  </si>
  <si>
    <t>Özel mutfak ürünü olarak geliştirilmiştir.</t>
  </si>
  <si>
    <t>“Olei̇l alkol poliglikoleter (8EO)… Akut toksisite – Oral, Kat. 4 (H302), Ciddi göz hasarı, Kat. 1 (H318)… 5-kloro-2-metil-4-izotiazolin-3-on ve 2-metil-2H-izotiazol-3-on (3:1)… H301, H311, H314, H317, H331, H400, H410.”</t>
  </si>
  <si>
    <t>“Sınıflandırılmamıştır… EUH208 - Alerjik reaksiyona yol açabilir. EUH210 - Talep halinde güvenlik bilgi formu sağlanabilir… İçerik: koruyucu.”</t>
  </si>
  <si>
    <t>Solunum:
Normal kullanımda bilinen etkisi yoktur.
Kendinizi iyi hissetmezseniz tıbbi yardım alın.
Cilt Teması:
Normal kullanımda bilinen etkisi yoktur.
Tahriş söz konusu ise cildi bol ılık su ile yıkayın.
Gerekirse tıbbi yardım alın.
Göz Teması:
Tahriş oluşursa gözleri birkaç dakika dikkatlice su ile durulayın.
Tahriş devam ederse tıbbi yardım alın.
Yutma:
Normal kullanımda bilinen etkisi yoktur.
Kendinizi iyi hissetmezseniz tıbbi yardım alın.
Ağzınızı çalkalayın, 1 bardak su için.
Bilinci yerinde olmayan kişiye ağızdan hiçbir şey vermeyin.</t>
  </si>
  <si>
    <t>“Özel önlemler gerekli değildir… Kanalizasyon sistemine, yüzey veya yeraltı sularına karışmasına izin vermeyin. Bol miktarda su ile seyreltiniz… Sıvı bağlayıcı malzemeler (kum, diatomit, genel bağlayıcılar) ile emdiriniz.”</t>
  </si>
  <si>
    <t>Kullanım:
Özel mutfak ürünü ve metal parlatıcı olarak geliştirilmiştir.
Sadece profesyonel ve endüstriyel kullanım içindir.
İyi endüstriyel hijyen ve güvenlik uygulamalarına uygun şekilde kullanılmalıdır.
Diversey tarafından tavsiye edilmedikçe başka ürünlerle karıştırılmamalıdır.
Aralardan önce ve gün sonunda eller yıkanmalı, kullanım sonrası yüz, eller ve cilt iyice temizlenmelidir.
Kirlenmiş giysiler hemen çıkarılmalı ve yeniden kullanılmadan önce yıkanmalıdır.
Yiyecek, içecek ve hayvan yemlerinden uzak tutulmalıdır.
Yalnızca yeterli havalandırma sağlanarak kullanılmalıdır.
Depolama:
Yerel ve ulusal yönetmeliklere uygun şekilde depolanmalıdır.
Sadece orijinal kabında ve kapalı kapta saklanmalıdır.</t>
  </si>
  <si>
    <t>“Normal kullanım koşulları altında özel gereklilikler bulunmamaktadır. Genel havalandırmayla ilgili iyi bir standart sağlayın… Güvenlik gözlükleri normalde gerekli değildir. Ancak sıçramaların oluşabileceği durumlarda tavsiye edilir… Kullanımdan sonra ellerinizi durulayıp kurulayın. Uzun süreli temasta cildin korunması gerekebilir… Normal kullanım koşulları altında özel gereklilikler bulunmamaktadır.”</t>
  </si>
  <si>
    <t>“Fiziksel hali: Sıvı, Renk: Süt gibi, Beyaz, Koku: Ürüne özel… pH = 8… Bağıl yoğunluk = 0.96 (20 °C)… Çözünürlük: su ile tamamen karışabilir… Alevlenir değildir… Patlayıcı değildir… Oksitleyici değildir… Metallerin aşınması: Aşındırıcı değildir.”</t>
  </si>
  <si>
    <t>“ATE - Oral (mg/kg): &gt;5000… Olei̇l alkol poliglikoleter (8EO) LD50 oral 500–2000 mg/kg… 5-kloro-2-metil-4-izotiazolin-3-on ve 2-metil-2H-izotiazol-3-on (3:1) LD50 oral 64 mg/kg, LD50 dermal 87.12 mg/kg, LC50 solunum 0.33 mg/l… Cilt aşındırıcı, gözde ciddi hasar, cilt hassaslaştırıcı… Mutajenite ve kanserojenite için kanıt yok, üreme toksisitesi için kanıt yok.”</t>
  </si>
  <si>
    <t>“Kanalizasyon sistemine, yüzey veya yeraltı sularına karışmasına izin vermeyin. Bol miktarda su ile seyreltiniz… Sıvı bağlayıcı malzemeler (kum, diatomit, genel bağlayıcılar) ile emdiriniz</t>
  </si>
  <si>
    <t>SumaInoxClassic</t>
  </si>
  <si>
    <t>Metal parlatıcı olarak geliştirilmiştir.</t>
  </si>
  <si>
    <t>“Damıtıklar (petrol), hidrojenle muamele edilmiş hafif… Aspirasyon toksisitesi, Kategori 1 (H304)… %3–10 aralığında içerir.”</t>
  </si>
  <si>
    <t>“Sınıflandırılmamıştır… Zararlılık ifadeleri: EUH210 - Talep halinde güvenlik bilgi formu sağlanabilir… Damıtıklar (petrol), hidrojenle muamele edilmiş hafif – Aspirasyon toksisitesi, Kategori 1 (H304).”</t>
  </si>
  <si>
    <t>Solunum:
Kendinizi iyi hissetmezseniz tıbbi tavsiye veya müdahale alın.
Normal kullanımda bilinen olumsuz etkisi yoktur.
Cilt Teması:
Cildi bol ılık su ile yıkayın.
Tahriş söz konusu ise tıbbi yardım alın.
Normal kullanımda bilinen olumsuz etkisi yoktur.
Göz Teması:
Gözleri birkaç dakika dikkatlice su ile durulayın.
Tahriş devam ederse tıbbi yardım alın.
Normal kullanımda bilinen olumsuz etkisi yoktur.
Yutma:
Ağzınızı çalkalayın, hemen 1 bardak su için.
Bilinci yerinde olmayan kişiye ağızdan hiçbir şey vermeyin.
Kendinizi iyi hissetmezseniz tıbbi yardım alın.
Normal kullanımda bilinen olumsuz etkisi yoktur.</t>
  </si>
  <si>
    <t>Karbon dioksit (CO₂)
Kuru toz
Kum
Alkole karşı dirençli köpük</t>
  </si>
  <si>
    <t>“Özel önlemler gerekli değildir…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</si>
  <si>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Kullanım:
Metal parlatıcı olarak geliştirilmiştir.
Sadece profesyonel kullanım içindir.
İyi endüstriyel hijyen ve güvenlik uygulamalarına uygun şekilde kullanılmalıdır.
Diversey tarafından tavsiye edilmedikçe başka ürünlerle karıştırılmamalıdır.
Kullanım sırasında sıçrama riski varsa gözlük kullanımı tavsiye edilir.
Kullanım sonrası eller yıkanmalı, kirlenmiş giysiler çıkarılmalıdır.
Yiyecek, içecek ve hayvan yemlerinden uzak tutulmalıdır.
Yeterli havalandırma sağlanarak kullanılmalıdır.
Depolama:
Yerel ve ulusal yönetmeliklere uygun şekilde depolanmalıdır.
Sadece orijinal kabında saklanmalıdır.
Kapalı kapta muhafaza edilmelidir.</t>
  </si>
  <si>
    <t>“Normal kullanım koşulları altında özel gereklilikler bulunmamaktadır… Güvenlik gözlükleri normalde gerekli değildir. Ancak, bunların kullanımı ürünü elleçlenmesi sırasında sıçramaların oluşabileceği durumlarda tavsiye edilir (EN 16321 / EN 166)… El, vücut ve solunum koruması için özel gereklilik yoktur</t>
  </si>
  <si>
    <t>“Fiziksel hali: Sıvı, Renk: Berrak, Renksiz, Koku: Ürüne özel… Bağıl yoğunluk = 0.85 (20 °C)… Çözünürlük: su ile karışmaz ya da karışması zordur… Alevlenir değildir… Patlayıcı değildir… Oksitleyici değildir… Metallerin aşınması: Aşındırıcı değildir.”</t>
  </si>
  <si>
    <t>*“ATE - Oral (mg/kg):aki ifade: “ATE - Oral (mg/kg): &gt;2000… Damıtıklar &gt;2000… Damıtıklar (petrol), hidrojenle muamele edilmiş hafif – Aspirasyon (petrol), hidrojenle muamele edilmiş hafif – Aspirasyon toksisitesi, Kategori toksisitesi, Kategori 1 (H304)… Tahriş, aşındırıcılık 1 (H304)… Tahriş, aşındırıcılık, hassaslaşma, mut, hassaslaşma, mutajenite, kanserojenajenite, kanserojenite ve üreme toksite ve üreme toksisitesi için veriisitesi için veri bulunmamaktadır bulunmamaktadır.”</t>
  </si>
  <si>
    <t>“Konsantre içerikler veya kirlenmiş ambalaj bir sertifikalı işleyici tarafından veya tesis iznine göre bertaraf edilmelidir. Atıkların kanalizasyona salınımı önerilmez. Temizlenmiş ambalaj malzemesi yerel mevzuata uyumlu olarak enerji geri dönüşümü veya geri kazanım için uygundur. Boş ambalajlar yerel veya ulusal yönetmeliklere uygun şekilde imha ediniz.”</t>
  </si>
  <si>
    <t>Sumatera</t>
  </si>
  <si>
    <t>Endüstriyel ve profesyonel mutfaklarda kullanılan bulaşık yıkama ürünü.</t>
  </si>
  <si>
    <t>“İçerik: sodyum hidroksit… tetrasodyum etilen diamin tetraasetat… Sodyum hidroksit: Cilt aşınması, Kategori 1A (H314), Metaller için aşındırıcıdır (H290)… Tetrasodyum EDTA: Akut toksisite – Oral (H302), Soluma (H332), STOT – Tekrarlı maruz kalma (H373), Ciddi göz hasarı (H318).”</t>
  </si>
  <si>
    <t>“Cilt aşınması, Kategori 1A (H314)… Ciddi göz hasarı, Kategori 1 (H318)… Metaller için aşındırıcıdır, Kategori 1 (H290)… Zararlılık ifadeleri: H314 - Ciddi cilt yanıklarına ve göz hasarına yol açar. H290 - Metalleri aşındırabilir.”</t>
  </si>
  <si>
    <t>Solunum:
Kendinizi iyi hissetmezseniz tıbbi yardım alın.
Cilt Teması:
Cildi en az 30 dakika bol ılık su ile yıkayın.
Kirlenmiş giysileri hemen çıkarın.
Hemen UZEM 114 veya doktora başvurun.
Göz Teması:
Göz kapaklarını açık tutarak en az 15 dakika bol su ile yıkayın.
Kontak lens varsa çıkarın, durulamaya devam edin.
Hemen UZEM 114 veya doktora başvurun.
Yutma:
Ağzınızı çalkalayın, 1 bardak su için.
Bilinci kapalı kişiye ağızdan hiçbir şey vermeyin.
Kusturmayın.
Dinlendirin ve derhal UZEM 114 veya doktora başvurun.</t>
  </si>
  <si>
    <t>“Uygun koruyucu giysi giyin. Uygun eldiven kullanın. Göz/yüz koruması kullanın… Bol miktarda su ile seyreltiniz. Kanalizasyon sistemine, yüzey veya yeraltı sularına karışmasına izin vermeyin… Büyük miktarda dökülen sıvıyı toplamak için hendek açın. Nötralize edici ajan kullanın. Sıvı bağlayıcı malzemeler (kum, diatomit, genel bağlayıcılar) ile emdiriniz. Dökülen maddeleri orijinal kabına geri koymayın. Bertaraf etmek için kapalı ve uygun kaplarda toplayın.”</t>
  </si>
  <si>
    <t>Kullanım:
Profesyonel mutfaklarda bulaşık yıkama ürünü olarak kullanılır.
Sadece profesyonel kullanım içindir.
İyi endüstriyel hijyen ve güvenlik uygulamalarına uygun şekilde elleçlenmelidir.
Yiyecek, içecek ve hayvan yemlerinden uzak tutulmalıdır.
Diversey tarafından tavsiye edilmedikçe başka ürünlerle karıştırılmamalıdır.
Kullanım sonrası yüz, eller ve cilt iyice yıkanmalıdır.
Kirlenmiş giysiler hemen çıkarılmalı ve yeniden kullanılmadan önce yıkanmalıdır.
Cilt ve göz ile temastan kaçınılmalıdır.
Yeterli havalandırma sağlanarak kullanılmalıdır.
Depolama:
Yerel ve ulusal yönetmeliklere uygun şekilde depolanmalıdır.
Kapalı kapta ve sadece orijinal ambalajında</t>
  </si>
  <si>
    <t>“Güvenlik gözlükleri veya koruyucu gözlük… Kimyasala dayanıklı koruyucu eldiven (EN 374)… Uzun süreli temas için butil kauçuk… Sıçramalara karşı nitril kauçuk… Doğrudan cilt maruziyeti ve/veya sıçramaların gerçekleşebileceği durumlarda kimyasala dirençli giysi ve botlar giyin… Normal kullanım koşulları altında özel gereklilikler bulunmamaktadır.”</t>
  </si>
  <si>
    <t>“Fiziksel hali: Sıvı, Renk: Berrak, Renksiz, Koku: Ürüne özel… pH &gt; 11… Bağıl yoğunluk = 1.10 (20 °C)… Çözünürlük: su: Tamamen karışabilinir… Alevlenir değildir… Patlayıcı değildir… Oksitleyici değildir… Metallerin aşınması: Aşındırıcı.”</t>
  </si>
  <si>
    <t>*“Normal depolama ve kullanımaki ifade: “Normal koşulları altında depolama ve kullanım koşulları altında kararlıdır… Normal kararlıdır… Normal depolama ve kullanım depolama ve kullanım koşulları altında koşulları altında bilinen zararlı bilinen zararlı reaksiyon yoktur reaksiyon yoktur… Metalleri aşınd… Metalleri aşındırabilir. Asitlerleırabilir. Asitlerle reaksiyona girer reaksiyona girer.”</t>
  </si>
  <si>
    <t>“ATE - Oral (mg/kg): &gt;2000… ATE - Soluma, sisler (mg/l): &gt;5… Sodyum hidroksit: Cilt ve göz aşındırıcı… Tetrasodyum EDTA: LD₅₀ oral 1780 mg/kg (sıçan), LC₅₀ ≥ 1–5 mg/L (sıçan)… Mutajenite için kanıt yoktur, olumsuz test sonuçları… Kanserojen olduğuna dair kanıt yoktur… Üreme toksisitesi için kanıt yok.”</t>
  </si>
  <si>
    <t>“Bol miktarda su ile seyreltiniz. Kanalizasyon sistem. Kanalizasyon sistemine, yüzey veya yeraltı sularına karışmasına izin vermine, yüzey veya yeraltı sularına karışmasına izin vermeyin… Dökülen maddeyin… Dökülen maddeleri orijinal kabeleri orijinal kabına geri koymayınına geri koymayın. Bertaraf etmek için kapalı ve uygun kaplarda toplayın… Temizlenmiş amb. Bertaraf etmek için kapalı ve uygun kaplarda toplayın… Temizlenmiş ambalaj malzemesi yeralaj malzemesi yerel mevzuata uyumel mevzuata uyumlu olarak enerjilu olarak enerji geri dönüşümü veya geri dönüşümü veya geri kazanım için geri kazanım için uygundur. Boş amb uygundur. Boş ambalajlar yerel veyaalajlar yerel veya ulusal yönetmel ulusal yönetmeliklere uygun şekildeiklere uygun şekilde imha ediniz.”</t>
  </si>
  <si>
    <t>SumaCal</t>
  </si>
  <si>
    <t>Profesyonel mutfaklarda kullanılan temizlik ürünü.</t>
  </si>
  <si>
    <t>“H314 - Ciddi cilt yanıklarına ve göz hasarına yol açar. H290 - Metalleri aşındırabilir.”</t>
  </si>
  <si>
    <t>Solunum:
Normal kullanımda özel bir risk yoktur.
Buhar, sprey veya aerosol solunmuşsa ve rahatsızlık hissediliyorsa tıbbi yardım alın.
Cilt Teması:
Cildi en az 30 dakika boyunca yavaşça akan bol ılık su ile yıkayın.
Kirlenmiş giysileri hemen çıkarın.
Derhal Ulusal Zehir Danışma Merkezi (114) veya doktora başvurun.
Göz Teması:
Göz kapaklarını açık tutarak en az 15 dakika bol su ile yıkayın.
Kontakt lens varsa çıkarın, durulamaya devam edin.
Derhal Ulusal Zehir Danışma Merkezi (114) veya doktora başvurun.
Yutma:
Ağzınızı çalkalayın, ardından 1 bardak su için.
Bilinci kapalı kişiye ağızdan hiçbir şey vermeyin.
Kusturmayın.
Dinlendirin ve derhal Ulusal Zehir Danışma Merkezi (114) veya doktora başvurun.</t>
  </si>
  <si>
    <t>“Bol miktarda su ile seyreltiniz. Kanalizasyon sistemine, yüzey veya yeraltı sularına karışmasına izin vermeyin… Yeterli havalandırma sağlayın. Büyük miktarda dökülen sıvıyı toplamak için hendek açın. Nötralize edici ajan kullanın. Sıvı bağlayıcı malzemeler (kum, diatomit, genel bağlayıcılar) ile emdiriniz. Dökülen maddeleri orijinal kabına geri koymayın. Bertaraf etmek için kapalı ve uygun kaplarda toplayın.”</t>
  </si>
  <si>
    <t xml:space="preserve">Kullanım:
Ürün profesyonel mutfaklarda temizlik amacıyla kullanılır.
Sadece profesyonel kullanım içindir.
Seyreltilmemiş ürünle çalışırken doldurma, transfer ve kaplama faaliyetlerinde doğrudan temas ve sıçramalardan kaçınılmalıdır.
Belirli dozajlama sistemleri kullanılarak seyreltilirse kişisel koruyucu ekipman gerekmeyebilir.
Tavsiye edilen maksimum konsantrasyon: %6.25.
Eğitimli personel tarafından kullanılmalıdır.
Depolama:
Yerel ve ulusal yönetmeliklere uygun şekilde depolanmalıdır.
Kapalı kaplarda ve yalnızca orijinal ambalajında saklanmalıdır.
Seyreltilmemiş veya nötralize edilmemiş ürünün kanalizasyona veya drenaj sistemine ulaşmasına izin verilmemelidir.
</t>
  </si>
  <si>
    <t>“Güvenlik gözlükleri veya koruyucu gözlük (EN 16321 / EN 166)… Kimyasala dayanıklı koruyucu eldiven (EN 374)… Doğrudan cilt maruziyeti ve/veya sıçramaların gerçekleşebileceği durumlarda kimyasala dirençli giysi ve botlar giyin (EN 14605)… Solunum koruması normalde gerekli değildir. Ancak buharın, spreyin, gazın veya aerosollerin solunmasından kaçınılmalıdır… Seyreltilmemiş veya nötralize edilmemiş halde kanalizasyon sistemine veya drenaj çukuruna ulaşmamalıdır.”</t>
  </si>
  <si>
    <t>“H314 - Ciddi cilt yanıklarına ve göz hasarına yol açar. H290 - Metalleri aşındırabilir… Karbon dioksit. Kuru toz. Su spreyi jeti… Normal depolama ve kullanım koşulları altında kararlıdır.”</t>
  </si>
  <si>
    <t>“Normal depolama ve kullanım koşulları altında kararlıdır… Normal depolama ve kullanım koşulları altında bilinen zararlı reaksiyon yoktur… Seyreltilmemiş veya nötralize edilmemiş halde kanalizasyon sistemine veya drenaj çukuruna ulaşmamalıdır.”</t>
  </si>
  <si>
    <t>“H314 - Ciddi cilt yanıklarına ve göz hasarına yol açar. H290 - Metalleri aşındırabilir… Solunum koruması normalde gerekli değildir. Ancak buharın, spreyin, gazın veya aerosollerin solunmasından kaçınılmalıdır… Cildi en az 30 dakika yavaşça akan bol ılık su ile yıkayın… Gözleri bol miktarda ılık suyla en az 15 dakika yıkayın… Ağzınızı çalkalayın, kusturmayın.”</t>
  </si>
  <si>
    <t>“Bol miktarda su ile seyreltiniz. Kanalizasyon sistemine, yüzey veya yeraltı sularına karışmasına izin vermeyin… Nötralize edici ajan kullanın. Sıvı bağlayıcı malzemeler (kum, diatomit, genel bağlayıcılar) ile emdiriniz. Dökülen maddeleri orijinal kabına geri koymayın. Bertaraf etmek için kapalı ve uygun kaplarda toplayın… Temizlenmiş ambalaj malzemesi yerel mevzuata uyumlu olarak enerji geri dönüşümü veya geri kazanım için uygundur.”</t>
  </si>
  <si>
    <t>SumaForteHi-Temp</t>
  </si>
  <si>
    <t>Profesyonel mutfaklarda kullanılan bulaşık yıkama ürünü.</t>
  </si>
  <si>
    <t>“İçerik sodyum hidroksit (Sodium Hydroxide), tetrasodyum etilen diamin tetraasetat (Tetrasodium EDTA)… Sodyum hidroksit %3-10, Tetrasodyum EDTA %1-3.”</t>
  </si>
  <si>
    <t>“Cilt aşınması, Kategori 1A (H314)… Ciddi göz hasarı, Kategori 1 (H318)… Metaller için aşındırıcıdır, Kategori 1 (H290)… Zararlılık ifadeleri: H290 - Metalleri aşındırabilir. H314 - Ciddi cilt yanıklarına ve göz hasarına yol açar.”</t>
  </si>
  <si>
    <t>Bilinci yerinde olmayan kişiyi uygun pozisyona getirin, temiz hava sağlayın.
Solunum düzensiz veya durmuşsa suni solunum uygulayın (ağızdan ağza değil, solunum maskesi torbası veya havalandırma cihazı ile).
Solunum:
Zarar gören kişiyi açık havaya çıkarın.
Rahat nefes alabileceği pozisyonda olmasını sağlayın.
Rahatsızlık devam ederse tıbbi yardım alın.
Cilt Teması:
Cildi en az 30 dakika boyunca yavaşça akan bol ılık su ile yıkayın.
Kirlenmiş giysileri hemen çıkarın.
Derhal Ulusal Zehir Danışma Merkezi (114) veya doktora başvurun.
Göz Teması:
Göz kapaklarını açık tutarak en az 15 dakika bol su ile yıkayın.
Kontakt lens varsa çıkarın, durulamaya devam edin.
Derhal Ulusal Zehir Danışma Merkezi (114) veya doktora başvurun.
Yutma:
Ağzınızı çalkalayın, ardından 1 bardak su için.
Bilinci kapalı kişiye ağızdan hiçbir şey vermeyin.
Kusturmayın.
Dinlendirin ve derhal Ulusal Zehir Danışma Merkezi (114) veya doktora başvurun</t>
  </si>
  <si>
    <t>“Uygun koruyucu giysi giyin. Göz/yüz koruması kullanın. Uygun eldiven kullanın… 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</si>
  <si>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 xml:space="preserve">Kullanım:
Profesyonel mutfaklarda bulaşık yıkama ürünü olarak kullanılır.
Sadece profesyonel kullanım içindir.
Diversey tarafından tavsiye edilmedikçe başka ürünlerle karıştırılmamalıdır.
Elleçleme sırasında iyi endüstriyel hijyen kurallarına uyulmalıdır:
Yiyecek, içecek ve hayvan yemlerinden uzak tutulmalıdır.
Kullanım sonrası yüz, eller ve cilt iyice yıkanmalıdır.
Kirlenmiş giysiler hemen çıkarılmalı ve yeniden kullanılmadan önce yıkanmalıdır.
Cilt ve göz ile temastan kaçınılmalıdır.
Yeterli havalandırma sağlanmalıdır.
Depolama:
Yerel ve ulusal yönetmeliklere uygun şekilde depolanmalıdır.
Kapalı kaplarda ve yalnızca orijinal ambalajında saklanmalıdır.        Depolama alanı iyi havalandırılmalı ve ürün başka kimyasallarla temas ettirilmemelidir.
</t>
  </si>
  <si>
    <t>“Sodyum hidroksit için uzun süreli değer 2 mg/m³… Güvenlik gözlükleri veya koruyucu gözlük (EN 16321)… Kimyasala dayanıklı koruyucu eldiven (EN 374)… Uzun süreli temas için butil kauçuk ≥0.7 mm, ≥480 dk… Sıçramalara karşı nitril kauçuk ≥0.4 mm, ≥30 dk… Doğrudan cilt maruziyeti ve/veya sıçramaların gerçekleşebileceği durumlarda kimyasala dirençli giysi ve botlar giyin (EN 14605)… Normal kullanım koşullarında seyreltilmiş ürün için özel gereklilik bulunmamaktadır.”</t>
  </si>
  <si>
    <t>“Fiziksel hali: Sıvı. Renk: Berrak, renksiz. Koku: Ürüne özel… Alevlenir değildir… Çözünürlük: su: Tamamen karışabilinir… Metallerin aşınması: Aşındırıcı.”</t>
  </si>
  <si>
    <t>“Normal depolama ve kullanım koşulları altında bilinen tepkime zararları yoktur… Normal depolama ve kullanım koşulları altında kararlıdır… Normal depolama ve kullanım koşulları altında bilinen zararlı reaksiyon yoktur… Metalleri aşındırabilir… Normal depolama ve kullanım koşulları altında bilinmiyor.”</t>
  </si>
  <si>
    <t>“Cildi en az 30 dakika yavaşça akan bol ılık su ile yıkayın… Gözleri bol miktarda ılık suyla en az 15 dakika yıkayın… Yutulması ağızda, boğazda şiddetli bir yanma etkisine ve yemek borusu ile midenin delinme tehlikesine neden olur… Sodyum hidroksit aşındırıcı, tetrasodyum EDTA ciddi göz hasarı.”</t>
  </si>
  <si>
    <t>SoftCarePlusH400</t>
  </si>
  <si>
    <t>OrionSoftCarePlusFreeH400</t>
  </si>
  <si>
    <t>El sabunu olarak kullanılır.</t>
  </si>
  <si>
    <t>“3.2 Karışımlar: Kozmetik ürünü.” Kozmetik el sabunu.</t>
  </si>
  <si>
    <t>“Bu ürün bir kozmetik üründür ve sınıflandırma gerekliliklerinden muaftır.”</t>
  </si>
  <si>
    <t>Kendinizi iyi hissetmezseniz tıbbi tavsiye veya müdahale alınız.
Cilt Teması:
Ciltte tahriş söz konusu ise tıbbi yardım alın.
Normal kullanımda bilinen olumsuz etkiler yoktur.
Göz Teması:
Göz kapaklarını açık tutarak en az 15 dakika bol miktarda ılık su ile yıkayın.
Kontakt lens varsa ve çıkarılması kolaysa çıkarın, durulamaya devam edin.
Derhal Ulusal Zehir Danışma Merkezi (114) veya doktora başvurun.
Yutma:
Ağzınızı çalkalayın, ardından 1 bardak su için.
Bilinci kapalı kişiye ağızdan hiçbir şey vermeyin.
Kendinizi iyi hissetmezseniz tıbbi yardım alın.</t>
  </si>
  <si>
    <t>“Özel önlemler gerekli değildir… 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t>
  </si>
  <si>
    <t xml:space="preserve">Kullanım:
Ürün bir kozmetik el sabunu olarak tanımlanmıştır.
Belirlenen kullanım dışında başka amaçlarla kullanılmamalıdır.
Genel hijyen kurallarına uyulmalı; yiyecek, içecek ve hayvan yemlerinden uzak tutulmalıdır.
Diversey tarafından tavsiye edilmedikçe başka ürünlerle karıştırılmamalıdır.
Göz ile temastan kaçınılmalıdır.
Depolama:
Yerel ve ulusal yönetmeliklere uygun şekilde depolanmalıdır.
Sadece orijinal kabında saklanmalıdır.
</t>
  </si>
  <si>
    <t>“Uygun teknik kontroller: Normal kullanım koşulları altında özel gereklilikler bulunmamaktadır… Kişisel koruyucu ekipman: Normal kullanım koşulları altında özel gereklilikler bulunmamaktadır… El korunması: Uygulanamaz… Vücut koruması: Normal kullanım koşulları altında özel gereklilikler bulunmamaktadır… Solunum koruması: Normal kullanım koşulları altında özel gereklilikler bulunmamaktadır.”</t>
  </si>
  <si>
    <t>“Fiziksel hali: Sıvı. Renk: Opak, orta, yeşil. Koku: Karakteristik… Parlama noktası = 100 °C… Çözünürlük: su: Tamamen karışabilinir… Patlayıcı değildir. Buharlar hava ile patlayıcı karışımlar oluşturabilir… Oksitleyici değildir… Metallerin aşınması: Aşındırıcı değildir.”</t>
  </si>
  <si>
    <t>“Bu ürünün yasal olarak güvenlik bilgi formu taşıma zorunluluğu yoktur… Potansiyel olumsuz sağlık etkileri ve semptomları mevcutsa, alt bölüm 4.2’de listelenen ürünle ilgili etkiler ve semptomlar.”</t>
  </si>
  <si>
    <t>“Bol miktarda su ile seyreltiniz. Kanalizasyon sistemine, yüzey veya yeraltı sularına karışmasına izin vermeyin… Büyük miktarda dökülen sıvıyı toplamak için hendek açın. Sıvı bağlayıcı malzemeler (kum, diatomit, genel bağlayıcılar) ile emdiriniz. Dökülen maddeleri orijinal kabına geri koymayın. Bertaraf etmek için kapalı ve uygun kaplarda toplayın… Konsantre içerikler veya kirlenmiş ambalaj bir sertifikalı işleyici tarafından bertaraf edilmelidir… Temizlenmiş ambalaj malzemesi enerji geri dönüşümü veya geri kazanım için uygundur.”</t>
  </si>
  <si>
    <t>OrionSumaExpert</t>
  </si>
  <si>
    <t>Ürün bir bulaşık yıkama ürünü olarak tanımlanmıştır.</t>
  </si>
  <si>
    <t>“sodyum alkilbenzensülfonat… Akut toksisite - Oral, Kategori 4 (H302) Cilt tahrişi, Kategori 2 (H315) Ciddi göz hasarı, Kategori 1 (H318) Kronik sucul toksisite, Kategori 3 (H412)… Alkol, C10-16, etoksilenmiş, sülfat, sodyum tuzları (3 EO)… Bronopol (INN)… Akut toksisite - Oral, Kategori 4 (H302).”</t>
  </si>
  <si>
    <t>“Göz tahrişi, Kategori 2 (H319)… Uyarı kelimesi: Dikkat… H319 - Ciddi göz tahrişine yol açar… P101 - Tıbbi tavsiye gerekiyorsa, ambalajı veya etiketi saklayın. P102 - Çocukların erişemeyeceği yerde saklayın.”</t>
  </si>
  <si>
    <t>Solunum:
Kendinizi iyi hissetmezseniz tıbbi yardım alın.
Cilt Teması:
Cildi yavaşça akan bol ılık su ile yıkayın.
Tahriş söz konusu ise tıbbi yardım alın.
Göz Teması:
Göz kapaklarını açık tutarak en az 15 dakika bol miktarda ılık su ile yıkayın.
Kontakt lens varsa ve çıkarılması kolaysa çıkarın, durulamaya devam edin.
Tahriş devam ederse tıbbi yardım alın.
Yutma:
Ağzınızı çalkalayın, ardından 1 bardak su için.
Bilinci kapalı kişiye ağızdan hiçbir şey vermeyin.
Kendinizi iyi hissetmezseniz tıbbi yardım alın.</t>
  </si>
  <si>
    <t xml:space="preserve">Kullanım:
Ürün bir bulaşık yıkama ürünü olarak tanımlanmıştır.
Belirlenen kullanım dışında başka amaçlarla kullanılmamalıdır.
Yiyecek, içecek ve hayvan yemlerinden uzak tutulmalıdır.
Çocukların erişemeyeceği yerde bulundurulmalıdır.
Diversey tarafından tavsiye edilmedikçe başka ürünlerle karıştırılmamalıdır.
Kullanım sonrası yüz, eller ve cilt iyice yıkanmalıdır.
Göz ile temastan kaçınılmalı, sıçrama riski olan durumlarda göz/yüz koruması kullanılmalıdır.
Sadece yeterli havalandırma ile kullanılmalıdır.
Depolama:
Yerel ve ulusal yönetmeliklere uygun şekilde depolanmalıdır.
Kapalı kapta ve sadece orijinal ambalajında saklanmalıdır.
Çocukların erişemeyeceği yerde bulundurulmalıdır.
Isıdan ve doğrudan güneş ışığından uzak tutulmalıdır.
</t>
  </si>
  <si>
    <t>“Güvenlik gözlükleri normalde gerekli değildir. Ancak, bunların kullanımı ürünü elleçlenmesi sırasında sıçramaların oluşabileceği durumlarda tavsiye edilir… Kullanımdan sonra ellerinizi durulayıp kurulayın. Uzun süreli temasta cildin korunması gerekebilir… Normal kullanım koşulları altında özel gereklilikler bulunmamaktadır.”</t>
  </si>
  <si>
    <t>“Fiziksel hali: Sıvı. Renk: Berrak, Yeşil. Koku: Lemon… pH = 6 (saf), Seyreltme pH ~7 (0.4%)… Alevlenir değildir… Bağıl yoğunluk = 1.02 (20 °C)… Çözünürlük: su: Tamamen karışabilinir… Patlayıcı değildir. Oksitleyici değildir. Metallerin aşınması: Aşındırıcı değildir.”</t>
  </si>
  <si>
    <t>“ATE - Oral (mg/kg): &gt;2000… Göz tahrişi ve aşındırıcılık: Eye irritant 2… Sodyum alkilbenzensülfonat LD₅₀ &gt;1470 mg/kg… Bronopol LD₅₀ = 305 mg/kg… Tüm bileşenler gözde ciddi hasar… Hassaslaştırıcı değildir… Mutajenite için kanıt yoktur… Bronopol için solunum yolu etkilenmiştir.”</t>
  </si>
  <si>
    <t>OrionSoftcareAlcoplusH500</t>
  </si>
  <si>
    <t>Ürün bir el dezenfektanı olarak tanımlanmıştır.</t>
  </si>
  <si>
    <t>“propan-2-ol… Alevlenir sıvılar, Kategori 2 (H225)… Belirli hedef organ toksisitesi - Tek maruz kalma, Kategori 3 (H336)… Göz tahrişi, Kategori 2 (H319)… %50–75.”</t>
  </si>
  <si>
    <t>“Alevlenir sıvılar, Kategori 2 (H225)… Belirli hedef organ toksisitesi - Tek maruz kalma, Kategori 3 (H336)… Göz tahrişi, Kategori 2 (H319)… Uyarı kelimesi: Tehlike… H225 - Kolay alevlenir sıvı ve buhar. H319 - Ciddi göz tahrişine yol açar. H336 - Rehavete veya baş dönmesine yol açabilir.”</t>
  </si>
  <si>
    <t>Solunum:
Zarar gören kişiyi hemen açık havaya çıkarın.
Rahat nefes alabileceği pozisyonda olmasını sağlayın.
Kendinizi iyi hissetmezseniz Ulusal Zehir Danışma Merkezi (114) veya doktora başvurun.
Cilt Teması:
Cildi bol miktarda ılık su ile yıkayın.
Kirlenmiş giysileri hemen çıkarın.
Tahriş söz konusu ise tıbbi yardım alın.
Göz Teması:
Göz kapaklarını açık tutarak gözleri en az 15 dakika bol miktarda ılık su ile yıkayın.
Kontakt lens varsa ve çıkarılması kolaysa çıkarın, durulamaya devam edin.
Tahriş devam ederse tıbbi yardım alın.
Yutma:
Ağzınızı çalkalayın, ardından 1 bardak su için.
Bilinci kapalı kişiye ağızdan hiçbir şey vermeyin.
Kendinizi iyi hissetmezseniz tıbbi yardım alın.
İlk Yardım Görevlisinin Korunması:
Müdahale sırasında kişisel koruyucu ekipman kullanılmalıdır (özellikle göz/yüz koruması).
Olası Belirtiler:
Solunum: Rehavete veya baş dönmesine yol açabilir.
Göz: Ciddi tahrişe yol açar.
Cilt ve yutma: Normal kullanımda bilinen ciddi etkiler yoktur.</t>
  </si>
  <si>
    <t xml:space="preserve">Kullanım:
Ürün bir el dezenfektanıdır, yalnızca profesyonel kullanım için uygundur.
Buharını solumaktan kaçının, sadece iyi havalandırılan alanlarda kullanın.
Göz ile temastan kaçının, sıçrama riski varsa göz/yüz koruması kullanın.
Yiyecek, içecek ve hayvan yemlerinden uzak tutun.
Diversey tarafından tavsiye edilmedikçe başka ürünlerle karıştırmayın.
Kullanım sonrası ellerinizi yıkayın, kirlenmiş giysileri hemen çıkarın.
Yangın ve patlama riskine karşı:
Isı, kıvılcım, alev ve sıcak yüzeylerden uzak tutun.
Sigara içmeyin.
Statik boşalmaya karşı önlem alın.
Patlamaya dayanıklı elektrikli ekipman ve havalandırma kullanın.
Sadece ateş almayan aletler kullanın.
Depolama:
Yerel ve ulusal yönetmeliklere uygun şekilde depolayın.
İyi havalandırılan yerde, kapalı kapta ve sadece orijinal ambalajında saklayın.
Donmaya karşı koruyun, serin tutun.
Isıdan ve doğrudan güneş ışığından uzak tutun.
</t>
  </si>
  <si>
    <t>“Normal kullanım koşulları altında özel gereklilikler bulunmamaktadır… Göz/yüz koruması: Normal kullanım koşulları altında özel gereklilikler bulunmamaktadır… El korunması: Uygulanamaz… Çevresel maruziyet kontrolleri: Seyreltilmemiş veya nötralize edilmemiş halde kanalizasyon sistemine veya drenaj çukuruna ulaşmamalıdır.”</t>
  </si>
  <si>
    <t>“Fiziksel hali: Sıvı. Renk: Berrak, Renksiz. pH: ~9 (saf)… Parlama noktası ~22 °C… Propan-2-ol alt limit %2, üst limit %13… Bağıl yoğunluk 0.878 (20 °C)… Çözünürlük: su: Tamamen karışabilinir… Patlayıcı değildir. Buharlar hava ile patlayıcı karışımlar oluşturabilir.”</t>
  </si>
  <si>
    <t>“ATE - Oral (mg/kg): &gt;2000… Propan-2-ol LD₅₀ = 5840 mg/kg (sıçan)… LD₅₀ &gt;2000 mg/kg (tavşan)… LC₅₀ &gt;25 mg/L (sıçan, buhar)… Cilt tahrişi: tahriş edici değildir… Göz tahrişi: tahriş edici… Mutajenite için kanıt yoktur… Kanserojen olduğuna dair kanıt yoktur… BHOT tek maruziyet: merkezi sinir sistemi.”</t>
  </si>
  <si>
    <t>E_2_Product SDS_ANIOSYME X3_2024-01-23_rev1.5</t>
  </si>
  <si>
    <t>Belirlenmiş kullanım: Tıbbi cihaz dezenfektanı (manuel işlem)
Kullanım kısıtlaması: Endüstriyel ve profesyonel kullanım için</t>
  </si>
  <si>
    <t>Poly(oxy-1,2-ethanediyl), didecylmethylammonio deriv.: %10–20 → H302, H314, H400, H410
Alkol C8–10, etoksile: %5–10 → H302, H318
Etilen glikol: %1–2.5 → H302, H373
Amines, N-C12-14-alkyltrimethylenedi-: %0.5–1 → H301, H314, H372, H400, H410
Klorheksidin glukonat: %0.25–0.5 → H318, H400, H410
Gliserin: %20–25 (sınıflandırılmamış)
Polietilen glikol: %2.5–5 (sınıflandırılmamış)</t>
  </si>
  <si>
    <t>H314: Ciddi cilt yanıkları ve göz hasarı
H318: Ciddi göz hasarı
H400: Sucul ortamda çok toksik
H411: Sucul ortamda uzun süre kalıcı toksik etki
H410: Sucul ortamda çok toksik, uzun süreli etki</t>
  </si>
  <si>
    <t>Göz: En az 15 dk bol suyla yıka, lens varsa çıkar, hemen doktora başvur
Cilt: Bol suyla yıka, giysileri çıkar, doktora başvur
Yutma: Ağzı çalkala, kusturma yok, hemen doktora başvur
Soluma: Temiz havaya çıkar, semptom varsa doktora başvur</t>
  </si>
  <si>
    <t>Söndürücüler: Ortama uygun yöntemler (CO₂, köpük, kuru kimyasal)
Ürün yanıcı değil
Yangında toksik gazlar (CO, NOx) açığa çıkabilir</t>
  </si>
  <si>
    <t>Havalandırma sağla, soluma ve temas riskinden kaçın
Absorban malzeme (kum, vermikülit) ile topla
Kanalizasyona ve suya karışmasını engelle
Atıkları uygun kaplarda bertaraf et</t>
  </si>
  <si>
    <t>Kullanım: Göz, cilt ve solunum temasından kaçın; ürün daima suya eklenmeli (tersi yapılmaz)
Depolama: 5–25 °C arasında, kapalı ve etiketli kaplarda, çocukların erişemeyeceği yerde</t>
  </si>
  <si>
    <t>Gliserin OEL: 200 mg/m³ (inhalable fraction)
Etilen glikol OEL: 10 ppm (26 mg/m³)
KKD:
Gözlük ve yüz siperi (EN166)
Eldiven (nitril veya butil kauçuk, EN374)
Koruyucu giysi ve ayakkabı (EN14605)
Solunum maskesi (EN143, EN14387) gerekirse</t>
  </si>
  <si>
    <t>Görünüm: Mavi, berrak sıvı
pH: 8.0–8.5
Yoğunluk: 1.051–1.054 g/cm³
Parlama noktası: Yok
Çözünürlük: Belirtilmemiş (karışım için)</t>
  </si>
  <si>
    <t>Normal koşullarda stabil
Uyumsuz maddeler: Alkali metaller
Yanma ürünleri: CO, Nox</t>
  </si>
  <si>
    <t>Ürün oral ATE: &gt;2000 mg/kg
Bileşen LD50 oral (sıçan):
Poly(oxy…): 1157 mg/kg
Amines: 200 mg/kg
Klorheksidin glukonat: 2135 mg/kg
Gliserin: 18,300 mg/kg
PEG: 28,000 mg/kg
Dermal LD50 (tavşan): 2000–23,000 mg/kg (bileşene göre)
İnhalasyon LC50 (klorheksidin): 0.365 mg/l (4h)
Etkiler: Cilt ve gözde ciddi yanık, sindirim sistemi yanıkları, solunum irritasyonu</t>
  </si>
  <si>
    <t>Atıklar: Yerel yönetmeliklere uygun bertaraf edilmeli
Kanalizasyona ve suya karışması engellenmeli</t>
  </si>
  <si>
    <t>Detro Lube</t>
  </si>
  <si>
    <t>Mesleki kullanım için hazırlanmış karışım
Ana kullanım: tıbbi cihazlarda yağlayıcı olarak</t>
  </si>
  <si>
    <t>White mineral oil (petroleum) (CAS 8042-47-5): %60–80
H304 (Solunum yoluna nüfuzu ve yutulması halinde öldürücü olabilir)</t>
  </si>
  <si>
    <t>EUH210: Talep halinde güvenlik bilgi formu sağlanabilir
H304: Aspirasyon zararı, yutulması halinde öldürücü olabilir</t>
  </si>
  <si>
    <t>Soluma: Temiz havaya çıkar, semptom varsa doktora başvur
Cilt: Bol su ile yıka
Göz: Su ile yıka
Yutma: Semptom varsa zehir merkezi veya doktora başvur
Tedavi: Semptomatik</t>
  </si>
  <si>
    <t>Söndürücüler: Su spreyi, kuru toz, köpük, CO₂
Uygun olmayan: Tazyikli su
Yangında zehirli dumanlar açığa çıkabilir
Solunum cihazı ve tam koruyucu giysi gerekli</t>
  </si>
  <si>
    <t>Sızıntıyı durdur, döküntüyü absorban malzeme (kum, toprak) ile topla
Kanalizasyona ve akarsulara karışmasını engelle
Çevreye verilmesinden kaçın
Atıkları yetkili tesislerde bertaraf et</t>
  </si>
  <si>
    <t>Kullanım: İyi havalandırma sağla, kişisel koruyucu ekipman kullan
Depolama:
Serin, havalandırılmış ortamda
Güneş ışığından uzak
Orijinal ambalajında sakla</t>
  </si>
  <si>
    <t>Görünüm: Şeffaf sıvı
Renk: Renksiz
Koku: Belirtilmemiş
pH: 7.5–9.5
Yoğunluk: 0.8–0.9 g/cm³
Parlama noktası: Belirtilmemiş
Alevlenirlik: Yok</t>
  </si>
  <si>
    <t>Akut toksisite: Sınıflandırılmamış
Cilt ve göz: Tahriş edici değil
Solunum: Normal kullanımda risk yok
White mineral oil: Aspirasyon zararı riski (H304)</t>
  </si>
  <si>
    <t>Atıklar resmi düzenlemelere uygun bertaraf edilmeli
Boş kaplar tekrar kullanılmamalı</t>
  </si>
  <si>
    <t>Detro Lube Spray KKDIK</t>
  </si>
  <si>
    <t>Belirlenmiş kullanım: Cerrahi aletler ve aeratör başlıkları için bakım spreyi
Kullanım kısıtlaması: Mesleki kullanım için</t>
  </si>
  <si>
    <t>Propan (CAS 74-98-6): %50–80 → H220 (Çok kolay alevlenir gaz), Basınç altında gaz
White mineral oil (petroleum) (CAS 8042-47-5): %10–25 → H304 (Aspirasyon zararı)
Bütan (CAS 106-97-8): %10–25 → H220 (Çok kolay alevlenir gaz), Basınç altında gaz</t>
  </si>
  <si>
    <t>H220: Çok kolay alevlenir gaz
H304: Solunum yoluna nüfuzu ve yutulması halinde öldürücü olabilir
EUH210: Talep halinde güvenlik bilgi formu sağlanabilir</t>
  </si>
  <si>
    <t>Soluma: Temiz havaya çıkar, rahat nefes almasını sağla
Cilt: Bol su ile yıka
Göz: Su ile yıka
Yutma: Semptom varsa zehir merkezi veya doktora başvur
Tedavi: Semptomatik</t>
  </si>
  <si>
    <t>Sızıntıyı durdur, döküntüyü absorban malzeme (kum, toprak) ile topla
Kanalizasyona ve suya karışmasını engelle
Çevreye verilmesinden kaçın
Atıkları yetkili tesislerde bertaraf et</t>
  </si>
  <si>
    <t>Kullanım: İyi havalandırma sağla, tutuşturucu kaynaklardan uzak tut, kişisel koruyucu ekipman kullan
Depolama:
Serin, havalandırılmış ortamda
Orijinal ambalajında
Isı ve güneş ışığından uzak</t>
  </si>
  <si>
    <t>Görünüm: Şeffaf sıvı
Renk: Renksiz
Koku: Karakteristik
pH: Belirtilmemiş
Yoğunluk: Belirtilmemiş
Alevlenirlik: Çok kolay alevlenir gaz
Çözünürlük: Belirtilmemiş</t>
  </si>
  <si>
    <t>Normal koşullarda stabil
Kaçınılması gereken: Isı, alev, kıvılcım, sıcak yüzeyler
Zararlı bozunma ürünleri: Normal koşullarda beklenmez</t>
  </si>
  <si>
    <t>Akut toksisite: Sınıflandırılmamış
Cilt ve göz: Tahriş edici değil
Solunum: Gaz solunması halinde risk olabilir
Aspirasyon zararı: Mineral yağ nedeniyle risk mevcut</t>
  </si>
  <si>
    <t>Akaclean Rust_SDS_TR</t>
  </si>
  <si>
    <t>Belirlenmiş kullanım: Pas ve korozyon giderici
Kullanım kısıtlaması: Mesleki kullanım için</t>
  </si>
  <si>
    <t>Fosforik asit / Ortofosforik asit (CAS 7664-38-2): %50–80
H290 (Metallerde aşındırıcı)
H314 (Ciddi cilt yanıkları ve göz hasarı)
H318 (Ciddi göz hasarı)</t>
  </si>
  <si>
    <t>H314: Ciddi cilt yanıklarına ve göz hasarına yol açar
H318: Ciddi göz hasarına yol açar
H290: Metalleri aşındırabilir</t>
  </si>
  <si>
    <t>Soluma: Temiz havaya çıkar, rahat nefes almasını sağla, doktora başvur
Cilt: Su/duş ile durula, kirli giysileri çıkar, doktora başvur
Göz: Bol su ile yıka, lens varsa çıkar, doktora başvur
Yutma: Ağzı çalkala, kusturma yok, doktora başvur
Tedavi: Semptomatik</t>
  </si>
  <si>
    <t>Kullanım: İyi havalandırma sağla, cilt ve göz temasından kaçın, kişisel koruyucu ekipman kullan
Depolama:
Serin, havalandırılmış ortamda
Kilit altında
Orijinal ambalajında</t>
  </si>
  <si>
    <t>Görünüm: Şeffaf sıvı
Renk: Renksiz
Koku: Karakteristik
pH: 1–4 (1% çözeltide)
Yoğunluk: 1.2–1.4 g/cm³
Çözünürlük: Suda çözünür</t>
  </si>
  <si>
    <t>Normal koşullarda stabil
Zararlı reaksiyon yok
Zararlı bozunma ürünleri beklenmez</t>
  </si>
  <si>
    <t>Akut toksisite: Sınıflandırılmamış
Cilt: Ciddi yanık riski
Göz: Ciddi hasar riski
Solunum: Tahriş edici olabilir</t>
  </si>
  <si>
    <t>15.MOLYKOTE SEPARATOR SILICONE SPRAY-</t>
  </si>
  <si>
    <t>Belirlenmiş kullanım: Anti-set off ve yapışkan önleyici, yağlayıcı ve katkı maddesi
Kullanım kısıtlaması: Mesleki kullanım için</t>
  </si>
  <si>
    <t>Bütan (CAS 106-97-8): %69–79 → H220 (Çok kolay alevlenir gaz), H280 (Basınç altında gaz)
Propan (CAS 74-98-6): %10–20 → H220 (Çok kolay alevlenir gaz), H280 (Basınç altında gaz)
Silikon bileşenleri: Yağlayıcı katkı</t>
  </si>
  <si>
    <t>H222: Çok kolay alevlenir aerosol
H229: Basınçlı kap, ısıtıldığında patlayabilir
H220: Çok kolay alevlenir gaz
H280: Basınç altında gaz</t>
  </si>
  <si>
    <t>Soluma: Açık havaya çıkar, semptom varsa doktora başvur
Cilt: Sabun ve bol su ile yıka, kontamine giysileri çıkar
Göz: Bol su ile yıka, lens varsa çıkar, doktora başvur
Yutma: Kusturma yok, hemen tıbbi yardım al
Tedavi: Semptomatik, özel panzehir yok</t>
  </si>
  <si>
    <t>Söndürücüler: Su spreyi, köpük, CO₂, kuru kimyasal
Uygun olmayan: Direkt su akımı
Yangında zararlı ürünler: Karbon oksitler, silisyum oksit, formaldehit
Kaplar ısındığında patlama riski var
Solunum cihazı ve tam koruyucu giysi gerekli</t>
  </si>
  <si>
    <t>Tutuşturucu kaynakları uzaklaştır
Absorban malzeme ile topla
Çevreye verilmesinden kaçın
Büyük döküntülerde bariyer kur, pompalanabilirse geri kazan</t>
  </si>
  <si>
    <t>Kullanım: Buharını soluma, statik boşalmalara karşı önlem al, yalnızca iyi havalandırmada kullan
Depolama:
Serin, havalandırılmış ortamda
Güneş ışığından uzak
Kapları delme veya yakma yok
Oksitleyiciler ve reaktif maddelerden uzak tut</t>
  </si>
  <si>
    <t>OEL: Bütan STEL 1000 ppm (ACGIH)
KKD:
Gözlük (EN166)
Eldiven (nitril, neopren, PVC, viton, EN374)
Koruyucu giysi
Solunum cihazı (pozitif basınçlı, onaylı) gerekirse
Çevreye salınımı engelle</t>
  </si>
  <si>
    <t>Görünüm: Renksiz aerosol
Koku: Yok
Yoğunluk: 0.59 g/cm³
pH: Uygulanmaz
Alevlenirlik: Çok kolay alevlenir aerosol
Çözünürlük: Belirtilmemiş
Parlama noktası: Uygulanmaz</t>
  </si>
  <si>
    <t>Normal koşullarda stabil
Kaçınılması gereken: Isı, alev, kıvılcım, oksitleyiciler
Zararlı bozunma ürünleri: Formaldehit</t>
  </si>
  <si>
    <t>Bütan: LC50 (sıçan, 4h): 658 mg/l
Propan: LC50 (sıçan, 4h): &gt;425,000 ppm
Cilt: Gaz halinde tahriş etmez, sıvı temasında soğuk yanığı yapabilir
Göz: Gaz halinde tahriş etmez, sıvı temasında soğuk yanığı yapabilir
Mutajenite: Testlerde olumsuz
Aspirasyon zararı: Beklenmez</t>
  </si>
  <si>
    <r>
      <t>o</t>
    </r>
    <r>
      <rPr>
        <sz val="7"/>
        <rFont val="Times New Roman"/>
        <family val="1"/>
        <charset val="162"/>
      </rPr>
      <t xml:space="preserve">   </t>
    </r>
    <r>
      <rPr>
        <b/>
        <sz val="14"/>
        <rFont val="Calibri"/>
        <family val="2"/>
        <charset val="162"/>
      </rPr>
      <t>NACL, LISS/Coombs, Dat, Coombs Anti-IgG ve Tarama</t>
    </r>
  </si>
  <si>
    <t>In vitro medikal teşhis cihazı veya bileşeni</t>
  </si>
  <si>
    <t xml:space="preserve">· Kimyasal karakterizasyon: Karışımlar
o Açıklama:
Tehlikeli olmayan eklemeler içeren, aşağıda belirtilen maddelerin karışımı.
</t>
  </si>
  <si>
    <t xml:space="preserve">· Maddenin veya karışımın sınıflandırılması
Ürün, Küresel Uyum Sistemine (GHS) göre sınıflandırılmamıştır.
o 67/548/EEC sayılı Direktife veya 1999/45/EC sayılı Direktife göre sınıflandırma:
Uygulanmamaktadır.
</t>
  </si>
  <si>
    <t xml:space="preserve">· İlk yardım önlemlerinin açıklaması
o Genel bilgiler: Özel bir tedbir gerekmemektedir.
o Solunum sonrası: Temiz hava sağlayınız; şikayet durumunda doktora danışınız.
o Ciltle temas sonrası: Genel olarak ürün, cildi tahriş etmez.
o Gözle temas sonrası: Gözünüzü açık tutarak akan suyun altında birkaç dakika yıkayınız.
o Yutma sonrası: Semptomların devam etmesi halinde bir doktora danışınız.
o Doktor için bilgiler:
 Hem akut hem de gecikmiş olarak en önemli semptomlar ve etkiler
Daha fazla bilgi bulunmamaktadır.
 Acil tıbbi bakım ve özel tedavinin gerekli olduğunun göstergeleri
Daha fazla bilgi bulunmamaktadır.
</t>
  </si>
  <si>
    <t xml:space="preserve">· Yangın söndürme araçları
o Uygun yangın söndürme araçları:
CO2, toz veya su spreyi. Daha büyük yangınlarda, su spreyi veya alkole dirençli köpükle yangını söndürünüz.
Çevre koşullarına uygun yangın söndürme yöntemleri kullanınız.
· Maddeden veya karışımdan meydana gelen özel tehlikeler
Daha fazla bilgi bulunmamaktadır.
· İtfaiye için tavsiye
o Koruyucu ekipmanlar: Özel bir tedbir gerekmemektedir.
</t>
  </si>
  <si>
    <t xml:space="preserve">· Kişisel tedbirler, koruyucu ekipmanlar ve acil durum prosedürleri
Gerekli değildir.
· Çevresel tedbirler: 
Bolca suyla yıkayınız.
Kanalizasyonlara / yer üstü veya yer altı sularına girmesine izin vermeyiniz.
· Çevreleme ve temizleme yöntemleri ve malzemesi:
Sıvı bağlayıcı malzeme (kum, diyatomit, asit bağlayıcılar, evrensel bağlayıcılar, talaş) ile emdiriniz.
· Diğer bölümlere gönderi
Herhangi bir tehlikeli madde yayılmamaktadır.
</t>
  </si>
  <si>
    <t xml:space="preserve">· Kullanma:
o Güvenli kullanma tedbirleri: Özel bir tedbir gerekmemektedir.
o Yangından ve patlamadan korunma bilgileri: Özel bir tedbir gerekmemektedir.
· Uyumsuzluklar dahil olmak üzere güvenli depolama koşulları
o Saklama:
 Saklama odaları ve kapların karşılaması gereken gereksinimler:
Özel bir gereksinim bulunmamaktadır.
 Yaygın olarak kullanılan bir tesiste saklama hakkında bilgiler:
Gerekli değildir.
 Saklama koşulları hakkında daha fazla bilgi:
İlgili ambalaj içeriğine bakınız.
Madde / preparat, 18°C ila 25°C arasında saklanmalıdır.
· Spesifik son kullanım(lar): Daha fazla bilgi bulunmamaktadır
</t>
  </si>
  <si>
    <t xml:space="preserve">· Teknik tesislerin tasarımı hakkında ek bilgiler:
Daha fazla veri bulunmamaktadır; madde 7'ye bakınız.
· Kontrol parametreleri
o Ek bilgiler:
Üretim sırasında geçerli olan listeler dayanak olarak alınmıştır.
· Maruz kalma kontrolleri
o Kişisel koruyucu ekipmanlar:
 Genel koruyucu ve hijyenik önlemler:
Kimyasalların kullanılması sırasında, olağan ihtiyati tedbirlere uyulmalıdır.
 Solunum koruması: Gerekli değildir.
 Ellerin korunması:
        Koruyucu eldivenler
Eldiven malzemesi sızdırmaz olmalıdır ve ürüne / maddeye / preparata karşı dirençli olmalıdır.
• Eldiven malzemesinin penetrasyon süresi
Koruyucu eldivenlerin üreticisi tarafından tam ortaya çıkış saati bulunmalı ve buna uyulmalıdır.
 Göz koruması: Güvenlik gözlükleri
 Vücut koruması: Koruyucu iş kıyafeti
</t>
  </si>
  <si>
    <t xml:space="preserve">· Temel fiziksel ve kimyasal özellikler hakkında bilgiler
o Genel Bilgiler
 Görünüm:
• Biçim: İnert taşıyıcı materyalde sıvı
• Renk: Renklendirmeye göre farklıdır
 Koku: Kokusuz
 Koku eşiği: Belirlenmemiştir.
o pH değeri: Belirlenmemiştir
o Koşulda değişiklik
</t>
  </si>
  <si>
    <t xml:space="preserve">· Tepkime
o Kimyasal kararlılık
 Kaçınılması gereken termal ayrışma / koşullar: Spesifikasyonlara göre kullanılması halinde ayrışma olmaz.
· Tehlikeli tepkime olasılığı: Bilinen tehlikeli reaksiyon bulunmamaktadır.
· Kaçınılması gereken koşullar: Daha fazla bilgi bulunmamaktadır.
· Uyumsuz maddeler: Daha fazla bilgi bulunmamaktadır.
· Tehlikeli ayrışım ürünleri: Bilinen tehlikeli ayrışım ürünü bulunmamaktadır.
</t>
  </si>
  <si>
    <t xml:space="preserve">· Toksikolojik etkilere yönelik bilgiler
o Akut toksisite:
 Sınıflandırmayla ilgili LD/LC50 değerleri:
Koruyucu olarak Sodyum Azid kullanılmaktadır. (Konsantrasyon &lt; %0.1)
</t>
  </si>
  <si>
    <t xml:space="preserve">
· Atık arıtma yöntemleri
o Tavsiye:
Küçük miktarlar, ev atığıyla birlikte atılabilir.
· Temizlenmemiş ambalaj:
o Tavsiye:
Bertaraf, resmi yönetmeliklere göre yapılmalıdır.
o Tavsiye edilen temizlik ürünleri:
Gerek olması halinde temizlik ürünleriyle birlikte su.
</t>
  </si>
  <si>
    <t>Across Gel Card  MSDS</t>
  </si>
  <si>
    <t>Belirlenmiş kullanım: Sadece in vitro tanı amaçlı
Kullanım kısıtlaması: Profesyonel kullanım için</t>
  </si>
  <si>
    <t>Dextranlar
Spesifik antikor içeren reaktifler
Tampon çözelti
Bazı bileşenler hayvansal kaynaklıdır (lisanslı ve veteriner kontrolünden geçmiş hayvanlardan elde edilmiştir).</t>
  </si>
  <si>
    <t>İnsan kaynaklı materyaller HBsAg, anti-HIV ve anti-HCV için reaktif değil, ancak bulaşıcı hastalık riski tamamen dışlanamaz.
Kullanım sırasında bulaşıcı hastalık taşıyabilirmiş gibi dikkatli olunmalıdır.</t>
  </si>
  <si>
    <t>Göz/Cilt: Direkt temas halinde bol su ile yıka
Genel: Temastan kaçın, semptom varsa doktora başvur</t>
  </si>
  <si>
    <t>Ürün yanıcı değildir
Yangında kuru kimyasal toz kullanılabilir</t>
  </si>
  <si>
    <t>Dökülme/sıçrama durumunda dezenfekte et
Çevreye kontrolsüz bırakma yok</t>
  </si>
  <si>
    <t>Depolama: 2–25 °C arasında, dondurmayın
Kullanım: Laboratuvar ortamında, uygun koruyucu ekipmanla</t>
  </si>
  <si>
    <t>KKD:
Eldiven
Emniyet gözlükleri
Laboratuvar giysisi</t>
  </si>
  <si>
    <t>Karışım: Dextran + antikor reaktifleri + tampon çözelti
Görünüm: Çözelti (renk/koku belirtilmemiş)</t>
  </si>
  <si>
    <t>Normal saklama koşullarında stabil</t>
  </si>
  <si>
    <t>Yönetmelik (EC) 1907/2006 Madde 31 kapsamında tehlikeli madde içermez</t>
  </si>
  <si>
    <t>Atıklar ve kontamine ambalajlar yerel yönetmeliklere uygun bertaraf edilmeli</t>
  </si>
  <si>
    <t>Across RBC MSDS</t>
  </si>
  <si>
    <t>%0.8 kırmızı kan hücre süspansiyonu (RBC suspension)</t>
  </si>
  <si>
    <t>Dökülme durumunda absorban malzeme ile topla
Temas eden yüzeyleri bol su ile yıka
Atıkları tehlikeli atık olarak bertaraf et</t>
  </si>
  <si>
    <t>Görünüm: %0.8 kırmızı kan hücre süspansiyonu
Renk/Koku: Belirtilmemiş</t>
  </si>
  <si>
    <t>PROPANOL FOR HPLC</t>
  </si>
  <si>
    <t>Laboratuvar kimyasalı olarak kullanılır.
Maddelerin üretiminde çözücü veya reaktif olarak görev alır.</t>
  </si>
  <si>
    <t>“2-Propanol… CAS-No. 67-63-0… Flam. Liq. 2; Eye Irrit. 2; STOT SE 3; H225, H319, H336 Concentration limits: ≥ 20 %: STOT SE 3, H336.”</t>
  </si>
  <si>
    <t>Flam. Liq. 2 (H225): Kolay alevlenir sıvı ve buhar.
Eye Irrit. 2 (H319): Ciddi göz tahrişine neden olur.
STOT SE 3 (H336): Merkezi sinir sistemi üzerinde etki yaparak sersemlik veya baş dönmesine neden olabilir.</t>
  </si>
  <si>
    <t>Solunması Halinde:
Kişiyi temiz havaya çıkarın.
Gerekirse doktora başvurun.
Cilt Teması Halinde:
Kirlenmiş giysileri hemen çıkarın.
Deriyi bol su ile yıkayın/duş alın.
Göz Teması Halinde:
Gözleri bol su ile yıkayın.
Kontakt lensleri varsa çıkarın.
Göz doktoruna başvurun.
Yutulması Halinde:
Hemen 1–2 bardak su içirin.
Derhal doktora başvurun.
Belirtiler:
Sersemlik, baş dönmesi, uyku hali, mide bulantısı görülebilir.
Yüksek miktarda alımda koma riski vardır.</t>
  </si>
  <si>
    <t>Karbondioksit (CO₂)
Köpük
Kuru toz</t>
  </si>
  <si>
    <t>Propanol dökülme durumunda havalandırma, ateşten uzak tutma, kişisel koruyucu ekipman kullanımı kritik önlemlerdir. Çevreye salınımı engellenmeli, döküntü emici malzemelerle toplanıp uygun şekilde bertaraf edilmelidir.</t>
  </si>
  <si>
    <t>Kullanım (Elleçleme):
Çeker ocak altında çalışılmalıdır.
Buhar ve aerosollerin solunmasından kaçınılmalıdır.
Açık alev, sıcak yüzeyler ve kıvılcım kaynaklarından uzak tutulmalıdır.
Statik elektrik boşalmasına karşı önlem alınmalıdır.
Kirlenmiş giysiler hemen değiştirilmelidir.
Kullanım sonrası eller yıkanmalıdır.
Depolama:
Kap sıkıca kapalı, kuru ve iyi havalandırılmış bir yerde saklanmalıdır.
Isı ve ateş kaynaklarından uzak tutulmalıdır.
İnert gaz altında saklanması önerilir (ürün higroskopiktir).
Depolama sınıfı: TRGS 510 – Sınıf 3: Yanıcı sıvılar.</t>
  </si>
  <si>
    <t>Propanol ile çalışırken havalandırma, gözlük, uygun eldiven, antistatik giysi ve organik buhar filtresi kritik önlemlerdir. Çevreye salınımı engellenmeli, hijyen kurallarına uyulmalıdır.</t>
  </si>
  <si>
    <t>Propanol renksiz, alkol kokulu, uçucu ve yüksek derecede yanıcı bir sıvıdır. Düşük parlama noktası (12 °C) nedeniyle oda sıcaklığında bile ciddi yangın riski taşır. Suda çözünür, biyobirikim potansiyeli yoktur.</t>
  </si>
  <si>
    <t>Propanol normal koşullarda kararlı bir kimyasaldır, ancak hava ile peroksit oluşturabilir ve buharları patlayıcı karışım yapabilir. Isı ve ateşten uzak tutulmalı, depolama sırasında inert gaz altında saklanmalıdır.</t>
  </si>
  <si>
    <t>Propanol düşük dozlarda ciddi toksik etki göstermese de yanıcı, göz tahrişi yapıcı ve merkezi sinir sistemi üzerinde baskılayıcı etkileri vardır. Yüksek miktarda maruziyet bilinç kaybı ve koma riski taşır.</t>
  </si>
  <si>
    <t>2-Propanol dökülme durumunda emici malzemelerle toplanmalı, çevreye salınımı engellenmeli ve lisanslı bertaraf tesisine gönderilmelidir.</t>
  </si>
  <si>
    <t>AGAROSE LE_GENAXXON BIO SCIENCE</t>
  </si>
  <si>
    <t>Laboratuvar kimyasalı olarak kullanılır.</t>
  </si>
  <si>
    <t>Agarose D1-LE tek bileşenli bir üründür; %100 saf agarozdan oluşur. Laboratuvarlarda jel elektroforezi gibi uygulamalarda kullanılan, katı toz formunda, kokusuz ve krem renginde bir polimerdir.</t>
  </si>
  <si>
    <t>Agarose D1-LE için resmi tehlike tanımı bulunmamaktadır. OSHA’ya göre tehlikesiz kabul edilir; etiketleme, piktogram veya H/P kodu gerektirmez. Ancak kullanım sırasında toz oluşumundan kaçınmak, solumamak ve cilt/göz temasını önlemek önemlidir.</t>
  </si>
  <si>
    <t xml:space="preserve">Göz Teması:
Hemen bol su ile, göz kapakları açık olacak şekilde en az 15 dakika yıkayın.
Tıbbi yardım alın.
Cilt Teması:
Derhal bol su ile en az 15 dakika yıkayın.
Tıbbi yardım alın.
Solunması Halinde:
Maruziyeti sonlandırın, kişiyi temiz havaya çıkarın.
Gerekirse yatırın ve dinlenmesini sağlayın.
Tıbbi yardım alın.
Yutulması Halinde:
Kusturmayın.
Derhal tıbbi yardım alın.
Belirtiler / Etkiler:
SDS’de özel bir semptom bilgisi verilmemiştir.
Genel olarak toz inhalasyonu tahriş yapabilir.
</t>
  </si>
  <si>
    <t xml:space="preserve">Su spreyi
Karbondioksit (CO₂)
Kuru kimyasal toz
Kimyasal köpük
</t>
  </si>
  <si>
    <t>Agarose D1-LE dökülme durumunda havalandırma, kişisel koruyucu ekipman, toz oluşumunu engelleme ve çevreye salınımı önleme kritik önlemlerdir. Döküntü süpürülerek uygun kaplara alınmalı ve bertaraf edilmelidir.</t>
  </si>
  <si>
    <t>Kullanım (Elleçleme):
Uygun kişisel koruyucu donanım ve yüz koruması kullanılmalıdır.
Yeterli havalandırma sağlanmalıdır.
Toz oluşumundan kaçınılmalıdır.
Cilt ve gözle temastan kaçınılmalıdır.
Tozun solunmaması ve yutulmaması gerekir.
Yutulması halinde derhal tıbbi yardım alınmalıdır.
Depolama:
Kuru, serin ve iyi havalandırılmış bir yerde saklanmalıdır.
Kap sıkıca kapalı tutulmalıdır.
Uyumsuz maddeler: Asitler ve güçlü oksitleyici ajanlar.</t>
  </si>
  <si>
    <t>Agarose D1-LE için özel maruziyet sınırları yoktur. Ancak toz oluşumunu engellemek, gözlük ve eldiven kullanmak, hijyen kurallarına uymak gerekir. Solunum koruması normal koşullarda gerekmez, fakat tozlu ortamda partikül filtresi kullanılmalıdır.</t>
  </si>
  <si>
    <t>Agarose D1-LE, katı toz formunda, kokusuz, açık krem renkli bir polimerdir. Sıcak suda çözünür, ancak yanıcılık ve patlama limitleriyle ilgili özel bir veri bulunmamaktadır.</t>
  </si>
  <si>
    <t>Agarose D1-LE normal koşullarda stabildir ve özel bir reaktivite riski yoktur. Ancak asitler ve güçlü oksitleyicilerle temasından kaçınılmalı, toz oluşumu engellenmelidir. Yangın halinde CO ve CO₂ gazları açığa çıkabilir.</t>
  </si>
  <si>
    <t>Agarose D1-LE için ciddi toksikolojik riskler rapor edilmemiştir. Ancak toz inhalasyonu önlenmeli, cilt ve göz temasından kaçınılmalıdır. Kanserojen, mutajen veya üreme toksik etkisi bulunmamaktadır.</t>
  </si>
  <si>
    <t>Agarose D1-LE dökülme durumunda toz oluşumunu engelleyerek süpürülüp kaplara alınmalı, çevreye salınımı önlenmeli ve yerel yönetmeliklere uygun şekilde bertaraf edilmelidir.</t>
  </si>
  <si>
    <t>AMMONIUM SULFATE, Molecular Biology Grade</t>
  </si>
  <si>
    <t>Moleküler biyoloji ve laboratuvar çalışmaları için kimyasal reaktif.</t>
  </si>
  <si>
    <t>Ammonium sulfate moleküler biyoloji derecesinde yüksek saflıkta (%99+) tek bileşenli bir üründür. Beyaz kristal formda, kokusuz, suda çözünebilen bir tuzdur.</t>
  </si>
  <si>
    <t>Ammonium sulfate GHS’ye göre tehlikeli sınıfta değildir. Ancak göz, cilt, solunum ve sindirim sistemi üzerinde tahriş edici etkiler gösterebilir. Uzun süreli temas dermatite yol açabilir.</t>
  </si>
  <si>
    <t>Göz Teması:
Gözleri bol su ile en az 15 dakika yıkayın.
Tıbbi yardım alın.
Cilt Teması:
Derhal bol sabun ve su ile yıkayın.
Kirlenmiş giysi ve ayakkabıları çıkarın.
Gerekirse tıbbi yardım alın.
Solunması Halinde:
Kişiyi temiz havaya çıkarın.
Solumuyorsa yapay solunum uygulayın.
Solunum güçlüğü varsa oksijen verin.
Derhal tıbbi yardım alın.
Yutulması Halinde:
Ağız su ile çalkalanmalıdır.
Kusturma yapılmamalıdır.
Derhal tıbbi yardım alın.</t>
  </si>
  <si>
    <t>Su spreyi
Köpük
Kuru kimyasal toz
Karbondioksit (CO₂)</t>
  </si>
  <si>
    <t>Ammonium sulfate dökülme durumunda havalandırma, kişisel koruyucu ekipman kullanımı, toz oluşumunu engelleme ve döküntüyü kapalı kaplara alma kritik önlemlerdir. Gerektiğinde kireç veya soda ile kaplanarak güvenli şekilde bertaraf edilmelidir.</t>
  </si>
  <si>
    <t>Kullanım (Elleçleme):
Göz, cilt ve giysi ile temastan kaçınılmalıdır.
Kullanım sonrası eller iyice yıkanmalı, kirlenmiş giysiler tekrar kullanılmadan önce yıkanmalıdır.
Toz oluşumunu engellemek için dikkatli kullanılmalıdır.
Yeterli havalandırma sağlanmalı, tercihen lokal egzoz veya davlumbaz kullanılmalıdır.
Uygun kişisel koruyucu ekipman (laboratuvar önlüğü, gözlük, eldiven, respiratör) kullanılmalıdır.
Depolama:
Oda sıcaklığında saklanmalıdır.
Kapalı kaplarda, kuru ve temiz ortamda muhafaza edilmelidir.
Güçlü oksitleyici ajanlardan uzak tutulmalıdır.</t>
  </si>
  <si>
    <t xml:space="preserve"> “Exposure limits: none listed… Use adequate ventilation. AVOID DUST GENERATION… Wear appropriate protective equipment to prevent eye and skin exposure. Wear appropriate respirator to prevent lung irritation. Personal Protection: Lab coat, safety goggles, rubber gloves. Ventilation: Local exhaust systems. Use fume hood. Respiratory protection: use OSHA/MSHA approved respirator.”</t>
  </si>
  <si>
    <t>Ammonium sulfate katı, beyaz kristal, kokusuz bir tuzdur. Suda çözünür, erime noktası oldukça yüksektir (350 °C) ve hafif asidik çözelti oluşturur (pH 5,5).</t>
  </si>
  <si>
    <t>Ammonium sulfate normal koşullarda stabildir, ancak toz oluşumundan ve güçlü oksitleyicilerle temastan kaçınılmalıdır. Yangın veya bozunma halinde NOₓ, CO, CO₂ ve amonyak açığa çıkabilir.</t>
  </si>
  <si>
    <t>Ammonium sulfate için ciddi toksikolojik riskler rapor edilmemiştir. Ancak toz inhalasyonu, cilt ve göz teması tahriş edici olabilir. Uzun süreli temas dermatit oluşturabilir. Kanserojen veya mutajen etkisi bulunmamaktadır.</t>
  </si>
  <si>
    <t>Ammonium sulfate dökülme durumunda havalandırma, kişisel koruyucu ekipman, süpürerek kapalı kaplara alma ve gerekirse kireç/soda ile kaplama önlemleri alınmalıdır. Bertaraf için kimyasal yakma fırını kullanılmalı ve tüm yasal düzenlemelere uyulmalıdır.</t>
  </si>
  <si>
    <t>BORIC ACID_BIOSHOP</t>
  </si>
  <si>
    <t>Sadece araştırma amaçlı kullanılmalıdır. Endüstriyel veya tıbbi kullanım için uygun değildir.</t>
  </si>
  <si>
    <t>Borik asit SDS’ye göre tek bileşenli, saf (%100) beyaz toz formunda bir kimyasaldır. Molekül formülü H₃BO₃, molekül ağırlığı 61,83 g/mol’dür.</t>
  </si>
  <si>
    <t>Borik asit GHS’ye göre üreme toksisitesi kategorisinde (1B) sınıflandırılmıştır.</t>
  </si>
  <si>
    <t xml:space="preserve">Göz Teması:
Gözleri bol su ile en az 15 dakika yıkayın.
Tahriş devam ederse tıbbi yardım alın.
Cilt Teması:
Temas eden bölgeyi derhal bol sabun ve su ile yıkayın.
Giysi ve ayakkabılar kirlenmişse çıkarın.
Solunması Halinde:
Kişiyi temiz havaya çıkarın.
Solumuyorsa yapay solunum uygulayın.
Belirtiler devam ederse tıbbi yardım alın.
Yutulması Halinde:
Ağız su ile çalkalanmalıdır.
Belirtiler devam ederse tıbbi yardım alın.
</t>
  </si>
  <si>
    <t>Su spreyi
Köpük
Kuru kimyasal toz
Karbondioksit (CO₂).</t>
  </si>
  <si>
    <t>Borik asit dökülme durumunda havalandırma, kişisel koruyucu ekipman, toz oluşumunu engelleme ve döküntüyü kapalı kaplara alma kritik önlemlerdir. Gerektiğinde kireç veya soda ile kaplanarak güvenli şekilde bertaraf edilmelidir.</t>
  </si>
  <si>
    <t>Kullanım (Elleçleme):
Göz, cilt ve giysi ile temastan kaçınılmalıdır.
Kullanım sonrası eller iyice yıkanmalı, kirlenmiş giysiler tekrar kullanılmadan önce yıkanmalıdır.
Toz oluşumunu en aza indirin.
Yeterli havalandırma sağlayın.
Uygun kişisel koruyucu ekipman (laboratuvar önlüğü, gözlük, eldiven, respiratör) kullanılmalıdır.
Depolama:
Oda sıcaklığında saklanmalıdır.
Kapalı kaplarda, kuru ve temiz ortamda muhafaza edilmelidir.
Güçlü oksitleyici ajanlar ve potasyum ile temasından kaçınılmalıdır.</t>
  </si>
  <si>
    <t>Borik asit için maruziyet limitleri belirlenmiştir. Çalışma ortamında toz oluşumunu engellemek, havalandırma sağlamak, gözlük, eldiven ve laboratuvar önlüğü kullanmak gerekir. Tozlu ortamda toz maskesi ile solunum korunmalıdır.</t>
  </si>
  <si>
    <t>Borik asit katı, beyaz, kokusuz bir bileşiktir. Suda çözünür, hafif asidik çözelti oluşturur (pH 3,6). Erime noktası 169 °C olup molekül formülü H₃BO₃, molekül ağırlığı 61,83 g/mol’dür.</t>
  </si>
  <si>
    <t>Borik asit normal koşullarda stabildir. Ancak toz oluşumu ve aşırı ısıdan kaçınılmalı, oksitleyiciler ve potasyum ile temas ettirilmemelidir. Bozunma halinde bor oksitleri açığa çıkabilir.</t>
  </si>
  <si>
    <t>Borik asit akut maruziyette orta düzeyde toksik kabul edilir. En önemli risk üreme toksisitesidir; uzun süreli maruziyet testis hasarı ve sperm üretiminde azalmaya yol açabilir. Kanserojen olarak sınıflandırılmamıştır.</t>
  </si>
  <si>
    <t>Borik asit dökülme durumunda havalandırma, kişisel koruyucu ekipman, süpürerek kapalı kaplara alma ve gerekirse kireç/soda ile kaplama önlemleri alınmalıdır. Bertaraf için kimyasal yakma fırını kullanılmalı ve tüm yasal düzenlemelere uyulmalıdır.</t>
  </si>
  <si>
    <t>CALCIUM CHLORIDE DIHYDRATE_BIOSHOP</t>
  </si>
  <si>
    <t>Araştırma ve laboratuvar çalışmaları için kullanılır.</t>
  </si>
  <si>
    <t>Kalsiyum klorür dihidrat SDS’ye göre tek bileşenli, saf (%99’dan fazla) beyaz kristal toz formunda bir kimyasaldır. Molekül formülü CaCl₂·2H₂O, molekül ağırlığı 146,01 g/mol’dür.</t>
  </si>
  <si>
    <t>Kalsiyum klorür dihidrat GHS’ye göre cilt ve göz tahrişi riski taşıyan (Kategori 2 ve 2A) bir kimyasaldır. Etiketlemede “Warning” sinyal kelimesi, H315 ve H319 tehlike ifadeleri ile ünlem işareti piktogramı kullanılır.</t>
  </si>
  <si>
    <t>Göz Teması:
Gözleri bol su ile dikkatlice yıkayın.
Kontakt lens varsa çıkarın ve durulamaya devam edin.
Tıbbi yardım alın.
Cilt Teması:
Temas eden bölgeyi derhal bol su ile yıkayın.
Tahriş devam ederse tıbbi yardım alın.
Solunması Halinde:
Kişiyi temiz havaya çıkarın.
Solunum güçlüğü varsa oksijen verin.
Tıbbi yardım alın.
Yutulması Halinde:
Ağız su ile çalkalanmalıdır.
Kusma teşvik edilmemelidir.
Kendinizi kötü hissederseniz tıbbi yardım alın.</t>
  </si>
  <si>
    <t>Kalsiyum klorür dihidrat dökülme durumunda havalandırma, kişisel koruyucu ekipman kullanımı, döküntünün süpürülerek kapalı kaplara alınması ve yerel düzenlemelere uygun bertaraf kritik önlemlerdir.</t>
  </si>
  <si>
    <t>Kullanım (Elleçleme):
Göz, cilt ve giysi ile temastan kaçının.
Kullanım sonrası eller iyice yıkanmalı, kirlenmiş giysiler tekrar kullanılmadan önce yıkanmalıdır.
Toz oluşumunu en aza indirin.
Yeterli havalandırma sağlayın.
Uygun kişisel koruyucu ekipman (gözlük, eldiven, koruyucu giysi, respiratör) kullanılmalıdır.
Depolama:
Oda sıcaklığında saklanmalıdır.
Serin ve kuru ortamda muhafaza edilmelidir.
Kapalı kaplarda tutulmalı, nemden korunmalıdır.</t>
  </si>
  <si>
    <t>Kalsiyum klorür dihidrat için resmi maruziyet limitleri bulunmasa da toz oluşumunu engellemek, havalandırma sağlamak, gözlük, eldiven ve koruyucu giysi kullanmak gerekir. Tozlu ortamda NIOSH onaylı respiratör ile solunum korunmalıdır.</t>
  </si>
  <si>
    <t>Kalsiyum klorür dihidrat beyaz kristal, kokusuz, suda yüksek oranda çözünebilen bir bileşiktir. Hafif asidik–nötr arası çözelti oluşturur (pH 5–8). Yanıcı değildir, ancak parlama noktası 113 °C olarak belirtilmiştir.</t>
  </si>
  <si>
    <t>Kalsiyum klorür dihidrat normal koşullarda stabildir. Ancak toz oluşumu ve aşırı ısıdan kaçınılmalı, oksitleyiciler ve indirgen maddelerle temas ettirilmemelidir. Bozunma halinde hidrojen klorür gazı ve kalsiyum oksit açığa çıkabilir.</t>
  </si>
  <si>
    <t>Kalsiyum klorür dihidrat için akut toksisite verileri sınırlıdır. Maruziyet halinde cilt ve göz tahrişi, solunum yollarında irritasyon ve yutulduğunda zararlı etki görülebilir. Kronik toksisite ve kanserojenlik hakkında veri bulunmamaktadır; resmi kurumlarca kanserojen olarak sınıflandırılmamıştır.</t>
  </si>
  <si>
    <t>Kalsiyum klorür dihidrat dökülme durumunda havalandırma, kişisel koruyucu ekipman, süpürülerek kapalı kaplara alma ve yerel düzenlemelere uygun bertaraf kritik önlemlerdir. İmha sırasında kimyasal yakma fırını kullanılmalı ve yanıcılık riski nedeniyle dikkatli olunmalıdır.</t>
  </si>
  <si>
    <t>Clarity Luminol-Peroxide Substrate_BIORAD</t>
  </si>
  <si>
    <t>Laboratuvarlarda kullanılan kimyasal madde olarak tanımlanmıştır.
Özellikle Western blot ECL substrat kitleri için kullanılır.</t>
  </si>
  <si>
    <t>“Tarifi: Tehlikesiz katkılar ihtiva eden… İhtiva ettiği tehlikeli maddeler: CAS: 10043-35-3 boric acid, Repr. 1B, H360FD, %0,1–1.”</t>
  </si>
  <si>
    <t>“Ürün SEA yönetmeliğine göre sınıflandırılmamıştır… İhtiva ettiği tehlikeli maddeler: CAS: 10043-35-3 boric acid, Repr. 1B, H360FD, %0,1–1.”</t>
  </si>
  <si>
    <t>Genel Uyarılar:
Özel bir önlem gerektirmez, ancak kimyasal güvenlik kurallarına uyulmalıdır.
Soluma (İnhalasyon):
Kişiyi temiz havaya çıkarın.
Şikayetler devam ederse doktora başvurun.
Göz Teması:
Göz kapakları açık şekilde birkaç dakika boyunca bol su ile yıkayın.
Tahriş devam ederse tıbbi yardım alın.
Cilt Teması:
SDS’de özel bir uyarı bulunmamakla birlikte genel kimyasal güvenlik gereği su ile yıkayın.
Yutma (İngesiyon):
Ağız su ile çalkalanmalıdır.
Doktora başvurulmalı ve uygun takip yapılmalıdır.</t>
  </si>
  <si>
    <t>“Elverişli söndürücü maddeler: Yangın söndürme önlemlerini çevreye uydurunuz… Özel koruyucu teçhizat: Özel önlemlerin alınması gerekmez… Ürün kendiliğinden tutuşmaz niteliktedir. Ürünün patlama tehlikesi yoktur.”</t>
  </si>
  <si>
    <t>Clarity Luminol-Peroxide Substrate dökülme durumunda koruyucu ekipman kullanımı, döküntünün su ile sulandırılması, çevreye karışmasının engellenmesi ve sıvı bağlayıcılarla toplanarak uygun şekilde bertaraf edilmesi gerekir.</t>
  </si>
  <si>
    <t>Kullanım (Elleçleme):
Usulüne uygun kullanıldığında özel önlem gerektirmez.
Genel kimyasal güvenlik kurallarına uyulmalıdır.
Çalışma sırasında koruyucu eldiven, gözlük ve laboratuvar giysisi kullanılmalıdır.
Solunum koruması normal koşullarda gerekli değildir.
Yangın ve Patlama Önlemleri:
Ürün için özel bir yangın veya patlama riski bulunmamaktadır.
Depolama:
Ürün adına uygun şekilde depolanmalıdır.
Kaplar sıkıca kapalı, serin ve kuru ortamda tutulmalıdır.
Birlikte depolama için özel bir kısıtlama bulunmamaktadır.
Depolama koşulları için ek özel bilgi verilmemiştir.</t>
  </si>
  <si>
    <t>Clarity Luminol-Peroxide Substrate için özel maruziyet limitleri bulunmamaktadır. Laboratuvar ortamında eldiven, gözlük ve koruyucu giysi kullanılmalı, solunum koruması ise yalnızca olağan dışı koşullarda gerekebilir.</t>
  </si>
  <si>
    <t>Clarity Luminol-Peroxide Substrate renksiz, kokusuz, nötr–hafif bazik pH’a sahip sıvıdır. Su ile tamamen karışabilir, yanıcı veya patlayıcı değildir. Fiziksel özellikleri suya çok yakın olup düşük viskoziteye sahiptir.</t>
  </si>
  <si>
    <t>Clarity Luminol-Peroxide Substrate normal koşullarda stabil ve güvenlidir. Tehlikeli reaksiyon veya bozunma ürünleri rapor edilmemiştir. Yalnızca aşırı ısıdan ve uygunsuz depolamadan kaçınılması önerilir.</t>
  </si>
  <si>
    <t>“Akut toksisite: Mevcut bilgilere göre, sınıflandırma kriterlerini karşılamamaktadır… 10043-35-3 boric acid LD50 2.660 mg/kg (rat)… Ciltte ve gözde sınıflandırma kriterlerini karşılamamaktadır… Üreme toksisitesi: Repr. 1B, H360FD.”</t>
  </si>
  <si>
    <t>“Sıvı bağlayıcı malzemeyle (Kum, diyatomit, asit bağlayıcı, genel bağlayıcı, un halinde testere talaşı) ile eminiz… Atığı geçerli ulusal, bölgesel veya yerel düzenlemelere uygun olarak elden çıkarın… Tasfiyesi resmi makamların yönetmeliklerine göre yapılır… Tavsiye olunan temizlik maddesi: Su, gerekirse temizlik maddeleri katmak suretiyle.”</t>
  </si>
  <si>
    <t>Clarity Max Western ECL Substrate-Peroxide-Luminol Solution_BIORAD</t>
  </si>
  <si>
    <t>Laboratuvar kimyasalı olarak kullanılır.
Normal koşullarda özel bir kullanım kısıtlaması yoktur.</t>
  </si>
  <si>
    <t>Peroxide Solution (1705062A)    Luminol Solution (1705062B)</t>
  </si>
  <si>
    <t>Genel olarak GHS’ye göre zararlı madde değildir.
Ancak düşük konsantrasyonlarda sitrik asit, etilen glikol ve sodyum perborat tetrahidrat içerdiği için lokal tahriş ve üreme toksisitesi riski vardır.</t>
  </si>
  <si>
    <t>Soluma: Açık havaya çıkarın.
Göz Teması: En az 15 dakika bol su ile yıkayın, doktora danışın.
Cilt Teması: Sabun ve suyla yıkayın, tahriş varsa doktora başvurun.
Yutma: Ağız suyla çalkalanmalı.</t>
  </si>
  <si>
    <t>Uygun söndürücüler: Ortama uygun yöntemler (su spreyi, köpük, CO₂).
Özel zararlar: Bilinmiyor.
İtfaiyeciler: Kapalı devre solunum aparatı ve tam koruyucu giysi kullanmalı.</t>
  </si>
  <si>
    <t>Kişisel koruyucu ekipman kullanılmalı.
Sızıntı/döküntü mekanik olarak toplanmalı.
Kirlenmiş alan çevresel yönetmeliklere uygun şekilde temizlenmeli.</t>
  </si>
  <si>
    <t>Yeterli havalandırma sağlanmalı.
Kabı kuru ve iyi havalandırılan yerde sıkıca kapalı tutun.
Genel hijyen kurallarına uyun.</t>
  </si>
  <si>
    <t>Göz/Yüz: Yandan korumalı gözlük.
Eller: Uygun eldiven.
Cilt/Vücut: Koruyucu giysi.
Solunum: Normal koşullarda gerekmez, aşırı maruziyette havalandırma sağlanmalı.</t>
  </si>
  <si>
    <t>Fiziksel hal: Sıvı, berrak, kokusuz.
pH: 5
Kaynama noktası: 100 °C
Suda çözünürlük: Su ile karışabilir.
Diğer kritik veriler: Patlayıcı/yanıcı özellik yok.</t>
  </si>
  <si>
    <t>Normal koşullarda kararlı.
Tehlikeli reaksiyon veya bozunma ürünleri rapor edilmemiştir.</t>
  </si>
  <si>
    <t>Sitrik asit: Oral LD₅₀ = 3 g/kg (rat), dermal LD₅₀ &gt; 2000 mg/kg.
Sodyum perborat tetrahidrat: Oral LD₅₀ = 2567 mg/kg (rat), üreme toksisitesi Repr. 1B.
Etilen glikol: Akut toksisite H302.
Genel olarak cilt ve göz tahrişi sınıflandırma kriterlerini karşılamaz.</t>
  </si>
  <si>
    <t>Döküntü mekanik olarak toplanmalı, uygun kaplara alınmalı.
Atıklar ve kirlenmiş ambalajlar yerel çevre mevzuatına uygun şekilde bertaraf edilmeli.
Boş kaplar tekrar kullanılmamalıdır.</t>
  </si>
  <si>
    <t>D-GLUCOSE, MONOHYDRATE</t>
  </si>
  <si>
    <t xml:space="preserve">Laboratuvar kimyasalı olarak kullanılır.
Normal koşullarda tehlikeli sınıflandırmaya girmez, ancak toz formunda göz, cilt ve solunum yollarında hafif irritasyon yapabilir.
</t>
  </si>
  <si>
    <t>Ana bileşen: D-Glucose, Monohydrate
CAS No: 14431-43-7
Saflık: &gt; %99
Moleküler formül: C₆H₁₂O₆·H₂O
Molekül ağırlığı: 147.13 g/mol</t>
  </si>
  <si>
    <t>GHS’ye göre tehlikeli madde değildir.
Piktogram yok.
Potansiyel etkiler: göz, cilt, solunum ve sindirim sisteminde hafif irritasyon.
Kronik sağlık etkileri hakkında veri bulunmamaktadır.</t>
  </si>
  <si>
    <t>Göz: En az 15 dakika bol su ile yıkayın, semptom devam ederse doktora başvurun.
Cilt: Sabun ve suyla yıkayın, tahriş devam ederse doktora gidin.
Soluma: Temiz havaya çıkarın, gerekirse oksijen verin.
Yutma: Ağız suyla çalkalanmalı, kusma teşvik edilmemeli.</t>
  </si>
  <si>
    <t>Yanıcılık: Yanıcı değildir, ancak toz-hava karışımı patlayıcı olabilir.
Söndürücüler: Su spreyi, köpük, kuru kimyasal veya CO₂.
Özel risk: Yanma sırasında karbon monoksit, karbon dioksit ve azot oksitleri oluşabilir.
Koruyucu ekipman: Tam koruyucu giysi ve solunum aparatı.</t>
  </si>
  <si>
    <t>Alanı havalandırın.
Uygun koruyucu ekipman kullanın.
Dökülen maddeyi süpürerek kapalı bir kaba alın.
Toz oluşumunu önleyin, gerekirse kuru kireç veya soda ile kaplayın.</t>
  </si>
  <si>
    <t>Kullanım: Göz, cilt ve giysiyle temastan kaçının. Toz oluşumunu azaltın.
Depolama: Oda sıcaklığında, kuru ve kapalı kaplarda saklanmalıdır.</t>
  </si>
  <si>
    <t>Maruziyet limitleri: Belirtilmemiş.
Koruyucu ekipman: Laboratuvar önlüğü, güvenlik gözlüğü, kauçuk eldiven.
Solunum: Toz oluşumunda OSHA/MSHA onaylı respiratör kullanılmalı.
Ventilasyon: Lokal egzoz sistemi veya çeker ocak önerilir.</t>
  </si>
  <si>
    <t>Fiziksel hali: Katı, beyaz toz, kokusuz.
Çözünürlük: Suda çözünür.
Erime/Kaynama noktası: Belirtilmemiş.
Yoğunluk, buhar basıncı: Veri yok.</t>
  </si>
  <si>
    <t>Normal koşullarda stabil.
Kaçınılması gereken durumlar: toz oluşumu ve aşırı ısı.
Uyumsuz maddeler: güçlü oksitleyiciler.
Tehlikeli bozunma ürünleri: CO, CO₂, NOx.</t>
  </si>
  <si>
    <t>LD₅₀/LC₅₀: Veri yok.
Kanserojenlik: ACGIH, IARC, NTP, OSHA tarafından listelenmemiş.
Mutajenite, teratojenite, üreme toksisitesi: Veri yok.
Genel olarak düşük riskli, ancak toz halinde irritan.</t>
  </si>
  <si>
    <t>Atıklar kimyasal yakma fırınında (incinerator) bertaraf edilmelidir.
Federal, eyalet ve yerel düzenlemelere uyulmalıdır.
Ambalajlar tekrar kullanılmamalı, uygun şekilde imha edilmelidir.</t>
  </si>
  <si>
    <t>DIMETHYLSULPHOXIDE (ACS REAGENT)</t>
  </si>
  <si>
    <t>Laboratuvar kimyasalı ve madde üretiminde kullanılır.
Normal koşullarda EC 1272/2008’e göre tehlikeli sınıflandırmaya girmez.
Ancak deriden hızla emilir, bu nedenle temas riskine karşı dikkatli olunmalıdır.</t>
  </si>
  <si>
    <t>Kimyasal adı: Dimethyl sulfoxide (DMSO)
CAS No: 67-68-5
EC No: 200-664-3
Molekül formülü: C₂H₆OS
Molekül ağırlığı: 78,13 g/mol
Saf madde, katkı içermez.</t>
  </si>
  <si>
    <t>GHS sınıflandırması: Tehlikeli madde değildir.
Etiketleme: Piktogram, uyarı kelimesi veya zararlılık ifadesi yok.
Özel risk: Deriden hızlı emilim; yüksek miktarlarda baş ağrısı, baş dönmesi, bulantı, ciltte kızarıklık ve yanma hissi yapabilir.</t>
  </si>
  <si>
    <t>Soluma: Temiz havaya çıkarın.
Cilt Teması: Kirlenmiş giysileri çıkarın, bol su ile yıkayın.
Göz Teması: Bol su ile yıkayın, kontakt lensleri çıkarın.
Yutma: 1–2 bardak su içirin, rahatsızlık devam ederse doktora başvurun.</t>
  </si>
  <si>
    <t>Yanıcılık: Yanıcı sıvı, ısıtıldığında havayla patlayıcı karışım oluşturabilir.
Parlama noktası: 87 °C (kapalı kap).
Kendi kendine tutuşma: 300–302 °C.
Söndürücüler: Su spreyi, köpük, CO₂, kuru kimyasal.
Özel risk: Karbon oksitler ve sülfür oksitleri açığa çıkar.
Ekipman: Tam koruyucu giysi ve solunum aparatı.</t>
  </si>
  <si>
    <t>Buhar ve aerosolleri solumayın, ateş kaynaklarından uzak tutun.
Döküntüyü sıvı bağlayıcılarla (ör. Chemizorb®) toplayın.
Kanalizasyona karışmasını önleyin.
Alanı iyice temizleyin, uygun kaplarda bertaraf edin.</t>
  </si>
  <si>
    <t>Kullanım: Açık alev ve sıcak yüzeylerden uzak tutun, statik boşalmalara karşı önlem alın.
Depolama: Kapalı kaplarda, inert gaz altında saklanmalı.
Depolama sınıfı: TRGS 510’a göre sınıf 10 (yanıcı sıvılar).
Özellik: Higroskopiktir (nem çeker).</t>
  </si>
  <si>
    <t>Göz/Yüz: EN 166 standardına uygun güvenlik gözlüğü.
Eller:
Tam temas için: Kloropren eldiven (0,65 mm, 480 dk dayanım).
Sıçrama için: Lateks eldiven (0,6 mm, 240 dk dayanım).
Solunum: Organik buhar filtresi (DIN 3181, Tip A).
Çevresel kontrol: Kanalizasyona karışmasını önleyin.</t>
  </si>
  <si>
    <t>Fiziksel hali: Sıvı, berrak, kokusuz.
Erime noktası: 16–19 °C
Kaynama noktası: 189 °C
Parlama noktası: 87 °C
Kendi kendine tutuşma: 300–302 °C
Yoğunluk: 1,1 g/mL
Viskozite: 2,14 mPa·s (20 °C)
Buhar basıncı: 0,55 hPa (20 °C)
Patlama limitleri: Alt %2,6 – Üst %28,5
Suda çözünürlük: Tamamen karışabilir.
Log Pow: -1,35 (biyobirikim beklenmez).</t>
  </si>
  <si>
    <t>Normal koşullarda kararlı.
Kaçınılması gereken durumlar: Aşırı ısıtma.
Uyumsuz maddeler: Güçlü oksitleyiciler, asit klorürler, nitrik asit, perkloratlar, halojenler, metal hidritler, gümüş bileşikleri vb.
Tehlikeli reaksiyon: Isıtıldığında patlayıcı karışım oluşturabilir.</t>
  </si>
  <si>
    <t>LD₅₀ Oral (rat): 28.300 mg/kg
LD₅₀ Dermal (rat): 40.000 mg/kg
LC₀ Inhalasyon (rat, 4h): &gt; 5,33 mg/L
Cilt/Göz: Hafif irritasyon.
Mutajenite: Ames testi ve diğer genetik testlerde negatif.
Kanserojenite: Veri yok.
Üreme toksisitesi: Veri yok.
Ek bilgi: Deriden hızla emilir, yüksek miktarlarda baş ağrısı, baş dönmesi, bulantı, sedasyon yapabilir.</t>
  </si>
  <si>
    <t>Döküntüler sıvı bağlayıcılarla toplanmalı, uygun kaplarda bertaraf edilmeli.
Atıklar yerel düzenlemelere uygun şekilde imha edilmelidir.
Kanalizasyona karışmamalıdır.</t>
  </si>
  <si>
    <t>DMSO (FOR CELL CULTURE) PANREAC APPLICHEM</t>
  </si>
  <si>
    <t>Hücre kültürü için yüksek saflıkta çözücü olarak kullanılır.
Laboratuvar ortamında biyolojik ve kimyasal araştırmalarda yaygın.</t>
  </si>
  <si>
    <t>Kimyasal adı: Dimethyl sulfoxide (DMSO)
CAS No: 67-68-5
EINECS No: 200-664-3
Molekül formülü: C₂H₆OS
Molekül ağırlığı: 78.13 g/mol
Saflık: ≥ %99.5 (GC ile belirlenmiş)
İçerik limitleri:
Su: ≤ %0.1
Asit: ≤ %0.001
Uçucu olmayan madde: ≤ %0.001
Metal iyonları (Ca, Cu, Fe, K, Mg, Na, Pb, Zn): çok düşük seviyelerde (ppm düzeyinde).
Fosfor ve Silisyum: ≤ 0.00001–0.00002 %</t>
  </si>
  <si>
    <t>WGK (su tehlike sınıfı): 1 → düşük çevresel risk.
GHS’ye göre tehlikeli sınıflandırmaya girmez.
Piktogram yok.
Ancak DMSO’nun bilinen özelliği: deriden hızla emilir, bu nedenle biyolojik etkiler taşıyabilir.</t>
  </si>
  <si>
    <t>Soluma: Temiz havaya çıkarın.
Cilt Teması: Bol su ile yıkayın, kirlenmiş giysileri çıkarın.
Göz Teması: Bol su ile yıkayın, kontakt lensleri çıkarın.
Yutma: Su içirin, rahatsızlık devam ederse doktora başvurun.</t>
  </si>
  <si>
    <t>Yanıcı sıvıdır, yüksek sıcaklıkta havayla patlayıcı karışım oluşturabilir.
Söndürücüler: Su spreyi, köpük, CO₂, kuru kimyasal.
Yanma ürünleri: Karbon oksitler, sülfür oksitleri.</t>
  </si>
  <si>
    <t>Döküntüleri sıvı bağlayıcılarla toplayın.
Kanalizasyona karışmasını önleyin.
Alanı iyice temizleyin.</t>
  </si>
  <si>
    <t>Depolama: Oda sıcaklığında (RT), kapalı kaplarda.
Nem çekici (higroskopik) olduğundan kaplar sıkıca kapatılmalı.
Hücre kültürü uygulamalarında steril koşullarda kullanılmalı.</t>
  </si>
  <si>
    <t>Göz/Yüz: Güvenlik gözlüğü.
Eller: Uygun kimyasal dirençli eldiven.
Cilt/Vücut: Laboratuvar önlüğü.
Solunum: Buhar oluşumunda uygun respiratör.</t>
  </si>
  <si>
    <t>Fiziksel hali: Sıvı, berrak.
Kırılma indisi (n20/D): 1.478–1.480
Saflık: ≥ %99.5
Su içeriği: ≤ %0.1
Depolama: RT.</t>
  </si>
  <si>
    <t>Normal koşullarda kararlı.
Güçlü oksitleyicilerle uyumsuz.
Deriden hızla emildiği için biyolojik risk taşıyabilir.</t>
  </si>
  <si>
    <t>Yüksek dozlarda ciltte kızarıklık, yanma, baş ağrısı, baş dönmesi yapabilir.
Hücre kültürü saflığında toksik yan etkiler minimaldir, ancak biyolojik sistemlere taşınabilirliği nedeniyle dikkatli olunmalıdır.</t>
  </si>
  <si>
    <t>Atıklar yerel düzenlemelere uygun şekilde bertaraf edilmeli.
Kanalizasyona karışmamalıdır.
Ambalajlar tekrar kullanılmamalı.</t>
  </si>
  <si>
    <t>DUBECCO'S PBS 1X DIAGNOVUM</t>
  </si>
  <si>
    <t>Araştırma amaçlı kullanılır, diagnostik veya terapötik amaçlarla insan/ hayvan kullanımına uygun değildir.
Hücre kültürü ve biyolojik araştırmalarda tampon çözelti olarak kullanılır.</t>
  </si>
  <si>
    <t>DPBS (1x ve 10x), kalsiyum ve magnezyum içermez, fenol red içermez.
İçerikte sağlık açısından tehlikeli kabul edilen madde yoktur.
REACH kapsamında kayıt gerektirmeyen veya muaf tutulan karışım.</t>
  </si>
  <si>
    <t>EC 1272/2008’e göre tehlikeli madde değildir.
Etiketleme: “Not dangerous” → piktogram yok.
PBT/vPvB bileşen içermez.</t>
  </si>
  <si>
    <t>Soluma: Temiz havaya çıkarın.
Cilt Teması: Bol su ile yıkayın.
Göz Teması: Bol su ile yıkayın, kontakt lensleri çıkarın.
Yutma: Bilinci kapalı kişiye ağızdan hiçbir şey verilmemeli, doktora başvurulmalı.</t>
  </si>
  <si>
    <t>Yanıcılık: Tehlikeli sınıflandırmaya girmez.
Söndürücüler: Kuru kimyasal uygundur.
Özel risk: Bozunma ürünleri bilinmiyor.
Ekipman: İtfaiyeciler için solunum aparatı ve koruyucu giysi önerilir.</t>
  </si>
  <si>
    <t>Buhar/aerosol solumaktan kaçının.
Döküntüleri sıvı bağlayıcılarla toplayın, uygun şekilde bertaraf edin.
Çevresel özel önlem gerekmez.</t>
  </si>
  <si>
    <t>Kullanım: Özel bir elleçleme önlemi gerekmez.
Depolama: +15 °C – +25 °C aralığında, etiketli kaplarda saklanmalı.</t>
  </si>
  <si>
    <t>Göz/Yüz: EN 166 standardına uygun gözlük.
Eller: EN 374 standardına uygun eldiven.
Vücut: Hafif koruyucu giysi.
Solunum: Normalde gerekmez, aerosol oluşursa respiratör kullanılmalı.</t>
  </si>
  <si>
    <t>Fiziksel hali: Renksiz sıvı.
Koku: Kokusuz.
pH: 7.0 – 7.5
Çözünürlük: Suda çözünür.
Diğer kritik veriler: Yanıcılık, parlama noktası, kaynama noktası için veri yok.</t>
  </si>
  <si>
    <t>Normal koşullarda kararlı.
Uyumsuz maddeler: Güçlü oksitleyiciler.
Tehlikeli bozunma ürünleri: Bilgi yok.</t>
  </si>
  <si>
    <t>Akut toksisite, cilt/göz tahrişi, mutajenite, kanserojenite, üreme toksisitesi için veri yok.
IARC tarafından kanserojen olarak sınıflandırılmamış.</t>
  </si>
  <si>
    <t>Atıklar yerel düzenlemelere uygun şekilde bertaraf edilmeli.
Ambalajlar kullanılmamış ürün gibi imha edilmeli.</t>
  </si>
  <si>
    <t>EMSURE® POTASSIUM HYDROXIDE_SUPELCO</t>
  </si>
  <si>
    <t>Analiz reaktifi olarak kullanılır.
Laboratuvarlarda titrasyon, pH ayarlama ve kimyasal sentezlerde yaygın.</t>
  </si>
  <si>
    <t>Kimyasal adı: Potasyum hidroksit (caustic potash)
Formül: KOH
Molekül ağırlığı: 56.11 g/mol
CAS No: 1310-58-3
EC No: 215-181-3
Konsantrasyon: ≤ 100 % (katı peletler)</t>
  </si>
  <si>
    <t>Metaller için korozif (H290)
Akut toksisite, oral (Kategori 4, H302)
Deri korozif (Kategori 1A, H314)
Ciddi göz hasarı (Kategori 1, H318)</t>
  </si>
  <si>
    <t>Soluma: Temiz havaya çıkarın, doktora başvurun.
Cilt Teması: Kirli giysileri çıkarın, bol su ile yıkayın, acil tıbbi yardım alın.
Göz Teması: Bol su ile yıkayın, hemen göz doktoruna gidin.
Yutma: 1–2 bardak su içirin, kusmayı önleyin (perforasyon riski), acil doktora başvurun.</t>
  </si>
  <si>
    <t>Yanıcılık: Yanıcı değildir.
Söndürücüler: Ortama uygun yöntemler.
Özel risk: Yangında potasyum oksit gazları açığa çıkabilir.
Ekipman: Solunum aparatı ve koruyucu giysi.</t>
  </si>
  <si>
    <t>Toz solumaktan kaçının, alanı havalandırın.
Döküntüleri kuru halde toplayın, uygun kaplarda bertaraf edin.
Kanalizasyona karışmasını önleyin.</t>
  </si>
  <si>
    <t>Kullanım: Toz solumaktan kaçının, koruyucu ekipman kullanın.
Depolama: Sıkıca kapalı, kuru ortamda saklanmalı.
Uyarı: Alüminyum, çinko, kalay gibi metallerle temas ettirilmemelidir.
Depolama sınıfı: TRGS 510’a göre 8B (yanıcı olmayan, korozif tehlikeli maddeler)</t>
  </si>
  <si>
    <t>DNEL (işçi, uzun süreli soluma): 1 mg/m³
Göz/Yüz: EN 166 standardına uygun koruyucu gözlük.
Eller: Nitril eldiven (0,11 mm, 480 dk dayanım).
Solunum: Toz oluşumunda P2 filtreli respiratör.
Vücut: Koruyucu giysi.</t>
  </si>
  <si>
    <t>Fiziksel hali: Katı, renksiz, kokusuz.
Erime noktası: 360 °C
Kaynama noktası: 1327 °C
pH: ~13.5 (5,6 g/L, 25 °C)
Yoğunluk: 2,04 g/cm³ (20 °C)
Çözünürlük: Suda tamamen çözünür.
Yanıcılık: Yanıcı değildir.</t>
  </si>
  <si>
    <t>Normal koşullarda kararlı.
Uyumsuz maddeler: Asitler, organik çözücüler, peroksitler, metal tozları, halojenler, indirgen maddeler.
Tehlikeli reaksiyon: Su ile temasında aşındırıcı çözelti oluşturur, hidrojen gazı açığa çıkarabilir.</t>
  </si>
  <si>
    <t>LD₅₀ Oral (rat): 333 mg/kg
Cilt: Yanıklara neden olur.
Göz: Ciddi hasar yapar.
Mutajenite: Ames testi negatif.
Kanserojenite/Üreme toksisitesi: Veri yok.</t>
  </si>
  <si>
    <t>Atıklar yerel düzenlemelere uygun şekilde bertaraf edilmeli.
Kanalizasyona karışmamalıdır.
Nötralizasyon atık su tesislerinde yapılabilir.</t>
  </si>
  <si>
    <t>Ethanol Absolute</t>
  </si>
  <si>
    <t>Gıda, kozmetik, ilaç, deterjan ve laboratuvar kimyasalı olarak kullanılır.
Saf etanol, çözücü ve hammadde olarak yaygın kullanım alanına sahiptir.</t>
  </si>
  <si>
    <t>Kimyasal adı: Ethanol
CAS No: 64-17-5
EC No: 200-578-6
Formül: C₂H₆O
Saflık: %100</t>
  </si>
  <si>
    <t>Flam. Liq. 2 (H225: Highly flammable liquid and vapour)
Eye Irrit. 2 (H319: Causes serious eye irritation)</t>
  </si>
  <si>
    <t>Genel: Hayati fonksiyonları kontrol edin, gerekirse resüsitasyon.
Soluma: Temiz havaya çıkarın, solunum problemi varsa doktora başvurun.
Cilt: Su ile yıkayın, tahriş devam ederse doktora gidin.
Göz: Bol su ile yıkayın, nötralize etmeyin, göz doktoruna başvurun.
Yutma: Ağız suyla çalkalanmalı, kusma teşvik edilmemeli, doktora başvurulmalı.</t>
  </si>
  <si>
    <t>Yanıcılık: Çok kolay alev alır.
Söndürücüler: Su spreyi, alkol dayanıklı köpük, BC tozu, CO₂.
Özel risk: Buhar zeminde yayılır, patlayıcı karışım oluşturur.
Ekipman: Solunum aparatı ve koruyucu giysi.</t>
  </si>
  <si>
    <t>Koruyucu eldiven, gözlük, giysi kullanılmalı.
Buhar yayılımını önlemek için alan havalandırılmalı.
Döküntü inert malzeme (kum, vermikülit vb.) ile absorbe edilmeli.
Kanalizasyona karışması engellenmeli.</t>
  </si>
  <si>
    <t>Kullanım: Statik elektrikten korunmalı, kıvılcım ve ateşten uzak tutulmalı.
Depolama: Serin, kuru, iyi havalandırılmış, yangına dayanıklı depoda saklanmalı.
Uyumsuz maddeler: Oksitleyiciler, asitler, bazlar, metaller, peroksitler, halojenler.</t>
  </si>
  <si>
    <t>Maruziyet limitleri: 1000 ppm (çoğu ülke için TWA).
Göz/Yüz: Koruyucu gözlük.
Eller: Butyl rubber veya chloroprene eldiven.
Solunum: Konsantrasyon limit üstünde ise tip A filtreli maske.
Vücut: Koruyucu giysi.</t>
  </si>
  <si>
    <t>Fiziksel hali: Sıvı, renksiz.
Koku: Alkol kokusu.
Molekül ağırlığı: 46.07 g/mol
pH: 7 (10 g/L, 20 °C)
Erime noktası: -114.5 °C
Kaynama noktası: 78.3 °C
Parlama noktası: 12 °C
Kendi kendine tutuşma: 363 °C
Yoğunluk: 0.79 g/cm³ (20 °C)
Buhar basıncı: 59 hPa (20 °C)
Çözünürlük: Su ve birçok çözücüde tamamen çözünür.
Patlama limitleri: %3.5 – %15 (hava içinde).</t>
  </si>
  <si>
    <t>Normal koşullarda kararlı, higroskopik.
Oksitleyiciler ve bazı asitlerle şiddetli reaksiyon verir.
Yanma sırasında CO ve CO₂ oluşur.</t>
  </si>
  <si>
    <t>LD₅₀ Oral (rat): 7060 mg/kg
Cilt: Tahriş yapmaz, ancak kuruluk oluşturur.
Göz: Ciddi tahriş yapar.
Solunum: Yüksek konsantrasyonda solunum yollarında irritasyon ve merkezi sinir sistemi depresyonu.
Kronik etkiler: Karaciğer, sinir sistemi ve kan dolaşımı üzerinde olumsuz etkiler.</t>
  </si>
  <si>
    <t>Döküntüler inert malzeme ile absorbe edilmeli.
Atıklar yerel düzenlemelere uygun şekilde bertaraf edilmeli.
Kanalizasyona karışması engellenmeli.</t>
  </si>
  <si>
    <t>GLYCEROL CARLO ERBA</t>
  </si>
  <si>
    <t>Laboratuvar kimyasalı olarak kullanılır.
Genel kullanımda özel bir tehlike sınıflandırması yoktur.</t>
  </si>
  <si>
    <t>Kimyasal adı: Glycerol
CAS No: 56-81-5
EC No: 200-289-5
Formül: C₃H₈O₃
Saflık: Tek bileşenli madde</t>
  </si>
  <si>
    <t>GHS’ye göre sınıflandırılmamış.
NFPA: Sağlık = 0, Yangın = 1, Reaktivite = 0.</t>
  </si>
  <si>
    <t>Soluma: Temiz hava sağlayın, şikayet varsa doktora başvurun.
Cilt: Genellikle tahriş etmez.
Göz: Tahriş beklenmez.
Yutma: Semptom devam ederse doktora başvurun.</t>
  </si>
  <si>
    <t>Söndürücüler: CO₂, su spreyi, kuru kimyasal, alkol dayanıklı köpük.
Özel risk: Yanma sırasında CO ve CO₂ oluşabilir.
Ekipman: Patlama gazlarını solumaktan kaçının.</t>
  </si>
  <si>
    <t>Kişisel koruyucu önlem gerekmez.
Çevresel: Su ile seyreltin, kanalizasyona karışmasını önleyin.
Temizlik: Sıvı bağlayıcılarla (kum, diyatomit, talaş vb.) absorbe edin.</t>
  </si>
  <si>
    <t>Kullanım: Özel önlem gerekmez.
Depolama: İyi havalandırılan yerde, kapalı kaplarda saklanmalı.
Yanıcılık: Ürün yanıcı değildir.</t>
  </si>
  <si>
    <t>Limit değerler: PEL 15 mg/m³ (total toz), 5 mg/m³ (respirabl fraksiyon).
Koruyucu ekipman: Normal kimyasal hijyen önlemleri yeterlidir.
Solunum, eldiven, gözlük genellikle gerekli değildir.</t>
  </si>
  <si>
    <t>Fiziksel hali: Sıvı, renksiz, kokusuz, viskoz.
Erime noktası: 18.2 °C
Kaynama noktası: 290 °C
Parlama noktası: 160 °C
Kendi kendine tutuşma: 400 °C
pH: 5–8
Yoğunluk: 1.26 g/cm³ (20 °C)
Viskozite: 1300–1500 mPa·s (20 °C)
Çözünürlük: Suda yüksek çözünürlük (&gt;500 g/L)
Patlama limitleri: Alt %0.9, üst belirlenmemiş.</t>
  </si>
  <si>
    <t>Normal koşullarda kararlı.
Uyumsuz maddeler: Metaller.
Tehlikeli bozunma ürünleri: Aldehitler, CO.</t>
  </si>
  <si>
    <t>LD₅₀ Oral (rat): 27,200 mg/kg
LD₅₀ Dermal (guinea pig): 56,750 mg/kg
LC₀ Inhalasyon (rat): &gt;2.75 mg/L
Cilt ve gözde tahriş yapmaz.
Sensitizasyon yok.
Kanserojen değil (IARC, NTP, OSHA listelerinde yok).</t>
  </si>
  <si>
    <t>Atıklar geri dönüşüm için atık işleyicilere yönlendirilmeli.
Ambalajlar resmi düzenlemelere uygun şekilde bertaraf edilmeli.
Temizlik için su ve gerekirse deterjan kullanılabilir.</t>
  </si>
  <si>
    <t>LB BROTH (LENNOX)</t>
  </si>
  <si>
    <t>Laboratuvar ortamında mikrobiyolojik kültür ortamı olarak kullanılır.
Analiz ve araştırma amaçlıdır.</t>
  </si>
  <si>
    <t>Tryptone: %10 (CAS 9000-71-9)
Yeast Extract: %5 (CAS 8013-01-2)
Sodium Chloride: %5 (CAS 7647-14-5)
Moleküler formül ve ağırlık: Belirtilmemiş.</t>
  </si>
  <si>
    <t>GHS’ye göre tehlikeli sınıflandırmaya girmez.
Potansiyel etkiler: göz, cilt, solunum ve sindirim sisteminde hafif irritasyon yapabilir.
NFPA: Sağlık = 0, Yangın = 0, Reaktivite = 0.</t>
  </si>
  <si>
    <t>Göz: 15 dakika bol su ile yıkayın.
Cilt: Sabun ve suyla yıkayın, kirli giysileri çıkarın.
Soluma: Temiz havaya çıkarın, gerekirse oksijen verin.
Yutma: Ağız suyla çalkalanmalı.</t>
  </si>
  <si>
    <t>Yanıcılık: Yanıcı değildir.
Söndürücüler: Su spreyi, köpük, kuru kimyasal, CO₂.
Özel risk: Yanma sırasında azot oksitler, CO ve CO₂ oluşabilir.</t>
  </si>
  <si>
    <t>Alanı havalandırın.
Koruyucu ekipman kullanın.
Döküntüyü süpürerek kapalı kaba alın.
Büyük döküntülerde kuru kireç veya soda ile kaplayın.</t>
  </si>
  <si>
    <t>Kullanım: Göz, cilt ve giysiyle temastan kaçının.
Depolama: Oda sıcaklığında saklanmalı.</t>
  </si>
  <si>
    <t>Limit değerler: Belirtilmemiş.
Koruyucu ekipman: Laboratuvar önlüğü, güvenlik gözlüğü, kauçuk eldiven.
Solunum: Toz oluşumunda OSHA/MSHA onaylı respiratör.
Ventilasyon: Lokal egzoz veya çeker ocak.</t>
  </si>
  <si>
    <t>Fiziksel hali: Katı, toz.
Renk: Açık kahverengi.
Koku: Azot benzeri koku.
Çözünürlük: Suda çözünür.
Erime/Kaynama noktası: Belirtilmemiş.</t>
  </si>
  <si>
    <t>Normal koşullarda kararlı.
Kaçınılması gereken durumlar: Toz oluşumu, aşırı ısı ve nem.
Uyumsuz maddeler: Güçlü oksitleyiciler ve indirgen maddeler.
Tehlikeli bozunma ürünleri: Azot oksitler, CO, CO₂.</t>
  </si>
  <si>
    <t>LD₅₀/LC₅₀: Belirtilmemiş.
Potansiyel etkiler: göz, cilt, solunum ve sindirim sisteminde irritasyon.
Kanserojen değil (ACGIH, IARC, NTP, OSHA listelerinde yok).</t>
  </si>
  <si>
    <t>Atıklar kimyasal yakma fırınında (incinerator) bertaraf edilmeli.</t>
  </si>
  <si>
    <t>LB BROTH (LENNOX)_CONDALAB</t>
  </si>
  <si>
    <t>Mikrobiyolojik kültür ortamı olarak kullanılır.
Özellikle rekombinant E. coli suşlarının büyütülmesi ve korunması için geliştirilmiştir.
Moleküler biyoloji ve mikrobiyoloji prosedürlerinde yaygın kullanım.</t>
  </si>
  <si>
    <t>Tryptone: 10
Yeast Extract: 5
Sodium Chloride: 5
Agar içermez (LB Agar’ın agar içermeyen formu).</t>
  </si>
  <si>
    <t>GHS’ye göre tehlikeli sınıflandırmaya girmez.
Sağlık açısından bilinen özel risk yoktur.</t>
  </si>
  <si>
    <t>Belirtilmemiş; genel laboratuvar kimyasalı için standart önlemler geçerlidir.
Göz ve cilt temasında bol su ile yıkama önerilir.</t>
  </si>
  <si>
    <t>Yanıcı değildir.
Genel söndürücüler (su spreyi, köpük, CO₂, kuru kimyasal) kullanılabilir.</t>
  </si>
  <si>
    <t>Döküntü inert malzeme ile absorbe edilmeli.
Kapalı kaplarda toplanmalı.
Çevreye karışması önlenmeli.</t>
  </si>
  <si>
    <t>Hazırlama: 20 g/L distile su içinde çözülür, 121 °C’de 15 dakika otoklavlanır.
Depolama: 2–25 °C arasında saklanmalı.
Kullanım: 35±2 °C’de 18–24 saat inkübasyon.</t>
  </si>
  <si>
    <t>Özel limit değer belirtilmemiş.
Genel laboratuvar koruyucu ekipmanları (önlük, gözlük, eldiven) kullanılmalı.</t>
  </si>
  <si>
    <t>Fiziksel hali: İnce toz.
Renk: Bej (dehidrate), hazırlanmış ortam: açık amber.
pH: 7.0 ± 0.2 (25 °C).
Çözünürlük: Suda tamamen çözünür.</t>
  </si>
  <si>
    <t>Normal koşullarda kararlı.
Uyumsuz maddeler: Güçlü oksitleyiciler.</t>
  </si>
  <si>
    <t>Tehlikeli sınıflandırmaya girmez.
Göz ve ciltte hafif irritasyon yapabilir.</t>
  </si>
  <si>
    <t>Atıklar yerel düzenlemelere uygun şekilde bertaraf edilmeli.
Ambalajlar temizlenerek imha edilmeli.</t>
  </si>
  <si>
    <t>LBL AGAR (LENNOX)_BIOSHOP</t>
  </si>
  <si>
    <t>Mikrobiyolojik kültür ortamı olarak kullanılır.
Rekombinant ve genel E. coli suşlarının büyütülmesi ve korunmasında tercih edilir.</t>
  </si>
  <si>
    <t>Tryptone: %10 (CAS 9000-71-9)
Yeast Extract: %5 (CAS 8013-01-2)
Sodium Chloride: %5 (CAS 7647-14-5)
Agar: %15 (CAS 9002-18-0)</t>
  </si>
  <si>
    <t>Atıklar kimyasal yakma fırınında (incinerator) bertaraf edilmeli.
Federal, eyalet ve yerel düzenlemelere uyulmalı.</t>
  </si>
  <si>
    <t>MAGNESIUM CHLORIDE, Hexahydrate_BIOSHOP</t>
  </si>
  <si>
    <t>Laboratuvar kimyasalı olarak kullanılır.
Genel analiz ve deneysel çalışmalarda tercih edilir.</t>
  </si>
  <si>
    <t>Kimyasal adı: Magnesium Chloride Hexahydrate
CAS No: 7791-18-6
Molekül formülü: MgCl₂·6H₂O
Molekül ağırlığı: 203.3 g/mol
Saflık: %100</t>
  </si>
  <si>
    <t>GHS’ye göre tehlikeli sınıflandırmaya girmez.
Potansiyel etkiler: göz ve ciltte hafif irritasyon, soluma ve yutma halinde zararlı olabilir.</t>
  </si>
  <si>
    <t>Göz: Bol su ile yıkayın.
Cilt: Temas halinde bol su ile yıkayın.
Soluma: Temiz havaya çıkarın.
Yutma: Ağız suyla çalkalanmalı.</t>
  </si>
  <si>
    <t>Yanıcılık: Yanıcı değildir.
Söndürücüler: Su spreyi, köpük, kuru kimyasal, CO₂.
Özel risk: Yanma sırasında karbon oksitleri ve magnezyum oksitleri oluşabilir.</t>
  </si>
  <si>
    <t>Alanı havalandırın.
Koruyucu ekipman kullanın.
Döküntüyü süpürerek kapalı kaba alın.</t>
  </si>
  <si>
    <t>Limit değerler: Belirtilmemiş.
Koruyucu ekipman: Gözlük, eldiven, önlük.
Solunum: Toz oluşumunda respiratör kullanılmalı.</t>
  </si>
  <si>
    <t>Fiziksel hali: Katı kristaller.
Renk: Beyaz.
Koku: Kokusuz.
Erime noktası: 117 °C
Yoğunluk: 1.56 g/cm³
Çözünürlük: Suda çözünür.
pH: 7.0 (nötr)</t>
  </si>
  <si>
    <t>Normal koşullarda kararlı.
Kaçınılması gereken durumlar: Toz oluşumu.
Uyumsuz maddeler: Güçlü oksitleyiciler.
Tehlikeli bozunma ürünleri: Karbon oksitleri, magnezyum oksitleri.</t>
  </si>
  <si>
    <t>LD₅₀/LC₅₀: Belirtilmemiş.
Potansiyel etkiler: göz, cilt, solunum ve sindirim sisteminde irritasyon.
Kanserojen değil.</t>
  </si>
  <si>
    <t>Methanol</t>
  </si>
  <si>
    <t>Laboratuvar kimyasalı olarak kullanılır.
Çözücü ve reaktif olarak yaygın kullanım alanına sahiptir.</t>
  </si>
  <si>
    <t>Kimyasal adı: Methanol
CAS No: 67-56-1
EC No: 200-659-6
Formül: CH₄O
Saflık: ≤ %100</t>
  </si>
  <si>
    <t>Flam. Liq. 2 (H225: Highly flammable liquid and vapour)
Acute Tox. 3 (Oral, Dermal, Inhalation) – H301, H311, H331
STOT SE 1 (H370: Causes damage to organs)</t>
  </si>
  <si>
    <t>Genel: Hayati fonksiyonları kontrol edin, gerekirse resüsitasyon.
Soluma: Temiz havaya çıkarın, acil tıbbi yardım alın.
Cilt: Bol su ve sabunla yıkayın, giysileri çıkarın, doktora başvurun.
Göz: Bol su ile yıkayın, gerekirse göz doktoruna gidin.
Yutma: Kusma teşvik edilmemeli, ağız suyla çalkalanmalı, derhal doktora başvurulmalı.</t>
  </si>
  <si>
    <t>Yanıcılık: Çok kolay alev alır.
Söndürücüler: Alkol dayanıklı köpük, su spreyi, BC tozu, CO₂.
Özel risk: Buhar zeminde yayılır, patlayıcı karışım oluşturur.
Ekipman: Gaz geçirmez giysi, solunum aparatı.</t>
  </si>
  <si>
    <t>Alanı boşaltın, havalandırın.
Gaz geçirmez giysi ve koruyucu ekipman kullanın.
Döküntü inert malzeme (kum, vermikülit, soda külü) ile absorbe edilmeli.
Kanalizasyona karışması önlenmeli.</t>
  </si>
  <si>
    <t>Kullanım: Statik elektrikten korunmalı, ateş ve kıvılcımdan uzak tutulmalı.
Depolama: Serin, kuru, iyi havalandırılmış, yangına dayanıklı depoda saklanmalı.
Uyumsuz maddeler: Oksitleyiciler, asitler, bazlar, halojenler, aminler, su/nem.</t>
  </si>
  <si>
    <t>Limit değerler: 200 ppm (TWA, AB ve birçok ülke).
Göz/Yüz: Koruyucu gözlük.
Eller: Kimyasal dirençli eldiven.
Solunum: Tip A filtreli gaz maskesi.
Vücut: Koruyucu giysi.</t>
  </si>
  <si>
    <t>Fiziksel hali: Sıvı, renksiz.
Koku: Alkol benzeri.
Molekül ağırlığı: 32.04 g/mol
Erime noktası: -97.6 °C
Kaynama noktası: 64.7 °C
Parlama noktası: 12 °C
Kendi kendine tutuşma: 464 °C
Yoğunluk: 0.79 g/cm³ (20 °C)
Buhar basıncı: 127 hPa (20 °C)
Çözünürlük: Suda tamamen çözünür.
Patlama limitleri: %6 – %36 (hava içinde).</t>
  </si>
  <si>
    <t>Normal koşullarda kararlı.
Oksitleyiciler ve asitlerle şiddetli reaksiyon verir.
Yanma sırasında CO ve CO₂ oluşur.</t>
  </si>
  <si>
    <t>LD₅₀ Oral (rat): 5628 mg/kg
LD₅₀ Dermal (rabbit): 15,800 mg/kg
LC₅₀ Inhalasyon (rat, 4h): 64,000 ppm
Etkiler: Merkezi sinir sistemi depresyonu, baş ağrısı, baş dönmesi, görme bozukluğu, körlük, ölüm.
Kronik etkiler: Karaciğer, böbrek, sinir sistemi ve kan dolaşımı üzerinde ciddi hasar.</t>
  </si>
  <si>
    <t>N,N,N',N'-Tetramethylethylenediamine</t>
  </si>
  <si>
    <t>Laboratuvar kimyasalı olarak kullanılır.
Organik sentezlerde ve kompleks oluşturma çalışmalarında yaygın olarak tercih edilir.</t>
  </si>
  <si>
    <t>Kimyasal adı: N,N,N’,N’-Tetramethylethylenediamine
CAS No: 110-18-9
Formül: C₆H₁₆N₂
Saflık: Tek bileşenli madde</t>
  </si>
  <si>
    <t>Flam. Liq. 2 (H225: Highly flammable liquid and vapour)
Acute Tox. 4 (H302: Harmful if swallowed)
Skin Corr. 1A (H314: Causes severe skin burns and eye damage)
Acute Tox. 4 (H332: Harmful if inhaled)</t>
  </si>
  <si>
    <t>Soluma: Temiz havaya çıkarın, gerekirse oksijen verin, acil doktora başvurun.
Cilt: Kirli giysileri çıkarın, bol su ve sabunla yıkayın, doktora gidin.
Göz: En az 15 dakika bol su ile yıkayın, göz doktoruna başvurun.
Yutma: Ağız suyla çalkalanmalı, kusma teşvik edilmemeli, derhal doktora veya zehir kontrol merkezine başvurulmalı.</t>
  </si>
  <si>
    <t>Yanıcılık: Çok kolay alev alır.
Söndürücüler: Kuru kimyasal, CO₂, alkol dayanıklı köpük.
Ekipman: Solunum aparatı ve tam koruyucu giysi.</t>
  </si>
  <si>
    <t>Alanı boşaltın, havalandırın.
Kişisel koruyucu ekipman kullanın.
Döküntü inert malzeme ile absorbe edilmeli, kapalı kaplarda bertaraf edilmeli.
Kanalizasyona karışması engellenmeli.</t>
  </si>
  <si>
    <t>Kullanım: İyi havalandırılan ortamda çalışılmalı, kıvılcım ve ateşten uzak tutulmalı.
Depolama: Serin, kuru, iyi havalandırılmış yerde, kapalı kaplarda saklanmalı.
Uyumsuz maddeler: Gıda maddeleri ve uyumsuz kimyasallardan ayrı tutulmalı.</t>
  </si>
  <si>
    <t>Limit değerler: Belirtilmemiş.
Göz/Yüz: EN 166 standardına uygun koruyucu gözlük.
Eller: Kimyasal dirençli eldiven.
Solunum: Limit aşılırsa tam yüz maskeli respiratör.
Vücut: Alev geciktirici ve kimyasal geçirmez giysi.</t>
  </si>
  <si>
    <t>Fiziksel hali: Sıvı
Yoğunluk: 0.775 g/mL (20 °C)
Renk/Koku: Veri yok
Erime/Kaynama noktası: Veri yok
Parlama noktası: Veri yok
Çözünürlük: Veri yok</t>
  </si>
  <si>
    <t>Normal koşullarda kararlı.
Uyumsuz maddeler: Belirtilmemiş.
Tehlikeli bozunma ürünleri: Veri yok.</t>
  </si>
  <si>
    <t>Oral, dermal, inhalasyon: Zararlı (H302, H311, H331).
Cilt/Göz: Şiddetli yanıklara ve göz hasarına yol açar (H314).
Kronik etkiler: Veri yok.</t>
  </si>
  <si>
    <t>Lisanslı kimyasal imha tesisinde bertaraf edilmeli.
Kontrollü yakma (incineration) flue gaz arıtma ile yapılabilir.
Ambalajlar temizlenerek geri dönüşüm veya uygun şekilde imha edilmeli.</t>
  </si>
  <si>
    <t>PBS pH7.4  GIBCO</t>
  </si>
  <si>
    <t>Araştırma amaçlı kullanılır.
İnsan veya hayvanlarda tanı ya da doğrudan uygulama için değildir.</t>
  </si>
  <si>
    <t>Fosfat tamponlu tuz çözeltisi (PBS).
Sağlığa zararlı kabul edilen madde içermez.</t>
  </si>
  <si>
    <t>CLP’ye göre tehlikeli sınıflandırmaya girmez.
Fiziksel, sağlık ve çevresel zararlar: Yok.</t>
  </si>
  <si>
    <t>Cilt: Su ile durulayın.
Göz: Su ile birkaç dakika dikkatlice durulayın, kontakt lens varsa çıkarın.
Soluma: Normal kullanımda risk yoktur, gerekirse doktora danışın.
Yutma: Normal kullanımda risk yoktur, rahatsızlık halinde doktora başvurun.</t>
  </si>
  <si>
    <t>Yanıcılık: Tehlikeli değildir.
Söndürücüler: Su spreyi, CO₂, köpük, kuru kimyasal.
Özel risk: Bilinmiyor.</t>
  </si>
  <si>
    <t>Yeterli havalandırma sağlayın.
Kişisel koruyucu ekipman kullanın.
Döküntü inert emici madde ile toplanmalı.</t>
  </si>
  <si>
    <t>Kullanım: Özel elleçleme tavsiyesi yok, genel laboratuvar hijyen önlemleri yeterli.
Depolama: Kuru, serin ve iyi havalandırılan yerde, etiketli kaplarda saklanmalı.</t>
  </si>
  <si>
    <t>Limit değerler: Yok.
Göz/Yüz: Koruyucu gözlük.
Eller: Kimyasal dirençli eldiven.
Vücut: Koruyucu giysi.
Solunum: Normal kullanımda gerekmez, yetersiz havalandırmada respiratör kullanılmalı.</t>
  </si>
  <si>
    <t>Fiziksel hali: Sıvı.
pH: 7.4
Renk/Koku: Veri yok.
Çözünürlük: Veri yok (su bazlı çözelti).</t>
  </si>
  <si>
    <t>Normal koşullarda kararlı.
Tehlikeli reaksiyon bildirilmemiştir.
Bozunma ürünleri: Veri yok.</t>
  </si>
  <si>
    <t>Akut toksisite yok.
Cilt ve gözde hafif irritasyon yapabilir.
Kanserojenite, mutajenite, üreme toksisitesi: Veri yok.</t>
  </si>
  <si>
    <t>Atık üretimi en aza indirilmeli.
Kaplar kalıntı içerebilir, uygun yöntemlerle imha edilmeli.
Yerel ve ulusal düzenlemelere uygun şekilde bertaraf edilmeli.</t>
  </si>
  <si>
    <t>POTASSIUM CHLORIDE_BIOSHOP</t>
  </si>
  <si>
    <t>Laboratuvar kimyasalı olarak kullanılır.
Analiz ve deneysel çalışmalarda tercih edilir.</t>
  </si>
  <si>
    <t>Kimyasal adı: Potassium Chloride
CAS No: 7447-40-7
Formül: KCl
Molekül ağırlığı: 75.54 g/mol
Saflık: %100</t>
  </si>
  <si>
    <t>GHS’ye göre tehlikeli sınıflandırmaya girmez.
Potansiyel etkiler: göz, cilt, solunum ve sindirim sisteminde hafif irritasyon yapabilir.
NFPA: Sağlık = 1, Yangın = 0, Reaktivite = 0.</t>
  </si>
  <si>
    <t>Göz: 15 dakika bol su ile yıkayın, tıbbi yardım alın.
Cilt: Sabun ve suyla yıkayın, kirli giysileri çıkarın.
Soluma: Temiz havaya çıkarın, gerekirse oksijen verin.
Yutma: Ağız suyla çalkalanmalı.</t>
  </si>
  <si>
    <t>Yanıcılık: Yanıcı değildir.
Söndürücüler: Su spreyi, köpük, kuru kimyasal, CO₂.
Özel risk: Yanma sırasında potasyum oksitler ve klor gazı oluşabilir.</t>
  </si>
  <si>
    <t>Fiziksel hali: Katı kristaller.
Renk: Beyaz.
Koku: Kokusuz.
Erime noktası: 773 °C (1500 °C’de süblimleşir).
Yoğunluk: 1.987 g/cm³
Çözünürlük: Suda çözünür.</t>
  </si>
  <si>
    <t>Normal koşullarda kararlı.
Kaçınılması gereken durumlar: Toz oluşumu, nem, aşırı ısı.
Uyumsuz maddeler: Bromid triflorür.
Tehlikeli bozunma ürünleri: Potasyum oksitler, klor gazı.</t>
  </si>
  <si>
    <t>POTASSIUM PHOSPHATE DIBASIC (ANHYDROUS BIOTECHNOLOGY GRADE) BIOSHOP</t>
  </si>
  <si>
    <t>Laboratuvar kimyasalı olarak kullanılır.
Analiz ve biyoteknoloji uygulamalarında tampon ve besiyeri bileşeni olarak tercih edilir.</t>
  </si>
  <si>
    <t>Kimyasal adı: Potassium Phosphate Dibasic
CAS No: 7758-11-4
Formül: K₂HPO₄
Molekül ağırlığı: 174.175 g/mol
Saflık: %100</t>
  </si>
  <si>
    <t>Göz: Bol su ile yıkayın, tahriş devam ederse doktora başvurun.
Cilt: Su ile yıkayın, tahriş devam ederse doktora gidin.
Soluma: Temiz havaya çıkarın, öksürük veya tahriş devam ederse doktora başvurun.
Yutma: Ağız suyla çalkalanmalı, kusma teşvik edilmemeli, semptom varsa doktora gidilmeli.</t>
  </si>
  <si>
    <t>Yanıcılık: Yanıcı değildir.
Söndürücüler: Su spreyi, köpük, kuru kimyasal, CO₂.
Özel risk: Yanma sırasında fosfor oksitleri oluşabilir.</t>
  </si>
  <si>
    <t>Limit değerler: Belirtilmemiş.
Koruyucu ekipman: Laboratuvar önlüğü, güvenlik gözlüğü, eldiven.
Solunum: Toz oluşumunda respiratör kullanılmalı.
Ventilasyon: Lokal egzoz veya çeker ocak.</t>
  </si>
  <si>
    <t>Fiziksel hali: Katı, beyaz toz.
Koku: Kokusuz.
Erime noktası: 487 °C
Yoğunluk: 2.3 g/cm³
Çözünürlük: Suda çözünür.
pH: 8.8 (1% çözelti)</t>
  </si>
  <si>
    <t>Normal koşullarda kararlı.
Kaçınılması gereken durumlar: Toz oluşumu.
Uyumsuz maddeler: Güçlü oksitleyiciler.
Tehlikeli bozunma ürünleri: Fosfor oksitleri.</t>
  </si>
  <si>
    <t>POTASSIUM PHOSPHATE MONOBASIC_BIOSHOP</t>
  </si>
  <si>
    <t>Laboratuvar kimyasalı olarak kullanılır.
Analizlerde tampon ve besiyeri bileşeni olarak tercih edilir.</t>
  </si>
  <si>
    <t>Kimyasal adı: Potassium Phosphate Monobasic
CAS No: 7778-77-0
Formül: KH₂PO₄
Molekül ağırlığı: 136.1 g/mol
Saflık: %100</t>
  </si>
  <si>
    <t>Fiziksel hali: Katı, beyaz toz.
Koku: Kokusuz.
Çözünürlük: Suda çözünür.
Erime/Kaynama noktası: Belirtilmemiş.</t>
  </si>
  <si>
    <t>SODIUM ACETATE ANHYDROUS_BIOSHOP</t>
  </si>
  <si>
    <t>Laboratuvar kimyasalı olarak kullanılır.
Analizlerde tampon ve reaktif olarak tercih edilir.</t>
  </si>
  <si>
    <t>Kimyasal adı: Sodium Acetate Anhydrous
CAS No: 127-09-3
Formül: C₂H₃O₂Na
Molekül ağırlığı: 82.03 g/mol
Saflık: &gt;%99</t>
  </si>
  <si>
    <t>GHS’ye göre tehlikeli sınıflandırmaya girmez.
Potansiyel etkiler: göz ve ciltte hafif irritasyon, soluma ve yutma halinde zararlı olabilir.
NFPA derecelendirme verilmemiş.</t>
  </si>
  <si>
    <t>Göz: Bol su ile yıkayın, doktora başvurun.
Cilt: Su ile yıkayın, tahriş devam ederse doktora gidin.
Soluma: Temiz havaya çıkarın, tahriş devam ederse doktora başvurun.
Yutma: Ağız suyla çalkalanmalı, semptom varsa doktora gidilmeli.</t>
  </si>
  <si>
    <t>Yanıcılık: Yanıcı değildir.
Söndürücüler: Su spreyi, köpük, kuru kimyasal, CO₂.
Özel risk: Yanma sırasında CO, CO₂ ve azot oksitleri oluşabilir.</t>
  </si>
  <si>
    <t>Alanı havalandırın.
Koruyucu ekipman kullanın.
Döküntüyü süpürerek kapalı kaba alın.
Yerel düzenlemelere uygun şekilde bertaraf edin.</t>
  </si>
  <si>
    <t>Kullanım: Göz, cilt ve giysiyle temastan kaçının.
Depolama: Serin, kuru, iyi havalandırılmış yerde saklanmalı.</t>
  </si>
  <si>
    <t>Limit değerler: Belirtilmemiş.
Koruyucu ekipman: Güvenlik gözlüğü, eldiven, koruyucu giysi.
Ventilasyon: Lokal egzoz veya çeker ocak.
Hijyen: Ürünle çalışmadan önce ve sonra eller yıkanmalı.</t>
  </si>
  <si>
    <t>Fiziksel hali: Katı, beyaz kristal.
Koku: Belirtilmemiş.
Erime noktası: &gt;300 °C
Çözünürlük: Suda çözünür (246 g/L).
pH: 8.5–10 (çözelti).
Yanıcılık: Yanıcı değildir.</t>
  </si>
  <si>
    <t>Normal koşullarda kararlı.
Kaçınılması gereken durumlar: Toz oluşumu.
Uyumsuz maddeler: Güçlü oksitleyiciler.
Tehlikeli bozunma ürünleri: CO, CO₂, azot oksitleri.</t>
  </si>
  <si>
    <t>LD₅₀ Oral (rat): 3500 mg/kg
Potansiyel etkiler: göz, cilt, solunum ve sindirim sisteminde irritasyon.
Kanserojen değil (ACGIH, IARC, NTP, OSHA listelerinde yok).</t>
  </si>
  <si>
    <t>Sodium benzoate</t>
  </si>
  <si>
    <t>Laboratuvar kimyasalı olarak kullanılır.
Gıda ve biyoteknoloji alanında koruyucu madde olarak da bilinir.</t>
  </si>
  <si>
    <t>Kimyasal adı: Sodium Benzoate
CAS No: 532-32-1
Formül: C₇H₅NaO₂
Saflık: Tek bileşenli madde</t>
  </si>
  <si>
    <t>Acute Tox. 4 (H302: Harmful if swallowed)</t>
  </si>
  <si>
    <t>Soluma: Temiz havaya çıkarın, rahatsızlık varsa doktora başvurun.
Cilt: Kirli giysileri çıkarın, bol su ve sabunla yıkayın.
Göz: Bol su ile yıkayın, tahriş devam ederse doktora gidin.
Yutma: Ağız suyla çalkalanmalı, derhal doktora veya zehir kontrol merkezine başvurulmalı.</t>
  </si>
  <si>
    <t>Yanıcılık: Belirtilmemiş, ancak toz halinde hava ile karıştığında patlama riski olabilir.
Söndürücüler: Kuru kimyasal, köpük, su spreyi, CO₂.
Özel risk: Yanma sırasında CO ve CO₂ oluşabilir.</t>
  </si>
  <si>
    <t>Alanı boşaltın, havalandırın.
Koruyucu ekipman kullanın.
Döküntü süpürülerek kapalı kaba alınmalı.
Kanalizasyona karışması engellenmeli.</t>
  </si>
  <si>
    <t>Kullanım: Toz oluşumunu önleyin, cilt ve gözle temastan kaçının.
Depolama: Serin, karanlık ve kapalı kaplarda saklanmalı.
Uyumsuz maddeler: Güçlü oksitleyiciler.</t>
  </si>
  <si>
    <t>Limit değerler: Belirtilmemiş.
Koruyucu ekipman: Güvenlik gözlüğü, eldiven, koruyucu giysi.
Solunum: Toz oluşumunda respiratör kullanılmalı.
Ventilasyon: Lokal egzoz veya çeker ocak.</t>
  </si>
  <si>
    <t>Fiziksel hali: Katı, kristal/toz.
Renk: Beyaz – açık beyaz.
Koku: Kokusuz.
Erime noktası: 450 °C
Çözünürlük: Suda çözünür (63 g/100 ml, 30 °C); alkolde de çözünür.
Log Pow: -2.27</t>
  </si>
  <si>
    <t>Normal koşullarda kararlı.
Toz halinde hava ile karıştığında patlama riski olabilir.
Uyumsuz maddeler: Güçlü oksitleyiciler.
Tehlikeli bozunma ürünleri: CO, CO₂.</t>
  </si>
  <si>
    <t>H302: Yutulması halinde zararlı.
Belirtiler: öksürük, bulantı, kusma, karın ağrısı, ciltte kızarıklık ve döküntü.
Kanserojenite, mutajenite, üreme toksisitesi: Veri yok.</t>
  </si>
  <si>
    <t>Atıklar uygun şekilde geri dönüştürülmeli veya kimyasal yakma fırınında bertaraf edilmeli.
Yerel ve ulusal düzenlemelere uyulmalı.</t>
  </si>
  <si>
    <t>Sodium dodecyl sulfate</t>
  </si>
  <si>
    <t>Laboratuvar kimyasalı olarak kullanılır.
Protein elektroforezi (PAGE), deterjan ve biyokimyasal araştırmalarda yaygın olarak tercih edilir</t>
  </si>
  <si>
    <t>Kimyasal adı: Sodium Dodecyl Sulfate (SDS)
CAS No: 151-21-3
Formül: C₁₂H₂₅O₄NaS
Saflık: Tek bileşenli madde</t>
  </si>
  <si>
    <t>Flammable solid
Acute Tox. 4 (Oral) – H302: Harmful if swallowed
Skin Irrit. 2 – H315: Causes skin irritation
Eye Irrit. 2A – H319: Causes serious eye irritation
STOT SE 3 – H335: May cause respiratory irritation
STOT RE 2 – H373: May cause damage to kidneys through prolonged/repeated exposure
Aquatic Acute 2 – H401: Toxic to aquatic life</t>
  </si>
  <si>
    <t>Soluma: Temiz havaya çıkarın, rahatsızlık varsa doktora başvurun.
Cilt: Bol su ve sabunla yıkayın, tahriş devam ederse doktora gidin.
Göz: Bol su ile yıkayın, kontakt lens varsa çıkarın, tahriş devam ederse doktora gidin.
Yutma: Ağız suyla çalkalanmalı, derhal doktora veya zehir kontrol merkezine başvurulmalı.
Belirtiler: Öksürük, nefes darlığı, baş ağrısı, bulantı, kusma, ishal, gözde kornea hasarı.</t>
  </si>
  <si>
    <t>Yanıcılık: Yanıcı katı.
Söndürücüler: Kuru kimyasal, köpük, su spreyi, CO₂.
Özel risk: Yanma sırasında zehirli gazlar (CO, CO₂, SOₓ) oluşabilir.</t>
  </si>
  <si>
    <t>Alanı boşaltın, havalandırın.
P3 filtreli respiratör ve tam koruyucu ekipman kullanın.
Döküntü süpürülerek kapalı kaba alınmalı.
Kanalizasyona karışması engellenmeli.</t>
  </si>
  <si>
    <t>Kullanım: İyi havalandırılan ortamda çalışılmalı, toz oluşumu engellenmeli.
Depolama: Serin, karanlık, inert gaz altında, nemden korunarak saklanmalı.
Uyumsuz maddeler: Güçlü oksitleyiciler.</t>
  </si>
  <si>
    <t>Solunum: Toz respiratörü veya SCBA.
Göz/Yüz: Koruyucu gözlük, gerekirse yüz siperi.
Eller: Kimyasal dirençli eldiven.
Vücut: Kimyasal geçirmez giysi ve bot.
Ventilasyon: Lokal egzoz veya kapalı sistem.</t>
  </si>
  <si>
    <t>Fiziksel hali: Katı, beyaz kristal/toz.
Koku: Karakteristik.
Erime noktası: 207 °C
Oto-tutuşma sıcaklığı: 248 °C
Buhar basıncı: 6 × 10⁻¹¹ Pa (25 °C)
Çözünürlük: Suda çözünür (10 g/100 mL).
Log Pow: 1.60</t>
  </si>
  <si>
    <t>Normal koşullarda kararlı.
Uyumsuz maddeler: Güçlü oksitleyiciler.
Tehlikeli bozunma ürünleri: CO, CO₂, Soₓ</t>
  </si>
  <si>
    <t>LD₅₀ Oral (rat): 1288 mg/kg
LD₅₀ Dermal (rabbit): 10 g/kg
LC₅₀ Inhalasyon (rat, 1h): &gt;3900 mg/m³
Etkiler: Cilt ve gözde orta derecede tahriş, solunum yollarında irritasyon, uzun süreli maruziyette böbrek hasarı.</t>
  </si>
  <si>
    <t>SODIUM PHOSPHATE DIBASIC (ANHYDROUS BIOTECHNOLOGY GRADE)_BIOSHOP</t>
  </si>
  <si>
    <t>Laboratuvar kimyasalı olarak kullanılır.
Tampon çözeltiler ve biyoteknoloji uygulamalarında tercih edilir.</t>
  </si>
  <si>
    <t>Kimyasal adı: Sodium Phosphate Dibasic
CAS No: 7558-79-4
Formül: Na₂HPO₄
Molekül ağırlığı: 142.0 g/mol
Saflık: %100</t>
  </si>
  <si>
    <t>Yanıcılık: Yanıcı değildir.
Söndürücüler: Su spreyi, köpük, kuru kimyasal, CO₂.
Özel risk: Yanma sırasında sodyum oksitler oluşabilir.</t>
  </si>
  <si>
    <t>Limit değerler: Belirtilmemiş.
Koruyucu ekipman: Laboratuvar önlüğü, güvenlik gözlüğü, eldiven.
Solunum: Toz oluşumunda respiratör kullanılmalı.
Ventilasyon: Lokal egzoz veya çeker ocak</t>
  </si>
  <si>
    <t>Fiziksel hali: Katı, beyaz, kokusuz.
Erime noktası: 118 °F (~48 °C)
Yoğunluk: 1.67 g/cm³
Çözünürlük: Suda çözünür.
pH: 8.7–9.3 (çözelti)</t>
  </si>
  <si>
    <t>Normal koşullarda kararlı.
Kaçınılması gereken durumlar: Toz oluşumu.
Uyumsuz maddeler: Güçlü oksitleyiciler.
Tehlikeli bozunma ürünleri: Sodyum oksitler.</t>
  </si>
  <si>
    <t>LD₅₀ Oral (rat): 17 g/kg
Cilt/Göz: Hafif irritasyon (Draize test).
Kanserojen değil (ACGIH, IARC, NTP, OSHA listelerinde yok).</t>
  </si>
  <si>
    <t>SODIUM SULFATE (ANHYDROUS ACS GRADE)BIOSHOP</t>
  </si>
  <si>
    <t>Laboratuvar kimyasalı olarak kullanılır.
Çözelti hazırlama, tampon sistemleri ve genel analizlerde tercih edilir.</t>
  </si>
  <si>
    <t>Kimyasal adı: Sodium Sulfate
CAS No: 7757-82-6
EC No: 231-820-9
Formül: Na₂SO₄
Molekül ağırlığı: 142.04 g/mol
Saflık: %100</t>
  </si>
  <si>
    <t>Yanıcılık: Yanıcı değildir.
Söndürücüler: Su spreyi, köpük, kuru kimyasal, CO₂.
Özel risk: Yanma sırasında CO, CO₂ ve sodyum oksitleri oluşabilir.</t>
  </si>
  <si>
    <t>Fiziksel hali: Katı, beyaz toz.
Koku: Belirtilmemiş.
Erime noktası: 884 °C
Çözünürlük: Suda çözünür (185 g/L).
pH: 5–8 (50 mg/mL çözelti).
Yanıcılık: Yanıcı değildir.</t>
  </si>
  <si>
    <t>Normal koşullarda kararlı.
Kaçınılması gereken durumlar: Toz oluşumu.
Uyumsuz maddeler: Güçlü oksitleyiciler.
Tehlikeli bozunma ürünleri: CO, CO₂, sodyum oksitleri.</t>
  </si>
  <si>
    <t>LD₅₀ Oral (mouse): 5990 mg/kg
Potansiyel etkiler: göz, cilt, solunum ve sindirim sisteminde irritasyon.
Kanserojen değil (ACGIH, IARC, NTP, OSHA listelerinde yok).</t>
  </si>
  <si>
    <t>TRITON X-100 (BIOTECHNOLOGY GRADE) BIOSHOP</t>
  </si>
  <si>
    <t>Laboratuvar kimyasalı olarak kullanılır.
Hücre zarlarını çözmek, protein izolasyonu ve biyoteknoloji uygulamalarında deterjan olarak tercih edilir.</t>
  </si>
  <si>
    <t>Kimyasal adı: Polyethylene glycol tert-octylphenyl ether (Octoxynol X-100)
CAS No: 9002-93-1
Formül: C₁₄H₂₂O·(C₂H₄O)ₙ
Molekül ağırlığı: ~647 (ortalama)
Saflık: %100</t>
  </si>
  <si>
    <t>Acute Tox. 4 (Oral) – H302: Harmful if swallowed
Skin Irrit. 2 – H315: Causes skin irritation
Eye Irrit. 2 – H319: Causes serious eye irritation</t>
  </si>
  <si>
    <t>Soluma: Temiz havaya çıkarın, nefes darlığı varsa oksijen verin, doktora başvurun.
Cilt: Bol su ile yıkayın, tahriş devam ederse doktora gidin.
Göz: Bol su ile yıkayın, kontakt lens varsa çıkarın, tahriş devam ederse doktora gidin.
Yutma: Ağız suyla çalkalanmalı, kusma teşvik edilmemeli, rahatsızlık halinde doktora gidilmeli.</t>
  </si>
  <si>
    <t>Yanıcılık: Yanıcı değildir.
Söndürücüler: Su spreyi, köpük, kuru kimyasal, CO₂.
Özel risk: Yanma sırasında CO ve CO₂ oluşabilir.</t>
  </si>
  <si>
    <t>Limit değerler: Belirtilmemiş.
Koruyucu ekipman: Güvenlik gözlüğü, eldiven, koruyucu giysi.
Solunum: Toz veya aerosol oluşumunda respiratör kullanılmalı.
Ventilasyon: Lokal egzoz veya çeker ocak.</t>
  </si>
  <si>
    <t>Fiziksel hali: Viskoz sıvı.
Koku: Yok.
Kaynama noktası: ~270 °C
Parlama noktası: 113 °C (kapalı kap)
Çözünürlük: Suda çözünür.
pH: 6–8</t>
  </si>
  <si>
    <t>Normal koşullarda kararlı.
Uyumsuz maddeler: Güçlü oksitleyiciler ve indirgen maddeler.
Tehlikeli bozunma ürünleri: CO, CO₂.</t>
  </si>
  <si>
    <t>LD₅₀ Oral (rat): 1800 mg/kg
Göz: Orta derecede irritan (Draize testi).
Cilt: Tahriş edici.
Kanserojen değil (ACGIH, IARC, NTP, OSHA listelerinde yok).</t>
  </si>
  <si>
    <t>2-Mercaptoethanol_SigmaAldrich</t>
  </si>
  <si>
    <t>Laboratuvar kimyasalı olarak kullanılır.
Protein çalışmaları, indirgeme ajanı ve biyokimyasal araştırmalarda tercih edilir.</t>
  </si>
  <si>
    <t>Kimyasal adı: 2-Mercaptoethanol (Thioethylene glycol)
CAS No: 60-24-2
EC No: 200-464-6
Formül: C₂H₆OS
Molekül ağırlığı: 78.13 g/mol
Saflık: ≥90–100%</t>
  </si>
  <si>
    <t>Acute Tox. 3 (Oral, Inhalation) – H301, H331: Toksik
Acute Tox. 2 (Dermal) – H310: Cilt ile teması halinde öldürücü
Skin Irrit. 2 – H315: Cilt tahrişine yol açar
Eye Dam. 1 – H318: Ciddi göz hasarı
Skin Sens. 1A – H317: Alerjik cilt reaksiyonları
Repr. Tox. 2 – H361d: Doğmamış çocukta hasara yol açma şüphesi
STOT RE 2 – H373: Uzun süreli maruz kalmada karaciğer ve kalpte hasar
Aquatic Acute 1 – H400: Sucul ortamda çok toksik
Aquatic Chronic 2 – H411: Uzun süreli sucul toksisite</t>
  </si>
  <si>
    <t>Soluma: Temiz havaya çıkarın, hemen doktora başvurun.
Cilt: Kirli giysileri çıkarın, bol su ile yıkayın, acil tıbbi yardım alın.
Göz: Bol su ile yıkayın, kontakt lensleri çıkarın, göz uzmanına başvurun.
Yutma: Ağız suyla çalkalanmalı, derhal doktora veya zehir kontrol merkezine başvurulmalı.</t>
  </si>
  <si>
    <t>Yanıcılık: Yanıcı sıvı.
Söndürücüler: Su spreyi, köpük, CO₂, kuru kimyasal.
Özel risk: Buharları zeminde yoğunlaşır, patlayıcı karışım oluşturur. Yanma sırasında CO ve SOₓ oluşur.</t>
  </si>
  <si>
    <t>Alanı boşaltın, havalandırın.
Buhar ve aerosolden kaçının.
Döküntü absorban malzeme ile toplanmalı, uygun şekilde bertaraf edilmeli.
Kanalizasyona karışması engellenmeli.</t>
  </si>
  <si>
    <t>Kullanım: Çeker ocak altında çalışılmalı, buhar solunmamalı.
Depolama: 2–8 °C’de, kilitli ve iyi havalandırılmış yerde saklanmalı.
Uyumsuz maddeler: Kuvvetli oksitleyiciler, asitler.</t>
  </si>
  <si>
    <t>Soluma: 0.17 mg/m³
Dermal: 0.05 mg/kg
Koruyucu ekipman:
Göz/Yüz: Tam oturan güvenlik gözlüğü
Eller: Bütil kauçuk (480 dk) veya nitril kauçuk (120 dk) eldiven
Solunum: B-P3 filtreli respiratör
Vücut: Kimyasal geçirmez giysi</t>
  </si>
  <si>
    <t>Fiziksel hali: Sıvı, renksiz
Koku: Karakteristik, keskin (merkaptan kokusu)
Erime noktası: &lt; -50 °C
Kaynama noktası: 157 °C
Parlama noktası: 74 °C
Yoğunluk: 1.114 g/cm³ (25 °C)
Çözünürlük: Suda çözünür
Log Pow: -0.056 (biyobirikim beklenmez)
Oto-tutuşma sıcaklığı: 295 °C</t>
  </si>
  <si>
    <t>Normal koşullarda kararlı.
Kaçınılması gereken durumlar: Güçlü ısıtma.
Uyumsuz maddeler: Oksitleyiciler, asitler.
Tehlikeli bozunma ürünleri: CO, SOₓ.</t>
  </si>
  <si>
    <t>LD₅₀ Oral (fare): 190 mg/kg
LC₅₀ Inhalasyon (rat, 4h): 2.05 mg/L
LD₅₀ Dermal (tavşan): 112–224 mg/kg
Etkiler: Şiddetli cilt ve göz tahrişi, alerjik reaksiyon, solunum darlığı, karaciğer ve kalp hasarı, üreme toksisitesi.</t>
  </si>
  <si>
    <t>Atıklar orijinal kaplarında, diğer atıklarla karıştırılmadan bertaraf edilmeli.
Kimyasal yakma fırınında (incinerator) uygun gaz arıtma sistemleri ile imha edilmeli.</t>
  </si>
  <si>
    <t>Acetic acid_sigma-aldrich</t>
  </si>
  <si>
    <t>Laboratuvar kimyasalı olarak kullanılır.
Organik sentez, tampon çözeltiler ve endüstriyel üretim süreçlerinde tercih edilir.</t>
  </si>
  <si>
    <t>Kimyasal adı: Acetic Acid (Glacial)
CAS No: 64-19-7
EC No: 200-580-7
Formül: C₂H₄O₂
Molekül ağırlığı: 60.05 g/mol
Saflık: ≤100%</t>
  </si>
  <si>
    <t>Flam. Liq. 3 – H226: Yanıcı sıvı ve buhar
Skin Corr. 1A – H314: Şiddetli cilt yanıkları ve göz hasarı
Eye Dam. 1 – H318: Ciddi göz hasarı</t>
  </si>
  <si>
    <t>Soluma: Temiz havaya çıkarın, doktora başvurun.
Cilt: Kirli giysileri çıkarın, bol su ile yıkayın, acil tıbbi yardım alın.
Göz: Bol su ile yıkayın, kontakt lensleri çıkarın, göz uzmanına başvurun.
Yutma: Su içirin (en fazla 2 bardak), kusma teşvik edilmemeli, derhal doktora başvurun.</t>
  </si>
  <si>
    <t>Yanıcılık: Yanıcı sıvı.
Söndürücüler: Su spreyi, köpük, CO₂, kuru kimyasal.
Özel risk: Buharları zeminde yoğunlaşır, patlayıcı karışım oluşturur. Yanma sırasında CO oluşur.</t>
  </si>
  <si>
    <t>Kullanım: Açık alev ve kıvılcımdan uzak tutulmalı, çeker ocak altında çalışılmalı.
Depolama: Sıkıca kapalı kaplarda, serin ve iyi havalandırılmış yerde saklanmalı.
Saklama sınıfı: TRGS 510 – 3 (Yanıcı sıvılar).</t>
  </si>
  <si>
    <t>Göz/Yüz: Tam oturan güvenlik gözlüğü
Eller: Bütil kauçuk (480 dk) veya lateks (30 dk) eldiven
Solunum: E-P2 filtreli respiratör
Vücut: Alev geciktirici, antistatik koruyucu giysi</t>
  </si>
  <si>
    <t>Fiziksel hali: Sıvı, renksiz
Koku: Keskin, yakıcı
Erime noktası: 16.2 °C
Kaynama noktası: 117–118 °C
Parlama noktası: 39 °C (kapalı kap)
Oto-tutuşma sıcaklığı: 463 °C
Yoğunluk: 1.049 g/cm³ (25 °C)
Çözünürlük: Suda tamamen çözünür (602.9 g/L, 25 °C)
pH: 2.5 (50 g/L çözelti)</t>
  </si>
  <si>
    <t>Normal koşullarda kararlı.
Uyumsuz maddeler: Kuvvetli oksitleyiciler, peroksitler, kuvvetli bazlar, metaller (Zn, Fe).
Tehlikeli bozunma ürünleri: CO, yanıcı gazlar.</t>
  </si>
  <si>
    <t>LD₅₀ Oral (rat): 3310 mg/kg
LC₅₀ Inhalasyon (mouse, 4h): 2819 mg/L
Etkiler: Şiddetli cilt ve göz yanıkları, solunum yollarında tahriş, sindirim sisteminde perforasyon riski.</t>
  </si>
  <si>
    <t>Atıklar uygun şekilde bertaraf edilmeli.
Kimyasal yakma fırınında (incinerator) uygun gaz arıtma sistemleri ile imha edilmeli.</t>
  </si>
  <si>
    <t>Laboratuvar kimyasalı, çözücü ve temizlik maddesi olarak kullanılır.
Kimyasal hammaddelerde yaygın kullanım alanına sahiptir.</t>
  </si>
  <si>
    <t>Kimyasal adı: Acetone
CAS No: 67-64-1
EC No: 200-662-2
Formül: C₃H₆O
Molekül ağırlığı: 58.08 g/mol
Saflık: %100</t>
  </si>
  <si>
    <t>Yanıcı Sıvı 2 – H225: Son derece yanıcı sıvı ve buhar. Göz Tahrişi 2 – H319: Ciddi göz tahrişine neden olur. STOT SE 3 – H336: Uyuşukluğa veya baş dönmesine neden olabilir.</t>
  </si>
  <si>
    <t>Soluma: Temiz havaya çıkarın, solunum zorluğu varsa doktora başvurun.
Cilt: Bol su ve sabunla yıkayın, tahriş devam ederse doktora gidin.
Göz: Bol su ile yıkayın, kontakt lensleri çıkarın, göz uzmanına başvurun.
Yutma: Ağız suyla çalkalanmalı, su içirilmeli, kusma teşvik edilmemeli, derhal doktora gidilmeli.</t>
  </si>
  <si>
    <t>Yanıcılık: Çok kolay alev alır.
Söndürücüler: Alkol dayanıklı köpük, su spreyi, BC tozu, CO₂.
Özel risk: Buhar zeminde yayılır, patlayıcı karışım oluşturur. Yanma sırasında toksik gazlar açığa çıkabilir.</t>
  </si>
  <si>
    <t>Alanı boşaltın, havalandırın.
Kişisel koruyucu ekipman kullanın.
Döküntü inert malzeme (kum, vermikülit) ile absorbe edilmeli.
Kanalizasyona karışması önlenmeli.</t>
  </si>
  <si>
    <t>Kullanım: Statik elektrikten korunmalı, ateş ve kıvılcımdan uzak tutulmalı.
Depolama: Serin, kuru, iyi havalandırılmış, yangına dayanıklı depoda saklanmalı.
Uyumsuz maddeler: Oksitleyiciler, asitler, bazlar, halojenler, aminler.</t>
  </si>
  <si>
    <t>Limit değerler (EU): TWA 1210 mg/m³ (500 ppm)
Göz/Yüz: Koruyucu gözlük.
Eller: Kimyasal dirençli eldiven (butyl rubber önerilir).
Solunum: Tip A filtreli gaz maskesi.
Vücut: Koruyucu giysi.</t>
  </si>
  <si>
    <t>Fiziksel hali: Sıvı, renksiz, şeffaf.
Koku: Aromatik, keskin.
Erime noktası: -95 °C
Kaynama noktası: 56 °C
Parlama noktası: -20 °C
Oto-tutuşma sıcaklığı: 465 °C
Yoğunluk: 0.79 g/cm³ (20 °C)
Çözünürlük: Suda tamamen çözünür.
Patlama limitleri: %2.6 – %12.8 (hava içinde).</t>
  </si>
  <si>
    <t>Normal koşullarda kararlı.
Oksitleyicilerle şiddetli reaksiyon verir.
Yanma sırasında CO ve CO₂ oluşur.</t>
  </si>
  <si>
    <t>LD₅₀ Oral (rat): ~5800 mg/kg
LC₅₀ Inhalasyon (mouse, 4h): 2819 mg/L
Etkiler: Baş dönmesi, uyku hali, solunum irritasyonu, cilt kuruluğu, göz tahrişi.</t>
  </si>
  <si>
    <t>AGAROSE LE_GENAXXON BIO SCIENCE(THERMOFISHERSCIENTIFIC)</t>
  </si>
  <si>
    <t>Laboratuvar kimyasalı olarak kullanılır.
Jel elektroforezi ve biyomoleküler ayırma çalışmalarında tercih edilir.
Gıda, ilaç veya biyosidal ürünlerde kullanımı önerilmez.</t>
  </si>
  <si>
    <t>Kimyasal adı: Agarose
CAS No: 9012-36-6
Formül: C₁₂H₁₈O₉
Molekül ağırlığı: 306.12 g/mol
Saflık: %100</t>
  </si>
  <si>
    <t>OSHA 2024 standardına göre tehlikeli sınıflandırmaya girmez.
NFPA: Sağlık = 0, Yangın = 0, Reaktivite = 0.</t>
  </si>
  <si>
    <t>Soluma: Temiz havaya çıkarın, gerekirse tıbbi yardım alın.
Cilt: Bol su ile yıkayın, tahriş devam ederse doktora gidin.
Göz: Bol su ile yıkayın, tahriş devam ederse göz doktoruna başvurun.
Yutma: Kusma teşvik edilmemeli, derhal doktora başvurulmalı.</t>
  </si>
  <si>
    <t>Yanıcılık: Belirtilmemiş, normal koşullarda yanıcı değildir.
Söndürücüler: Su spreyi, CO₂, kuru kimyasal, köpük.
Özel risk: Yanma sırasında CO ve CO₂ oluşabilir.</t>
  </si>
  <si>
    <t>Alanı havalandırın.
Toz oluşumunu engelleyin.
Döküntü süpürülerek kapalı kaba alınmalı.
Kanalizasyona karışması engellenmeli.</t>
  </si>
  <si>
    <t>Kullanım: Toz oluşumundan kaçının, cilt ve gözle temastan uzak durun.
Depolama: Serin, kuru, iyi havalandırılmış yerde saklanmalı.
Uyumsuz maddeler: Asitler ve güçlü oksitleyiciler.</t>
  </si>
  <si>
    <t>Limit değerler: Belirtilmemiş.
Koruyucu ekipman: Güvenlik gözlüğü, eldiven, koruyucu giysi.
Solunum: Normal kullanımda gerekmez, toz oluşumunda partikül filtresi kullanılmalı.
Hijyen: İyi laboratuvar uygulamaları ile çalışılmalı.</t>
  </si>
  <si>
    <t>Fiziksel hali: Katı, toz.
Renk: Açık krem.
Koku: Kokusuz.
Çözünürlük: Sıcak suda çözünür.
Yoğunluk: Veri yok.
Parlama noktası / Oto-tutuşma: Veri yok.</t>
  </si>
  <si>
    <t>Normal koşullarda kararlı.
Kaçınılması gereken durumlar: Toz oluşumu.
Uyumsuz maddeler: Asitler, güçlü oksitleyiciler.
Tehlikeli bozunma ürünleri: CO, CO₂.</t>
  </si>
  <si>
    <t>Göz, cilt ve solunum yollarında belirgin toksik etki raporlanmamış.
Kanserojen değil (IARC, NTP, OSHA listelerinde yok).
Endokrin bozucu özellik taşımıyor.</t>
  </si>
  <si>
    <t>Atıklar yerel düzenlemelere uygun şekilde bertaraf edilmeli.
Kimyasal atık yönetimi prosedürlerine uyulmalı.</t>
  </si>
  <si>
    <t>AMMONIUM CHLORIDE_BIOSHOP</t>
  </si>
  <si>
    <t>Laboratuvar kimyasalı olarak kullanılır.
Çözelti hazırlama, tampon sistemleri ve çeşitli biyokimyasal uygulamalarda tercih edilir.</t>
  </si>
  <si>
    <t>Kimyasal adı: Ammonium Chloride
CAS No: 12125-02-9
EC No: 235-186-4
Formül: NH₄Cl
Molekül ağırlığı: 53.49 g/mol
Saflık: %100</t>
  </si>
  <si>
    <t>Akut Toks. 4 – H302: Yutulması halinde zararlı. Göz Tahrişi 2A – H319: Ciddi göz tahrişine neden olur.</t>
  </si>
  <si>
    <t>Soluma: Temiz havaya çıkarın, gerekirse oksijen verin, doktora başvurun.
Cilt: Bol su ile yıkayın, tahriş devam ederse doktora gidin.
Göz: Bol su ile yıkayın, kontakt lensleri çıkarın, göz uzmanına başvurun.
Yutma: Ağız suyla çalkalanmalı, kusma teşvik edilmemeli, doktora gidilmeli.</t>
  </si>
  <si>
    <t>Yanıcılık: Yanıcı değildir.
Söndürücüler: Su spreyi, köpük, kuru kimyasal, CO₂.
Özel risk: Yüksek sıcaklıkta toksik gazlar oluşabilir.</t>
  </si>
  <si>
    <t>Alanı havalandırın.
Koruyucu ekipman kullanın.
Döküntü süpürülerek kapalı kaba alınmalı.
Yerel düzenlemelere uygun şekilde bertaraf edilmeli.</t>
  </si>
  <si>
    <t>ACGIH TWA: 10 mg/m³ (fume)
NIOSH TWA: 10 mg/m³ (fume)
Koruyucu ekipman: Güvenlik gözlüğü, eldiven, koruyucu giysi.
Solunum: Toz oluşumunda respiratör kullanılmalı.
Ventilasyon: Lokal egzoz veya çeker ocak.</t>
  </si>
  <si>
    <t>Fiziksel hali: Katı, beyaz toz.
Erime noktası: 328 °C
Çözünürlük: Suda çözünür (10–50 g/100 ml).
pH: 4.5–5.5 (50 g/L çözelti).
Yanıcılık: Yanıcı değildir.</t>
  </si>
  <si>
    <t>Normal koşullarda kararlı.
Uyumsuz maddeler: Alkali hidroksitler, asitler, güçlü oksitleyiciler, ağır metal tuzları.
Tehlikeli bozunma ürünleri: Belirtilmemiş.</t>
  </si>
  <si>
    <t>LD₅₀ Oral (rat): 1650 mg/kg
Etkiler: Gözde ciddi tahriş, yutulduğunda zararlı.
Kanserojen değil (ACGIH, IARC, NTP, OSHA listelerinde yok).</t>
  </si>
  <si>
    <t>AMMONIUM PERSULFATE_MACKLIN(SIGMA-ALDRICH)</t>
  </si>
  <si>
    <t>Laboratuvar kimyasalı olarak kullanılır.
Polimerizasyon başlatıcısı, oksidant ve çeşitli endüstriyel uygulamalarda tercih edilir.</t>
  </si>
  <si>
    <t>Kimyasal adı: Ammonium Peroxodisulphate (Ammonium Persulfate)
CAS No: 7727-54-0
EC No: 231-786-5
Formül: (NH₄)₂S₂O₈
Molekül ağırlığı: 228.2 g/mol
Saflık: ≥90–100%</t>
  </si>
  <si>
    <t>Oksidatif Solüsyon 3 – H272: Yangını şiddetlendirebilir; oksitleyici. Akut Toksiklik 4 – H302: Yutulması halinde zararlı. Cilt Tahrişi 2 – H315: Ciltte tahrişe neden olur. Göz Tahrişi 2 – H319: Ciddi göz tahrişine neden olur. Cilt Hassasiyeti 1 – H317: Alerjik cilt reaksiyonuna neden olabilir. Solunum Hassasiyeti 1 – H334: Solunması halinde alerji veya astım semptomlarına neden olabilir. STOT SE 3 – H335: Solunum yolu tahrişine neden olabilir.</t>
  </si>
  <si>
    <t>Soluma: Temiz havaya çıkarın, doktora başvurun.
Cilt: Kirli giysileri çıkarın, bol su ile yıkayın.
Göz: Bol su ile yıkayın, kontakt lensleri çıkarın, göz uzmanına başvurun.
Yutma: Su içirin (en fazla 2 bardak), derhal doktora gidin.</t>
  </si>
  <si>
    <t>Yanıcılık: Yanıcı değildir, ancak oksitleyici etkisiyle yangını şiddetlendirebilir.
Söndürücüler: Ortama uygun söndürücüler (su spreyi, köpük, CO₂, kuru kimyasal).
Özel risk: Oksijen açığa çıkararak yangını artırır. Yanma sırasında NOₓ ve SOₓ oluşabilir.</t>
  </si>
  <si>
    <t>Alanı havalandırın, toz oluşumunu engelleyin.
Koruyucu ekipman kullanın.
Döküntü dikkatlice toplanmalı, kapalı kaplarda bertaraf edilmeli.
Kanalizasyona karışması engellenmeli.</t>
  </si>
  <si>
    <t>Kullanım: Çeker ocak altında çalışılmalı, toz solunmamalı.
Depolama: Nemden korunmalı, sıkıca kapalı kaplarda, yanıcı maddelerden uzak tutulmalı.
Saklama sınıfı: TRGS 510 – 5.1B (Oksitleyici tehlikeli maddeler).</t>
  </si>
  <si>
    <t>Göz/Yüz: Güvenlik gözlüğü
Eller: Nitril eldiven (480 dk dayanım)
Solunum: Toz oluşumunda P2 filtreli respiratör
Vücut: Koruyucu giysi
Hijyen: Kirli giysiler hemen değiştirilmelidir.</t>
  </si>
  <si>
    <t>Fiziksel hali: Katı, beyaz toz
Yoğunluk: 1.98 g/cm³
Çözünürlük: Suda tamamen çözünür (228 g/L, 20 °C)
pH: 1.0–2.0 (228 g/L çözelti)
Parlama noktası: Yok (yanıcı değil)
Oksitleyici özellik: Kategori 3</t>
  </si>
  <si>
    <t>Normal koşullarda kararlı.
Nemli ortamda bozunabilir.
Uyumsuz maddeler: Yanıcı ve organik maddeler.
Tehlikeli bozunma ürünleri: NOₓ, SOₓ.</t>
  </si>
  <si>
    <t>LD₅₀ Oral (rat): 689 mg/kg
LD₅₀ Dermal (rat): &gt;2000 mg/kg
Etkiler: Cilt ve gözde irritasyon, solunum yollarında alerjik reaksiyon, astım riski.
Kanserojenite ve mutajenite: Veri yok.</t>
  </si>
  <si>
    <t>Atıklar orijinal kaplarında, diğer atıklarla karıştırılmadan bertaraf edilmeli.
Yerel ve ulusal düzenlemelere uyulmalı.</t>
  </si>
  <si>
    <t>AMMONIUM SULFATE_BIOSHOP</t>
  </si>
  <si>
    <t>Laboratuvar kimyasalı olarak kullanılır.
Protein saflaştırma, çözelti hazırlama ve biyoteknoloji uygulamalarında tercih edilir.</t>
  </si>
  <si>
    <t>Kimyasal adı: Ammonium Sulfate
CAS No: 7783-20-2
Formül: (NH₄)₂SO₄
Molekül ağırlığı: 132.14 g/mol
Saflık: ≥99%</t>
  </si>
  <si>
    <t>GHS’ye göre tehlikeli sınıflandırmaya girmez.
Potansiyel etkiler: göz, cilt ve solunum yollarında irritasyon yapabilir.
Uzun süreli maruziyet: dermatit riski.
NFPA: Sağlık = 1, Yangın = 0, Reaktivite = 0.</t>
  </si>
  <si>
    <t>Soluma: Temiz havaya çıkarın, gerekirse oksijen verin.
Cilt: Bol su ve sabunla yıkayın, kirli giysileri çıkarın.
Göz: Bol su ile en az 15 dakika yıkayın, doktora başvurun.
Yutma: Ağız suyla çalkalanmalı, kusma teşvik edilmemeli, doktora gidilmeli.</t>
  </si>
  <si>
    <t>Yanıcılık: Yanıcı değildir.
Söndürücüler: Su spreyi, köpük, kuru kimyasal, CO₂.
Özel risk: Yanma sırasında NOₓ, CO, NH₃ ve CO₂ oluşabilir.</t>
  </si>
  <si>
    <t>Alanı havalandırın.
Koruyucu ekipman kullanın.
Döküntü süpürülerek kapalı kaba alınmalı.
Büyük döküntülerde kuru kireç veya soda ile kaplanabilir.</t>
  </si>
  <si>
    <t>Kullanım: Göz, cilt ve giysiyle temastan kaçının.
Depolama: Oda sıcaklığında, serin ve kuru yerde saklanmalı.</t>
  </si>
  <si>
    <t>Limit değerler: Belirtilmemiş.
Koruyucu ekipman: Laboratuvar önlüğü, güvenlik gözlüğü, kauçuk eldiven.
Solunum: Toz oluşumunda respiratör kullanılmalı.
Ventilasyon: Lokal egzoz veya çeker ocak.</t>
  </si>
  <si>
    <t>Fiziksel hali: Katı, beyaz kristaller.
Koku: Yok.
Erime noktası: 350 °C
Yoğunluk: 1.77 g/cm³
Çözünürlük: Suda çözünür (%43).
pH: 5.5 (0.1 M çözelti).</t>
  </si>
  <si>
    <t>Normal koşullarda kararlı.
Kaçınılması gereken durumlar: Toz oluşumu.
Uyumsuz maddeler: Güçlü oksitleyiciler.
Tehlikeli bozunma ürünleri: NOₓ, CO, NH₃, CO₂.</t>
  </si>
  <si>
    <t>LD₅₀ Oral (mouse): 640 mg/kg
LD₅₀ Oral (rat): 2840 mg/kg
Etkiler: Göz, cilt ve solunum yollarında irritasyon.
Kanserojen değil (ACGIH, IARC, NTP, OSHA listelerinde yok).</t>
  </si>
  <si>
    <t>BCA PROTEIN ASSAY KIT</t>
  </si>
  <si>
    <t>Biyokimyasal araştırma ve analizlerde kullanılır.
Protein konsantrasyonu tayini için yaygın bir laboratuvar kitidir.</t>
  </si>
  <si>
    <t>BSA Protein Standard (2 mg/ml) – Zararsız, tehlikeli sınıflandırmaya girmez.
4% Cupric Sulfate – Tehlikeli bileşen, göz hasarı ve çevresel toksisite riski taşır.
BCA Solution – Zararsız, tehlikeli sınıflandırmaya girmez.</t>
  </si>
  <si>
    <t>Göz Hasarı 1 – H318: Ciddi göz hasarına neden olur. Sucul Akut 1 – H400: Sucul yaşam için çok zehirlidir. Sucul Kronik 1 – H410: Sucul yaşam için çok zehirlidir ve uzun süreli etkilere sahiptir.</t>
  </si>
  <si>
    <t>Göz: Bol su ile yıkayın, kontakt lensleri çıkarın, göz uzmanına başvurun.
Cilt: Bol su ile yıkayın, tahriş devam ederse doktora gidin.
Soluma: Temiz havaya çıkarın, rahatsızlık varsa doktora başvurun.
Yutma: Ağız suyla çalkalanmalı, derhal doktora gidilmeli.</t>
  </si>
  <si>
    <t>Kit bileşenleri yanıcı değildir.
Söndürücüler: Su spreyi, köpük, CO₂, kuru kimyasal.
Özel risk: Cupric sulfate yangın sırasında toksik gazlar açığa çıkarabilir.</t>
  </si>
  <si>
    <t>Alanı havalandırın.
Döküntüleri toplayın, çevreye karışmasını engelleyin.
Cupric sulfate içeren çözeltiler çevreye verilmemelidir.</t>
  </si>
  <si>
    <t>Kullanım: Göz ve ciltle temastan kaçının, koruyucu ekipman kullanın.
Depolama: Sıkıca kapalı kaplarda, serin ve kuru ortamda saklanmalı.
Saklama sınıfı: TRGS 510 – 10 (Yanıcı sıvılar).</t>
  </si>
  <si>
    <t>Koruyucu ekipman: Güvenlik gözlüğü, eldiven, laboratuvar önlüğü.
Ventilasyon: İyi havalandırılmış ortamda çalışılmalı.
Hijyen: Çalışma sonrası eller ve yüz yıkanmalı.</t>
  </si>
  <si>
    <t>Kit bileşenleri sıvı çözeltiler ve protein standartları içerir.
Cupric sulfate çözeltisi: Mavi renkli, suda çözünür.
BSA standardı: Renksiz, zararsız çözelti.
BCA çözeltisi: Renksiz, zararsız çözelti.</t>
  </si>
  <si>
    <t>Normal koşullarda kararlı.
Cupric sulfate güçlü çevresel toksisite riski taşır.
Uyumsuz maddeler: Güçlü indirgen maddeler.</t>
  </si>
  <si>
    <t>Cupric sulfate: Gözde ciddi hasar, çevresel toksisite.
BSA ve BCA çözeltileri: Tehlikeli sınıflandırmaya girmez.</t>
  </si>
  <si>
    <t>Cupric sulfate içeren atıklar çevreye verilmemeli.
Atıklar uygun kimyasal bertaraf tesislerinde imha edilmeli.</t>
  </si>
  <si>
    <t>Araştırma amaçlı laboratuvar kimyasalı.
Endüstriyel ve biyokimyasal çalışmalarda kullanılır.</t>
  </si>
  <si>
    <t>Kimyasal adı: Boric Acid
CAS No: 10043-35-2
Formül: H₃BO₃
Molekül ağırlığı: 61.83 g/mol
Saflık: ≥100%</t>
  </si>
  <si>
    <t>Üreme Toksolojisi 1B – H360: Doğurganlığa veya doğmamış çocuğa zarar verebilir.</t>
  </si>
  <si>
    <t>Soluma: Temiz havaya çıkarın, gerekirse yapay solunum uygulayın.
Cilt: Bol su ve sabunla yıkayın.
Göz: Bol su ile en az 15 dakika yıkayın, tahriş devam ederse doktora gidin.
Yutma: Ağız suyla çalkalanmalı, doktora başvurulmalı.</t>
  </si>
  <si>
    <t>Yanıcılık: Yanıcı değildir.
Söndürücüler: Su spreyi, köpük, kuru kimyasal, CO₂.
Özel risk: Toz halinde patlayıcı karışım oluşturabilir. Yanma sırasında bor oksitleri açığa çıkar.</t>
  </si>
  <si>
    <t>Alanı havalandırın.
Toz oluşumunu engelleyin.
Döküntü süpürülerek kapalı kaba alınmalı.
Büyük döküntülerde kuru kireç veya soda ile kaplanabilir.</t>
  </si>
  <si>
    <t>Limit değerler: TWA 2 mg/m³, STEL 6 mg/m³
Koruyucu ekipman: Laboratuvar önlüğü, güvenlik gözlüğü, kauçuk eldiven.
Solunum: Toz oluşumunda respiratör kullanılmalı.
Ventilasyon: Lokal egzoz veya çeker ocak.</t>
  </si>
  <si>
    <t>Fiziksel hali: Katı, beyaz toz.
Koku: Yok.
Erime noktası: 169 °C
Çözünürlük: Suda çözünür (4.9 g/100 g su).
pH: 3.6 (4% çözelti).</t>
  </si>
  <si>
    <t>Normal koşullarda kararlı.
Kaçınılması gereken durumlar: Toz oluşumu, aşırı ısı.
Uyumsuz maddeler: Güçlü oksitleyiciler, potasyum.
Tehlikeli bozunma ürünleri: Bor oksitleri.</t>
  </si>
  <si>
    <t>LD₅₀ Oral (mouse): 3450 mg/kg
LD₅₀ Oral (rat): 2660 mg/kg
Etkiler: Göz irritasyonu, solunum ve sindirim sisteminde zararlı etkiler.
Reprodüktif toksisite: Fertilite ve doğmamış çocukta hasar riski.
Kanserojen değil (ACGIH, IARC, NTP, OSHA listelerinde yok).</t>
  </si>
  <si>
    <t>BROMOPHENOL BLUE_BIOSHOP</t>
  </si>
  <si>
    <t>Laboratuvar kimyasalı olarak kullanılır.
Jel elektroforezi ve biyokimyasal analizlerde boyar madde olarak tercih edilir.</t>
  </si>
  <si>
    <t>Kimyasal adı: Bromophenol Blue, Sodium
CAS No: 62625-28-9
Formül: C₁₉H₉Br₄O₅S·Na
Molekül ağırlığı: 691.94 g/mol
Saflık: ≥99%</t>
  </si>
  <si>
    <t>Sınıflandırma (CLP): Tehlikeli sınıflandırmaya girmez.
Potansiyel etkiler: göz, cilt ve solunum yollarında irritasyon yapabilir.
Uzun süreli etkiler: veri yok.
NFPA: Belirtilmemiş.</t>
  </si>
  <si>
    <t>Yanıcılık: Yanıcı değildir.
Söndürücüler: Su spreyi, köpük, kuru kimyasal, CO₂.
Özel risk: Toz halinde patlayıcı karışım oluşturabilir. Yanma sırasında CO, CO₂ ve sülfür oksitleri açığa çıkar.</t>
  </si>
  <si>
    <t>Fiziksel hali: Katı, mavi/siyah kristal.
Koku: Yok.
Çözünürlük: Suda çözünür.
Erime/Kaynama noktası: Veri yok.</t>
  </si>
  <si>
    <t>Normal koşullarda kararlı.
Kaçınılması gereken durumlar: Toz oluşumu, aşırı ısı.
Uyumsuz maddeler: Güçlü oksitleyiciler.
Tehlikeli bozunma ürünleri: CO, CO₂, sülfür oksitleri.</t>
  </si>
  <si>
    <t>LD₅₀: Veri yok.
Etkiler: Göz, cilt ve solunum yollarında irritasyon.
Kanserojen değil (ACGIH, IARC, NTP, OSHA listelerinde yok).</t>
  </si>
  <si>
    <t>CARLO ERBA GLYCEROL 56-81-5</t>
  </si>
  <si>
    <t>Laboratuvar kimyasalı, farmasötik ürünlerde ve endüstriyel uygulamalarda kullanılır.
pH düzenleyici, çözücü, ekstraksiyon ajanı olarak tercih edilir.</t>
  </si>
  <si>
    <t>Kimyasal adı: Glycerol
CAS No: 56-81-5
EC No: 200-289-5
Formül: C₃H₈O₃
Molekül ağırlığı: 92 g/mol
Saflık: ≥99%</t>
  </si>
  <si>
    <t>Sınıflandırma (CLP): Tehlikeli sınıflandırmaya girmez.
Piktogram yok.
Sinyal kelimesi: Yok.
Potansiyel etkiler: yüksek miktarda yutulduğunda zararlı olabilir, soluma halinde hafif irritasyon yapabilir.</t>
  </si>
  <si>
    <t>Soluma: Temiz havaya çıkarın, şikayet devam ederse doktora başvurun.
Cilt: Normalde irritan değildir, su ile yıkayın.
Göz: Tahriş olursa bol su ile yıkayın.
Yutma: Belirti devam ederse doktora başvurun.</t>
  </si>
  <si>
    <t>Yanıcılık: Yanıcı değildir, ancak yüksek sıcaklıkta CO ve CO₂ açığa çıkar.
Söndürücüler: Su spreyi, köpük, CO₂, kuru kimyasal.
Özel risk: Kaplar ısı altında basınç oluşturabilir.</t>
  </si>
  <si>
    <t>Kişisel önlem: özel tedbir gerekmez.
Döküntü: Vakumla toplanmalı, kalan sıvı absorban malzeme ile alınmalı.
Çevresel önlem: Kanalizasyona karışmamalı, bol su ile seyreltilebilir.</t>
  </si>
  <si>
    <t>Kullanım: Özel tedbir gerekmez, genel laboratuvar hijyenine uyulmalı.
Depolama: İyi havalandırılmış yerde, sıkıca kapalı kaplarda saklanmalı.</t>
  </si>
  <si>
    <t>Limit değerler: DNEL inhalasyon (işçiler) = 56 mg/m³
PNEC değerleri: Tatlı su = 0.885 mg/L, Deniz suyu = 0.0885 mg/L, STP = 1000 mg/L
Koruyucu ekipman: Normalde gerekmez, genel laboratuvar önlemleri yeterlidir.</t>
  </si>
  <si>
    <t>Fiziksel hali: Sıvı, renksiz, viskoz.
Koku: Yok.
Erime noktası: 18.2 °C
Kaynama noktası: 290 °C
Parlama noktası: 160 °C
Oto-tutuşma sıcaklığı: 400 °C
Yoğunluk: 1.26 g/cm³ (20 °C)
Viskozite: 1300–1500 mPa·s (20 °C)
Çözünürlük: Suda tamamen çözünür (&gt;500 g/L).
Log Pow: -1.76 (biyobirikim beklenmez).</t>
  </si>
  <si>
    <t>Normal koşullarda kararlı.
Uyumsuz maddeler: Metaller.
Tehlikeli bozunma ürünleri: Aldehitler, CO, CO₂.</t>
  </si>
  <si>
    <t>LD₅₀ Oral (rat): 27,200 mg/kg
LD₅₀ Dermal (guinea pig): 56,750 mg/kg
LC₅₀ Inhalasyon (rat): &gt;2.75 mg/L
Etkiler: Yüksek dozda yutulduğunda zararlı olabilir, soluma halinde hafif irritasyon.
Kanserojen, mutajen veya reprodüktif toksik değildir.</t>
  </si>
  <si>
    <t>Atıklar geri dönüştürülebilir veya uygun bertaraf tesislerinde imha edilmeli.
Kaplar temizlenerek yeniden kullanılabilir, temizlenemeyenler ürün gibi bertaraf edilmeli.</t>
  </si>
  <si>
    <t>Chloroform for HPLC= 998% ,AMY_SIGMA-ALDRICH</t>
  </si>
  <si>
    <t>Laboratuvar kimyasalı, çözücü ve endüstriyel üretim süreçlerinde kullanılır.
HPLC ve analitik uygulamalarda tercih edilir.</t>
  </si>
  <si>
    <t>Kimyasal adı: Chloroform (Trichloromethane)
CAS No: 67-66-3
EC No: 200-663-8
Formül: CHCl₃
Molekül ağırlığı: 119.38 g/mol
Saflık: ≤100%</t>
  </si>
  <si>
    <t>Akut Toks. 4 – H302: Yutulması halinde zararlıdır. Akut Toks. 3 – H331: Solunması halinde zehirlidir. Cilt Tahrişi 2 – H315: Ciltte tahrişe neden olur. Göz Tahrişi 2 – H319: Ciddi göz tahrişine neden olur. Kanser 2 – H351: Kansere neden olduğundan şüphelenilmektedir. Üreme Toks. 2 – H361d: Doğmamış çocuğa zarar verdiğinden şüphelenilmektedir. STOT SE 3 – H336: Uyuşukluğa veya baş dönmesine neden olabilir. STOT RE 1 – H372: Uzun süreli veya tekrarlanan maruz kalma yoluyla karaciğer ve böbreklere zarar verir.</t>
  </si>
  <si>
    <t>Soluma: Temiz havaya çıkarın, derhal doktora başvurun. Solunum durursa yapay solunum ve oksijen verin.
Cilt: Kirli giysileri çıkarın, bol su ile yıkayın.
Göz: Bol su ile yıkayın, kontakt lensleri çıkarın, göz uzmanına başvurun.
Yutma: Su içirin (en fazla 2 bardak), derhal doktora gidin.</t>
  </si>
  <si>
    <t>Yanıcılık: Yanıcı değildir, ancak tehlikeli gazlar açığa çıkar.
Söndürücüler: Su spreyi, köpük, CO₂, kuru kimyasal.
Özel risk: Yanma sırasında CO ve HCl gazı açığa çıkar.</t>
  </si>
  <si>
    <t>Kullanım: Çeker ocak altında çalışılmalı, buhar solunmamalı.
Depolama: Sıkıca kapalı kaplarda, iyi havalandırılmış, kilitli alanlarda saklanmalı.
Saklama sınıfı: TRGS 510 – 6.1D (Akut toksik, kronik etkili maddeler).</t>
  </si>
  <si>
    <t>DNEL (işçiler):
Akut inhalasyon: 333 mg/m³
Uzun süreli inhalasyon: 2.5 mg/m³
PNEC: Tatlı su = 0.146 mg/L, Deniz suyu = 0.015 mg/L
Koruyucu ekipman:
Göz/Yüz: Güvenlik gözlüğü
Eller: Florlu kauçuk eldiven (480 dk dayanım)
Solunum: AX filtreli respiratör
Vücut: Kimyasal geçirmez giysi</t>
  </si>
  <si>
    <t>Fiziksel hali: Sıvı, renksiz
Koku: Tatlı
Erime noktası: -63 °C
Kaynama noktası: 60.5–61.5 °C
Parlama noktası: Yok (yanıcı değil)
Yoğunluk: 1.492 g/mL (25 °C)
Çözünürlük: Suda çözünür (8.7 g/L, 23 °C)
Buhar basıncı: 210 hPa (20 °C)</t>
  </si>
  <si>
    <t>Normal koşullarda kararlı, ışığa duyarlı.
Uyumsuz maddeler: Aminler, amonyak, bazlar, oksitleyiciler, metaller.
Tehlikeli bozunma ürünleri: CO, CO₂, HCl.</t>
  </si>
  <si>
    <t>LD₅₀ Oral (rat): 908 mg/kg
LC₅₀ Inhalasyon (rat, 6h): 9.17 mg/L
Etkiler: Baş dönmesi, uyku hali, solunum zorluğu, karaciğer ve böbrek hasarı, kanser ve üreme toksisitesi şüphesi.</t>
  </si>
  <si>
    <t>CITRIC ACID MONOHYDRATE_ISOLAB</t>
  </si>
  <si>
    <t>Temizlik ürünlerinde ve laboratuvar kimyasalı olarak kullanılır.
pH düzenleyici, tampon çözelti ve gıda katkısı olarak yaygın kullanım alanına sahiptir.</t>
  </si>
  <si>
    <t>Kimyasal adı: Citric Acid Monohydrate
CAS No: 5949-29-1
EC No: 201-069-1
Formül: C₆H₈O₇·H₂O
Molekül ağırlığı: 210.14 g/mol
Saflık: 99–100%</t>
  </si>
  <si>
    <t>Sınıflandırma (CLP): Eye Irrit. 2 – H319: Causes serious eye irritation</t>
  </si>
  <si>
    <t>Soluma: Temiz havaya çıkarın, solunum zorluğu varsa doktora başvurun.
Cilt: Su ve sabunla yıkayın, tahriş devam ederse doktora gidin.
Göz: Bol su ile yıkayın, kontakt lensleri çıkarın, göz uzmanına başvurun.
Yutma: Ağız suyla çalkalanmalı, bol su içirilmeli, doktora gidilmeli.</t>
  </si>
  <si>
    <t>Yanıcılık: Kolay yanıcı değildir, ancak ince toz halinde patlayıcı karışım oluşturabilir.
Söndürücüler: Su spreyi, köpük, CO₂, kuru kimyasal.
Özel risk: Toz bulutu kıvılcımla tutuşabilir.</t>
  </si>
  <si>
    <t>Alanı havalandırın, toz oluşumunu engelleyin.
Döküntü su ile bastırılmalı, kapalı kaplara alınmalı.
Kanalizasyona karışması engellenmeli.</t>
  </si>
  <si>
    <t>Kullanım: Toz oluşumundan kaçının, kıvılcım ve ateşten uzak tutun.
Depolama: Kuru, serin ve iyi havalandırılmış yerde saklanmalı.
Uyumsuz maddeler: Kuvvetli bazlar, oksitleyiciler, indirgen maddeler.
Ambalaj: Polietilen veya polipropilen kaplar uygundur; alüminyum, bakır, çinko ile uyumsuz.</t>
  </si>
  <si>
    <t>Koruyucu ekipman: Güvenlik gözlüğü, eldiven, koruyucu giysi.
Solunum: Toz oluşumunda P1 filtreli maske.
Ventilasyon: Lokal egzoz veya çeker ocak.</t>
  </si>
  <si>
    <t>Fiziksel hali: Katı, kristal toz
Renk: Renksiz veya beyaz
Koku: Yok
Erime noktası: 135–152 °C
Yoğunluk: 1.54 g/cm³ (20 °C)
Çözünürlük: Suda (88 g/100 ml), etanol ve metanolde çözünür
pH: 2 (1% çözelti)
Oto-tutuşma sıcaklığı: 345 °C
Log Pow: -1.72 (biyobirikim beklenmez)</t>
  </si>
  <si>
    <t>Normal koşullarda kararlı, higroskopik.
Kuvvetli bazlar ve oksitleyicilerle şiddetli reaksiyon verebilir.
Yanma sırasında CO ve CO₂ oluşur.</t>
  </si>
  <si>
    <t>LD₅₀ Oral (rat): 3000 mg/kg
LD₅₀ Dermal (rat): &gt;2000 mg/kg
Etkiler: Gözde ciddi tahriş, ciltte hafif irritasyon, yüksek dozda mide-bağırsak irritasyonu.
Kanserojen, mutajen veya reprodüktif toksik değildir.</t>
  </si>
  <si>
    <t>Atıklar uygun şekilde bertaraf edilmeli.
Yetkili tesislerde yakma veya geri dönüşüm yapılmalı.
Avrupa Atık Kodu: 16 05 08* (tehlikeli organik kimyasallar).</t>
  </si>
  <si>
    <t>COMMASSIE BRILLIANT BLUE G-250_BIOSHOP</t>
  </si>
  <si>
    <t>Laboratuvar kimyasalı, özellikle protein boyama ve jel elektroforezinde kullanılır.</t>
  </si>
  <si>
    <t>Kimyasal adı: Brilliant Blue G-250 (Coomassie)
CAS No: 6104-58-1
Formül: C₄₇H₄₈N₃NaO₇S₂
Molekül ağırlığı: 854 g/mol
Saflık: %100</t>
  </si>
  <si>
    <t>Sınıflandırma (CLP): Tehlikeli sınıflandırmaya girmez.
Potansiyel etkiler: göz, cilt ve solunum yollarında irritasyon yapabilir.
Uzun süreli etkiler: bilinmiyor.
NFPA: Sağlık = 1, Yangın = 0, Reaktivite = 0.</t>
  </si>
  <si>
    <t>Soluma: Temiz havaya çıkarın, rahatsızlık devam ederse doktora gidin.
Cilt: Bol su ile yıkayın, tahriş devam ederse doktora gidin.
Göz: Bol su ile yıkayın, derhal tıbbi yardım alın.
Yutma: Ağız suyla çalkalanmalı, kusma teşvik edilmemeli, doktora gidilmeli.</t>
  </si>
  <si>
    <t>Yanıcılık: Yanıcı değildir.
Söndürücüler: Su spreyi, köpük, kuru kimyasal, CO₂.
Özel risk: Yanma sırasında CO, CO₂, NOₓ ve SOₓ oluşabilir.</t>
  </si>
  <si>
    <t>Alanı havalandırın.
Koruyucu ekipman kullanın.
Döküntü süpürülerek kapalı kaba alınmalı.</t>
  </si>
  <si>
    <t>Fiziksel hali: Katı, mor renkli, kokusuz.
Erime/Kaynama noktası: Veri yok.
Çözünürlük: Veri yok.</t>
  </si>
  <si>
    <t>Normal koşullarda kararlı.
Kaçınılması gereken durumlar: Toz oluşumu.
Uyumsuz maddeler: Güçlü oksitleyiciler.
Tehlikeli bozunma ürünleri: CO, CO₂, NOₓ, SOₓ.</t>
  </si>
  <si>
    <t>Cytidine_sigma-aldrich</t>
  </si>
  <si>
    <t>Laboratuvar kimyasalı, biyokimyasal araştırmalarda ve nükleotid sentezinde kullanılır.</t>
  </si>
  <si>
    <t>Kimyasal adı: Cytidine (Cytosine β-D-riboside)
CAS No: 65-46-3
EC No: 200-610-9
Formül: C₉H₁₃N₃O₅
Molekül ağırlığı: 243.22 g/mol
Saflık: %100</t>
  </si>
  <si>
    <t>Sınıflandırma (CLP): Tehlikeli sınıflandırmaya girmez.
Etiketleme gerekmez.</t>
  </si>
  <si>
    <t>Soluma: Temiz havaya çıkarın.
Cilt: Kirli giysileri çıkarın, bol su ile yıkayın.
Göz: Bol su ile yıkayın, kontakt lensleri çıkarın.
Yutma: Su içirin (en fazla 2 bardak), rahatsızlık varsa doktora gidin.</t>
  </si>
  <si>
    <t>Yanıcılık: Yanıcıdır.
Söndürücüler: Su, köpük, CO₂, kuru kimyasal.
Özel risk: Yanma sırasında CO ve NOₓ açığa çıkar.</t>
  </si>
  <si>
    <t>Alanı boşaltın, havalandırın.
Toz oluşumunu engelleyin.
Döküntü kuru olarak toplanmalı, kapalı kaplarda bertaraf edilmeli.
Kanalizasyona karışması engellenmeli.</t>
  </si>
  <si>
    <t>Kullanım: Genel laboratuvar hijyenine uyulmalı.
Depolama: 2–8 °C arasında, kuru ve sıkıca kapalı kaplarda saklanmalı.
Saklama sınıfı: TRGS 510 – 11 (Yanabilen maddeler).</t>
  </si>
  <si>
    <t>Limit değerler: Belirtilmemiş.
Koruyucu ekipman: Güvenlik gözlüğü, nitril eldiven (480 dk dayanım), laboratuvar önlüğü.
Solunum: Toz oluşumunda P1 filtreli respiratör.
Ventilasyon: Lokal egzoz veya çeker ocak.</t>
  </si>
  <si>
    <t>Fiziksel hali: Katı, beyaz toz.
Erime noktası: 210–220 °C (dekompoze olur).
Yoğunluk / Çözünürlük: Veri yok.
Koku: Yok.</t>
  </si>
  <si>
    <t>Normal koşullarda kararlı.
Kaçınılması gereken durumlar: Nem.
Uyumsuz maddeler: Kuvvetli oksitleyiciler.
Tehlikeli bozunma ürünleri: CO, NOₓ.</t>
  </si>
  <si>
    <t>LD₅₀ Intraperitonal (fare): 2700 mg/kg
Etkiler: Uyku hali, aktivite azalması.
Mutajenite: DNA hasarı testlerinde bazı pozitif bulgular.
Kanserojen, üreme toksik veya aspirasyon riski: Veri yok.</t>
  </si>
  <si>
    <t>Dimethyl Sulfoxide_Carlo-Elba</t>
  </si>
  <si>
    <t>Laboratuvar kimyasalı, farmasötiklerde çözücü ve ekstraksiyon ajanı olarak kullanılır.
pH düzenleyici, nötralizasyon ajanı ve araştırma amaçlı kimyasal.</t>
  </si>
  <si>
    <t>Kimyasal adı: Dimethyl Sulfoxide
CAS No: 67-68-5
EC No: 200-664-3
Formül: C₂H₆OS
Molekül ağırlığı: 78.13 g/mol
Saflık: ≥99%</t>
  </si>
  <si>
    <t>Sınıflandırma (CLP): Tehlikeli sınıflandırmaya girmez.</t>
  </si>
  <si>
    <t>Soluma: Temiz havaya çıkarın, şikayet devam ederse doktora gidin.
Cilt: Normalde irritan değildir, su ile yıkayın.
Göz: Bol su ile yıkayın.
Yutma: Belirti devam ederse doktora gidin.</t>
  </si>
  <si>
    <t>Yanıcılık: Kolay yanıcı değildir.
Söndürücüler: Su spreyi, köpük, CO₂, kuru kimyasal.
Özel risk: Yanma sırasında SOₓ, CO ve CO₂ açığa çıkar.</t>
  </si>
  <si>
    <t>Özel kişisel önlem gerekmez.
Döküntü vakumla toplanmalı, absorban malzeme ile temizlenmeli.
Kanalizasyona karışması engellenmeli.</t>
  </si>
  <si>
    <t>Kullanım: Özel tedbir gerekmez, genel laboratuvar hijyenine uyulmalı.
Depolama: Metal kaplarda saklanmamalı.
Depolama koşulları: Sıkıca kapalı kaplarda, serin ve kuru ortamda.</t>
  </si>
  <si>
    <t>DNEL (işçiler):
Dermal: 200 mg/kg
İnhalasyon (lokal kronik): 265 mg/m³
İnhalasyon (sistemik kronik): 484 mg/m³
PNEC: Tatlı su = 17 mg/L, Deniz suyu = 1.7 mg/L, Toprak = 3.02 mg/kg
Koruyucu ekipman: Normalde gerekmez, ancak döküntü halinde gözlük ve eldiven kullanılmalı.</t>
  </si>
  <si>
    <t>Fiziksel hali: Sıvı, renksiz
Koku: Sülfürlü
Erime noktası: 18.45 °C
Kaynama noktası: 189 °C
Parlama noktası: 87 °C
Oto-tutuşma sıcaklığı: 300–302 °C
Yoğunluk: 1.104 g/cm³ (20 °C)
Çözünürlük: Suda tamamen çözünür (&gt;1000 g/L), birçok organik çözücüde çözünür
Log Pow: -1.35 (biyobirikim beklenmez)</t>
  </si>
  <si>
    <t>Normal koşullarda kararlı.
Uyumsuz maddeler: Belirtilmemiş.
Tehlikeli bozunma ürünleri: CO, CO₂, SOₓ.</t>
  </si>
  <si>
    <t>LD₅₀ Oral (rat): 14,500 mg/kg
LD₅₀ Dermal (rat): 40,000 mg/kg
LC₅₀ Inhalasyon (4h): 1000 mg/L
Etkiler: Yutulduğunda veya solunduğunda zararlı olabilir.
Kanserojen, mutajen veya reprodüktif toksik değildir.</t>
  </si>
  <si>
    <t>DMSO 100%,10ML FILLED VOLUME CRYOPRESERVATION SOLUTION PURITY  99.9%</t>
  </si>
  <si>
    <t>İnsan hücrelerinin kriyoprezervasyonu için cryoprotectant olarak kullanılır (transplant amaçlı).
Laboratuvar ve klinik uygulamalarda hücre dondurma çözeltilerinde yaygın.</t>
  </si>
  <si>
    <t>Kimyasal adı: Dimethyl Sulfoxide (Methane, sulfinylbis-)
CAS No: 67-68-5
Saflık: 99.9%
Formül: C₂H₆OS
Yoğunluk: 1.1 g/cm³ (20 °C)</t>
  </si>
  <si>
    <t>Sınıflandırma (OSHA/GHS): Yanıcı Sıvı – H227 Cilt Tahrişi 2 – H315: Ciltte tahrişe neden olur Göz Tahrişi 2 – H319: Ciddi göz tahrişine neden olur</t>
  </si>
  <si>
    <t>Soluma: Temiz havaya çıkarın, gerekirse yapay solunum uygulayın.
Cilt: Kirli giysileri çıkarın, bol su ve sabunla yıkayın.
Göz: Bol su ile en az 15 dakika yıkayın, kontakt lensleri çıkarın.
Yutma: Kusma teşvik edilmemeli, derhal tıbbi yardım alınmalı.
Belirtiler: Nausea, ciltte yanma/kaşıntı, göz irritasyonu, sarımsak-soğan kokusu.</t>
  </si>
  <si>
    <t>Yanıcılık: Yanıcı sıvı (Flash point: 89 °C).
Söndürücüler: Alkol dayanıklı köpük, CO₂, kuru kimyasal, su spreyi.
Özel risk: Yanma sırasında SO₂, formaldehit, dimetil sülfid, dimetil disülfid açığa çıkar.
Ekipman: SCBA (tam yüz maskeli oksijen tüplü solunum cihazı).</t>
  </si>
  <si>
    <t>Alanı havalandırın, ateş kaynaklarını uzaklaştırın.
Buhar ve sıvı temasından kaçının.
Döküntü inert malzeme ile absorbe edilmeli, kanalizasyona verilmemeli.</t>
  </si>
  <si>
    <t>Kullanım: Buhar solunmamalı, cilt ve gözle temastan kaçınılmalı.
Depolama: 18 °C’de donar; serin, kuru, iyi havalandırılmış yerde saklanmalı.
Uyumsuz maddeler: Asit klorürleri, güçlü oksitleyiciler, alkali metaller, hidrobromik asit.
Saklama: Kapalı kaplarda, ısı ve kıvılcımdan uzak.</t>
  </si>
  <si>
    <t>Solunum: Buhar/mist oluşumunda organik buhar kartuşlu respiratör.
Göz: Yan korumalı gözlük veya yüz siperi.
Cilt: Nitril veya butil kauçuk eldiven, önlük.
Ventilasyon: Lokal egzoz veya genel havalandırma.</t>
  </si>
  <si>
    <t>Fiziksel hali: Renksiz sıvı
Koku: Yok
pH: 8.5 (50/50 sulu çözelti)
Erime noktası: 18.5 °C
Kaynama noktası: 189 °C
Parlama noktası: 89–95 °C
Yoğunluk: 1.1 g/cm³ (20 °C)
Çözünürlük: Suda tamamen çözünür
Oto-tutuşma sıcaklığı: 300–302 °C
Viskozite: 2.0 mPas (25 °C)</t>
  </si>
  <si>
    <t>Normal koşullarda kararlı.
150 °C üzerinde hızlı ekzotermik bozunma riski.
Uyumsuz maddeler: Asit klorürleri, oksitleyiciler, alkali metaller.
Bozunma ürünleri: SO₂, formaldehit, dimetil sülfid.</t>
  </si>
  <si>
    <t>LD₅₀ Oral (rat): 14,500 mg/kg
LD₅₀ Dermal (rabbit): 5,000 mg/kg
LC₅₀ Inhalasyon (rat): 40,250 ppm
Etkiler: Cilt ve göz irritasyonu, baş ağrısı, baş dönmesi, sedasyon.
Kanserojen, mutajen veya reprodüktif toksik değildir.</t>
  </si>
  <si>
    <t>Yerel ve ulusal düzenlemelere uygun bertaraf edilmeli.
Kaplar temizlenerek yeniden kullanılabilir, temizlenemeyenler ürün gibi bertaraf edilmeli.</t>
  </si>
  <si>
    <t>DMSO,STERILE_ECOTECH(SIGMA-ALDRICH)</t>
  </si>
  <si>
    <t>Laboratuvar kimyasalı, çözücü ve biyolojik araştırmalarda kullanılır.
Hücre kültürü ve biyoteknolojik uygulamalarda yaygın.</t>
  </si>
  <si>
    <t>Kimyasal adı: Dimethyl Sulfoxide (DMSO, Methyl sulfoxide)
CAS No: 67-68-5
EC No: 200-664-3
Formül: C₂H₆OS
Molekül ağırlığı: 78.13 g/mol</t>
  </si>
  <si>
    <t>Sınıflandırma (CLP): Tehlikeli sınıflandırmaya girmez.
Not: Deri tarafından hızla emilir.</t>
  </si>
  <si>
    <t>Soluma: Temiz havaya çıkarın.
Cilt: Kirli giysileri çıkarın, bol su ile yıkayın.
Göz: Bol su ile yıkayın, kontakt lensleri çıkarın.
Yutma: 2 bardak su içirin, rahatsızlık varsa doktora gidin.</t>
  </si>
  <si>
    <t>Yanıcılık: Yanıcı sıvı.
Söndürücüler: Su, köpük, CO₂, kuru kimyasal.
Özel risk: CO ve SOₓ gazları açığa çıkar. Buharlar zeminde yoğunlaşabilir, yüksek ısıda patlayıcı karışım oluşturabilir.
Ekipman: Oksijen tüplü tam yüz maskesi.</t>
  </si>
  <si>
    <t>Buhar ve aerosolden kaçının.
Döküntü inert absorban ile toplanmalı.
Kanalizasyona karışması engellenmeli.</t>
  </si>
  <si>
    <t>Kullanım: Ateş ve kıvılcımdan uzak tutulmalı, statik boşalmaya karşı önlem alınmalı.
Depolama: Sıkıca kapalı kaplarda, inert gaz altında, serin ve kuru ortamda.
Depolama sınıfı: TRGS 510 – 10 (Yanıcı sıvılar).</t>
  </si>
  <si>
    <t>Koruyucu ekipman:
Göz: Koruyucu gözlük
Cilt: Kloropren eldiven (480 dk dayanım) veya lateks eldiven (240 dk dayanım)
Solunum: Organik buhar filtresi (A tipi)
Çevresel önlem: Kanalizasyona karışmamalı.</t>
  </si>
  <si>
    <t>Fiziksel hali: Renksiz sıvı
Koku: Yok
Erime noktası: 16–19 °C
Kaynama noktası: 189 °C
Parlama noktası: 87 °C (kapalı kap)
Oto-tutuşma sıcaklığı: 300–302 °C
Yoğunluk: 1.1 g/mL (20 °C)
Çözünürlük: Suda tamamen çözünür
Log Pow: -1.35 (biyobirikim beklenmez)
Viskozite: 2.14 mPa·s (20 °C)</t>
  </si>
  <si>
    <t>Normal koşullarda kararlı.
Kaçınılması gereken durumlar: Güçlü ısıtma.
Uyumsuz maddeler: Asit klorürler, fosfor halidler, kuvvetli asitler, oksitleyiciler, indirgen ajanlar.
Bozunma ürünleri: CO, SOₓ.</t>
  </si>
  <si>
    <t>LD₅₀ Oral (rat): 28,300 mg/kg
LD₅₀ Dermal (rat): 40,000 mg/kg
LC₀ Inhalasyon (rat, 4h): &gt;5.33 mg/L
Etkiler: Hafif cilt ve göz irritasyonu, yüksek dozda baş ağrısı, mide bulantısı, baş dönmesi.
Mutajenite testleri: Negatif (Ames, kromozom bozulması testleri).
Kanserojenite/üreme toksisitesi: Veri yok.</t>
  </si>
  <si>
    <t>EDTA_BIOSHOP</t>
  </si>
  <si>
    <t>Laboratuvar kimyasalı, şelatör ajan olarak kullanılır.
Metal iyonlarını bağlama özelliği nedeniyle biyokimya ve analitik kimyada yaygın.</t>
  </si>
  <si>
    <t>Kimyasal adı: Ethylenediamine Tetraacetic Acid, Disodium Dihydrate
CAS No: 6381-92-6
Formül: C₁₀H₁₄N₂Na₂O₈·2H₂O
Molekül ağırlığı: 372.23 g/mol
Saflık: %100</t>
  </si>
  <si>
    <t>Sınıflandırma (CLP/GHS): Akut Toksin. Oral (Kategori 5) – H303: Yutulması halinde zararlı olabilir. Akut Toksin. İnhalasyon (Kategori 4) – H332: Solunması halinde zararlıdır. STOT RE İnhalasyon (Kategori 2) – H373: Uzun süreli veya tekrarlanan maruz kalma sonucu organlarda (solunum yolu) hasara neden olabilir.</t>
  </si>
  <si>
    <t>Soluma: Temiz havaya çıkarın, gerekirse oksijen verin.
Cilt: Bol su ve sabunla yıkayın, kirli giysileri çıkarın.
Göz: Bol su ile en az 15 dakika yıkayın.
Yutma: Ağız suyla çalkalanmalı, kusma teşvik edilmemeli.</t>
  </si>
  <si>
    <t>Yanıcılık: Yanıcı değildir.
Söndürücüler: Su spreyi, köpük, CO₂, kuru kimyasal.
Özel risk: Toz halinde havayla patlayıcı karışım oluşturabilir.
Bozunma ürünleri: NOₓ, CO, CO₂.</t>
  </si>
  <si>
    <t>Alanı havalandırın, toz oluşumunu engelleyin.
Döküntü kuru absorban ile toplanmalı, kapalı kaplarda bertaraf edilmeli.
Kanalizasyona karışması engellenmeli.</t>
  </si>
  <si>
    <t>Kullanım: Toz oluşumundan kaçının, göz ve cilt temasından korunun.
Depolama: Oda sıcaklığında, kapalı kaplarda saklanmalı.</t>
  </si>
  <si>
    <t>Limit değerler: Belirtilmemiş.
Koruyucu ekipman: Laboratuvar önlüğü, güvenlik gözlüğü, kauçuk eldiven.
Solunum: Toz oluşumunda respiratör.
Ventilasyon: Lokal egzoz veya çeker ocak.</t>
  </si>
  <si>
    <t>Fiziksel hali: Katı, beyaz kristal toz
Koku: Yok
Erime noktası: 252 °C
Çözünürlük: Suda çözünür
pH (sulu çözelti): 5.3</t>
  </si>
  <si>
    <t>Normal koşullarda kararlı.
Kaçınılması gereken durumlar: Toz oluşumu, aşırı ısı.
Uyumsuz maddeler: Kuvvetli oksitleyiciler.
Tehlikeli bozunma ürünleri: NOₓ, CO, CO₂.</t>
  </si>
  <si>
    <t>LD₅₀ Oral (rat): 2000 mg/kg civarı
Etkiler: Solunum yolu irritasyonu, uzun süreli maruz kalmada organ hasarı riski.
Kanserojen, mutajen veya reprodüktif toksik değildir.</t>
  </si>
  <si>
    <t>Atıklar kimyasal yakma fırınında bertaraf edilmeli.
Yerel ve ulusal düzenlemelere uyulmalı.</t>
  </si>
  <si>
    <t>ETHIDIUM BROMIDE_BIOSHOP</t>
  </si>
  <si>
    <t>Araştırma amaçlı laboratuvar kimyasalı, özellikle DNA/RNA boyama ve floresan analizlerinde kullanılır.</t>
  </si>
  <si>
    <t>Kimyasal adı: Ethidium Bromide
CAS No: 1239-45-8
Formül: C₂₁H₂₀BrN₃
Molekül ağırlığı: 394.6 g/mol
Saflık: ≥99%</t>
  </si>
  <si>
    <t>Sınıflandırma (CLP/GHS): Akut Toksin. Oral (Kategori 3) – H302: Yutulması halinde zararlı. Akut Toksin. İnhalasyon (Kategori 4) – H330: Solunması halinde ölümcül. Germ Hücresi Mutajenitesi (Kategori 2) – H341: Genetik kusurlara neden olduğundan şüpheleniliyor.</t>
  </si>
  <si>
    <t>Soluma: Temiz havaya çıkarın, derhal tıbbi yardım alın.
Cilt: Bol su ile yıkayın, kontamine giysileri çıkarın, tıbbi yardım alın.
Göz: Bol su ile yıkayın, tıbbi yardım alın.
Yutma: Ağız suyla çalkalanmalı, kusma teşvik edilmemeli, derhal tıbbi yardım alınmalı.</t>
  </si>
  <si>
    <t>Yanıcılık: Yanıcı değildir, ancak yanma sırasında toksik gazlar açığa çıkar.
Söndürücüler: Su spreyi, köpük, CO₂, kuru kimyasal.
Özel risk: CO, CO₂ ve brom gazı açığa çıkar.
Ekipman: SCBA (tam yüz maskeli solunum cihazı).</t>
  </si>
  <si>
    <t>Alanı havalandırın.
Döküntü inert absorban ile kapatılmalı, kapalı kaplarda bertaraf edilmeli.
Toz oluşumundan kaçınılmalı.</t>
  </si>
  <si>
    <t>Kullanım: Fume hood altında çalışılmalı, toz oluşumundan kaçınılmalı.
Depolama: Oda sıcaklığında, kapalı kaplarda, ısı ve ışık kaynaklarından uzak.
Ek önlem: Kapalı ve kilitli depolama önerilir.</t>
  </si>
  <si>
    <t>Koruyucu ekipman: Laboratuvar önlüğü, güvenlik gözlüğü, kauçuk eldiven.
Solunum: NIOSH/MSHA onaylı respiratör.
Ventilasyon: Lokal egzoz veya çeker ocak.</t>
  </si>
  <si>
    <t>Fiziksel hali: Katı, kırmızı toz
Erime noktası: 260–262 °C
Çözünürlük: Suda çözünür
Koku: Yok</t>
  </si>
  <si>
    <t>Normal koşullarda kararlı.
Kaçınılması gereken durumlar: Toz oluşumu, ışık ve yüksek ısı.
Uyumsuz maddeler: Metaller, oksitleyiciler, indirgen ajanlar, asitler ve bazlar.
Bozunma ürünleri: CO, CO₂, brom gazı.</t>
  </si>
  <si>
    <t>LD₅₀ Oral (rat): 1000–2000 mg/kg
LD₅₀ Inhalasyon (rat): 0.015 mg/kg (çok toksik)
Etkiler: Göz ve cilt irritasyonu, deri tarafından hızlı absorpsiyon, mutajenik etki.
Kronik etkiler: Dermatit, CNS bozuklukları, kanser riski.</t>
  </si>
  <si>
    <t>Formaldehyde solution about 37% Sigma</t>
  </si>
  <si>
    <t>Analiz reaktifi, laboratuvar kimyasalı.
Stabilizatör olarak metanol içerir.</t>
  </si>
  <si>
    <t>Formaldehit (CAS 50-00-0): %30–50
Metanol (CAS 67-56-1): %10–20
Formül: CH₂O (stabilize edilmiş çözelti)
Yoğunluk: 1.09 g/cm³ (20 °C)</t>
  </si>
  <si>
    <t>Sınıflandırma (CLP/GHS): Akut Toksin. Oral 3 – H301: Yutulması halinde toksiktir. Akut Toksin. Dermal 3 – H311: Ciltle temas halinde toksiktir. Akut Toksin. İnhalasyon 2 – H330: Solunması halinde ölümcüldür. Cilt Aşındırıcı 1B – H314: Ciddi cilt yanıklarına ve göz hasarına neden olur. Göz Hasarı 1 – H318: Ciddi göz hasarına neden olur. Cilt Hassasiyeti 1 – H317: Alerjik cilt reaksiyonuna neden olabilir. Mutasyon 2 – H341: Genetik kusurlara neden olduğundan şüphelenilmektedir. Kanser 1B – H350: Kansere neden olabilir. STOT SE 1 – H370: Organlara (gözler, MSS) zarar verir. STOT SE 3…</t>
  </si>
  <si>
    <t>Soluma: Temiz havaya çıkarın, derhal doktora başvurun.
Cilt: Kirli giysileri çıkarın, bol su ile yıkayın, acil tıbbi yardım alın.
Göz: Bol su ile yıkayın, kontakt lensleri çıkarın, acil göz doktoruna başvurun.
Yutma: Derhal doktora başvurun. Metanol zehirlenmesi için etanol antidot olarak kullanılabilir.</t>
  </si>
  <si>
    <t>Yanıcılık: Metanol nedeniyle yanıcı.
Söndürücüler: Su spreyi, köpük, CO₂, kuru kimyasal.
Özel risk: CO, CO₂, formaldehit buharı, metanol buharı.
Ekipman: SCBA ve tam koruyucu giysi.</t>
  </si>
  <si>
    <t>Buhar ve aerosolden kaçının.
Döküntü inert absorban ile toplanmalı, kapalı kaplarda bertaraf edilmeli.
Kanalizasyona karışması engellenmeli.</t>
  </si>
  <si>
    <t>Kullanım: Çeker ocak altında çalışılmalı, buhar solunmamalı.
Depolama: Işıktan korunmalı, metal kaplarda saklanmamalı.
Depolama sınıfı: TRGS 510 – 6.1A (çok toksik yanıcı sıvılar).
Sıcaklık: Etiket üzerinde belirtilen koşullarda, serin ve havalandırılmış ortamda.</t>
  </si>
  <si>
    <t>Koruyucu ekipman:
Göz: Koruyucu gözlük
Cilt: Nitril eldiven (480 dk dayanım), kloropren eldiven (240 dk sıçrama)
Solunum: ABEK filtreli respiratör
Çevresel önlem: Kanalizasyona karışmamalı.</t>
  </si>
  <si>
    <t>Fiziksel hali: Renksiz sıvı
Koku: Keskin, tahriş edici
Erime noktası: &lt; -15 °C
Kaynama noktası: 93–96 °C
Parlama noktası: 62 °C
pH: 2.8–4.0
Çözünürlük: Suda tamamen çözünür
Patlama limitleri: Alt 7% – Üst 73% (formaldehit)</t>
  </si>
  <si>
    <t>Normal koşullarda kararlı, metanol ile stabilize edilmiştir.
Kaçınılması gereken durumlar: Işık, yüksek sıcaklık.
Uyumsuz maddeler: Asitler, bazlar, oksitleyiciler, metaller.
Bozunma ürünleri: CO, CO₂, formaldehit buharı.</t>
  </si>
  <si>
    <t>LD₅₀ Oral (rat): Formaldehit ~100 mg/kg
LD₅₀ Dermal (rabbit): ~270 mg/kg
LC₅₀ Inhalasyon (rat, 4h): ~0.51 mg/L
Etkiler: Cilt ve gözde ciddi yanıklar, solunum irritasyonu, genetik hasar, kanser riski.
Metanol: Görme bozukluğu, CNS hasarı, ölüm riski.</t>
  </si>
  <si>
    <t>Atıklar uygun bertaraf tesislerinde imha edilmeli.
Yerel ve ulusal düzenlemelere uyulmalı.</t>
  </si>
  <si>
    <t>GLYCEROL</t>
  </si>
  <si>
    <t>Araştırma amaçlı laboratuvar kimyasalı.
Çözücü, kriyoprotektan ve biyoteknolojik uygulamalarda kullanılır.</t>
  </si>
  <si>
    <t>Kimyasal adı: Glycerol
CAS No: 56-81-5
EC No: 200-289-5
Formül: C₃H₈O₃
Saflık: ≤100%</t>
  </si>
  <si>
    <t>Sınıflandırma (CLP/GHS): Tehlikeli sınıflandırmaya girmez.</t>
  </si>
  <si>
    <t>Soluma: Temiz havaya çıkarın, gerekirse yapay solunum uygulayın.
Cilt: Bol su ve sabunla yıkayın.
Göz: Bol su ile yıkayın.
Yutma: Ağız suyla çalkalanmalı, doktora başvurulmalı.</t>
  </si>
  <si>
    <t>Yanıcılık: Yanıcı sıvı (Flash point: 160 °C).
Söndürücüler: Su spreyi, köpük, CO₂, kuru kimyasal.
Özel risk: Yanma sırasında karbon oksitler açığa çıkar.
Ekipman: SCBA gerekebilir.</t>
  </si>
  <si>
    <t>Buhar ve mist solunmamalı.
Döküntü kapalı kaplarda toplanmalı.
Çevresel risk düşük, özel önlem gerekmez.</t>
  </si>
  <si>
    <t>Kullanım: Genel laboratuvar hijyenine uyulmalı.
Depolama: Kapalı kaplarda, serin ve kuru ortamda. Higroskopiktir.
Depolama sınıfı: TRGS 510 – 10 (Yanıcı sıvılar).</t>
  </si>
  <si>
    <t>Limit değerler:
Kanada ve ABD’de TWA: 10 mg/m³ (bazı bölgelerde 3 mg/m³)
Koruyucu ekipman: Gözlük, eldiven, laboratuvar önlüğü.
Solunum: Normalde gerekmez, yüksek konsantrasyonda OV/AG veya ABEK filtreli respiratör.</t>
  </si>
  <si>
    <t>Fiziksel hali: Renksiz sıvı
pH: 5.5–8
Erime noktası: 20 °C
Kaynama noktası: 182 °C
Parlama noktası: 160 °C
Yoğunluk: 1.25 g/mL
Çözünürlük: Suda tamamen çözünür
Patlama limitleri: Alt 2.7% – Üst 19%</t>
  </si>
  <si>
    <t>Normal koşullarda kararlı.
Uyumsuz maddeler: Kuvvetli oksitleyiciler.
Bozunma ürünleri: CO, CO₂.</t>
  </si>
  <si>
    <t>LD₅₀ Oral (rat): 12,600 mg/kg
LD₅₀ Dermal (rabbit): &gt;10,000 mg/kg
Etkiler: Uzun süreli maruz kalmada bulantı, baş ağrısı, böbrek düzensizlikleri.
Kanserojen, mutajen veya reprodüktif toksik değildir.</t>
  </si>
  <si>
    <t>Atıklar lisanslı bertaraf tesislerinde imha edilmeli.
Kaplar temizlenerek yeniden kullanılabilir.</t>
  </si>
  <si>
    <t>GLYCINE</t>
  </si>
  <si>
    <t>Laboratuvar kimyasalı, biyokimya ve hücre kültürü çalışmalarında kullanılır.
Araştırma amaçlıdır, tanı veya tedavi için kullanılmaz.</t>
  </si>
  <si>
    <t>Kimyasal adı: Glycine
CAS No: 56-40-6
EC No: 200-272-2
Formül: C₂H₅NO₂
Molekül ağırlığı: 75.07 g/mol
Saflık: ≥99%</t>
  </si>
  <si>
    <t xml:space="preserve">Sınıflandırma (CLP/GHS): Tehlikeli sınıflandırmaya girmez.
</t>
  </si>
  <si>
    <t>Soluma: Temiz havaya çıkarın, gerekirse yapay solunum uygulayın.
Cilt: Bol su ve sabunla yıkayın.
Göz: Bol su ile en az 15 dakika yıkayın.
Yutma: Ağız suyla çalkalanmalı.</t>
  </si>
  <si>
    <t>Alanı havalandırın, toz oluşumunu engelleyin.
Döküntü inert absorban ile toplanmalı, kapalı kaplarda bertaraf edilmeli.</t>
  </si>
  <si>
    <t>Fiziksel hali: Katı, beyaz toz
Koku: Yok
Erime noktası: 233–236 °C
Çözünürlük: Suda çözünür</t>
  </si>
  <si>
    <t>Normal koşullarda kararlı.
Kaçınılması gereken durumlar: Toz oluşumu, aşırı ısı.
Uyumsuz maddeler: Kuvvetli oksitleyiciler.
Bozunma ürünleri: NOₓ, CO, CO₂.</t>
  </si>
  <si>
    <t>LD₅₀ Oral (mouse): 4900 mg/kg
LD₅₀ Oral (rat): 7900 mg/kg
Etkiler: Hafif irritasyon, yüksek dozda zararlı olabilir.
Kanserojen, mutajen veya reprodüktif toksik değildir.</t>
  </si>
  <si>
    <t>GLYCINE_BIOSHOP</t>
  </si>
  <si>
    <t>Araştırma amaçlı laboratuvar kimyasalı.
Biyokimya, hücre kültürü ve tampon çözeltilerinde kullanılır.</t>
  </si>
  <si>
    <t>Sınıflandırma (CLP/GHS): Tehlikeli sınıflandırmaya girmez.
Potansiyel etkiler:
Göz: Hafif irritasyon yapabilir
Cilt: Hafif irritasyon yapabilir
Soluma: Toz halinde solunduğunda irritasyon yapabilir
Yutma: Zararlı olabilir</t>
  </si>
  <si>
    <t>GUANOSINE_SIGMA-ALDRICH</t>
  </si>
  <si>
    <t>Laboratuvar kimyasalı, biyokimya ve moleküler biyoloji çalışmalarında kullanılır.
Nükleotid sentezi ve araştırma amaçlıdır.</t>
  </si>
  <si>
    <t>Kimyasal adı: Guanosine (9-(ß-D-Ribofuranosyl)guanine)
CAS No: 118-00-3
EC No: 204-227-8
Formül: C₁₀H₁₃N₅O₅
Molekül ağırlığı: 283.24 g/mol
Saflık: ≥99%</t>
  </si>
  <si>
    <t>Soluma: Temiz havaya çıkarın.
Cilt: Kirli giysileri çıkarın, bol su ile yıkayın.
Göz: Bol su ile yıkayın, kontakt lensleri çıkarın.
Yutma: 1–2 bardak su içirin, rahatsızlık varsa doktora gidin.</t>
  </si>
  <si>
    <t>Yanıcılık: Yanıcı katı.
Söndürücüler: Su, köpük, CO₂, kuru kimyasal.
Özel risk: Yanma sırasında CO ve NOₓ açığa çıkar.
Ekipman: SCBA (tam yüz maskeli solunum cihazı).</t>
  </si>
  <si>
    <t>Toz oluşumunu engelleyin, alanı havalandırın.
Döküntü kuru absorban ile toplanmalı, kapalı kaplarda bertaraf edilmeli.
Kanalizasyona karışması engellenmeli.</t>
  </si>
  <si>
    <t>Kullanım: Toz solunmamalı, göz ve cilt temasından kaçınılmalı.
Depolama: Kapalı kaplarda, kuru ortamda saklanmalı.
Depolama sınıfı: TRGS 510 – 11 (Yanıcı katılar).</t>
  </si>
  <si>
    <t>Koruyucu ekipman: Güvenlik gözlüğü, nitril eldiven (480 dk dayanım), laboratuvar önlüğü.
Solunum: Toz oluşumunda P1 filtreli respiratör.
Ventilasyon: Lokal egzoz veya çeker ocak.</t>
  </si>
  <si>
    <t>Fiziksel hali: Beyaz toz
Erime noktası: ~250 °C (dekompoze olur)
Çözünürlük: Veri sınırlı
Koku: Yok</t>
  </si>
  <si>
    <t>Normal koşullarda kararlı.
Kaçınılması gereken durumlar: Toz oluşumu.
Uyumsuz maddeler: Kuvvetli oksitleyiciler.
Bozunma ürünleri: CO, NOₓ.</t>
  </si>
  <si>
    <t>LD₅₀ Oral (rat): &gt;2000 mg/kg (düşük toksisite)
Mutajenite: Ames testi negatif.
Etkiler: Hafif cilt/göz irritasyonu olası.
Kanserojen, üreme toksik veya aspirasyon riski: Veri yok.</t>
  </si>
  <si>
    <t>HEPES(CELL CULTURE TESTED)_BIOWEST</t>
  </si>
  <si>
    <t>Biyoteknolojik uygulamalarda tampon ajan olarak kullanılır.
Yalnızca profesyonel/ endüstriyel kullanıcılar için uygundur.</t>
  </si>
  <si>
    <t>Kimyasal adı: 4-(2-hydroxyethyl)piperazine-1-ethanesulfonic acid (HEPES)
CAS No: 7365-45-9
EC No: 230-907-9
Formül: C₈H₁₈N₂O₄S
Saflık: %100</t>
  </si>
  <si>
    <t>Soluma: Temiz havaya çıkarın, semptom varsa doktora başvurun.
Cilt: Su ve sabunla yıkayın, irritasyon devam ederse doktora gidin.
Göz: Bol su ile yıkayın, rahatsızlık devam ederse doktora gidin.
Yutma: Büyük miktarda alımda tıbbi yardım alınmalı.</t>
  </si>
  <si>
    <t>Yanıcılık: Yanıcı değildir.
Söndürücüler: Su, köpük, CO₂, kuru kimyasal.
Özel risk: Yanma sırasında CO₂, CO ve organik bileşikler açığa çıkabilir.
Ekipman: Geniş çaplı yangınlarda tam koruyucu giysi ve solunum cihazı.</t>
  </si>
  <si>
    <t>Döküntü süpürülerek kapalı kaplarda toplanmalı.
Kanalizasyona karışması engellenmeli.
Çevre için düşük riskli, ancak yayılımı önlemek önerilir.</t>
  </si>
  <si>
    <t>Kullanım: Toz oluşumunu engelleyin, genel laboratuvar hijyenine uyun.
Depolama: Serin, kuru ve havalandırılmış ortamda saklanmalı.
Depolama sınıfı: TRGS 510 – 11 (Yanıcı katılar).</t>
  </si>
  <si>
    <t>Limit değerler: Tozlar için VLEP 8h = 7 mg/m³ (total), 3.5 mg/m³ (alveolar fraksiyon).
Koruyucu ekipman: Temel laboratuvar önlüğü, gözlük, eldiven.
Solunum: Toz oluşumunda respiratör gerekebilir.
Ventilasyon: Lokal egzoz veya çeker ocak önerilir.</t>
  </si>
  <si>
    <t>Fiziksel hali: Katı, kristal
Renk: Beyaz (renkli partiküller içerebilir)
Erime noktası: 212 °C
Yoğunluk: 1.44 g/cm³
Çözünürlük: Suda çözünür
Parlama noktası: Yok
VOC içeriği: %0</t>
  </si>
  <si>
    <t>Normal koşullarda kararlı.
Uyumsuz maddeler: Kuvvetli asitler ve bazlar.
Bozunma ürünleri: CO₂, CO ve organik bileşikler.</t>
  </si>
  <si>
    <t>LD₅₀ Oral (rat): &gt;2000 mg/kg (düşük toksisite)
Etkiler: Hafif irritasyon olası, ancak sınıflandırma kriterlerini karşılamaz.
Kanserojen, mutajen veya reprodüktif toksik değildir.</t>
  </si>
  <si>
    <t>Atıklar uygun bertaraf tesislerinde imha edilmeli.
Ambalajlar ürünle kontamine ise aynı şekilde bertaraf edilmeli.</t>
  </si>
  <si>
    <t>Hydrochloric acid fuming 37%_Supelco</t>
  </si>
  <si>
    <t>Analiz reaktifi, kimyasal üretim süreçlerinde kullanılır.</t>
  </si>
  <si>
    <t>Kimyasal adı: Hydrochloric Acid (HCl, %37 çözeltisi)
CAS No: 7647-01-0
EC No: 231-595-7
Formül: HCl (sulu çözelti)
Konsantrasyon: %30–50</t>
  </si>
  <si>
    <t>Sınıflandırma (CLP/GHS): Metal Aşındırıcı 1 – H290: Metallere karşı aşındırıcı olabilir. Cilt Aşındırıcı 1B – H314: Ciddi cilt yanıklarına ve göz hasarına neden olur. Göz Hasarı 1 – H318: Ciddi göz hasarına neden olur. STOT SE 3 – H335: Solunum yolu tahrişine neden olabilir.</t>
  </si>
  <si>
    <t>Soluma: Temiz havaya çıkarın, doktora başvurun.
Cilt: Kirli giysileri çıkarın, bol su ile yıkayın, acil tıbbi yardım alın.
Göz: Bol su ile yıkayın, kontakt lensleri çıkarın, acil göz doktoruna başvurun.
Yutma: 1–2 bardak su içirin, kusma teşvik edilmemeli, derhal doktora gidin.</t>
  </si>
  <si>
    <t>Yanıcılık: Yanıcı değildir.
Söndürücüler: Ortama uygun söndürücüler (su spreyi, CO₂, kuru kimyasal).
Özel risk: Yangında hidrojen klorür gazı açığa çıkar.
Ekipman: SCBA ve tam koruyucu giysi.</t>
  </si>
  <si>
    <t>Buhar ve aerosolden kaçının, alanı havalandırın.
Döküntü absorban ve nötralizan malzeme ile toplanmalı (ör. Chemizorb® H+).
Kanalizasyona karışması engellenmeli.</t>
  </si>
  <si>
    <t>Kullanım: Buhar solunmamalı, göz ve cilt temasından kaçınılmalı.
Depolama: Metal kaplarda saklanmamalı, sıkıca kapalı kaplarda tutulmalı.
Depolama sınıfı: TRGS 510 – 8B (korozif, yanıcı olmayan tehlikeli maddeler).</t>
  </si>
  <si>
    <t>Koruyucu ekipman:
Göz: Koruyucu gözlük
Cilt: Asit dayanıklı eldiven ve giysi
Solunum: E-(P2) filtreli respiratör
Çevresel önlem: Kanalizasyona karışmamalı.</t>
  </si>
  <si>
    <t>Fiziksel hali: Renksiz sıvı
Koku: Keskin, tahriş edici
Donma noktası: -30 °C
pH: &lt;1 (20 °C)
Yoğunluk: ~1.19 g/cm³ (20 °C)
Buhar basıncı: 190 hPa (20 °C)
Çözünürlük: Suda tamamen çözünür</t>
  </si>
  <si>
    <t>Normal koşullarda kararlı.
Uyumsuz maddeler: Metaller, kuvvetli bazlar, sülfürik asit, oksitleyiciler.
Bozunma ürünleri: Yangında hidrojen klorür gazı.</t>
  </si>
  <si>
    <t>Etkiler:
Ağızdan alımda: Ağız, boğaz ve mide yanıkları, perforasyon riski
Soluma: Öksürük, nefes darlığı, solunum yollarında ödem
Cilt: Şiddetli yanıklar
Göz: Şiddetli hasar, körlük riski
Mutajenite: Bazı in vitro testlerde pozitif sonuçlar.
Kanserojenite: Veri yok.</t>
  </si>
  <si>
    <t>Hydrochloric acid_sigma-aldrich</t>
  </si>
  <si>
    <t>Laboratuvar kimyasalı, endüstriyel üretim süreçlerinde kullanılır.</t>
  </si>
  <si>
    <t>Kimyasal adı: Hydrochloric Acid (HCl, %30–50 çözeltisi)
CAS No: 7647-01-0
EC No: 231-595-7
Formül: HCl (sulu çözelti)
Konsantrasyon: %30–50</t>
  </si>
  <si>
    <t>Buhar ve aerosolden kaçının, alanı havalandırın.
Döküntü inert absorban ile toplanmalı, kapalı kaplarda bertaraf edilmeli.
Kanalizasyona karışması engellenmeli.</t>
  </si>
  <si>
    <t>Kullanım: Buhar solunmamalı, göz ve cilt temasından kaçınılmalı.
Depolama: Metal kaplarda saklanmamalı, sıkıca kapalı kaplarda tutulmalı.
Depolama sınıfı: TRGS 510 – 8A (korozif, yanıcı olmayan tehlikeli maddeler).</t>
  </si>
  <si>
    <t>Koruyucu ekipman:
Göz: Koruyucu gözlük
Cilt: Asit dayanıklı eldiven ve giysi
Solunum: ABEK filtreli respiratör
Çevresel önlem: Kanalizasyona karışmamalı.</t>
  </si>
  <si>
    <t>Fiziksel hali: Açık sarı sıvı
Koku: Keskin, tahriş edici
Donma noktası: -30 °C
Kaynama noktası: &gt;100 °C
Yoğunluk: 1.18 g/mL (25 °C)
Buhar basıncı: 226 hPa (21 °C), 546 hPa (37 °C)
Çözünürlük: Suda tamamen çözünür</t>
  </si>
  <si>
    <t>Normal koşullarda kararlı.
Uyumsuz maddeler: Bazlar, aminler, alkali metaller, metaller, permanganatlar, flor, metal asetilidleri.
Bozunma ürünleri: Yangında hidrojen klorür gazı.</t>
  </si>
  <si>
    <t>Hydroxyethyl starch_CHEMCRUZ(Santa Cruz Biotechnology)</t>
  </si>
  <si>
    <t>Araştırma amaçlı laboratuvar kimyasalı.
Tanı veya tedavi için kullanılmaz.</t>
  </si>
  <si>
    <t>Kimyasal adı: Hydroxyethyl starch
CAS No: 9005-27-0
Saflık: %100</t>
  </si>
  <si>
    <t>Soluma: Temiz havaya çıkarın, gerekirse oksijen verin.
Cilt: Bol su ve sabunla yıkayın.
Göz: Bol su ile yıkayın.
Yutma: Ağız suyla çalkalanmalı, bilinçsiz kişiye ağızdan hiçbir şey verilmemeli.</t>
  </si>
  <si>
    <t>Yanıcılık: Yanıcı değildir.
Söndürücüler: Ortama uygun söndürücüler (su, CO₂, kuru kimyasal).
Özel risk: Yanma sırasında karbon oksitler açığa çıkabilir.
Ekipman: SCBA ve tam koruyucu giysi.</t>
  </si>
  <si>
    <t>Toz oluşumunu engelleyin, alanı havalandırın.
Döküntü kapalı kaplarda toplanmalı.
Çevresel risk düşük, ancak yayılımı önlemek önerilir.</t>
  </si>
  <si>
    <t>Kullanım: Genel laboratuvar hijyenine uyulmalı.
Depolama: Kapalı kaplarda, serin ve kuru ortamda saklanmalı.</t>
  </si>
  <si>
    <t>Limit değerler: Belirtilmemiş.
Koruyucu ekipman: Güvenlik gözlüğü, eldiven, laboratuvar önlüğü.
Solunum: Toz oluşumunda respiratör gerekebilir.
Ventilasyon: Lokal egzoz veya çeker ocak önerilir.</t>
  </si>
  <si>
    <t>Fiziksel hali: Katı, beyaz toz
Koku: Veri yok
Çözünürlük: Veri yok
Yoğunluk, erime/kaynama noktası: Veri yok</t>
  </si>
  <si>
    <t>Etkiler: Akut toksisite verisi sınırlı, bilinen ciddi toksik etkisi yok.
Sonuç: Düşük riskli, ancak toz solunmamalı.</t>
  </si>
  <si>
    <t>Atıklar uygun bertaraf tesislerinde imha edilmeli.
Ambalajlar yeniden kullanılmamalı.</t>
  </si>
  <si>
    <t>IGEPAL®CA-630_SIGMA-ALDRICH</t>
  </si>
  <si>
    <t>Bilimsel araştırma ve geliştirme amaçlı.
Laboratuvarlarda deterjan/sürfaktan olarak kullanılır.</t>
  </si>
  <si>
    <t>Kimyasal adı: Octylphenoxy poly(ethyleneoxy)ethanol (branched)
CAS No: 9002-93-1
Yoğunluk: 1.06 g/mL (25 °C)
Saflık: ≥90–100% (Triton X-100)</t>
  </si>
  <si>
    <t>Sınıflandırma (CLP/GHS): Akut Toksin. Oral 4 – H302: Yutulması halinde zararlı Cilt Tahrişi 2 – H315: Ciltte tahrişe neden olur Göz Hasarı 1 – H318: Ciddi göz hasarına neden olur Sucul Akut 1 – H400: Sucul yaşam için çok toksiktir Sucul Kronik 1 – H410: Uzun süreli etkileri olan sucul yaşam için çok toksiktir Endokrin Bozucu (çevre) – EUH430: Çevrede endokrin bozulmasına neden olabilir</t>
  </si>
  <si>
    <t>Soluma: Temiz havaya çıkarın.
Cilt: Kirli giysileri çıkarın, bol su ile yıkayın.
Göz: Bol su ile yıkayın, acil göz doktoruna başvurun.
Yutma: 1–2 bardak su içirin, doktora gidin.</t>
  </si>
  <si>
    <t>Yanıcılık: Yanıcı sıvı.
Söndürücüler: Su, köpük, CO₂, kuru kimyasal.
Özel risk: CO ve organik gazlar açığa çıkar. Buharlar zeminde yoğunlaşabilir.
Ekipman: SCBA ve tam koruyucu giysi.</t>
  </si>
  <si>
    <t>Buhar ve aerosolden kaçının, alanı havalandırın.
Döküntü absorban ile toplanmalı, kapalı kaplarda bertaraf edilmeli.
Kanalizasyona karışması engellenmeli.</t>
  </si>
  <si>
    <t>Kullanım: Buhar solunmamalı, göz ve cilt temasından kaçınılmalı.
Depolama: Kapalı kaplarda, serin ve kuru ortamda.
Depolama sınıfı: TRGS 510 – 10 (Yanıcı sıvılar).</t>
  </si>
  <si>
    <t>Koruyucu ekipman:
Göz: Koruyucu gözlük
Cilt: Nitril eldiven (480 dk dayanım)
Solunum: ABEK filtreli respiratör
Çevresel önlem: Kanalizasyona karışmamalı.</t>
  </si>
  <si>
    <t>Fiziksel hali: Renksiz ila açık sarı, viskoz sıvı
Koku: Karakteristik
Erime noktası: 6 °C
Kaynama noktası: &gt;200 °C
Parlama noktası: 251 °C
pH: 9.7
Çözünürlük: Suda çözünür</t>
  </si>
  <si>
    <t>Normal koşullarda kararlı.
Kaçınılması gereken durumlar: Kuvvetli ısıtma.
Uyumsuz maddeler: Kuvvetli oksitleyiciler, asitler.
Bozunma ürünleri: CO ve organik gazlar.</t>
  </si>
  <si>
    <t>LD₅₀ Oral (rat): 1900–5000 mg/kg
LD₅₀ Oral (ATE): ~500 mg/kg
LD₅₀ Dermal (rabbit): &gt;3000 mg/kg
Etkiler: Cilt irritasyonu, gözde ciddi hasar, yutulduğunda zararlı.
Mutajenite: Negatif (mammalian cell test).
Kanserojenite/üreme toksisitesi: Veri yok.</t>
  </si>
  <si>
    <t>IMIDAZOLE_SIGMA-ALDRICH</t>
  </si>
  <si>
    <t>Laboratuvar kimyasalı, organik sentez ve biyokimyasal araştırmalarda kullanılır.
Yalnızca profesyonel kullanıcılar için uygundur.</t>
  </si>
  <si>
    <t>Kimyasal adı: Imidazole (1,3-Diaza-2,4-cyclopentadiene)
CAS No: 288-32-4
EC No: 206-019-2
Formül: C₃H₄N₂
Molekül ağırlığı: 68.08 g/mol
Saflık: ≥90–100%</t>
  </si>
  <si>
    <t>Sınıflandırma (CLP/GHS): Akut Toksin. Oral 4 – H302: Yutulması halinde zararlı. Cilt Aşındırıcı 1C – H314: Ciddi cilt yanıklarına ve göz hasarına neden olur. Göz Hasarı 1 – H318: Ciddi göz hasarına neden olur. Üreme Toksinleri 1B – H360D: Doğmamış bebeğe zarar verebilir.</t>
  </si>
  <si>
    <t>Yanıcılık: Yanıcı katı.
Söndürücüler: Su, köpük, CO₂, kuru kimyasal.
Özel risk: Yangında CO, NOₓ ve hidrojen siyanür açığa çıkabilir.
Ekipman: SCBA ve tam koruyucu giysi.</t>
  </si>
  <si>
    <t>Toz oluşumunu engelleyin, alanı havalandırın.
Döküntü inert absorban ile toplanmalı, kapalı kaplarda bertaraf edilmeli.
Kanalizasyona karışması engellenmeli.</t>
  </si>
  <si>
    <t>Kullanım: Çeker ocak altında çalışılmalı, toz solunmamalı.
Depolama: Kapalı kaplarda, kuru ve havalandırılmış ortamda.
Depolama sınıfı: TRGS 510 – 6.1C (toksik, korozif katılar).</t>
  </si>
  <si>
    <t>Limit değerler: DNEL (inhalasyon, işçi): 10.6 mg/m³
Koruyucu ekipman:
Göz: Koruyucu gözlük
Cilt: Nitril eldiven (480 dk dayanım)
Solunum: P3 filtreli respiratör
Çevresel önlem: Kanalizasyona karışmamalı.</t>
  </si>
  <si>
    <t>Fiziksel hali: Beyaz/krem kristal
Koku: Amin benzeri
Erime noktası: 88–91 °C
Kaynama noktası: 256 °C
Parlama noktası: 145 °C
Otoignisyon sıcaklığı: 480 °C
Yoğunluk: 1.233 g/cm³ (20 °C)
pH: 10.5 (67 g/L, 20 °C)
Çözünürlük: Suda çözünür
Log Pow: -0.02 (biyobirikim beklenmez)</t>
  </si>
  <si>
    <t>Normal koşullarda kararlı.
Uyumsuz maddeler: Kuvvetli oksitleyiciler, asit klorürler, asit anhidritler, asitler.
Bozunma ürünleri: CO, NOₓ, HCN.</t>
  </si>
  <si>
    <t>LD₅₀ Oral (rat): ~970 mg/kg
Etkiler: Cilt ve gözde ciddi yanıklar, yutulduğunda zararlı.
Mutajenite: Ames testi negatif.
Reprodüktif toksisite: H360D – Fetal gelişime zarar verebilir.
Kanserojenite: Veri yok.</t>
  </si>
  <si>
    <t>L arginine ST1530 but roth</t>
  </si>
  <si>
    <t>Laboratuvar kimyasalı, biyokimya ve analitik çalışmalarda kullanılır.
Gıda, içecek veya hayvan yemlerinde kullanılmaz.</t>
  </si>
  <si>
    <t>Kimyasal adı: L-Arginine
CAS No: 74-79-3
EC No: 200-811-1
Formül: C₆H₁₄N₄O₂
Molekül ağırlığı: 174.2 g/mol
Saflık: ≥98,5%</t>
  </si>
  <si>
    <t>Göz Tahrişi 2 – H319: Ciddi göz tahrişine neden olur</t>
  </si>
  <si>
    <t>Soluma: Temiz havaya çıkarın.
Cilt: Bol su ile yıkayın.
Göz: En az 10 dakika bol su ile yıkayın, irritasyon devam ederse doktora gidin.
Yutma: Ağız suyla çalkalanmalı, rahatsızlık varsa doktora başvurulmalı.</t>
  </si>
  <si>
    <t>Yanıcılık: Yanıcı, ancak kolay tutuşmaz.
Söndürücüler: Su, köpük, kuru kimyasal, ABC tozu.
Özel risk: Yanma sırasında NOₓ, CO ve CO₂ açığa çıkabilir.
Ekipman: SCBA ve tam koruyucu giysi.</t>
  </si>
  <si>
    <t>Toz oluşumunu engelleyin, alanı havalandırın.
Döküntü mekanik olarak toplanmalı, kapalı kaplarda bertaraf edilmeli.
Kanalizasyona karışması engellenmeli.</t>
  </si>
  <si>
    <t>Kullanım: Toz oluşumundan kaçının, genel laboratuvar hijyenine uyun.
Depolama: Kuru, serin ve havalandırılmış ortamda (15–25 °C).
Uyumsuz maddeler: Kuvvetli oksitleyiciler, kuvvetli asitler.</t>
  </si>
  <si>
    <t>DNEL (işçi, inhalasyon): 552 mg/m³
DNEL (işçi, dermal): 782.8 mg/kg bw/day
Koruyucu ekipman:
Göz: Koruyucu gözlük
Cilt: Nitril eldiven (&gt;0.11 mm, &gt;480 dk dayanım)
Solunum: Toz oluşumunda P1 filtreli respiratör
Çevresel önlem: Kanalizasyona karışmamalı.</t>
  </si>
  <si>
    <t>Fiziksel hali: Beyaz kristal toz
Koku: Karakteristik
Erime noktası: 223–224 °C
pH (100 g/L, 20 °C): 10.5–12
Yoğunluk: 1.36–1.56 g/cm³
Suda çözünürlük: 182 g/L (25 °C)
Log Pow: -4.2 (biyobirikim beklenmez)
Parlama noktası: Yok</t>
  </si>
  <si>
    <t>Normal koşullarda kararlı.
Toz halinde patlama riski olabilir.
Uyumsuz maddeler: Kuvvetli oksitleyiciler, kuvvetli asitler.</t>
  </si>
  <si>
    <t>LD₅₀ Oral (rat): &gt;5110 mg/kg (düşük toksisite)
Etkiler: Gözde ciddi irritasyon, ciltte hafif irritasyon.
Mutajenite, kanserojenite, reprodüktif toksisite: Sınıflandırmaya girmez.</t>
  </si>
  <si>
    <t>LB AGAR (LENNOX)_CONDALAB</t>
  </si>
  <si>
    <t>Mikrobiyoloji ve moleküler biyoloji çalışmalarında besiyeri olarak kullanılır.
Yalnızca laboratuvar ortamında, profesyonel kullanıcılar için uygundur.</t>
  </si>
  <si>
    <t>Temel bileşenler:
Tryptone (enzimatik sindirilmiş kazein)
Yeast extract (maya özütü)
Sodium chloride (NaCl)
Agar
Bu bileşenler genellikle düşük riskli, biyolojik araştırmalarda standart kullanılan maddelerdir.</t>
  </si>
  <si>
    <t>CLP/GHS’ye göre genellikle tehlikeli sınıflandırmaya girmez.</t>
  </si>
  <si>
    <t>Soluma: Toz solunursa temiz havaya çıkın.
Cilt: Su ve sabunla yıkayın.
Göz: Bol su ile yıkayın.
Yutma: Ağız suyla çalkalayın, rahatsızlık varsa doktora başvurun.</t>
  </si>
  <si>
    <t>Yanıcı organik bileşenler içerir (özellikle agar ve maya özütü).
Söndürücüler: Su spreyi, köpük, CO₂, kuru kimyasal.
Yanma sırasında CO ve NOₓ açığa çıkabilir.</t>
  </si>
  <si>
    <t>Toz oluşumunu engelleyin, süpürerek toplayın.
Kanalizasyona karışmasını önleyin.</t>
  </si>
  <si>
    <t>Kuru, serin ve havalandırılmış ortamda saklanmalı.
Nemden korunmalı.</t>
  </si>
  <si>
    <t>Gözlük, eldiven ve laboratuvar önlüğü önerilir.
Toz oluşumunda partikül filtresi (P1) kullanılabilir.</t>
  </si>
  <si>
    <t>Form: Katı, toz veya granül
Renk: Açık sarı/bej
Koku: Hafif karakteristik
Çözünürlük: Suda çözünür (agar çözünmesi için ısıtma gerekir)</t>
  </si>
  <si>
    <t>Kimyasal stabilite: Normal sıcaklık ve basınç koşullarında kararlıdır.
Reaktivite: Toz halinde yoğun birikim olursa toz patlaması riski vardır.
Kaçınılması gereken koşullar: Nem, aşırı ısı, toz birikimi.
Uyumsuz maddeler: Kuvvetli oksitleyiciler ve kuvvetli asitler ile şiddetli reaksiyon gösterebilir.
Tehlikeli bozunma ürünleri: Yanma sırasında NOₓ, CO, CO₂ açığa çıkar.</t>
  </si>
  <si>
    <t>Düşük toksisite.
Yalnızca toz halinde solunduğunda veya göze temas ettiğinde irritasyon yapabilir.</t>
  </si>
  <si>
    <t>Toz oluşumunu engelleyin, alanı havalandırın.
Döküntü mekanik olarak toplanmalı, kapalı kaplarda muhafaza edilmeli.
Kanalizasyona karışması engellenmeli.</t>
  </si>
  <si>
    <t>LB AGAR_MULTICELL</t>
  </si>
  <si>
    <t>Mikrobiyoloji ve moleküler biyoloji araştırmalarında besiyeri olarak kullanılır.
Yalnızca araştırma amaçlıdır, tanı veya tedavi için kullanılmaz.</t>
  </si>
  <si>
    <t>Kompleks besiyeri (tryptone, yeast extract, NaCl, agar).
Tehlikeli bileşen içermez, açıklama zorunluluğu yoktur.</t>
  </si>
  <si>
    <t>Soluma: Temiz havaya çıkarın, gerekirse yapay solunum uygulayın.
Cilt: Su ve sabunla yıkayın.
Göz: Bol su ile en az 15 dakika yıkayın.
Yutma: Ağız suyla çalkalanmalı, doktora başvurulmalı.</t>
  </si>
  <si>
    <t>Yanıcılık: Yanıcı değildir, ancak organik bileşenler içerir.
Söndürücüler: Su spreyi, köpük, CO₂, kuru kimyasal.
Özel risk: Yanma sırasında CO, NOₓ, HCl ve Na₂O açığa çıkabilir.
Ekipman: SCBA ve tam koruyucu giysi.</t>
  </si>
  <si>
    <t>Toz oluşumunu engelleyin, alanı havalandırın.
Döküntü süpürülerek kapalı kaplarda toplanmalı.
Kanalizasyona karışması engellenmeli.</t>
  </si>
  <si>
    <t>Kullanım: Toz oluşumundan kaçının, uygun havalandırma sağlayın.
Depolama: Kapalı kaplarda, kuru ve havalandırılmış ortamda saklanmalı.
Depolama sınıfı: TRGS 510 – 13 (Yanıcı olmayan katılar).</t>
  </si>
  <si>
    <t>Koruyucu ekipman:
Göz: Koruyucu gözlük
Cilt: Eldiven ve laboratuvar önlüğü
Solunum: Normalde gerekmez, toz oluşumunda N95/P1 maske
Çevresel önlem: Kanalizasyona karışmamalı.</t>
  </si>
  <si>
    <t>Fiziksel hali: Katı, toz veya granül
Renk/Koku: Veri yok
Çözünürlük: Veri yok (agar çözünmesi için ısıtma gerekir)
Diğer: Yanıcı değil, oksitleyici değil.</t>
  </si>
  <si>
    <t>Normal koşullarda kararlı.
Uyumsuz maddeler: Kuvvetli oksitleyiciler.
Bozunma ürünleri: CO, NOₓ, HCl, Na₂O</t>
  </si>
  <si>
    <t>Düşük toksisite.
Yalnızca toz halinde solunduğunda veya göze temas ettiğinde irritasyon yapabilir.
Kanserojen, mutajen veya reprodüktif toksik değildir.</t>
  </si>
  <si>
    <t>Rekombinant E. coli suşlarının büyütülmesi ve korunması için besiyeri.
Moleküler biyoloji ve mikrobiyoloji prosedürlerinde kullanılır.
Yalnızca araştırma amaçlıdır, tanı veya tedavi için kullanılmaz.</t>
  </si>
  <si>
    <t>Sodyum klorür (NaCl): 5 g
Tryptone: 10 g
Yeast extract: 5 g
Agar içermez (LB Agar’dan farkı budur).</t>
  </si>
  <si>
    <t>CLP/GHS’ye göre tehlikeli sınıflandırmaya girmez.</t>
  </si>
  <si>
    <t>Soluma:  
Toz veya buhar solunursa kişiyi temiz havaya çıkarın. Rahatsızlık devam ederse doktora başvurun.
Cilt Teması:  
Kirlenmiş giysileri çıkarın. Etkilenen bölgeyi bol su ve sabunla yıkayın. Tahriş devam ederse tıbbi yardım alın.
Göz Teması:  
Gözleri bol su ile en az 15 dakika yıkayın, göz kapaklarını açık tutun. Kontakt lens varsa çıkarın. İrritasyon devam ederse göz doktoruna başvurun.
Yutma:  
Ağız suyla çalkalanmalı. Bilinçsiz kişiye ağızdan hiçbir şey verilmemeli. Rahatsızlık varsa doktora başvurulmalı.</t>
  </si>
  <si>
    <t>Yanıcılık: Organik bileşenler içerdiği için yanıcıdır, ancak kolay tutuşmaz.
Uygun söndürücüler:
Su spreyi
Alkol dayanıklı köpük
Kuru kimyasal toz
Karbon dioksit (CO₂)</t>
  </si>
  <si>
    <t>Depolama: Kapalı kaplarda, kuru ve havalandırılmış ortamda saklanmalı.
Depolama sıcaklığı: 2–25 °C.
Stabilite: Normal koşullarda kararlı.
Uyumsuz maddeler: Kuvvetli oksitleyiciler.
Bozunma ürünleri: Yanma sırasında CO, NOₓ, HCl, Na₂O.</t>
  </si>
  <si>
    <t>Temizlik: Döküntü mekanik olarak toplanmalı, kapalı kaplarda muhafaza edilmeli.
Bertaraf: Atıklar yerel/ulusal yönetmeliklere uygun şekilde imha edilmeli.
Ambalajlar: Ürünle kontamine ise aynı şekilde bertaraf edilmeli; tamamen boşaltılmış ambalajlar geri dönüştürülebilir.</t>
  </si>
  <si>
    <t>Fiziksel hali: Katı toz
Renk: Bej (dehidre), amber (hazırlanmış)
Koku: Karakteristik
Çözünürlük: Suda çözünür
pH (25 °C): 7.0 ± 0.2
Depolama sıcaklığı: 2–25 °C
Stabilite: Normal koşullarda kararlı</t>
  </si>
  <si>
    <t>Kimyasal stabilite: Normal sıcaklık ve basınç koşullarında kararlı.
Reaktivite: Nem ve aşırı ısıdan korunmalı.
Uyumsuz maddeler: Kuvvetli oksitleyiciler.
Bozunma ürünleri: Yanma sırasında CO, NOₓ, HCl, Na₂O.</t>
  </si>
  <si>
    <t>Akut toksisite: Düşük, genellikle zararsız.
Soluma: Toz halinde solunduğunda irritasyon yapabilir.
Cilt: Hafif irritasyon yapabilir.
Göz: İrritasyon riski vardır.
Mutajenite/Kanserojenite/Reprodüktif toksisite: Sınıflandırmaya girmez.</t>
  </si>
  <si>
    <t>LB BROTH_MULTICELL</t>
  </si>
  <si>
    <t>LB Broth, moleküler biyoloji ve mikrobiyoloji araştırmalarında E. coli suşlarının büyütülmesi ve korunması için kullanılan besiyeridir. Yalnızca araştırma amaçlıdır, tanı veya tedavi için kullanılmaz.</t>
  </si>
  <si>
    <t>Kompleks besiyeri olup tryptone, yeast extract ve NaCl içerir. Tehlikeli bileşen bulunmaz, açıklama zorunluluğu yoktur.</t>
  </si>
  <si>
    <t xml:space="preserve">CLP/GHS’ye göre tehlikeli sınıflandırmaya girmez.
</t>
  </si>
  <si>
    <t>Soluma: Temiz havaya çıkarın, gerekirse yapay solunum uygulayın.
Cilt: Bol su ve sabunla yıkayın.
Göz: Bol su ile en az 15 dakika yıkayın, kontakt lensleri çıkarın. İrritasyon devam ederse doktora başvurun.
Yutma: Ağız suyla çalkalayın, bilinçsiz kişiye ağızdan hiçbir şey verilmemeli.</t>
  </si>
  <si>
    <t>Uygun söndürücüler: Su spreyi, alkol dayanıklı köpük, kuru kimyasal, CO₂.
Özel riskler: Yanma sırasında CO, CO₂, NOₓ, HCl ve Na₂O açığa çıkabilir.
Ekipman: SCBA (kendinden beslemeli solunum cihazı) ve tam koruyucu giysi.</t>
  </si>
  <si>
    <t>Toz oluşumunu engelleyin, alanı havalandırın. Döküntü süpürülerek kapalı kaplarda toplanmalı. Kanalizasyona karışması engellenmeli.</t>
  </si>
  <si>
    <t>Göz: Koruyucu gözlük.
Cilt: Eldiven ve laboratuvar önlüğü.
Solunum: Normalde gerekmez, toz oluşumunda N95/P1 maske.
Hijyen: Çalışma sonrası eller yıkanmalı.</t>
  </si>
  <si>
    <t>Form: Katı (toz)
Renk/Koku: Veri yok
pH: Veri yok
Erime/Kaynama noktası: Veri yok
Çözünürlük: Suda çözünür
Yoğunluk: Veri yok</t>
  </si>
  <si>
    <t>Kararlılık: Normal koşullarda kararlı.
Uyumsuz maddeler: Kuvvetli oksitleyiciler.
Bozunma ürünleri: CO, NOₓ, HCl, Na₂O.</t>
  </si>
  <si>
    <t>Akut toksisite: Veri yok, düşük riskli.
Soluma: Toz halinde solunduğunda irritasyon yapabilir.
Cilt: Hafif irritasyon yapabilir.
Göz: İrritasyon riski vardır.
Kanserojenite: IARC ve ACGIH’e göre kanserojen değil.
Mutajenite/Reprodüktif toksisite: Hayvan deneylerinde olumsuz etki yok.</t>
  </si>
  <si>
    <t>Döküntü süpürülerek kapalı kaplarda toplanmalı. Kanalizasyona karışması engellenmeli. Atıklar lisanslı bertaraf tesislerinde imha edilmeli. Ambalajlar boşaltılmışsa geri dönüştürülebilir.</t>
  </si>
  <si>
    <t>LBL Agar, moleküler biyoloji ve mikrobiyoloji araştırmalarında E. coli suşlarının büyütülmesi ve korunması için kullanılan besiyeridir. Yalnızca araştırma amaçlıdır, tanı veya tedavi için kullanılmaz.</t>
  </si>
  <si>
    <t>Tryptone – CAS 9000-71-9 (%10)
Yeast Extract – CAS 8013-01-2 (%5)
Sodium Chloride – CAS 7647-14-5 (%5)
Agar – CAS 9002-18-0 (%15)</t>
  </si>
  <si>
    <t>Soluma: Temiz havaya çıkarın, gerekirse yapay solunum uygulayın.
Cilt: Bol su ve sabunla yıkayın, kirli giysileri çıkarın.
Göz: Bol su ile en az 15 dakika yıkayın.
Yutma: Ağız suyla çalkalayın.</t>
  </si>
  <si>
    <t>Yanıcılık: Yanıcı değildir.
Uygun söndürücüler: Su spreyi, köpük, kuru kimyasal, CO₂.
Özel riskler: Yanma sırasında CO, CO₂, NOₓ açığa çıkabilir.
Ekipman: SCBA ve tam koruyucu giysi.</t>
  </si>
  <si>
    <t>Alanı havalandırın. Uygun koruyucu ekipman kullanın. Döküntü süpürülerek kapalı kaplarda toplanmalı. Gerekirse kuru kireç veya soda ile kaplanabilir.</t>
  </si>
  <si>
    <t>Kullanım: Göz, cilt ve giysiyle temastan kaçının. Çalışma sonrası eller yıkanmalı.
Depolama: Oda sıcaklığında, kapalı kaplarda saklanmalı.</t>
  </si>
  <si>
    <t>Göz: Koruyucu gözlük.
Cilt: Laboratuvar önlüğü ve kauçuk eldiven.
Solunum: Toz oluşumunda OSHA/MSHA onaylı respiratör.
Ventilasyon: Çeker ocak veya lokal egzoz sistemi.</t>
  </si>
  <si>
    <t>Form: Katı, toz
Renk: Açık kahverengi (tan)
Koku: Azot benzeri
Çözünürlük: Suda çözünür
Erime/Kaynama noktası: Veri yok
Yoğunluk: Veri yok
pH: Veri yok</t>
  </si>
  <si>
    <t>Kararlılık: Normal koşullarda kararlı.
Kaçınılması gereken koşullar: Toz oluşumu, aşırı ısı, nem.
Uyumsuz maddeler: Kuvvetli oksitleyiciler ve indirgen maddeler.
Bozunma ürünleri: CO, CO₂, NOₓ.</t>
  </si>
  <si>
    <t>LD₅₀/LC₅₀: Veri yok.
Göz/Cilt: Hafif irritasyon riski.
Soluma/Yutma: Hafif irritasyon riski.
Mutajenite/Kanserojenite: Veri yok, listelenmemiş.
Reprodüktif toksisite: Veri yok.</t>
  </si>
  <si>
    <t>Döküntüler süpürülerek kapalı kaplarda toplanmalı. Atıklar kimyasal yakma tesislerinde imha edilmeli. Federal, eyalet ve yerel yönetmeliklere uyulmalı.</t>
  </si>
  <si>
    <t>LITHIUM CHLORIDE_BIOMATIK(MERCK)</t>
  </si>
  <si>
    <t>Laboratuvar kimyasalı olarak ve çeşitli maddelerin üretiminde kullanılır. Endüstriyel ve araştırma amaçlıdır, tüketici kullanımına uygun değildir.</t>
  </si>
  <si>
    <t>Kimyasal adı: Lithium chloride
Formül: LiCl
Molekül ağırlığı: 42,39 g/mol
CAS No: 7447-41-8
EC No: 231-212-3
Saflık: ≤100%</t>
  </si>
  <si>
    <t>Sınıflandırma (CLP/GHS):
Acute Tox. Oral 4 – H302: Zararlı yutulursa
Skin Irrit. 2 – H315: Ciltte tahrişe neden olur
Eye Irrit. 2 – H319: Ciddi göz tahrişine neden olur</t>
  </si>
  <si>
    <t>Soluma: Temiz havaya çıkarın.
Cilt: Kirli giysileri çıkarın, bol su ile yıkayın.
Göz: Bol su ile yıkayın, kontakt lensleri çıkarın, göz doktoruna başvurun.
Yutma: 1–2 bardak su içirin, doktora başvurun.</t>
  </si>
  <si>
    <t>Yanıcılık: Yanıcı değildir.
Uygun söndürücüler: Ortama uygun söndürücüler (su spreyi, köpük, CO₂, kuru kimyasal).
Özel riskler: Yangında HCl gazı ve lityum oksit açığa çıkabilir.
Ekipman: SCBA ve tam koruyucu giysi.</t>
  </si>
  <si>
    <t>Toz solunmasından kaçının, alanı havalandırın.
Döküntüleri kuru olarak toplayın, kapalı kaplarda muhafaza edin.
Kanalizasyona karışmasını engelleyin.</t>
  </si>
  <si>
    <t>Kullanım: Toz oluşumundan kaçının, uygun havalandırma sağlayın.
Depolama: Kapalı, kuru ortamda, inert gaz altında saklanmalı (higroskopik).
Depolama sınıfı: TRGS 510 – 13 (Yanıcı olmayan katılar).</t>
  </si>
  <si>
    <t>DNEL (işçi, inhalasyon): 30 mg/m³ (akut), 10 mg/m³ (uzun süreli)
PNEC (su): 10,4 mg/l (tatlı su), 1,004 mg/l (deniz suyu)
Göz: Koruyucu gözlük.
Cilt: Nitril eldiven (0,11 mm, 480 dk dayanım).
Solunum: Toz oluşumunda P2 filtreli respiratör.
Çevresel önlem: Kanalizasyona karışmamalı.</t>
  </si>
  <si>
    <t>Form: Kristal
Renk: Renksiz
Koku: Kokusuz
Erime noktası: 605 °C
Kaynama noktası: 1360 °C
pH: ~6 (50 g/L, 20 °C)
Çözünürlük: 569 g/L (20 °C, tamamen çözünür)
Yoğunluk: 2,07 g/cm³ (20 °C)
Parlama noktası: Yok
Yanıcılık: Yanıcı değil</t>
  </si>
  <si>
    <t>Kararlılık: Normal koşullarda kararlı.
Kaçınılması gereken koşullar: Nem, aşırı ısı.
Uyumsuz maddeler: Alkali metaller, halojen bileşikleri, kuvvetli asitler.
Bozunma ürünleri: Yangında HCl gazı ve lityum oksit.</t>
  </si>
  <si>
    <t>LD₅₀ Oral (rat): 526 mg/kg
LC₅₀ Inhalasyon (rat, 4h): &gt;5,57 mg/L
LD₅₀ Dermal (rat): &gt;2000 mg/kg
Cilt: Şiddetli tahriş (tavşan, 24h)
Göz: Tahriş (tavşan)
Mutajenite: Ames testi negatif
Kanserojenite: Veri yok
Reprodüktif toksisite: Veri yok</t>
  </si>
  <si>
    <t>Döküntüler kuru olarak toplanmalı, kapalı kaplarda muhafaza edilmeli. Atıklar uygun bertaraf tesislerinde imha edilmeli. Kanalizasyona karışmamalı.</t>
  </si>
  <si>
    <t>LYMPHOCYTE SEPERATION MEDİUM</t>
  </si>
  <si>
    <t>Laboratuvar kimyasalı olarak kullanılır. Araştırma ve geliştirme veya in-vitro tanı amaçlıdır. Tedavi amaçlı veya insan üzerinde kullanım için uygun değildir.</t>
  </si>
  <si>
    <t>Ana bileşen: Sodium hydroxide (NaOH) – CAS 1310-73-2, EC 215-185-5
Konsantrasyon: ≥0,01 %
Kimyasal sınıflandırma: H290 (Metallere korozif olabilir), H315 (Cilt tahrişi), H319 (Ciddi göz tahrişi)</t>
  </si>
  <si>
    <t>Sınıflandırma (CLP/GHS):
H290: Metallere korozif olabilir
H315: Cilt tahrişi yapar
H319: Ciddi göz tahrişi yapar</t>
  </si>
  <si>
    <t>Soluma: Temiz havaya çıkarın, gerekirse yapay solunum uygulayın.
Cilt: Bol su ve sabunla yıkayın, tahriş devam ederse doktora başvurun.
Göz: Kontakt lensleri çıkarın, bol su ile yıkayın. İrritasyon devam ederse göz doktoruna gidin.
Yutma: 1–2 bardak su içirin, kusturmaya çalışmayın, doktora başvurun.</t>
  </si>
  <si>
    <t>Yanıcılık: Yanıcı değildir.
Uygun söndürücüler: Su spreyi, köpük, CO₂, kuru kimyasal.
Özel riskler: Yanma sırasında karbon oksitler, azot oksitler ve sülfür oksitleri açığa çıkabilir.
Ekipman: SCBA ve tam koruyucu giysi.</t>
  </si>
  <si>
    <t>Buhar ve aerosolleri solumaktan kaçının.
Alanı havalandırın, döküntüleri kuru olarak toplayın.
Kanalizasyona karışmasını engelleyin.</t>
  </si>
  <si>
    <t>Kullanım: Göz ve cilt temasından kaçının, uygun havalandırma sağlayın.
Depolama: +2 °C ile +25 °C arasında, ışık geçirmeyen kaplarda saklanmalı.
Uyumsuz maddeler: Su ile temasında yanıcı gaz çıkaran maddeler.</t>
  </si>
  <si>
    <t>Göz: Koruyucu gözlük.
Cilt: Nitril eldiven (0,11 mm, 480 dk dayanım).
Solunum: Normalde gerekmez, toz veya aerosol oluşumunda uygun respiratör.
Vücut: Koruyucu giysi.
Çevresel önlem: Kanalizasyona karışmamalı.</t>
  </si>
  <si>
    <t>Form: Sıvı (20 °C)
Renk/Koku: Veri yok
Çözünürlük: Tamamen suda çözünür
pH: Veri yok
Parlama noktası: Yok
Yoğunluk: Veri yok</t>
  </si>
  <si>
    <t>Kararlılık: Normal koşullarda kararlı.
Uyumsuz maddeler: Su ile temasında yanıcı gaz çıkaran maddeler.
Bozunma ürünleri: Yangında karbon oksitler, azot oksitler, sülfür oksitleri.</t>
  </si>
  <si>
    <t>Akut toksisite (karışım):
Oral: Ağız ve sindirim sisteminde tahriş
Soluma: Mukozalarda tahriş
Cilt: Tahriş yapar.
Göz: Ciddi tahriş yapar.
Mutajenite/Kanserojenite/Reprodüktif toksisite: Veri yok.</t>
  </si>
  <si>
    <t>Ürün: Kanalizasyona verilmemeli. Atıklar yerel mevzuata uygun şekilde bertaraf edilmeli.
Ambalaj: Kullanılmamış ürün gibi bertaraf edilmeli.</t>
  </si>
  <si>
    <t>MAGNESIUM CHLORIDE HEXAHYDRATE</t>
  </si>
  <si>
    <t>Laboratuvar kimyasalı olarak kullanılır. Araştırma ve üretim amaçlıdır. Tüketici kullanımına uygun değildir.</t>
  </si>
  <si>
    <t>Kimyasal adı: Magnesium chloride hexahydrate
Molekül formülü: MgCl₂·6H₂O
Molekül ağırlığı: 203.3 g/mol
CAS No: 7791-18-6
Saflık: 100%</t>
  </si>
  <si>
    <t>CLP/GHS’ye göre tehlikeli sınıflandırmaya girmez.
Potansiyel etkiler:
Göz: Hafif irritasyon yapabilir
Cilt: Hafif irritasyon yapabilir
Soluma: Zararlı olabilir
Yutma: Zararlı olabilir</t>
  </si>
  <si>
    <t>Soluma: Temiz havaya çıkarın.
Cilt: Bol su ile yıkayın.
Göz: Bol su ile yıkayın.
Yutma: Ağız suyla çalkalayın.</t>
  </si>
  <si>
    <t>Yanıcılık: Yanıcı değildir.
Uygun söndürücüler: Su spreyi, köpük, CO₂, kuru kimyasal.
Özel riskler: Yangında karbon oksitler ve magnezyum oksit açığa çıkabilir.
Ekipman: SCBA ve tam koruyucu giysi.</t>
  </si>
  <si>
    <t>Alanı havalandırın.
Uygun koruyucu ekipman kullanın.
Döküntüleri süpürerek kapalı kaplarda toplayın.</t>
  </si>
  <si>
    <t>Göz: Koruyucu gözlük.
Cilt: Eldiven ve laboratuvar önlüğü.
Solunum: Toz oluşumunda uygun respiratör.
Ventilasyon: Çeker ocak veya lokal egzoz sistemi.</t>
  </si>
  <si>
    <t>Form: Katı kristaller
Renk: Beyaz
Koku: Kokusuz
Erime noktası: 117 °C
Yoğunluk: 1.56
Çözünürlük: Suda çözünür
pH: 7.0</t>
  </si>
  <si>
    <t>Kararlılık: Normal koşullarda kararlı.
Kaçınılması gereken koşullar: Toz oluşumu.
Uyumsuz maddeler: Kuvvetli oksitleyiciler.
Bozunma ürünleri: Karbon oksitler ve magnezyum oksit.</t>
  </si>
  <si>
    <t>Akut toksisite: Veri yok.
Göz/Cilt: Hafif irritasyon riski.
Soluma/Yutma: Zararlı olabilir.
Mutajenite/Kanserojenite/Reprodüktif toksisite: Veri yok.</t>
  </si>
  <si>
    <t>Döküntüler süpürülerek kapalı kaplarda toplanmalı.
Atıklar kimyasal yakma tesislerinde imha edilmeli.
Federal, eyalet ve yerel yönetmeliklere uyulmalı.</t>
  </si>
  <si>
    <t>MAGNESIUM SULFATE ANHYDROUS</t>
  </si>
  <si>
    <t>Kimyasal adı: Magnesium sulfate anhydrous
Molekül formülü: MgSO₄
Molekül ağırlığı: 120.39 g/mol
CAS No: 7487-88-9
Saflık: 100%</t>
  </si>
  <si>
    <t>Form: Toz
Renk: Beyaz
Koku: Kokusuz
Yoğunluk: 1.678
Çözünürlük: Suda çözünür
Erime noktası: Veri yok
pH: Veri yok</t>
  </si>
  <si>
    <t>LD₅₀ Oral (rat): 8100 mg/kg
LD₅₀ Oral (mouse): 7600 mg/kg
Göz/Cilt: Hafif irritasyon riski.
Soluma/Yutma: Zararlı olabilir.
Mutajenite/Kanserojenite/Reprodüktif toksisite: Veri yok.</t>
  </si>
  <si>
    <t>MANGANESE II CHLORIDE MONOHYDRAT Sigma Aldrich</t>
  </si>
  <si>
    <t>Laboratuvar kimyasalı olarak ve maddelerin üretiminde kullanılır. Araştırma amaçlıdır, tüketici kullanımına uygun değildir.</t>
  </si>
  <si>
    <t>Kimyasal adı: Manganese(II) chloride tetrahydrate
Formül: Cl₂Mn·4H₂O
Molekül ağırlığı: 197.91 g/mol
CAS No: 13446-34-9
EC No: 231-869-6
Saflık: ≤100%</t>
  </si>
  <si>
    <t>Sınıflandırma (CLP/GHS):
Acute Tox. 3 – H301: Yutulursa toksik
Eye Dam. 1 – H318: Ciddi göz hasarına neden olur
STOT RE 2 – H373: Uzun süreli maruz kalmada beyin hasarına yol açabilir</t>
  </si>
  <si>
    <t>Soluma: Temiz havaya çıkarın, doktora başvurun.
Cilt: Kirli giysileri çıkarın, bol su ile yıkayın.
Göz: Bol su ile yıkayın, kontakt lensleri çıkarın, derhal göz doktoruna gidin.
Yutma: 1–2 bardak su içirin, hemen doktora başvurun. Tıbbi yardım yoksa kusturma ve aktif kömür uygulanabilir (bilinçli kişilerde).</t>
  </si>
  <si>
    <t>Yanıcılık: Yanıcı değildir.
Uygun söndürücüler: Ortama uygun söndürücüler (su spreyi, köpük, CO₂, kuru kimyasal).
Özel riskler: Yangında HCl gazı ve mangan oksitler açığa çıkabilir.
Ekipman: SCBA ve tam koruyucu giysi.</t>
  </si>
  <si>
    <t>Toz solunmasından kaçının, alanı havalandırın.
Döküntüleri dikkatlice toplayın, kapalı kaplarda muhafaza edin.
Kanalizasyona karışmasını engelleyin.</t>
  </si>
  <si>
    <t>Kullanım: Çeker ocak altında çalışın, toz solumayın.
Hijyen: Kirli giysileri değiştirin, çalışma sonrası ellerinizi yıkayın.
Depolama: Kapalı, kuru ve havalandırılmış ortamda saklanmalı. Yetkili kişiler erişebilmeli.
Depolama sınıfı: TRGS 510 – 6.1C (Toksik katılar).</t>
  </si>
  <si>
    <t>Göz: Sıkı oturan koruyucu gözlük.
Cilt: Nitril eldiven (0,11 mm, 480 dk dayanım).
Solunum: Toz oluşumunda P3 filtreli respiratör.
Vücut: Koruyucu giysi.
Çevresel önlem: Kanalizasyona karışmamalı.</t>
  </si>
  <si>
    <t>Form: Pul (flakes)
Renk: Veri yok
Koku: Kokusuz
Erime noktası: 58 °C
Kaynama noktası (susuz form): 1190 °C
Yoğunluk: 2.01 g/cm³ (20 °C)
pH: 3.5–6 (50 g/L, 25 °C)
Çözünürlük: 757 g/L (20 °C, tamamen çözünür)
Parlama noktası: Yok</t>
  </si>
  <si>
    <t>Kararlılık: Normal koşullarda kararlı.
Uyumsuz maddeler: Alkali metaller, çinko, asitler, hafif metaller.
Bozunma ürünleri: Yangında HCl gazı ve mangan oksitler.</t>
  </si>
  <si>
    <t>LD₅₀ Oral (rat): 236 mg/kg (toksik)
Cilt: Hafif tahriş (tavşan, 4h)
Göz: Ciddi hasar (tavşan)
Mutajenite: Ames testi ve diğer hücre testleri negatif
Kanserojenite: Veri yok
Reprodüktif toksisite: Veri yok
STOT RE: Uzun süreli maruz kalmada beyin hasarı riski</t>
  </si>
  <si>
    <t>Döküntüler dikkatlice toplanmalı, kapalı kaplarda muhafaza edilmeli.
Atıklar uygun bertaraf tesislerinde imha edilmeli.
Kanalizasyona karışmamalı.</t>
  </si>
  <si>
    <t>METHANOL_ISOLAB</t>
  </si>
  <si>
    <t>Laboratuvar kimyasalı olarak kullanılır. Araştırma amaçlıdır, endüstriyel üretimlerde de kullanılabilir. Tüketici kullanımına uygun değildir.</t>
  </si>
  <si>
    <t>Kimyasal adı: Methanol
Formül: CH₄O
CAS No: 67-56-1
EC No: 200-659-6
Saflık: ≤100%</t>
  </si>
  <si>
    <t>ınıflandırma (CLP/GHS):
Flam. Liq. 2 – H225: Kolay alevlenir sıvı ve buhar
Acute Tox. 3 (Oral, Dermal, Inhalasyon) – H301, H311, H331: Yutulursa, ciltle temas ederse veya solunursa toksik
STOT SE 1 – H370: Organlara zarar verir</t>
  </si>
  <si>
    <t>Soluma: Temiz havaya çıkarın, hemen doktora başvurun.
Cilt: Bol su ve sabunla yıkayın, kirli giysileri çıkarın.
Göz: Bol su ile yıkayın, irritasyon devam ederse göz doktoruna gidin.
Yutma: Ağız suyla çalkalayın, kusturmaya çalışmayın, hemen doktora başvurun. Büyük miktarlarda yutulursa hastaneye sevk edilmelidir.</t>
  </si>
  <si>
    <t>Yanıcılık: Yüksek derecede yanıcıdır.
Uygun söndürücüler: Alkol dayanıklı köpük, su spreyi, kuru kimyasal, CO₂.
Uygun olmayan söndürücüler: Basınçlı su jeti.
Özel riskler: Buharı hava ile patlayıcı karışım oluşturur. Yangında toksik gazlar açığa çıkabilir.
Ekipman: SCBA ve tam koruyucu giysi.</t>
  </si>
  <si>
    <t>Alanı havalandırın, kıvılcım ve ateş kaynaklarını uzaklaştırın.
Döküntüleri inert malzeme (kum, vermikülit) ile absorbe edin.
Kapalı kaplarda toplayın, kanalizasyona karışmasını engelleyin.</t>
  </si>
  <si>
    <t>Kullanım: Çeker ocak altında çalışın, elektrostatik yüklenmeye karşı önlem alın. Ateş ve kıvılcım kaynaklarından uzak tutun.
Depolama: Serin, kuru, iyi havalandırılmış ve yangına dayanıklı depoda saklanmalı. Kaplar sıkıca kapalı olmalı.
Uyumsuz maddeler: Oksitleyiciler, asitler, bazlar, halojenler.</t>
  </si>
  <si>
    <t>OEL (EU): 200 ppm (260 mg/m³) – 8 saat TWA
Göz: Koruyucu gözlük.
Cilt: Eldiven (nitril), koruyucu giysi.
Solunum: Yüksek konsantrasyonlarda uygun respiratör.
Çevresel önlem: Toprak ve suya karışmamalı.</t>
  </si>
  <si>
    <t>Form: Sıvı
Renk: Renksiz
Koku: Alkol benzeri
Kaynama noktası: ~65 °C
Parlama noktası: 11 °C
Yoğunluk: ~0.79 g/cm³
Çözünürlük: Suda tamamen çözünür</t>
  </si>
  <si>
    <t>Kararlılık: Normal koşullarda kararlı.
Kaçınılması gereken koşullar: Isı, kıvılcım, alev.
Uyumsuz maddeler: Oksitleyiciler, asitler, bazlar.
Bozunma ürünleri: Karbon monoksit, karbon dioksit.</t>
  </si>
  <si>
    <t>LD₅₀ Oral (rat): ~5628 mg/kg
Akut toksisite: Yutulursa, solunursa veya ciltle temas ederse toksik.
Belirtiler: Baş ağrısı, baş dönmesi, mide bulantısı, görme bozuklukları, körlük, merkezi sinir sistemi depresyonu.
STOT SE: Organlara zarar verir (özellikle göz ve sinir sistemi).</t>
  </si>
  <si>
    <t>Döküntüler inert malzeme ile absorbe edilmeli.
Atıklar uygun bertaraf tesislerinde imha edilmeli.
Kanalizasyona verilmemeli.</t>
  </si>
  <si>
    <t>Paraformaldehyde_afgbioscience</t>
  </si>
  <si>
    <t>Kimyasal üretim, analitik kimya, laboratuvar sentezi ve endüstriyel uygulamalarda kullanılır. Tüketici kullanımına uygun değildir.</t>
  </si>
  <si>
    <t>Kimyasal adı: Paraformaldehyde
Formül: (CH₂O)n
CAS No: 30525-89-4
EC No: 200-001-8
Saflık: &gt;95%</t>
  </si>
  <si>
    <t xml:space="preserve">Flam. Sol. 2 – H228: Yanıcı katı
Acute Tox. 4 – H302+H332: Yutulursa veya solunursa zararlı
Skin Irrit. 2 – H315: Cilt tahrişi yapar
Skin Sens. 1 – H317: Alerjik cilt reaksiyonuna neden olabilir
Eye Dam. 1 – H318: Ciddi göz hasarı yapar
STOT SE 3 – H335: Solunum yollarında tahrişe neden olabilir
Muta. 2 – H341: Genetik kusurlara yol açma şüphesi
Carc. 1B – H350: Kansere neden olabilir
</t>
  </si>
  <si>
    <t>Soluma: Temiz havaya çıkarın, semptomlar devam ederse doktora başvurun.
Cilt: Kirli giysileri çıkarın, bol su ve sabunla yıkayın.
Göz: Bol su ile 10–30 dakika yıkayın, kontakt lensleri çıkarın, derhal göz doktoruna gidin.
Yutma: Kusturmaya çalışmayın, hemen doktora başvurun.</t>
  </si>
  <si>
    <t>Yanıcılık: Yanıcı katı.
Uygun söndürücüler: Alkol dayanıklı köpük, CO₂, kuru kimyasal, su spreyi.
Uygun olmayan söndürücüler: Basınçlı su jeti.
Özel riskler: Yangında CO, CO₂ ve toksik gazlar açığa çıkabilir.
Ekipman: SCBA ve tam koruyucu giysi.</t>
  </si>
  <si>
    <t>Alanı havalandırın, ateş kaynaklarını uzaklaştırın.
Toz solumaktan kaçının, cilt ve göz temasını engelleyin.
Döküntüleri mekanik olarak toplayın, kapalı kaplarda muhafaza edin.
Kanalizasyona karışmasını engelleyin.</t>
  </si>
  <si>
    <t>Kullanım: Çeker ocak altında çalışın, toz solumayın. Antistatik giysi ve kıvılcım çıkarmayan aletler kullanın.
Depolama: Kapalı, serin, kuru ve havalandırılmış ortamda saklanmalı. Güneş ışığından uzak tutulmalı. Kaplar sıkıca kapalı olmalı.</t>
  </si>
  <si>
    <t>Göz: Koruyucu gözlük veya yüz siperi.
Cilt: Nitril eldiven, koruyucu giysi.
Solunum: Toz oluşumunda uygun respiratör.
Çevresel önlem: Toprak ve suya karışmamalı.</t>
  </si>
  <si>
    <t>Form: Katı
Renk: Beyaz
Koku: Karakteristik
Erime noktası: 120–170 °C
Parlama noktası: 70 °C
Yoğunluk: 1.4 g/cm³ (20 °C)
Çözünürlük: 250 g/L (suda)
pH: 4–4.5 (seyreltilmemiş)
Patlama limitleri: Alt: %7, Üst: %73
Kendiliğinden tutuşma sıcaklığı: ~300 °C</t>
  </si>
  <si>
    <t>Kararlılık: Normal koşullarda kararlı.
Kaçınılması gereken koşullar: Isı, kıvılcım, alev.
Uyumsuz maddeler: Kuvvetli asitler, bazlar, oksitleyiciler.
Bozunma ürünleri: CO ve CO₂.</t>
  </si>
  <si>
    <t>LD₅₀ Oral (rat): 592 mg/kg
LD₅₀ Dermal (rabbit): 10,000 mg/kg
Cilt: Tahriş ve alerjik reaksiyon riski.
Göz: Ciddi hasar.
Soluma: Solunum yollarında tahriş.
Mutajenite: Genetik kusurlara yol açma şüphesi.
Karsinojenite: Kansere neden olabilir.</t>
  </si>
  <si>
    <t>Atıklar yerel ve ulusal mevzuata uygun şekilde bertaraf edilmeli.
Kanalizasyona verilmemeli.
Ambalajlar temizlendikten sonra geri dönüşüme gönderilebilir veya yakılarak enerji üretiminde kullanılabilir.</t>
  </si>
  <si>
    <t>POLOXAMER 188 10% SOLUTION</t>
  </si>
  <si>
    <t>Yalnızca araştırma amaçlı kullanılır. Laboratuvar reaktifi olarak bilimsel araştırma ve geliştirme süreçlerinde kullanılır. Tüketim amaçlı değildir.</t>
  </si>
  <si>
    <t>Kimyasal adı: Poloxamer 188 (%10 çözeltisi)
CAS No: Veri yok (karışım)
Sağlığa zararlı kabul edilen bileşen yoktur.</t>
  </si>
  <si>
    <t>Soluma: Normal kullanımda risk beklenmez. Gerekirse doktora başvurun.
Cilt: Su ile durulayın.
Göz: Su ile birkaç dakika yıkayın, kontakt lensleri çıkarın.
Yutma: Normal kullanımda risk beklenmez. Rahatsızlık olursa doktora başvurun.</t>
  </si>
  <si>
    <t>Yanıcılık: Normal koşullarda yanıcı değildir.
Uygun söndürücüler: Su spreyi, CO₂, köpük, kuru kimyasal.
Özel riskler: Bilinmiyor.
Ekipman: Standart kimyasal yangın prosedürleri uygulanmalı.</t>
  </si>
  <si>
    <t>Yeterli havalandırma sağlayın.
Kişisel koruyucu ekipman kullanın.
Döküntüleri inert emici madde ile toplayın.
Kanalizasyona karışmasını engelleyin.</t>
  </si>
  <si>
    <t>Kullanım: Özel elleçleme tavsiyesi yoktur, ancak koruyucu ekipman kullanılmalı.
Depolama: Kuru, serin ve iyi havalandırılmış ortamda, etiketli kaplarda saklanmalı.</t>
  </si>
  <si>
    <t>Göz: Koruyucu gözlük.
Cilt: Uygun eldiven ve koruyucu giysi.
Solunum: Yetersiz havalandırmada uygun respiratör.
Hijyen: Çalışma sonrası eller yıkanmalı, yiyecek ve içeceklerden uzak tutulmalı.</t>
  </si>
  <si>
    <t>Form: Sıvı
Renk/Koku: Veri yok
pH: 6–8
Çözünürlük: Veri yok
Erime/Kaynama noktası: Veri yok
Parlama noktası: Veri yok
Yoğunluk: Veri yok</t>
  </si>
  <si>
    <t>Kararlılık: Normal koşullarda kararlı.
Uyumsuz maddeler: Bilinmiyor.
Bozunma ürünleri: Normal kullanımda yok.</t>
  </si>
  <si>
    <t>Akut toksisite verisi yok.
Cilt ve göz tahrişi için sınıflandırma yapılmamış.
Mutajenite, kanserojenite ve üreme toksisitesi için veri yok.
Endokrin bozucu özellik içermez.</t>
  </si>
  <si>
    <t>Atık üretimi mümkün olduğunca azaltılmalı.
Kaplar ve kalıntılar uygun bertaraf tesislerinde imha edilmeli.
Yerel ve ulusal mevzuata uyulmalı.</t>
  </si>
  <si>
    <t>POLYETHYLENE GLYCOL Sigma Aldrick</t>
  </si>
  <si>
    <t>Kimyasal sentez için kullanılır. Araştırma ve laboratuvar amaçlıdır. Tüketici kullanımına uygun değildir.</t>
  </si>
  <si>
    <t>Kimyasal adı: Polyethylene glycol 4000
Formül: (C₂H₄O)nH₂O
CAS No: 25322-68-3
EC No: 500-038-2
Saflık: ≥95%</t>
  </si>
  <si>
    <t>Soluma: Temiz havaya çıkarın.
Cilt: Kirli giysileri çıkarın, bol su ile yıkayın.
Göz: Bol su ile yıkayın, kontakt lensleri çıkarın.
Yutma: 1–2 bardak su içirin, rahatsızlık olursa doktora başvurun</t>
  </si>
  <si>
    <t>Yanıcılık: Yanıcıdır.
Uygun söndürücüler: Su, köpük, CO₂, kuru kimyasal.
Özel riskler: Yoğun ısıda hava ile patlayıcı karışım oluşturabilir. Yangında toksik gazlar açığa çıkabilir.
Ekipman: SCBA ve tam koruyucu giysi.</t>
  </si>
  <si>
    <t>Buhar ve aerosolleri solumayın.
Döküntüleri sıvı emici malzeme ile toplayın.
Kanalizasyona karışmasını engelleyin.</t>
  </si>
  <si>
    <t>Kullanım: Çalışma sırasında uygun havalandırma sağlayın.
Depolama: Kapalı kaplarda, serin ve kuru ortamda saklanmalı.
Depolama sınıfı: TRGS 510 – 10 (Yanıcı sıvılar).</t>
  </si>
  <si>
    <t>Göz: Koruyucu gözlük.
Cilt: Nitril eldiven (0,11 mm, 480 dk dayanım).
Solunum: Normalde gerekmez, aerosol oluşumunda uygun respiratör.
Çevresel önlem: Kanalizasyona karışmamalı.</t>
  </si>
  <si>
    <t>Form: Katı (beyaz)
Erime noktası: 26–32 °C
Kaynama noktası: 205.7 °C
Parlama noktası: 138.6 °C
Kendiliğinden tutuşma sıcaklığı: 360 °C
Yoğunluk: 1.116 g/cm³ (20 °C)
Çözünürlük: 256 g/L (25 °C, tamamen çözünür)
Log Pow: -0.698 (biyobirikim beklenmez)
Buhar basıncı: &lt;0.1 hPa (20 °C)</t>
  </si>
  <si>
    <t>Kararlılık: Normal koşullarda kararlı.
Kaçınılması gereken koşullar: Yoğun ısı.
Uyumsuz maddeler: Kuvvetli oksitleyiciler.
Bozunma ürünleri: Yangında toksik gazlar.</t>
  </si>
  <si>
    <t>LD₅₀ Oral (rat): &gt;2000 mg/kg
LD₅₀ Dermal (rat): &gt;2000 mg/kg
Cilt: Tahriş yapmaz.
Göz: Tahriş yapmaz.
Mutajenite: Ames testi negatif.
Kanserojenite/Reprodüktif toksisite: Veri yok.</t>
  </si>
  <si>
    <t>Atıklar uygun bertaraf tesislerinde imha edilmeli.
Kanalizasyona verilmemeli.</t>
  </si>
  <si>
    <t>POLYETHYLENIMINE BRANCHED</t>
  </si>
  <si>
    <t>Laboratuvar kimyasalı ve madde üretiminde kullanılır. Araştırma amaçlıdır, tüketici kullanımına uygun değildir.</t>
  </si>
  <si>
    <t>Kimyasal adı: Polyethylenimine, branched
Formül: H(NHCH₂CH₂)nNH₂
CAS No: 9002-98-6
Saflık: ≤100%</t>
  </si>
  <si>
    <t>Sınıflandırma (CLP/GHS):
Acute Tox. 4 – H302: Yutulursa zararlı
Eye Irrit. 2 – H319: Ciddi göz tahrişi yapar
Skin Sens. 1 – H317: Alerjik cilt reaksiyonuna neden olabilir
Aquatic Chronic 2 – H411: Su ortamında uzun süreli zararlı etki</t>
  </si>
  <si>
    <t>Soluma: Temiz havaya çıkarın.
Cilt: Kirli giysileri çıkarın, bol su ile yıkayın.
Göz: Bol su ile yıkayın, kontakt lensleri çıkarın, göz doktoruna gidin.
Yutma: 1–2 bardak su içirin, doktora başvurun.</t>
  </si>
  <si>
    <t>Yanıcılık: Yanıcıdır.
Uygun söndürücüler: Su, köpük, CO₂, kuru kimyasal.
Özel riskler: Yangında karbon oksitler ve azot oksitler açığa çıkabilir.
Ekipman: SCBA ve tam koruyucu giysi.</t>
  </si>
  <si>
    <t>Buhar ve aerosolleri solumayın.
Döküntüleri sıvı emici ve nötralize edici malzeme ile toplayın.
Kanalizasyona karışmasını engelleyin</t>
  </si>
  <si>
    <t>Kullanım: Argon atmosferinde elleçlenmeli.
Hijyen: Kirli giysiler hemen değiştirilmelidir.
Depolama: Kapalı kaplarda, argon altında saklanmalı.
Depolama sınıfı: TRGS 510 – 10 (Yanıcı sıvılar).</t>
  </si>
  <si>
    <t>Göz: Koruyucu gözlük.
Cilt: Nitril eldiven (0,11 mm, 480 dk dayanım).
Solunum: Buhar/aerosol oluşumunda ABEK filtreli respiratör.
Çevresel önlem: Kanalizasyona karışmamalı.</t>
  </si>
  <si>
    <t>Form: Viskoz sıvı
Renk: Renksiz
Erime noktası: 54–59 °C
Kaynama noktası: ~250 °C
Parlama noktası: &gt;110 °C
Kendiliğinden tutuşma sıcaklığı: &gt;200 °C
Yoğunluk: 1.03 g/cm³ (25 °C)
Viskozite: 15,000 mPa·s (50 °C)
Çözünürlük: Suda çözünebilir</t>
  </si>
  <si>
    <t>Kararlılık: Normal koşullarda kararlı.
Uyumsuz maddeler: Kuvvetli oksitleyiciler.
Bozunma ürünleri: Yangında karbon ve azot oksitleri.</t>
  </si>
  <si>
    <t>LD₅₀ Oral (rat): &gt;500 – &lt;2000 mg/kg
Cilt: Tahriş yapmaz.
Göz: Tahriş edici.
Cilt hassasiyeti: Alerjik reaksiyon riski.
Mutajenite/Kanserojenite/Reprodüktif toksisite: Veri yok.</t>
  </si>
  <si>
    <t>tıklar uygun bertaraf tesislerinde imha edilmeli.
Kanalizasyona verilmemeli.</t>
  </si>
  <si>
    <t>Polyethylenimine, branched glass</t>
  </si>
  <si>
    <t>Kimyasal adı: Ethylenediamine, ethyleneimine polymer (branched polyethylenimine)
CAS No: 25987-06-8
Saflık: ≥90%</t>
  </si>
  <si>
    <t xml:space="preserve">Sınıflandırma (CLP/GHS):
Acute Tox. 4 – H302: Yutulması halinde zararlıdır
Eye Dam. 1 – H318: Ciddi göz hasarına yol açar
</t>
  </si>
  <si>
    <t>Soluma: Temiz havaya çıkarın.
Cilt: Kirli giysileri çıkarın, bol su ile yıkayın.
Göz: Bol su ile yıkayın, kontakt lensleri çıkarın, derhal göz doktoruna gidin.
Yutma: 1–2 bardak su içirin, doktora başvurun.</t>
  </si>
  <si>
    <t>Kullanım: Çalışma sırasında uygun havalandırma sağlayın.
Hijyen: Kirli giysiler hemen değiştirilmelidir.
Depolama: Kapalı kaplarda, serin ve kuru ortamda saklanmalı.
Depolama sınıfı: TRGS 510 – 10 (Yanıcı sıvılar).
Ambalaj: Polietilen tambur veya kehribar cam şişe.</t>
  </si>
  <si>
    <t>Göz: Koruyucu gözlük.
Cilt: Koruyucu giysi, uygun eldiven.
Solunum: Buhar/aerosol oluşumunda ABEK filtreli respiratör.
Çevresel önlem: Kanalizasyona karışmamalı.</t>
  </si>
  <si>
    <t>Form: Sıvı
Renk: Açık sarı
pH: ~11 (10 g/L)
Erime noktası: -20 °C
Parlama noktası: 180 °C
Yoğunluk: 1.05 g/cm³ (25 °C)
Viskozite: 5000 mPa·s (20 °C)
Çözünürlük: Suda çözünebilir</t>
  </si>
  <si>
    <t>Kararlılık: Normal koşullarda kararlı.
Kaçınılması gereken koşullar: Higroskopik, güçlü ısıtma.
Uyumsuz maddeler: Kuvvetli oksitleyiciler.
Bozunma ürünleri: Yangında toksik gazlar.</t>
  </si>
  <si>
    <t>LD₅₀ Oral (rat): 300–2000 mg/kg
Cilt: Tahriş yapmaz.
Göz: Ciddi hasar riski.
Mutajenite/Kanserojenite/Reprodüktif toksisite: Veri yok.</t>
  </si>
  <si>
    <t>Atıklar yerel ve ulusal mevzuata uygun şekilde bertaraf edilmeli.
Kaplar temizlenmemişse ürünle aynı şekilde işlem görmeli.</t>
  </si>
  <si>
    <t>PONCEAU S</t>
  </si>
  <si>
    <t>Laboratuvar kimyasalı olarak kullanılır. Araştırma amaçlıdır, tüketici kullanımına uygun değildir.</t>
  </si>
  <si>
    <t>Kimyasal adı: Ponceau S
Formül: C₂₂H₁₂N₄O₁₃S₄Na₄
Molekül ağırlığı: 760.30 g/mol
CAS No: 6226-79-5
Saflık: 100%</t>
  </si>
  <si>
    <t>CLP/GHS’ye göre tehlikeli sınıflandırmaya girmez.
Potansiyel etkiler:
Göz: Hafif irritasyon yapabilir
Cilt: Hafif irritasyon yapabilir
Soluma: İrritasyona yol açabilir
Yutma: Zararlı olabilir</t>
  </si>
  <si>
    <t>Soluma: Temiz havaya çıkarın, gerekirse oksijen verin.
Cilt: Bol su ve sabunla yıkayın, kirli giysileri çıkarın.
Göz: En az 15 dakika bol su ile yıkayın.
Yutma: Ağız suyla çalkalayın, kusturmaya çalışmayın.</t>
  </si>
  <si>
    <t>Yanıcılık: Yanıcı değildir.
Uygun söndürücüler: Su spreyi, köpük, CO₂, kuru kimyasal.
Özel riskler: Toz halinde havada patlayıcı karışım oluşturabilir. Yangında toksik gazlar (NOx, CO, CO₂) açığa çıkabilir.
Ekipman: SCBA ve tam koruyucu giysi.</t>
  </si>
  <si>
    <t>Alanı havalandırın.
Uygun koruyucu ekipman kullanın.
Döküntüleri süpürerek kapalı kaplarda toplayın.
Toz oluşumunu engelleyin.</t>
  </si>
  <si>
    <t>Kullanım: Göz, cilt ve giysiyle temastan kaçının. Çalışma sonrası eller yıkanmalı. Toz oluşumunu minimize edin.
Depolama: Oda sıcaklığında, kapalı kaplarda saklanmalı.</t>
  </si>
  <si>
    <t>Form: Katı (kahverengi toz)
Koku: Kokusuz
Çözünürlük: Suda hafif çözünür
Erime/Kaynama noktası: Veri yok
pH: Veri yok</t>
  </si>
  <si>
    <t>Kararlılık: Normal koşullarda kararlı.
Kaçınılması gereken koşullar: Toz oluşumu, aşırı ısı.
Uyumsuz maddeler: Kuvvetli oksitleyiciler.
Bozunma ürünleri: NOx, CO, CO₂.</t>
  </si>
  <si>
    <t>LD₅₀/LC₅₀: Veri yok.
Kanserojenite: ACGIH, IARC, NTP, OSHA tarafından listelenmemiştir.
Mutajenite/Reprodüktif toksisite: Veri yok.</t>
  </si>
  <si>
    <t>Atıklar kimyasal yakma tesislerinde imha edilmeli.
Federal, eyalet ve yerel yönetmeliklere uyulmalı.</t>
  </si>
  <si>
    <t>POTASSIUM ACETATE</t>
  </si>
  <si>
    <t>Kimyasal adı: Potassium Acetate
Formül: C₂H₃KO₂
Molekül ağırlığı: 98.15 g/mol
CAS No: 127-08-2
Saflık: 100%</t>
  </si>
  <si>
    <t>CLP/GHS’ye göre tehlikeli sınıflandırmaya girmez.
Potansiyel etkiler:
Göz: Hafif irritasyon yapabilir
Cilt: Hafif irritasyon yapabilir
Soluma: Solunum yollarında irritasyon yapabilir
Yutma: Büyük miktarlarda zararlı olabilir</t>
  </si>
  <si>
    <t>Soluma: Temiz havaya çıkarın, semptomlar devam ederse doktora başvurun.
Cilt: Bol su ile yıkayın, irritasyon devam ederse doktora gidin.
Göz: Bol su ile yıkayın, irritasyon devam ederse doktora gidin.
Yutma: Ağız suyla çalkalayın, kusturmaya çalışmayın, semptom varsa doktora başvurun.</t>
  </si>
  <si>
    <t>Yanıcılık: Yanıcı değildir.
Uygun söndürücüler: Su spreyi, köpük, CO₂, kuru kimyasal.
Özel riskler: Yangında fosfor oksitleri açığa çıkabilir.
Ekipman: SCBA ve tam koruyucu giysi.</t>
  </si>
  <si>
    <t>Form: Katı (beyaz toz)
Koku: Asetik koku
Erime noktası: 292 °C
Yoğunluk: 1.8 g/cm³
Çözünürlük: Suda çözünür
pH: 6.5–9.0 (5% çözelti)</t>
  </si>
  <si>
    <t>Kararlılık: Normal koşullarda kararlı.
Kaçınılması gereken koşullar: Toz oluşumu.
Uyumsuz maddeler: Kuvvetli oksitleyiciler.
Bozunma ürünleri: Fosfor oksitleri.</t>
  </si>
  <si>
    <t>LD₅₀ Oral (rat): 3250 mg/kg
Cilt/Göz: Hafif irritasyon riski.
Kanserojenite: ACGIH, IARC, NTP, OSHA tarafından listelenmemiştir.
Mutajenite/Reprodüktif toksisite: Veri yok.</t>
  </si>
  <si>
    <t>POTASSIUM CHLORIDE</t>
  </si>
  <si>
    <t>Kimyasal adı: Potassium chloride
Formül: KCl
Molekül ağırlığı: 75.54 g/mol
CAS No: 7447-40-7
Saflık: 100%</t>
  </si>
  <si>
    <t>CLP/GHS’ye göre tehlikeli sınıflandırmaya girmez.
Potansiyel etkiler:
Göz: Hafif irritasyon yapabilir
Cilt: Hafif irritasyon yapabilir
Soluma: İrritasyona yol açabilir
Yutma: Sindirim sisteminde irritasyon yapabilir</t>
  </si>
  <si>
    <t>Soluma: Temiz havaya çıkarın, gerekirse oksijen verin.
Cilt: Bol su ve sabunla yıkayın, kirli giysileri çıkarın.
Göz: En az 15 dakika bol su ile yıkayın, doktora başvurun.
Yutma: Ağız suyla çalkalayın, semptom varsa doktora gidin.</t>
  </si>
  <si>
    <t>Yanıcılık: Yanıcı değildir.
Uygun söndürücüler: Su spreyi, köpük, CO₂, kuru kimyasal.
Özel riskler: Yangında potasyum oksitleri ve klor gazı açığa çıkabilir.
Ekipman: SCBA ve tam koruyucu giysi.</t>
  </si>
  <si>
    <t>Form: Katı kristaller
Renk: Beyaz, kokusuz
Erime noktası: 773 °C (1500 °C’de süblimleşir)
Yoğunluk: 1.987 g/cm³
Çözünürlük: Suda çözünür
pH: Veri yok</t>
  </si>
  <si>
    <t>Kararlılık: Normal koşullarda kararlı.
Kaçınılması gereken koşullar: Toz oluşumu, nem, aşırı ısı.
Uyumsuz maddeler: Bromid triflorür.
Bozunma ürünleri: Potasyum oksitleri, klor gazı.</t>
  </si>
  <si>
    <t>POTASSIUM HYDROGEN CARBONATE</t>
  </si>
  <si>
    <t>Laboratuvar araştırmaları için kullanılır. İlaç veya evsel kullanım için uygun değildir.</t>
  </si>
  <si>
    <t>Kimyasal adı: Potassium hydrogen carbonate
Formül: CHKO₃
Molekül ağırlığı: 100.12 g/mol
CAS No: 298-14-6
Saflık: ≥95%</t>
  </si>
  <si>
    <t>Sınıflandırma (CLP/GHS):
Acute Tox. 4 – H302: Yutulursa zararlı
Skin Irrit. 2 – H315: Cilt tahrişi yapar
Eye Irrit. 2A – H319: Ciddi göz tahrişi yapar
STOT SE 3 – H335: Solunum yollarında tahrişe neden olabilir</t>
  </si>
  <si>
    <t>Soluma: Temiz havaya çıkarın, gerekirse suni solunum uygulayın.
Cilt: Kirli giysileri çıkarın, bol su ve sabunla yıkayın.
Göz: En az 15 dakika bol su ile yıkayın, doktora başvurun.
Yutma: Kusturmaya çalışmayın, ağız suyla çalkalayın, doktora başvurun.</t>
  </si>
  <si>
    <t>Yanıcılık: Yanıcı değildir.
Uygun söndürücüler: Alkol dayanıklı köpük, kuru kimyasal, CO₂.
Özel riskler: Yangında toksik gazlar (CO, CO₂, metal oksitler) açığa çıkabilir.
Ekipman: SCBA ve tam koruyucu giysi.</t>
  </si>
  <si>
    <t>Buhar ve toz solumaktan kaçının.
Alanı havalandırın, döküntüleri kum veya vermikülit ile absorbe edin.
Kanalizasyona karışmasını engelleyin.</t>
  </si>
  <si>
    <t>Kullanım: Toz oluşumunu engelleyin, cilt ve göz temasından kaçının.
Depolama: Kapalı kaplarda, kuru ve havalandırılmış ortamda saklanmalı.</t>
  </si>
  <si>
    <t>Göz: Koruyucu gözlük veya yüz siperi.
Cilt: Eldiven ve koruyucu giysi.
Solunum: Toz oluşumunda N100/P3 filtreli respiratör.
Çevresel önlem: Kanalizasyona karışmamalı.</t>
  </si>
  <si>
    <t>Form: Beyaz toz veya kristal
Koku: Veri yok
Erime/Kaynama noktası: Veri yok
Parlama noktası: Veri yok
Yoğunluk: Veri yok
Çözünürlük: Veri yok
pH: Veri yok</t>
  </si>
  <si>
    <t>Kararlılık: Normal koşullarda kararlı.
Kaçınılması gereken koşullar: Güçlü ısıtma.
Uyumsuz maddeler: Kuvvetli oksitleyiciler.
Bozunma ürünleri: CO, CO₂, metal oksitler.</t>
  </si>
  <si>
    <t>LD₅₀ Oral (rat): Veri yok, ancak yutulması halinde zararlı.
Cilt: Tahriş yapabilir.
Göz: Ciddi tahriş yapabilir.
Solunum: İrritasyona yol açabilir.
Kanserojenite/Mutajenite/Reprodüktif toksisite: Veri yok.</t>
  </si>
  <si>
    <t>Atıklar yetkili bertaraf tesislerinde imha edilmeli.
Kaplar resmi yönetmeliklere uygun şekilde bertaraf edilmeli.</t>
  </si>
  <si>
    <t>POTASSIUM HYDROXIDE</t>
  </si>
  <si>
    <t>POTASSIUM PHOSPHATE MONOBASIC</t>
  </si>
  <si>
    <t>Kimyasal adı: Potassium phosphate monobasic
Formül: KH₂PO₄
Molekül ağırlığı: 136.1 g/mol
CAS No: 7778-77-0
Saflık: 100%</t>
  </si>
  <si>
    <t>Form: Katı (beyaz toz)
Koku: Kokusuz
Çözünürlük: Suda çözünür
Erime/Kaynama noktası: Veri yok
pH: Veri yok</t>
  </si>
  <si>
    <t>LD₅₀/LC₅₀: Veri yok.
Cilt/Göz: Hafif irritasyon riski.
Kanserojenite: ACGIH, IARC, NTP, OSHA tarafından listelenmemiştir.
Mutajenite/Reprodüktif toksisite: Veri yok.</t>
  </si>
  <si>
    <t>POTASSIUM SULFATE</t>
  </si>
  <si>
    <t>PROLONG GOLD ANTIFADE  REAGENT WITH DAPI</t>
  </si>
  <si>
    <t>PROLONG GOLD ANTIFADE  REAGENT</t>
  </si>
  <si>
    <t>SAPONIN</t>
  </si>
  <si>
    <t>Laboratuvar kimyasalı olarak kullanılır.
Hücre membranı permeabilizasyonu, biyokimyasal çalışmalar ve araştırma amaçlı kullanımlar.
Endüstriyel olarak madde üretiminde ara ürün olarak kullanılabilir.</t>
  </si>
  <si>
    <t>Madde: Saponin (white)
CAS: 8047-15-2
Saflık: ≤ %100
Kimyasal sınıf: Doğal glikozit bileşikleri</t>
  </si>
  <si>
    <t>Eye Irrit. 2
STOT SE 3 (Solunum sistemi)
H Kodları:
H319: Ciddi göz tahrişine yol açar.
H335: Solunum yolu tahrişine yol açabilir.</t>
  </si>
  <si>
    <t>Soluma:
Temiz havaya çıkarılır. Rahatsızlık varsa doktora başvurulur.
Cilt Teması:
Kirli kıyafetler çıkarılır, bol su ile yıkanır.
Göz Teması:
En az 15 dakika bol su ile yıkanır. Kontakt lens çıkarılır. Göz doktoruna başvurulur.
Yutma:
Bilinci açık ise su içirilir (maks. 2 bardak). Doktora başvurulur.</t>
  </si>
  <si>
    <t>Uygun Söndürücüler:
Su
Köpük
CO₂
Kuru kimyevi toz
Tehlikeler:
Yanıcı katı
Yangında zararlı gaz/buhar oluşabilir
Toz patlama riski olabilir</t>
  </si>
  <si>
    <t>Toz oluşumu engellenmeli
Ortam havalandırılmalı
Kanalizasyona gitmesi engellenmeli
Kuru şekilde toplanmalı
Uygun atık kabına alınmalı</t>
  </si>
  <si>
    <t>Kullanım:
Toz solunmamalı
İyi havalandırılmış ortamda çalışılmalı
Depolama:
Sıkıca kapalı kapta
Kuru ortamda
TRGS 510’a göre Depolama Sınıfı: 11 (Yanıcı Katılar)</t>
  </si>
  <si>
    <t>Göz Koruma: EN 166 uygun koruyucu gözlük
El Koruma: Nitril eldiven (≥0,11 mm, 480 dk geçirimsizlik)
Solunum Koruma: Toz oluşuyorsa P2 filtreli maske
Vücut Koruma: Koruyucu iş kıyafeti</t>
  </si>
  <si>
    <t>Fiziksel hali: Toz
Renk: Sarı
Yoğunluk: 1,22 g/cm³ (20°C)
Suda çözünürlük: 2.000 g/L (tam çözünür)
Otomatik tutuşma: &gt;300°C
Buhar basıncı: &lt;0,01 hPa
Oksitleyici özellik: Yok</t>
  </si>
  <si>
    <t>Normal koşullarda stabildir.
İnce toz halinde patlama potansiyeli olabilir.
Güçlü oksitleyicilerle şiddetli reaksiyon verebilir.</t>
  </si>
  <si>
    <t>LD50 Oral (Rat): &gt; 5.000 mg/kg
LD50 Dermal (Rat): &gt; 2.000 mg/kg
LC50 Soluma: &gt; 0,45 mg/L
Gözde ciddi tahriş yapar.
Solunum yolu irritanı.
Cilt tahrişi yapmaz.
Sensitizasyon negatif.
Endokrin bozucu değildir.</t>
  </si>
  <si>
    <t>Kuru olarak toplanmalı
Toz oluşumu önlenmeli
Tehlikeli atık yönetmeliğine uygun bertaraf edilmeli
Kanalizasyona verilmemeli
Lisanslı atık bertaraf tesisine gönderilmeli</t>
  </si>
  <si>
    <t>SDS.DMSO_CRYOPUR</t>
  </si>
  <si>
    <t>İnsan hücrelerinin kriyoprezervasyonu (dondurularak saklanması) için kriyoprotektan.
Hücre transplantasyonu öncesi kullanılır.
Laboratuvar ve biyomedikal uygulamalar.</t>
  </si>
  <si>
    <t>Kimyasal Adı: Dimetil Sülfoksit
CAS: 67-68-5
Oran: %75–100
Saf madde</t>
  </si>
  <si>
    <t>Combustible Liquid (Yanıcı sıvı)
Skin Irrit. 2
Eye Irrit. 2
H Kodları:
H227: Yanıcı sıvı
H315: Cilt tahrişine yol açar
H319: Ciddi göz tahrişine yol açar</t>
  </si>
  <si>
    <t>Soluma:
Temiz havaya çıkarılır. Solunum düzensizse tıbbi müdahale.
Göz Teması:
En az 15 dakika bol su ile yıkanır. Tıbbi yardım alınır.
Cilt Teması:
Kirli kıyafet çıkarılır. Sabun ve su ile yıkanır.
Yutma:
Kusturulmaz. Derhal tıbbi yardım alınır.</t>
  </si>
  <si>
    <t>Söndürücüler:
Alkol dirençli köpük
CO₂
Kuru kimyevi toz
Su spreyi
Yangında Açığa Çıkabilecek Gazlar:
Sülfür dioksit
Formaldehit
Dimetil sülfid</t>
  </si>
  <si>
    <t>Tutuşturucu kaynaklar uzaklaştırılır
Alan havalandırılır
Kanalizasyona karışması engellenir
İnert emici malzeme ile toplanır
Atık arıtma sistemine yönlendirilir</t>
  </si>
  <si>
    <t>Kullanım:
Isı, kıvılcım ve açık alevden uzak tutulmalı
Buharı solunmamalı
Cilt ve göz temasından kaçınılmalı
Depolama:
Serin ve iyi havalandırılmış ortam
18°C altında donar
150°C üzeri ısıtmadan kaçınılmalı
Uyuşmaz maddelerden uzak:
Güçlü oksitleyiciler
Asit klorürler
Alkali metaller</t>
  </si>
  <si>
    <t>Solunum:
Organik buhar kartuşlu maske veya SCBA
Göz:
Yan kapaklı gözlük / yüz siperi
El:
Nitril veya butil kauçuk eldiven
Vücut:
Kimyasal dayanımlı önlük, çizme
Mühendislik Kontrolü:
Lokal egzost havalandırma</t>
  </si>
  <si>
    <t>Görünüm: Renksiz sıvı
Koku: Kokusuz
pH: 8.5 (50/50 su)
Erime noktası: 18.5°C
Kaynama noktası: 189°C
Parlama noktası: 89°C (Closed Cup)
Patlama limitleri: %3 – %63
Yoğunluk: 1.1
Suda çözünürlük: Tam karışabilir
Kendiliğinden tutuşma: 300°C
Log Pow: -2.03</t>
  </si>
  <si>
    <t>Normal koşullarda stabil
150°C üzeri ekzotermik ayrışma
Güçlü oksitleyicilerle reaksiyon
Tehlikeli bozunma ürünleri: SO₂, formaldehit</t>
  </si>
  <si>
    <t>LD50 Oral (Rat): 14.500 mg/kg
LD50 Dermal (Rabbit): 5.000 mg/kg
LC50 (Gaz): 40.250 ppm
Etkiler:
Ciltte yanma, kızarıklık
Gözde ciddi tahriş
Yüksek buhar maruziyeti: baş ağrısı, baş dönmesi
Deriden emilim özelliği vardır (taşıyıcı etki)
Kanserojen, mutajen, üreme toksik etkisi yok.</t>
  </si>
  <si>
    <t>Federal ve yerel mevzuata uygun bertaraf
Yanıcı sıvı atık prosedürüne göre işlem
Kanalizasyona verilmemeli
Lisanslı tehlikeli atık tesisine gönderilmeli</t>
  </si>
  <si>
    <t>SODIUM ACETATE ANHYDROUS</t>
  </si>
  <si>
    <t>Laboratuvar reaktifi
Tampon çözelti hazırlama
Kimyasal sentezlerde ara madde
Gıda ve biyokimyasal uygulamalar</t>
  </si>
  <si>
    <t>Kimyasal Adı: Sodyum Asetat (Anhidrat)
CAS: 127-09-3
Saflık: &gt; %99
Molekül Ağırlığı: 82.03 g/mol</t>
  </si>
  <si>
    <t>GHS Sınıflandırma:
Tehlikeli olarak sınıflandırılmamıştır.
Potansiyel Etkiler:
Göz: Hafif tahriş
Cilt: Hafif tahriş
Soluma: Toz solunursa zararlı olabilir
Yutma: Büyük miktarda zararlı olabilir</t>
  </si>
  <si>
    <t>Göz:
Bol su ile yıkanır. Tahriş devam ederse doktora başvurulur.
Cilt:
Su ile yıkanır.
Soluma:
Temiz havaya çıkarılır.
Yutma:
Ağız su ile çalkalanır. Semptom varsa doktora gidilir.</t>
  </si>
  <si>
    <t>Yanıcılık: Yanıcı değildir
Söndürücüler:
Su spreyi
Köpük
CO₂
Kuru kimyevi toz
Bozunma Ürünleri:
Karbon monoksit
Karbon dioksit
Azot oksitler</t>
  </si>
  <si>
    <t>Alan havalandırılır
Toz oluşumu önlenir
Süpürülerek kapalı kaba alınır
Yerel mevzuata uygun bertaraf edilir</t>
  </si>
  <si>
    <t>Kullanım:
Toz oluşumundan kaçınılmalı
Göz ve cilt temasından kaçınılmalı
İş sonrası el yıkanmalı
Depolama:
Oda sıcaklığında
Serin ve kuru ortamda
Güçlü oksitleyicilerden uzak</t>
  </si>
  <si>
    <t>Maruziyet Limiti: Belirlenmemiş
Kişisel Koruma:
Koruyucu gözlük
Eldiven
Toz oluşuyorsa maske
İyi havalandırma
Acil ekipman:
Göz duşu
Güvenlik duşu</t>
  </si>
  <si>
    <t>Görünüm: Beyaz kristal katı
Koku: Bilgi yok
Erime Noktası: &gt;300°C
Suda Çözünürlük: 246 g/L
pH: 8.5 – 10
Yanıcılık: Yanıcı değil</t>
  </si>
  <si>
    <t>Normal koşullarda stabil
Güçlü oksitleyicilerle reaksiyon
Toz oluşumu önlenmeli
Polimerizasyon beklenmez</t>
  </si>
  <si>
    <t>LD50 Oral (Rat): 3500 mg/kg
Kanserojen değil (ACGIH, IARC, NTP listelerinde yok)
Mutajenite, üreme toksisitesi verisi yok
Düşük toksisite</t>
  </si>
  <si>
    <t>Kimyasal yakma tesisinde bertaraf edilebilir
Yerel ve ulusal mevzuata uygun atık yönetimi
Kanalizasyona dökülmemeli</t>
  </si>
  <si>
    <t>SODIUM BICARBONATE</t>
  </si>
  <si>
    <t>Laboratuvar reaktifi
pH tampon çözeltiler
Temizlik ve nötralizasyon işlemleri
Gıda ve farmasötik uygulamalar</t>
  </si>
  <si>
    <t>Kimyasal Adı: Sodyum Bikarbonat
CAS: 144-55-8
Saflık: %100
Molekül Ağırlığı: 84.01 g/mol</t>
  </si>
  <si>
    <t>GHS Sınıflandırması:
Tehlikeli olarak sınıflandırılmamıştır.
Olası Sağlık Etkileri:
Göz: Hafif tahriş
Cilt: Hafif tahriş
Soluma: Toz halinde irritasyon
Yutma: Büyük miktarda rahatsızlık</t>
  </si>
  <si>
    <t>Göz:
Bol su ile yıkayın. Tahriş sürerse doktora başvurun.
Cilt:
Su ile yıkayın.
Soluma:
Temiz havaya çıkarın.
Yutma:
Ağız çalkalanır. Semptom varsa tıbbi yardım alınır.</t>
  </si>
  <si>
    <t>Yanıcılık: Yanıcı değil
Uygun Söndürücüler:
Su spreyi
Köpük
CO₂
Kuru kimyevi toz
Yangında Bozunma:
Karbon dioksit
Karbon monoksit
Sodyum oksitler</t>
  </si>
  <si>
    <t>Kullanım:
Toz oluşumundan kaçının
Göz ve cilt temasından kaçının
İş sonrası eller yıkanmalı
Depolama:
Oda sıcaklığında
Serin ve kuru ortam
Güçlü oksitleyicilerden uzak</t>
  </si>
  <si>
    <t>Maruziyet Limiti: Belirlenmemiş
Kişisel Koruyucu Donanım:
Koruyucu gözlük
Eldiven
Tozlu ortamda maske
Yeterli havalandırma
Acil Ekipman:
Göz duşu
Güvenlik duşu</t>
  </si>
  <si>
    <t>Görünüm: Beyaz toz
Erime noktası: 270°C (bozunarak)
Suda çözünürlük: 50 g/L
pH: 8.3 (0.1M)
Yanıcılık: Yanıcı değil</t>
  </si>
  <si>
    <t>Normal koşullarda stabil
Toz oluşumu önlenmeli
Güçlü oksitleyicilerle reaksiyon
Tehlikeli polimerizasyon yok</t>
  </si>
  <si>
    <t>LD50 Oral (Rat): 4220 mg/kg
LD50 Oral (Mouse): 3360 mg/kg
Kanserojen değil (ACGIH, IARC, NTP listelerinde yok)
Düşük akut toksisite</t>
  </si>
  <si>
    <t>Kimyasal yakma tesisinde bertaraf
Yerel ve ulusal mevzuata uygun atık yönetimi
Kanalizasyona doğrudan verilmemeli</t>
  </si>
  <si>
    <t>SODIUM BUTYRATE BIOBASIC</t>
  </si>
  <si>
    <t>Hücre kültürü uygulamaları
Epigenetik ve gen ekspresyon çalışmaları (HDAC inhibitörü)
Laboratuvar reaktifi
Biyokimyasal araştırmalar</t>
  </si>
  <si>
    <t>Kimyasal Adı: Sodyum Bütirat
CAS: 156-54-7
Saflık: ≥ %98
Molekül Ağırlığı: 110.09 g/mol</t>
  </si>
  <si>
    <t>GHS Sınıflandırma:
Eye Irrit. 2
Skin Irrit. 2
STOT SE 3 (Solunum yolu irritasyonu)
H İfadeleri:
H315: Cilt tahrişine neden olur
H319: Ciddi göz tahrişine neden olur
H335: Solunum yolu irritasyonuna neden olabilir</t>
  </si>
  <si>
    <t>Göz:
En az 15 dakika bol su ile yıkayın. Tıbbi yardım alın.
Cilt:
Bol su ve sabunla yıkayın. Tahriş varsa doktora başvurun.
Soluma:
Temiz havaya çıkarın. Solunum sıkıntısı varsa tıbbi yardım alın.
Yutma:
Ağız çalkalanır. Kusturulmaz. Doktora başvurulur.</t>
  </si>
  <si>
    <t>Yanıcılık: Yanıcı olabilir (organik tuz)
Uygun Söndürücüler:
Su spreyi
Köpük
CO₂
Kuru kimyevi toz
Yangında Açığa Çıkan Gazlar:
Karbon monoksit
Karbon dioksit
Sodyum oksitler</t>
  </si>
  <si>
    <t>Alan havalandırılır
Toz oluşumu önlenir
Kişisel koruyucu ekipman kullanılır
Süpürülerek kapalı kaba alınır
Kanalizasyona verilmez</t>
  </si>
  <si>
    <t>Kullanım:
Toz inhalasyonundan kaçının
Göz ve cilt temasından kaçının
İyi havalandırma sağlayın
Depolama:
Serin, kuru ve iyi havalandırılmış ortam
Nemden uzak
Oksitleyicilerden uzak</t>
  </si>
  <si>
    <t>Maruziyet Limiti: Belirlenmemiş
KKD:
Koruyucu gözlük
Nitril eldiven
Laboratuvar önlüğü
Toz oluşuyorsa partikül maskesi (P2/P3)
Acil ekipman:
Göz duşu
Güvenlik duşu</t>
  </si>
  <si>
    <t>Görünüm: Beyaz kristal/toz
Koku: Keskin (bütirik asit benzeri)
Erime Noktası: ~250°C (bozunarak)
Suda Çözünürlük: Çözünür
pH: 7–9 (çözelti)
Yanıcılık: Organik yapıda</t>
  </si>
  <si>
    <t>Normal koşullarda stabil
Güçlü oksitleyicilerle reaksiyon
Nemle temasında koku oluşabilir
Tehlikeli polimerizasyon yok</t>
  </si>
  <si>
    <t>LD50 Oral (Rat): ~2000 mg/kg (yaklaşık değer)
Göz ve cilt irritanı
Solunum yolu irritanı
Kanserojen sınıflandırması yok</t>
  </si>
  <si>
    <t>Tehlikeli kimyasal atık olarak bertaraf
Yetkili yakma tesisine gönderilir
Yerel yönetmeliklere uygun imha
Kanalizasyona verilmez</t>
  </si>
  <si>
    <t>SODIUM BUTYRATE Macklin</t>
  </si>
  <si>
    <t>Laboratuvar reaktifi
Hücre kültürü çalışmaları
Biyokimyasal araştırmalar
HDAC inhibitörü olarak epigenetik çalışmalar</t>
  </si>
  <si>
    <t>Madde: Sodyum Bütirat
CAS: 156-54-7
Saf madde (Substance)
Kristal/toz form</t>
  </si>
  <si>
    <t>Fiziksel tehlike: Sınıflandırılmamış
Sağlık tehlikesi: Sınıflandırılmamış
Çevresel tehlike: Sınıflandırılmamış</t>
  </si>
  <si>
    <t>Soluma:
Temiz havaya çıkarılır. Rahatsızlık varsa tıbbi yardım alınır.
Cilt Teması:
Kontamine giysi çıkarılır. Bol su ile yıkanır. Tahriş varsa doktora başvurulur.
Göz Teması:
Dakikalarca su ile yıkayın. Lens varsa çıkarın. Tahriş sürerse doktora gidin.
Yutma:
Ağız çalkalanır. Rahatsızlık varsa tıbbi yardım alınır.
İlk yardımcı koruması:
Eldiven ve koruyucu gözlük kullanmalıdır.</t>
  </si>
  <si>
    <t>Uygun Söndürücüler:
Kuru kimyevi toz
Köpük
Su spreyi
CO₂
Yangın Durumu:
Rüzgar yönünden müdahale edilir
Gerekiyorsa kaplar uzaklaştırılır
Yangında oluşabilecek gazlar:
Karbon monoksit (CO)
Karbon dioksit (CO₂)</t>
  </si>
  <si>
    <t>KKD kullanılır
Alan güvenlik şeridi ile çevrilir
Kanalizasyona karışması engellenir
Toz süpürülerek hava geçirmez kaba alınır
Yasal mevzuata göre bertaraf edilir</t>
  </si>
  <si>
    <t>Güvenli Kullanım:
İyi havalandırılmış ortam
Toz oluşumu engellenmeli
Cilt ve göz temasından kaçınılmalı
İş sonrası el ve yüz yıkanmalı
Depolama:
Kap sıkıca kapalı
Serin ve karanlık ortam
Nemden korunmalı (Higroskopik)
Oksitleyicilerden uzak
İnert gaz altında depolama önerilir</t>
  </si>
  <si>
    <t>Mühendislik Önlemleri:
Lokal egzost sistemi
Kapalı sistem
Göz duşu ve güvenlik duşu
KKD:
Toz maskesi
Koruyucu eldiven
Koruyucu gözlük
Gerekiyorsa yüz siperi
Koruyucu giysi</t>
  </si>
  <si>
    <t>Fiziksel Hal: Katı
Form: Kristal – Toz
Renk: Beyaz / Beyaza yakın
Koku: Hafif karakteristik
Erime Noktası: 253°C
Suda Çözünürlük: Çok iyi çözünür
Higroskopik: Evet</t>
  </si>
  <si>
    <t>Uygun koşullarda stabil
Özel reaktivite bildirilmemiş
Oksitleyicilerle uyumsuz
Bozunma ürünleri: CO, CO₂</t>
  </si>
  <si>
    <t>Akut toksisite verisi: Veri yok
Cilt tahrişi: Veri yok
Göz tahrişi: Veri yok
Mutajenite: Laboratuvar test referansları mevcut
Kanserojenite: IARC ve NTP listelerinde yok
RTECS No: ET6400000
Resmi olarak toksik sınıflandırma yoktur.</t>
  </si>
  <si>
    <t>Geri dönüşüm mümkünse prosese iade edilir
Kimyasal yakma tesisinde bertaraf
Afterburner ve scrubber sistemi olan tesis önerilir
Yerel ve ulusal mevzuata uygun imha</t>
  </si>
  <si>
    <t>SODIUM CARBONATE</t>
  </si>
  <si>
    <t>Laboratuvar reaktifi
pH yükseltici / alkali ajan
Temizlik ve deterjan üretimi
Kimyasal sentezlerde ara madde</t>
  </si>
  <si>
    <t>Madde: Sodyum Karbonat
Saflık: %100
CAS: 497-19-8</t>
  </si>
  <si>
    <t>H302: Yutulması halinde zararlı olabilir
H316: Hafif cilt tahrişine neden olur
H319: Ciddi göz tahrişine neden olur</t>
  </si>
  <si>
    <t>Göz:
Bol su ile yıkayın. Tıbbi yardım alın.
Cilt:
Su ile yıkayın. Tahriş devam ederse doktora başvurun.
Soluma:
Temiz havaya çıkarın. Solunum zorluğunda oksijen verin.
Yutma:
Ağız çalkalanır. Kusturulmaz. Doktora başvurulur.</t>
  </si>
  <si>
    <t>Yanıcılık: Yanıcı değildir
Söndürücüler:
Su spreyi
Köpük
CO₂
Kuru kimyevi toz
Yangında Açığa Çıkan Gazlar:
Karbon monoksit
Karbon dioksit
Sülfür oksitleri</t>
  </si>
  <si>
    <t>Alan havalandırılır
KKD kullanılır
Toz oluşumu engellenir
Süpürülerek kapalı kaba alınır
Yerel mevzuata uygun bertaraf edilir</t>
  </si>
  <si>
    <t>Kullanım:
Göz ve cilt temasından kaçının
Toz inhalasyonundan kaçının
İş sonrası el yıkayın
Depolama:
Oda sıcaklığında
Serin ve kuru ortam
Oksitleyici ve indirgen maddelerden uzak</t>
  </si>
  <si>
    <t>Maruziyet Limiti: Belirlenmemiş
KKD:
Koruyucu gözlük
Eldiven
Koruyucu giysi
NIOSH onaylı toz maskesi
Mühendislik Önlemleri:
Havalandırma sistemi
Göz duşu
Güvenlik duşu</t>
  </si>
  <si>
    <t>Görünüm: Beyaz toz
Erime Noktası: 851°C
Suda çözünürlük: 217 g/L
pH: 12 (106 g/L çözeltide)
Yanıcılık: Yanıcı değil</t>
  </si>
  <si>
    <t>Normal sıcaklık ve basınçta stabil
Toz oluşumu önlenmeli
Güçlü oksitleyiciler ve indirgenlerle uyumsuz
Tehlikeli polimerizasyon bildirilmemiş</t>
  </si>
  <si>
    <t>Oral LD50 (Rat): 4000 mg/kg
Kanserojen olarak sınıflandırılmamıştır
ACGIH, IARC, NTP listelerinde yer almaz
Orta derecede göz irritanı</t>
  </si>
  <si>
    <t>Kimyasal yakma tesisinde bertaraf
Yerel ve ulusal mevzuata uygun imha
Kanalizasyona kontrolsüz verilmemeli</t>
  </si>
  <si>
    <t>SODIUM DODECYL SULFATE</t>
  </si>
  <si>
    <t>Laboratuvar deterjanı
Protein elektroforezi (SDS-PAGE)
Hücre lizis tamponları
Temizlik ve yüzey aktif madde uygulamaları</t>
  </si>
  <si>
    <t>Madde: Sodyum Dodesil Sülfat
CAS: 151-21-3
Saf madde</t>
  </si>
  <si>
    <t>Zararlı yutulursa
Cilt tahrişine neden olur
Ciddi göz tahrişi
Solunum yolu irritasyonu
Uzun süreli maruziyette böbrek hasarı
Sucul canlılar için toksik</t>
  </si>
  <si>
    <t>Soluma:
Temiz havaya çıkarın. Rahatsızlık varsa tıbbi yardım.
Cilt:
Sabunlu su ile yıkayın. Tahriş varsa doktora başvurun.
Göz:
En az 15 dakika su ile yıkayın. Lens varsa çıkarın.
Yutma:
Ağız çalkalanır. Zehir danışma merkezi/doktora başvurulur.</t>
  </si>
  <si>
    <t>Söndürücüler:
Kuru kimyevi toz
Köpük
CO₂
Su spreyi
Yangın Riski:
Yüksek ısıda toksik gaz çıkarabilir
Yanma ürünleri: CO, CO₂, Sülfür oksitler</t>
  </si>
  <si>
    <t>P3 filtreli maske kullanılır
Alan tahliye edilir
Kanalizasyona karışması önlenir
Toz süpürülerek hava geçirmez kaba alınır
Yasal mevzuata uygun bertaraf edilir</t>
  </si>
  <si>
    <t>Kullanım:
İyi havalandırma
Toz oluşumu engellenmeli
Cilt ve göz temasından kaçınılmalı
Yeme/içme yasak
Depolama:
Serin, karanlık ve iyi havalandırılmış alan
Nemden korunmalı (higroskopik)
Oksitleyicilerden uzak
Kilitli dolapta saklanmalı</t>
  </si>
  <si>
    <t>Mühendislik:
Kapalı sistem
Lokal egzost
Göz duşu ve güvenlik duşu
KKD:
P3 toz maskesi
Kimyasala dayanıklı eldiven
Koruyucu gözlük / yüz siperi
Koruyucu giysi
Gerekirse SCBA</t>
  </si>
  <si>
    <t>Fiziksel Hal: Katı
Erime Noktası: 207°C
Oto-tutuşma: 248°C
Suda Çözünürlük: 10 g/100 mL
Buhar Basıncı: 6×10⁻¹¹ Pa (25°C)
Log Pow: 1.60
Koku: Karakteristik</t>
  </si>
  <si>
    <t>Normal koşullarda stabil
Oksitleyicilerle uyumsuz
Bozunma ürünleri: CO, CO₂, SOx
Tehlikeli polimerizasyon yok</t>
  </si>
  <si>
    <t>Oral LD50 (Rat): 1288 mg/kg
Dermal LDLo (Rabbit): 10 g/kg
İnhalasyon LC50: &gt;3900 mg/m³
Orta derecede göz ve cilt irritanı
Böbrek hedef organ
Kanserojen olarak listelenmemiş</t>
  </si>
  <si>
    <t>Yetkili bertaraf firması aracılığıyla imha
Kimyasal yakma tesisinde (afterburner + scrubber sistemi)
Çevreye bırakılmamalı
Kanalizasyona verilmemeli</t>
  </si>
  <si>
    <t>SODIUM HYDROXIDE</t>
  </si>
  <si>
    <t>pH ayarlama
Nötralizasyon işlemleri
Laboratuvar reaktifi
Deterjan ve sabun üretimi
Kimyasal sentez</t>
  </si>
  <si>
    <t>Madde: Sodyum Hidroksit
CAS: 1310-73-2
Saf madde (%98–100)</t>
  </si>
  <si>
    <t>Tehlike Sınıfı:
Cilt Aşındırıcı Kat. 1A
Metaller için Aşındırıcı Kat. 1
Sinyal Kelimesi: ⚠ DANGER
Tehlike İfadeleri:
Ciddi cilt yanıklarına ve göz hasarına neden olur
Metalleri aşındırabilir</t>
  </si>
  <si>
    <t>Soluma:
Temiz havaya çıkarın. Solunum zorluğunda tıbbi müdahale.
Cilt:
Kirlenmiş giysi çıkarılır. En az 15 dakika bol su ile yıkanır.
Acil tıbbi müdahale gerekir.
Göz:
En az 15–20 dakika su ile yıkanır.
Derhal hastaneye sevk edilir.
Yutma:
Kusturulmaz.
Ağız çalkalanır.
Acil tıbbi müdahale gerekir.</t>
  </si>
  <si>
    <t>Yanıcı değildir
Çevredeki yangına uygun söndürücü kullanılır
Isınma durumunda toksik sodyum oksit dumanı çıkabilir
Yangın alanında koruyucu ekipman ve SCBA gerekir</t>
  </si>
  <si>
    <t>Alan boşaltılır
Asitle kontrollü nötralizasyon yapılabilir
Döküntü inert absorbent ile toplanır
Kanalizasyona verilmez
Koruyucu ekipman zorunludur</t>
  </si>
  <si>
    <t>Kullanım:
Suya eklenerek çözülmeli (tersi değil!)
Asitlerle temastan kaçınılmalı
Alüminyum ve bazı metallerle reaksiyon verir
Depolama:
Nemden uzak
Sıkı kapalı kapta
Asitlerden ayrı
Korozyona dayanıklı kapta</t>
  </si>
  <si>
    <t>Mühendislik:
Lokal havalandırma
Göz duşu &amp; acil duş
KKD:
Kimyasala dayanıklı eldiven (nitril, neopren)
Yüz siperi + gözlük
Asit/baz dayanımlı önlük
Gerektiğinde tam yüz maske</t>
  </si>
  <si>
    <t>Fiziksel Hal: Beyaz katı
Koku: Kokusuz
Erime Noktası: 318°C
Kaynama Noktası: 1388°C
Suda Çözünürlük: Çok yüksek (ekzotermik çözünme)
pH (1M): ~14</t>
  </si>
  <si>
    <t>Normal koşullarda stabil
Asitlerle şiddetli reaksiyon
Alüminyum ile hidrojen gazı oluşturur
Nem ile reaksiyon verir
CO₂ ile sodyum karbonat oluşturur</t>
  </si>
  <si>
    <t>Şiddetli cilt ve göz yanıkları
Korozif özofagus ve mide hasarı
Solunum yollarında ciddi tahriş
LD50 (oral rat): ~325 mg/kg
Kanserojen sınıflandırması yoktur ancak aşındırıcı etkisi çok yüksektir.</t>
  </si>
  <si>
    <t>Kontrollü nötralizasyon (zayıf asit ile)
Lisanslı bertaraf tesisine gönderim
Kanalizasyona direkt boşaltım yasaktır
pH kontrolü yapılmadan atıklaştırılmaz</t>
  </si>
  <si>
    <t>SODIUM PHOSPHATE DIBASIC</t>
  </si>
  <si>
    <t>Laboratuvar tampon çözeltileri
pH ayarlama
Biyokimyasal analizler
Hücre kültürü uygulamaları
Gıda ve ilaç proseslerinde yardımcı madde</t>
  </si>
  <si>
    <t>Disodyum Hidrojen Fosfat (Anhidrus) %100
CAS: 7558-79-4</t>
  </si>
  <si>
    <t>GHS sınıflandırması: Tehlikeli olarak sınıflandırılmamış
Olası etkiler:
Göz irritasyonu
Cilt irritasyonu
Solunum yolu tahrişi (toz formda)
Büyük miktarda yutulursa GI irritasyonu</t>
  </si>
  <si>
    <t>Göz:
Bol su ile yıkayın. Tahriş devam ederse doktora başvurun.
Cilt:
Su ile yıkayın. Tahriş varsa tıbbi yardım alın.
Soluma:
Temiz havaya çıkarın. Öksürük sürerse doktora gidin.
Yutma:
Ağız su ile çalkalanır. Kusturulmaz.
Semptom varsa tıbbi yardım alın.</t>
  </si>
  <si>
    <t>Yanıcı değildir
Söndürücü: Su spreyi, köpük, kuru kimyevi toz, CO₂
Yangında sodyum oksitler oluşabilir</t>
  </si>
  <si>
    <t>Alan havalandırılır
Uygun KKD kullanılır
Süpürülerek kapalı kaba alınır
Toz oluşumu engellenir</t>
  </si>
  <si>
    <t>Kullanım:
Toz oluşumundan kaçınılmalı
Göz ve cilt temasından kaçınılmalı
İş sonrası eller yıkanmalı
Depolama:
Oda sıcaklığında
Kuru ortamda
Sıkı kapalı kapta</t>
  </si>
  <si>
    <t>Maruziyet limiti: Belirlenmemiş
KKD:
Koruyucu gözlük
Laboratuvar eldiveni
Tozlu ortamda maske
Laboratuvar önlüğü</t>
  </si>
  <si>
    <t>Fiziksel Hal: Katı
Renk: Beyaz
Koku: Kokusuz
Erime Noktası: 118°F (~48°C)
Özgül Ağırlık: 1.67
Suda çözünürlük: Çözünür
pH: 8.7 – 9.3</t>
  </si>
  <si>
    <t>Normal koşullarda stabil
Güçlü oksitleyicilerle uyumsuz
Tehlikeli polimerizasyon bildirilmemiş
Bozunma ürünü: Sodyum oksitler</t>
  </si>
  <si>
    <t>LD50 (oral, rat): 17 g/kg
Draize testi (tavşan):
Cilt: Hafif irritan
Göz: Hafif irritan
Kanserojen, mutajen, teratojen olarak listelenmemiş.</t>
  </si>
  <si>
    <t>Kimyasal yakma tesisinde yakılabilir
Yerel mevzuata uygun bertaraf
Kanalizasyona yüksek miktarda verilmemeli</t>
  </si>
  <si>
    <t>SODIUM PHOSPHATE MONOBASIC</t>
  </si>
  <si>
    <t>Laboratuvar tampon çözeltileri
pH ayarlama (asidik tampon)
Biyokimyasal analizler
Hücre kültürü uygulamaları
Analitik kimya çalışmaları</t>
  </si>
  <si>
    <t>Sodyum Fosfat Monobazik Monohidrat %100
CAS: 10049-21-5</t>
  </si>
  <si>
    <t>GHS sınıflandırması: Tehlikeli olarak sınıflandırılmamış
Olası etkiler:
Göz irritasyonu
Cilt irritasyonu
Toz halinde solunum yolu tahrişi
Büyük miktarda yutulursa GI irritasyonu</t>
  </si>
  <si>
    <t>Göz:
Bol su ile yıkayın. Tahriş devam ederse tıbbi yardım.
Cilt:
Su ile yıkayın. Tahriş sürerse doktora başvurun.
Soluma:
Temiz havaya çıkarın. Öksürük devam ederse tıbbi yardım.
Yutma:
Ağız su ile çalkalanır. Kusturulmaz.
Semptom varsa tıbbi yardım alınır.</t>
  </si>
  <si>
    <t>Kullanım:
Göz ve cilt temasından kaçınılmalı
Toz oluşumu minimize edilmeli
İş sonrası eller yıkanmalı
Depolama:
Oda sıcaklığında
Kuru ortamda
Sıkı kapalı kapta</t>
  </si>
  <si>
    <t>Maruziyet limiti: Belirlenmemiş
KKD:
Koruyucu gözlük
Eldiven
Laboratuvar önlüğü
Tozlu ortamda maske</t>
  </si>
  <si>
    <t>Fiziksel Hal: Katı
Renk: Beyaz
Koku: Kokusuz
Erime Noktası: 212°F (~100°C)
Özgül Ağırlık: 2.04
Suda çözünürlük: Çözünür
pH (0.1M): 4.5 (asidik karakter)</t>
  </si>
  <si>
    <t>Normal koşullarda stabil
Güçlü oksitleyicilerle uyumsuz
Tehlikeli polimerizasyon yok
Bozunma ürünü: Sodyum oksitler</t>
  </si>
  <si>
    <t>Maruziyet limitleri belirlenmemiş
Kanserojen, mutajen, teratojen olarak listelenmemiş
Kronik sağlık etkisi bildirilmemiş</t>
  </si>
  <si>
    <t>Kimyasal yakma tesisinde imha edilebilir
Yerel mevzuata uygun bertaraf
Kanalizasyona yüksek miktarda boşaltılmamalı</t>
  </si>
  <si>
    <t>SODYUM AZIDE</t>
  </si>
  <si>
    <t>Laboratuvar kimyasalı
Reaktif üretimi
Biyokimyasal çalışmalarda koruyucu madde
Patlayıcı başlatıcı üretimi (endüstriyel kullanım)</t>
  </si>
  <si>
    <t>Sodyum Azid ≥ %90–100
CAS: 26628-22-8
EC No: 247-852-1</t>
  </si>
  <si>
    <t>Tehlike Sınıfları:
Akut Toksisite Kat. 1 (Deri) – H310
Akut Toksisite Kat. 2 (Oral) – H300
Akut Toksisite Kat. 2 (Soluma) – H330
STOT RE 2 (Beyin) – H373
Sucul Akut 1 – H400
Sucul Kronik 1 – H410
Ek Tehlike:
EUH032: Asitlerle temasında çok zehirli gaz (Hidrazoik asit) çıkarır.
Tehlike İfadeleri:
Yutulursa, ciltle temas ederse veya solunursa ölümcül
Uzun süreli maruziyette beyin hasarı
Sucul canlılar için çok toksik</t>
  </si>
  <si>
    <t>⚠ Acil tıbbi müdahale gerektirir.
Soluma:
Derhal temiz havaya çıkarılır.
Hemen zehir merkezi aranır.
Cilt:
Kirlenmiş giysi çıkarılır.
Bol su ile yıkanır.
Acil tıbbi müdahale gerekir.
Göz:
Bol su ile yıkanır. Lens çıkarılır.
Yutma:
Bilinci açıksa az su verilir.
Hemen tıbbi yardım.
Kontrollü kusma sadece tıbbi ortamda.</t>
  </si>
  <si>
    <t>Uygun Söndürücüler:
Kuru kum
Metal yangın tozu
Çimento
Kullanılmamalı:
Su
Köpük
Yanma ürünleri:
Sodyum oksitler
Toksik gazlar
SCBA zorunludur.</t>
  </si>
  <si>
    <t>Alan tahliye edilir
Toz oluşumu engellenir
Kanalizasyona kesinlikle verilmez
Kapalı sistemle toplanır
Ağır metaller ve asitlerden uzak tutulur</t>
  </si>
  <si>
    <t>Kullanım:
Çeker ocak altında çalışılmalı
Toz inhalasyonu engellenmeli
Asitlerden kesinlikle uzak
Depolama:
Kuru, serin, iyi havalandırılmış ortam
Kilitli dolapta
Asitlerden ayrı
Alüminyum ve ağır metallerden uzak
Depolama sınıfı: 6.1A (Çok toksik)</t>
  </si>
  <si>
    <t>P3 filtreli tam yüz maske
Nitril eldiven
Kimyasala dayanıklı koruyucu giysi
Gözlük + yüz siperi
Mühendislik Kontrolü:
Çeker ocak zorunlu
Acil duş ve göz yıkama ünitesi</t>
  </si>
  <si>
    <t>Fiziksel Hal: Kristal katı
Renk: Beyaz
Koku: Kokusuz
Erime Noktası: 370°C (bozunma)
Yoğunluk: 1.85 g/cm³
Suda çözünürlük: 408 g/L (20°C)
pH (65 g/L): 10</t>
  </si>
  <si>
    <t>Normal koşullarda stabil
Asitlerle temas → Hidrazoik asit gazı
Alüminyum ve ağır metallerle reaksiyon
Yangında toksik gaz oluşur</t>
  </si>
  <si>
    <t>LD50 Oral (Rat): 27 mg/kg
LD50 Dermal (Rabbit): 20 mg/kg
LC50 İnhalasyon: 0.054–0.52 mg/L
Etkiler:
Şiddetli hipotansiyon
Sinir sistemi hasarı
Karaciğer ve beyin etkileri
Körlük
Nörolojik etkiler
⚠ Çok düşük dozda ölüm riski vardır.</t>
  </si>
  <si>
    <t>Ulusal mevzuata uygun tehlikeli atık bertarafı
Diğer atıklarla karıştırılmaz
Ambalajı da tehlikeli atık sayılır
Çevreye kesinlikle bırakılmaz</t>
  </si>
  <si>
    <t>SUCROSE (GLASS BOTTLE)</t>
  </si>
  <si>
    <t>Laboratuvar kimyasalı
Hücre kültürü ve biyokimyasal çalışmalar
Gıda ve farmasötik yardımcı madde
Tampon çözelti ve besiyeri bileşeni</t>
  </si>
  <si>
    <t>Sukroz %100
CAS: 57-50-1
Moleküler Formül: C₁₂H₂₂O₁₁
Molekül Ağırlığı: 342.3 g/mol</t>
  </si>
  <si>
    <t>GHS Sınıflandırması:
Tehlikeli olarak sınıflandırılmamıştır.
Olası etkiler:
Göz irritasyonu yapabilir
Ciltte hafif irritasyon yapabilir
Tozunun solunması tahriş yapabilir</t>
  </si>
  <si>
    <t>Soluma:
Temiz havaya çıkarılır. Şikayet varsa doktora başvurulur.
Cilt:
Su ile yıkanır.
Göz:
Bol su ile 15 dakika yıkanır.
Yutma:
Ağız su ile çalkalanır. Belirti varsa tıbbi yardım alınır.</t>
  </si>
  <si>
    <t>Yanıcı değildir ancak toz bulutu patlama riski oluşturabilir.
Uygun söndürücüler:
Su spreyi
Köpük
Kuru kimyevi toz
CO₂
Yanma ürünleri:
Karbon monoksit
Karbon dioksit</t>
  </si>
  <si>
    <t>Alan havalandırılır
Toz oluşumu engellenir
Süpürülerek kapalı kaba alınır
Yerel mevzuata göre bertaraf edilir</t>
  </si>
  <si>
    <t>Kullanım:
Toz oluşumundan kaçınılmalı
Göz ve cilt teması engellenmeli
İş sonrası el yıkama
Depolama:
Oda sıcaklığında
Serin ve kuru ortamda
Nemden korunmalı
Cam şişede saklanmalı</t>
  </si>
  <si>
    <t>Maruziyet limiti tanımlanmamıştır.
KKD:
Koruyucu gözlük
Nitril eldiven
Laboratuvar önlüğü
Mühendislik Kontrolü:
Yeterli havalandırma
Göz yıkama istasyonu</t>
  </si>
  <si>
    <t>Fiziksel Hal: Beyaz kristal katı
Koku: Bilgi yok
Erime Noktası: 190–192°C
Suda çözünürlük: Tam çözünür
Yanıcılık: Yanıcı değil
pH: Veri yok</t>
  </si>
  <si>
    <t>Normal koşullarda stabil
Güçlü oksitleyicilerle uyumsuz
Toz oluşumu patlayıcı ortam yaratabilir
Tehlikeli bozunma ürünleri:
CO
CO₂</t>
  </si>
  <si>
    <t>LD50 verisi belirtilmemiştir.
Bilinen ciddi toksisite yoktur.
Yüksek dozda:
Gastrointestinal rahatsızlık
Toz inhalasyonu ile solunum irritasyonu
Kanserojen sınıflandırması yoktur (ACGIH, IARC, NTP listesinde değil).</t>
  </si>
  <si>
    <t>Kimyasal atık yakma tesisinde imha edilebilir
Yerel ve ulusal mevzuata uygun bertaraf
Ambalaj geri dönüşüme verilebilir (temizse)</t>
  </si>
  <si>
    <t>SUCROSE</t>
  </si>
  <si>
    <t>Laboratuvar kimyasalı
Kimyasal madde üretimi
Biyokimya ve hücre kültürü çalışmaları</t>
  </si>
  <si>
    <t>Sukroz %100
CAS: 57-50-1
EC No: 200-334-9
Formül: C₁₂H₂₂O₁₁
Molekül Ağırlığı: 342,30 g/mol</t>
  </si>
  <si>
    <t>CLP (1272/2008) kapsamında tehlikeli değildir.
Ancak:
Yanıcı katıdır
Havada dağılırsa patlayıcı toz-hava karışımı oluşturabilir</t>
  </si>
  <si>
    <t>Soluma:
Temiz havaya çıkarılır.
Cilt:
Kirli giysi çıkarılır, su ile yıkanır.
Göz:
Bol su ile yıkanır, lens çıkarılır.
Yutma:
1–2 bardak su içirilir. Rahatsızlık varsa doktora başvurulur.</t>
  </si>
  <si>
    <t>Uygun Söndürücüler:
Su
Köpük
CO₂
Kuru toz
Riskler:
Yanıcıdır
Toz patlaması riski vardır
Yangında karbon oksitler oluşur
İtfaiyeciler SCBA kullanmalıdır.</t>
  </si>
  <si>
    <t>Alan havalandırılır
Toz inhalasyonu engellenir
Kanalizasyona verilmez
Kuru şekilde toplanır
Toz oluşumu önlenir</t>
  </si>
  <si>
    <t>Kullanım:
Statik elektrikten korunulmalı
Açık alevden uzak tutulmalı
Toz oluşumu engellenmeli
Depolama:
Kuru ortam
Sıkıca kapalı
Depolama sınıfı: TRGS 510 – Sınıf 11 (Yanıcı Katılar)</t>
  </si>
  <si>
    <t>Maruziyet sınırı belirtilmemiştir.
KKD:
EN166 uygun koruyucu gözlük
Nitril eldiven (0,11 mm; 480 dk dayanım)
Toz oluşursa P2 filtreli maske
Mühendislik:
Yeterli havalandırma
Göz yıkama ünitesi</t>
  </si>
  <si>
    <t>Fiziksel Hal: Kristal katı
Renk: Beyaz
Erime Noktası: 185–187 °C
Bozunma: 160–165 °C
Yoğunluk: 1,59 g/cm³ (25 °C)
Suda çözünürlük: 342 g/L (20 °C)
pH: 5,5–7,5 (342 g/L, 25 °C)
log Pow: -3,277 (biyobirikim beklenmez)</t>
  </si>
  <si>
    <t>Normal koşullarda stabil
Güçlü oksitleyicilerle şiddetli reaksiyon
Toz halinde patlayıcı potansiyel</t>
  </si>
  <si>
    <t>LD50 Oral (Rat): 29.700 mg/kg
Yüksek dozda:
Uyku hali
Siyanoz
Diyare
Mutajenite testi: Negatif
Kanserojen olarak sınıflandırılmamıştır.</t>
  </si>
  <si>
    <t>Kanalizasyona verilmemeli
Yerel mevzuata uygun bertaraf
Kimyasal atık prosedürüne göre imha</t>
  </si>
  <si>
    <t>Sulfuric acid_sigma-aldrich</t>
  </si>
  <si>
    <t>Laboratuvar reaktifi
Kimyasal üretim
Asitleme ve pH ayarlama
Endüstriyel proseslerde güçlü asit</t>
  </si>
  <si>
    <t>Sülfürik Asit ≤ %100
CAS: 7664-93-9
EC: 231-639-5
Formül: H₂SO₄
Molekül Ağırlığı: 98,08 g/mol</t>
  </si>
  <si>
    <t>Sınıflandırma:
Met. Corr. 1 – H290
Skin Corr. 1A – H314
Eye Dam. 1 – H318
Tehlike İfadeleri:
Metaller için aşındırıcı
Şiddetli cilt yanıklarına ve göz hasarına yol açar</t>
  </si>
  <si>
    <t>⚠ Acil müdahale gerektirir.
Soluma:
Temiz hava. Hemen doktor.
Cilt:
Kirli giysi çıkarılır.
En az 15 dakika bol su.
Acil tıbbi müdahale.
Göz:
15–20 dakika yıkama.
Acil göz doktoru.
Yutma:
1–2 bardak su.
Kusturma yapılmaz.
Nötralize edilmeye çalışılmaz.
Acil hastane.</t>
  </si>
  <si>
    <t>Yanıcı değildir.
Ancak:
Yangında sülfür oksitler çıkar
Çevredeki yangınla reaksiyon riski
SCBA zorunlu.</t>
  </si>
  <si>
    <t>Alan tahliye edilir
Buhar solunmaz
Kanalizasyon kapatılır
Asit nötralize edici absorban (örn. Chemizorb® H⁺)
Sıvı emici ile toplanır</t>
  </si>
  <si>
    <t>Kullanım:
Çeker ocakta çalışılmalı
Asla su üzerine asit dökülmez ❗
Asit her zaman suya eklenir
Depolama:
Metal kapta saklanmaz
Sıkı kapalı
Depolama sınıfı: TRGS 510 – 8B (Korozif)
Bazlardan ve organik maddelerden ayrı</t>
  </si>
  <si>
    <t>KKD:
EN166 tam kapalı gözlük + yüz siperi
Viton® eldiven (0,7 mm – 480 dk)
Butyl eldiven (sıçrama için)
Asit dayanımlı önlük
P2 filtreli solunum maskesi (aerosol varsa)
Mühendislik:
Çeker ocak
Acil duş
Göz yıkama ünitesi</t>
  </si>
  <si>
    <t>Fiziksel Hal: Berrak sıvı
Renk: Renksiz
Koku: Kokusuz
Erime Noktası: 10,31 °C
Kaynama Noktası: 290 °C
Yoğunluk: 1,84 g/cm³ (25 °C)
pH: 1,2 (5 g/L)
Suda çözünürlük: Tam çözünür
Viskozite: 23 mPa·s (20 °C)</t>
  </si>
  <si>
    <t>Stabil ancak:
⚠ Su ile şiddetli ekzotermik reaksiyon
⚠ Metallerle temas → Hidrojen gazı
⚠ Oksitleyici maddelerle reaksiyon
⚠ Organik maddelerle yanma riski
Patlama riski oluşturabilecek maddeler:
Alkali metaller
Amonyak
Peroksitler
Nitriller
Kloratlar</t>
  </si>
  <si>
    <t>LD50 Oral (Rat): 2.140 mg/kg
Etkiler:
Şiddetli kimyasal yanık
Solunum yolu ödemi
Akciğer ödemi (gecikmeli)
Kornea hasarı
Perforasyon riski (yutma)
Aşırı doku yıkıcıdır.</t>
  </si>
  <si>
    <t>Nötralizasyon sonrası bertaraf
Tehlikeli atık prosedürü
Kanalizasyona verilmez
Çevreye deşarj yasak</t>
  </si>
  <si>
    <t>SYNPERONIC</t>
  </si>
  <si>
    <t>Laboratuvar kimyasalı
Deterjan ve temizlik formülasyonları
Emülgatör / yüzey aktif madde
Hücre lizis ve biyokimyasal uygulamalar</t>
  </si>
  <si>
    <t>Noniyonik yüzey aktif madde (alkol etoksilat türevi)
CAS numarası ürün tipine göre değişebilir
Sulu veya saf formda bulunabilir</t>
  </si>
  <si>
    <t>Genellikle şu şekilde sınıflandırılır:
Eye Irrit. 2 (H319) – Ciddi göz tahrişi
Skin Irrit. 2 (H315) – Cilt tahrişi</t>
  </si>
  <si>
    <t>Soluma: Temiz havaya çıkarılır.
Cilt: Sabunlu su ile yıkanır.
Göz: En az 15 dakika bol su ile yıkanır.
Yutma: Ağız çalkalanır, kusturulmaz.</t>
  </si>
  <si>
    <t>Köpük
CO₂
Kuru kimyevi toz
Su spreyi
Yanma sonucu karbon oksitler oluşabilir.</t>
  </si>
  <si>
    <t>Kaygan zemin oluşturur ⚠
Emici malzeme ile toplanır
Kanalizasyona verilmez
Alan havalandırılır</t>
  </si>
  <si>
    <t>Kullanım:
Göz temasından kaçınılmalı
İyi havalandırma
Depolama:
Serin, kuru yerde
Sıkıca kapalı ambalaj
Güneşten uzak</t>
  </si>
  <si>
    <t>Koruyucu gözlük (EN166)
Nitril eldiven
Laboratuvar önlüğü
Yoğun buhar oluşursa maske</t>
  </si>
  <si>
    <t>Fiziksel Hal: Sıvı veya viskoz sıvı
Renk: Renksiz – açık sarı
Koku: Hafif
pH: 5–8 (ürüne göre değişir)
Suda çözünür</t>
  </si>
  <si>
    <t>Normal koşullarda stabil
Güçlü oksitleyicilerle reaksiyon verebilir
Isıdan kaçınılmalı</t>
  </si>
  <si>
    <t>Düşük akut toksisite
Göz tahrişi yapar
Uzun süreli cilt temasında dermatit yapabilir</t>
  </si>
  <si>
    <t>Emici materyal ile topla
Lisanslı atık firmasına gönder
Kanalizasyona verilmez</t>
  </si>
  <si>
    <t>TEKSOLL (70% PURİTY)</t>
  </si>
  <si>
    <t>Endüstriyel kullanım
Çözücü
Temizlik ve proses kimyasal</t>
  </si>
  <si>
    <t>Ethanol (CAS: 64-17-5)
Molar kütle: 46.07 g/mol
Konsantrasyon: ≥ %90 – ≤ %97</t>
  </si>
  <si>
    <t>Flam. Liq. 2 – H225
Eye Irrit. 2 – H319
 GHS Piktogramları:
 GHS02 – Alev
Kırmızı çerçeveli elmas
Siyah alev sembolü
Yüksek derecede yanıcı sıvı ve buhar
⚠ GHS07 – Ünlem İşareti
Göz tahrişi</t>
  </si>
  <si>
    <t>Soluma: Temiz havaya çıkar.
Cilt: Bol su ile yıka.
Göz: 15 dk bol su, doktora başvur.
Yutma: 1–2 bardak su ver, acil tıbbi yardım al.</t>
  </si>
  <si>
    <t>Uygun söndürücüler:
Köpük
CO₂
Kuru kimyevi toz
Su spreyi
⚠ Riskler:
Buharları havadan ağır
Patlayıcı hava karışımı oluşturur
Alev parlama riski</t>
  </si>
  <si>
    <t>Tutuşturucu kaynakları uzaklaştır
Alanı havalandır
Kanalizasyona gitmesini engelle
Sıvı emici ile topla
Patlama riski ⚠</t>
  </si>
  <si>
    <t>Kullanım:
Statik elektriğe karşı topraklama
Sigara içilmez
Alevden uzak
Depolama:
Serin, kuru, iyi havalandırılan alan
Sıkıca kapalı kap
Isıdan uzak</t>
  </si>
  <si>
    <t>MAK (Ethanol):
1000 ppm / 1900 mg/m³
KKD:
Koruyucu gözlük
Butil kauçuk eldiven (0.7 mm / &gt;480 dk)
Nitril eldiven (0.4 mm / &gt;120 dk)
Antistatik alev geciktirici kıyafet
Buhar varsa A tipi filtreli maske</t>
  </si>
  <si>
    <t>Fiziksel Hal: Sıvı
Renk: Şeffaf
Koku: Alkol
pH: 7 (50 g/L, 20°C)
Kaynama: 78 °C
Parlama Noktası: 13 °C ⚠
Donma: -114.5 °C
Yoğunluk: 0.804–0.805 g/cm³
Alt patlama limiti: %3.1
Üst patlama limiti: %27.5</t>
  </si>
  <si>
    <t>Normal şartlarda stabil
Güçlü oksitleyicilerle reaksiyon
Isıtılmamalı
Patlayıcı karışım oluşturabilir</t>
  </si>
  <si>
    <t>LD50 Oral (Rat): 10,470 mg/kg
LC50 Soluma: 124.7 mg/L (4 saat)
Etkiler:
Baş dönmesi
Sarhoşluk
Narkoz
Solunum baskılanması
Ciddi göz tahrişi</t>
  </si>
  <si>
    <t>Diğer ürünlerle karıştırma
Ulusal mevzuata uygun bertaraf
Atık kodu yerel mevzuata göre belirlenir</t>
  </si>
  <si>
    <t>TEKSOLL (95.0% PURITY) TEKKİM</t>
  </si>
  <si>
    <t>Endüstriyel çözücü
Laboratuvar kimyasalı
Temizlik ve dezenfeksiyon amaçlı kullanım</t>
  </si>
  <si>
    <t>Etil Alkol (Ethanol) ≥ %95
Saflık: %95 (v/v)</t>
  </si>
  <si>
    <t>Flam. Liq. 2 – H225
Eye Irrit. 2 – H319
 GHS Piktogramları:
 GHS02 – Alev
Yanıcı sıvı ve buhar
⚠ GHS07 – Ünlem İşareti
Göz tahrişi</t>
  </si>
  <si>
    <t>Soluma: Temiz havaya çıkar.
Cilt: Bol su ile yıka.
Göz: En az 15 dk bol su, doktora başvur.
Yutma: Kusturma, su içir, tıbbi yardım al.</t>
  </si>
  <si>
    <t>Uygun Söndürücüler:
Köpük
CO₂
Kuru kimyevi toz
Su spreyi
Riskler:
Buharları patlayıcı karışım oluşturur
Parlama noktası düşüktür (~13 °C)
İtfaiyeci: Basınçlı hava solunum cihazı kullanmalı.</t>
  </si>
  <si>
    <t>Tutuşturucu kaynakları uzaklaştır
Alanı havalandır
Emici malzeme ile topla
Kanalizasyona verilmemeli</t>
  </si>
  <si>
    <t>Kullanım:
Kıvılcım ve açık alevden uzak
Statik elektrik önlemi alınmalı
Sigara içilmez
Depolama:
Serin, iyi havalandırılan yer
Sıkıca kapalı ambalaj
Oksitleyicilerden uzak</t>
  </si>
  <si>
    <t>Mesleki maruziyet limiti:
1000 ppm (TWA)
Kişisel Koruyucu Donanım:
Koruyucu gözlük
Nitril eldiven
Antistatik koruyucu kıyafet
A tipi organik buhar filtresi (gerektiğinde)</t>
  </si>
  <si>
    <t>Fiziksel Hal: Sıvı
Renk: Renksiz
Koku: Alkol
Kaynama Noktası: ~78 °C
Parlama Noktası: ~13 °C 
Yoğunluk: ~0.79 g/cm³
Patlama Limitleri: %3.3 – %19</t>
  </si>
  <si>
    <t>Normal şartlarda stabil
Güçlü oksitleyicilerle reaksiyon
Isı ve kıvılcım patlama riski</t>
  </si>
  <si>
    <t>LD50 Oral (Rat): ~10,470 mg/kg
Etkiler:
Baş dönmesi
Sersemlik
Yüksek dozda narkotik etki
Gözde ciddi tahriş</t>
  </si>
  <si>
    <t>Emici madde ile toplanır
Tehlikeli atık olarak bertaraf
Kanalizasyona dökülmez</t>
  </si>
  <si>
    <t>THYMOLPHTHALEIN</t>
  </si>
  <si>
    <t>pH indikatörü
Laboratuvar analiz reaktifi
Kimyasal testlerde renk indikatörü</t>
  </si>
  <si>
    <t>Thymolphthalein
Kimyasal Formül: C₂₈H₃₀O₄
Saf madde</t>
  </si>
  <si>
    <t>👉 GHS sınıflandırması bulunmamaktadır</t>
  </si>
  <si>
    <t>Soluma: Temiz havaya çıkar, dinlendir, doktora başvur.
Cilt: Kirli kıyafetleri çıkar, bol su ve sabunla yıka.
Göz: Birkaç dakika suyla yıka, lens varsa çıkar, doktora git.
Yutma: Ağız çalkala, tıbbi yardım al.</t>
  </si>
  <si>
    <t>Uygun Söndürücüler:
Kuru kimyevi toz
Köpük
CO₂
Bol su
⚠ Yangın halinde:
Kapları suyla soğut
Rüzgar yönünden müdahale et
SCBA kullan</t>
  </si>
  <si>
    <t>Alanı havalandır
Kişisel koruyucu ekipman kullan
Kanalizasyona gitmesini önle
Kum veya inert absorban ile topla
Kıvılcım kaynaklarını uzaklaştır</t>
  </si>
  <si>
    <t>Kullanım:
İyi havalandırılan ortam
Elektrostatik yük oluşumuna karşı önlem
Oksitleyicilerden uzak
Depolama:
Serin, karanlık, iyi havalandırılmış alan
Kap sıkıca kapalı
Kilit altında sakla</t>
  </si>
  <si>
    <t>(Ethanol referans alınmış)
Limit Değer:
1000 ppm
KKD:
Koruyucu gözlük
Geçirimsiz eldiven
Koruyucu kıyafet
Gerekirse solunum maskesi</t>
  </si>
  <si>
    <t>Fiziksel Hal: Veri yok
Parlama noktası: (Ethanol) 13°C 
Kaynama noktası: (Ethanol) 79°C
Log Pow (Ethanol): -0.32</t>
  </si>
  <si>
    <t>Normal koşullarda stabil
Kaçınılması gerekenler:
Kıvılcım
Açık alev
Statik boşalma
Uyumsuz maddeler:
Oksitleyiciler
Asit klorürler
Asit anhidritler</t>
  </si>
  <si>
    <t>Thymolphthalein için spesifik veri yok.
(Ethanol referans değerleri)
LD50 (Rat Oral): 7060 mg/kg
LC50 (Soluma): 20000 ppm / 10 saat
Etkiler:
Göz tahrişi
Yüksek dozda merkezi sinir sistemi baskılanması</t>
  </si>
  <si>
    <t>Kimyasal atık yakma tesisinde imha edilebilir
Yerel mevzuata uygun bertaraf
Yanıcı özellik nedeniyle dikkatli yakma</t>
  </si>
  <si>
    <t>TRIS BIOSHOP</t>
  </si>
  <si>
    <t>Laboratuvar tampon çözeltisi (buffer)
Biyokimya ve moleküler biyoloji uygulamaları
pH düzenleyici</t>
  </si>
  <si>
    <t>TRIS %95–100
CAS: 77-86-1
EC No: 201-064-4</t>
  </si>
  <si>
    <t>GHS’ye göre tehlikeli sınıflandırılmamıştır.</t>
  </si>
  <si>
    <t>Göz: Bol su ile yıka, doktora başvur.
Cilt: Bol su ile yıka, tahriş sürerse tıbbi yardım.
Soluma: Temiz havaya çıkar.
Yutma: Ağız çalkala, semptom varsa doktora git.</t>
  </si>
  <si>
    <t>Yanıcı değildir
Söndürücü olarak:
Su spreyi
Köpük
Kuru kimyevi toz
CO₂
Yanma halinde:
CO
CO₂
Azot oksitler oluşabilir</t>
  </si>
  <si>
    <t>Alanı havalandır
Toz oluşumunu engelle
Süpürerek kapalı kaba al
Yerel mevzuata uygun bertaraf</t>
  </si>
  <si>
    <t>Kullanım:
Toz oluşumundan kaçın
Göz ve cilt temasından kaçın
İş bitiminde el yıka
Depolama:
Oda sıcaklığında
Serin ve kuru ortam
Higroskopiktir (nem çeker)</t>
  </si>
  <si>
    <t>Mesleki limit değer: Yok
KKD:
Koruyucu gözlük
Eldiven
Laboratuvar önlüğü
Toz oluşursa maske</t>
  </si>
  <si>
    <t>Görünüm: Beyaz kristal katı
Erime noktası: 175–176 °C
Kaynama noktası: ~219 °C
Yoğunluk: 1.328 g/cm³
Suda çözünürlük: ~50 g/100 mL
pH: 10.5–12 (bazik)</t>
  </si>
  <si>
    <t>Normal koşullarda stabil
Güçlü oksitleyicilerle reaksiyon
Toz oluşumu kaçınılmalı
Tehlikeli polimerizasyon yok</t>
  </si>
  <si>
    <t>LD50 (Oral, rat): 5.9 g/kg
Düşük akut toksisite
Tahriş edici etki gösterebilir
Kanserojen olarak listelenmemiş</t>
  </si>
  <si>
    <t>Kimyasal atık yakma tesisinde imha
Yerel mevzuata uygun bertaraf
Atık kodu kurum tarafından belirlenmeli</t>
  </si>
  <si>
    <t>Tris_Bioshop</t>
  </si>
  <si>
    <t>Kimyasal adı: Tris (Tris(hydroxymethyl)aminomethane)
Formül: C₄H₁₁NO₃
Molekül ağırlığı: 121.14 g/mol
CAS No: 77-86-1
EC No: 201-064-4
Saflık: 95–100%</t>
  </si>
  <si>
    <t>CLP/GHS’ye göre tehlikeli sınıflandırmaya girmez.
Potansiyel etkiler:
Göz: Hafif irritasyon yapabilir
Cilt: Hafif irritasyon yapabilir
Soluma: Solunum yollarında irritasyon yapabilir
Yutma: Sindirim sisteminde irritasyon yapabilir</t>
  </si>
  <si>
    <t>Soluma: Temiz havaya çıkarın, semptomlar devam ederse doktora başvurun.
Cilt: Bol su ile yıkayın, irritasyon devam ederse doktora gidin.
Göz: Bol su ile yıkayın, doktora başvurun.
Yutma: Ağız suyla çalkalayın, semptom varsa doktora gidin.</t>
  </si>
  <si>
    <t>Yanıcılık: Yanıcı değildir.
Uygun söndürücüler: Su spreyi, köpük, CO₂, kuru kimyasal.
Özel riskler: Yangında CO, CO₂ ve NOx açığa çıkabilir.
Ekipman: SCBA ve tam koruyucu giysi.</t>
  </si>
  <si>
    <t>Kullanım: Göz, cilt ve giysiyle temastan kaçının. Çalışma sonrası eller yıkanmalı.
Depolama: Oda sıcaklığında, serin ve kuru ortamda saklanmalı. Higroskopiktir.</t>
  </si>
  <si>
    <t>Form: Beyaz kristal katı
Erime noktası: 175–176 °C
Kaynama noktası: ~219 °C
Yoğunluk: ~1.328 g/cm³
Çözünürlük: Suda çözünebilir (~50 g/100 ml)
pH: 10.5–12 (çözelti)</t>
  </si>
  <si>
    <t>Kararlılık: Normal koşullarda kararlı.
Kaçınılması gereken koşullar: Toz oluşumu.
Uyumsuz maddeler: Kuvvetli oksitleyiciler.
Bozunma ürünleri: CO, CO₂, NOx.</t>
  </si>
  <si>
    <t>LD₅₀ Oral (rat): 5.9 g/kg
Cilt/Göz: Hafif irritasyon riski.
Kanserojenite: ACGIH, IARC, NTP, OSHA tarafından listelenmemiştir.
Mutajenite/Reprodüktif toksisite: Veri yok.</t>
  </si>
  <si>
    <t>TRISODIUM CITRATE DIHYDRATE</t>
  </si>
  <si>
    <t>Gıda endüstrisinde katkı maddesi
Temizlik ürünlerinde kullanılır
Laboratuvar araştırmaları için uygundur, ilaç veya evsel kullanım için değildir</t>
  </si>
  <si>
    <t>Kimyasal adı: Trisodium citrate, dihydrate
Formül: C₆H₅Na₃O₇·2H₂O
Molekül ağırlığı: 294.10 g/mol
CAS No: 6132-04-3
EC No: 200-675-3
Saflık: %100</t>
  </si>
  <si>
    <t>CLP/GHS’ye göre sınıflandırılmamış (tehlikeli değil)
Potansiyel etkiler:
Toz solunması: öksürük
Cilt: kuruluk
Göz: hafif irritasyon
Yutma (yüksek miktar): gastrointestinal rahatsızlık, kan bileşiminde değişiklik, kalp ritminde yavaşlama</t>
  </si>
  <si>
    <t>Soluma: Temiz havaya çıkarın, semptom devam ederse doktora başvurun.
Cilt: Bol su ile yıkayın, irritasyon devam ederse doktora gidin.
Göz: En az 15 dakika bol su ile yıkayın, göz doktoruna başvurun.
Yutma: Ağız suyla çalkalayın, kusturmaya çalışmayın, doktora başvurun.</t>
  </si>
  <si>
    <t>Yanıcılık: Kolay yanıcı değil, ancak ince toz halinde patlayıcı olabilir.
Uygun söndürücüler: Su spreyi, köpük, CO₂, kuru kimyasal.
Özel riskler: Toz bulutu kıvılcımla tutuşabilir.
Ekipman: SCBA ve tam koruyucu giysi.</t>
  </si>
  <si>
    <t>Toz oluşumunu engelleyin.
Alanı havalandırın, ateş kaynaklarını uzaklaştırın.
Döküntüleri nemlendirerek toplayın, kapalı kaplarda muhafaza edin.
Kanalizasyona karışmasını engelleyin</t>
  </si>
  <si>
    <t>Kullanım: Toz oluşumunu engelleyin, cilt ve göz temasından kaçının.
Depolama: Kuru, serin ve iyi havalandırılmış ortamda saklanmalı.
Uyumsuz maddeler: Kuvvetli oksitleyiciler, asitler, nem.
Özel bilgi: Higroskopiktir.</t>
  </si>
  <si>
    <t>Göz: Koruyucu gözlük.
Cilt: Eldiven ve koruyucu giysi.
Solunum: Toz oluşumunda P1 filtreli maske.
Çevresel önlem: Kanalizasyona karışmamalı.</t>
  </si>
  <si>
    <t>Form: Kristal toz
Renk: Beyaz
Koku: Kokusuz
Erime noktası: 150 °C (susuz form)
Yoğunluk: 1.86 g/cm³ (20 °C)
Çözünürlük: Suda çözünür (72 g/100 ml)
pH: 7.5–9.0 (50 g/L, 25 °C)
Özellik: Higroskopik</t>
  </si>
  <si>
    <t>Kararlılık: Normal koşullarda kararlı.
Kaçınılması gereken koşullar: Nem, yüksek sıcaklık.
Uyumsuz maddeler: Kuvvetli oksitleyiciler, asitler.
Bozunma ürünleri: CO, CO₂.</t>
  </si>
  <si>
    <t>LD₅₀ Oral (rat): &gt;8000 mg/kg
Cilt/Göz: Hafif irritasyon riski.
Solunum: Toz halinde öksürük yapabilir.
Kanserojenite/Mutajenite/Reprodüktif toksisite: Sınıflandırılmamış.</t>
  </si>
  <si>
    <t>Atıklar yetkili bertaraf tesislerinde imha edilmeli.
Avrupa Atık Kodu: 07 01 99 (belirtilmemiş atıklar).
Direktif 2008/98/EC’ye göre tehlikeli atık değildir.</t>
  </si>
  <si>
    <t>TRITON X-100</t>
  </si>
  <si>
    <t>Kimyasal adı: Polyethylene glycol tert-octylphenyl ether (Octoxynol X-100)
Formül: C₁₄H₂₂O·(C₂H₄O)n
Molekül ağırlığı: ~647 g/mol (ortalama)
CAS No: 9002-93-1
Saflık: 100%</t>
  </si>
  <si>
    <t>Sınıflandırma (CLP/GHS):
Acute Tox. 4 – H302: Yutulursa zararlı
Skin Irrit. 2 – H315: Cilt tahrişi yapar
Eye Irrit. 2 – H319: Ciddi göz tahrişi yapar</t>
  </si>
  <si>
    <t>Soluma: Temiz havaya çıkarın, gerekirse oksijen verin.
Cilt: Bol su ile yıkayın, irritasyon devam ederse doktora gidin.
Göz: Bol su ile yıkayın, kontakt lensleri çıkarın, derhal doktora başvurun.
Yutma: Ağız suyla çalkalayın, kusturmaya çalışmayın, doktora başvurun.</t>
  </si>
  <si>
    <t>Yanıcılık: Yanıcı değildir.
Uygun söndürücüler: Su spreyi, köpük, CO₂, kuru kimyasal.
Özel riskler: Yangında CO ve CO₂ açığa çıkabilir.
Ekipman: SCBA ve tam koruyucu giysi.</t>
  </si>
  <si>
    <t>Kullanım: Göz, cilt ve giysiyle temastan kaçının. Çalışma sonrası eller yıkanmalı.
Depolama: Oda sıcaklığında, serin ve kuru ortamda saklanmalı.</t>
  </si>
  <si>
    <t>Göz: Koruyucu gözlük.
Cilt: Eldiven ve koruyucu giysi.
Solunum: Toz veya aerosol oluşumunda uygun respiratör.
Ventilasyon: Çeker ocak veya lokal egzoz sistemi.</t>
  </si>
  <si>
    <t>Form: Viskoz sıvı
Koku: Yok
Kaynama noktası: ~270 °C
Parlama noktası: 113 °C (kapalı kap)
Yoğunluk: Veri yok
Vapor density: 22.31
Çözünürlük: Suda çözünebilir
pH: 6–8</t>
  </si>
  <si>
    <t>Kararlılık: Normal koşullarda kararlı.
Kaçınılması gereken koşullar: Toz oluşumu.
Uyumsuz maddeler: Kuvvetli oksitleyiciler, indirgen maddeler.
Bozunma ürünleri: CO ve CO₂.</t>
  </si>
  <si>
    <t>LD₅₀ Oral (rat): ~1800 mg/kg
Göz: Draize testinde orta derecede irritasyon.
Cilt: Tahriş yapabilir.
Kanserojenite: ACGIH, IARC, NTP, OSHA tarafından listelenmemiştir.
Mutajenite/Reprodüktif toksisite: Veri yok.</t>
  </si>
  <si>
    <t>TRYPLE SELECT (1X)</t>
  </si>
  <si>
    <t>Araştırma amaçlı kullanım için tasarlanmıştır.
İnsan veya hayvanlarda tanı amaçlı ya da doğrudan uygulama için değildir.
Tüketim amaçlı değildir.</t>
  </si>
  <si>
    <t>Karışım, belirlenen konsantrasyonda sağlığa zararlı kabul edilen hiçbir madde içermez.
İçerik detayları gizli formülasyon olup, zararlı sınıflandırmaya girmez.</t>
  </si>
  <si>
    <t>CLP/GHS’ye göre sınıflandırma: Tehlikeli değil.
Fiziksel, sağlık ve çevresel zararlar: Yok.</t>
  </si>
  <si>
    <t>Cilt: Su ile durulayın. Acil müdahale gerekmez.
Göz: Su ile birkaç dakika durulayın, kontakt lens varsa çıkarın.
Yutma: Normal kullanımda risk yoktur. Semptom varsa doktora başvurun.
Soluma: Normal kullanımda risk yoktur. Gerekirse doktora danışın.
Hekime not: Semptomatik tedavi.</t>
  </si>
  <si>
    <t>Uygun söndürücüler: Su spreyi, CO₂, köpük, kuru kimyasal.
Özel riskler: Bilinmiyor.
Ekipman: Kimyasal yangınlar için standart prosedür.</t>
  </si>
  <si>
    <t>Yeterli havalandırma sağlayın.
Kişisel koruyucu ekipman kullanın.
İnert emici madde ile temizleyin.</t>
  </si>
  <si>
    <t>Kullanım: Kişisel koruyucu ekipman kullanın. Özel elleçleme tavsiyesi yok.
Depolama: Kuru, serin ve iyi havalandırılan yerde, etiketli kaplarda saklayın.</t>
  </si>
  <si>
    <t>Solunum: Yetersiz havalandırmada uygun respiratör.
Eller: Kimyasallara dayanıklı eldiven.
Göz: Sıkı kapanan koruyucu gözlük.
Cilt: Koruyucu giysi.
Hijyen: İyi endüstriyel hijyen uygulamaları.</t>
  </si>
  <si>
    <t>Form: Sıvı
Renk/Koku: Veri yok
pH: 7–7.4
Erime/Kaynama noktası: Veri yok
Çözünürlük: Veri yok
Patlayıcı/Oksitleyici özellikler: Yok</t>
  </si>
  <si>
    <t>Kararlılık: Normal koşullarda kararlı.
Kaçınılması gereken koşullar: Bilgi yok.
Uyumsuz maddeler: Normal kullanımda tehlikeli reaksiyon yok.
Bozunma ürünleri: Veri yok.</t>
  </si>
  <si>
    <t>Akut toksisite: Yok.
Cilt/Göz: Veriler sınıflandırma için yetersiz.
Solunum/Cilt hassasiyeti: Veri yetersiz.
Kanserojenite/Mutajenite/Üreme toksisitesi: Veri yetersiz.</t>
  </si>
  <si>
    <t>Atık üretiminden kaçınılmalı.
Kaplar kalıntı tutabilir, onaylı yöntemle imha edilmeli.
Yerel ve ulusal yönetmeliklere uygun bertaraf yapılmalı.</t>
  </si>
  <si>
    <t>tryptone reel</t>
  </si>
  <si>
    <t>Amino asit azotu açısından zengin bir kaynak.
Sterilite test medyası, Dubos medium, konserve endüstrisi medyaları için kullanılır.
İndol üretiminde ve yüksek triptofan içeriği nedeniyle biyolojik araştırmalarda tercih edilir.</t>
  </si>
  <si>
    <t>Kimyasal adı: Tryptone (Casein hydrolysate, trypsin digest of casein)
CAS No: Yok (protein hidrolizat)
Saflık: &gt;%90</t>
  </si>
  <si>
    <t>OSHA 29 CFR 1910.1200’e göre tehlikeli madde değildir.
NFPA: Health 0, Flammability 1, Reactivity 0, Chronic 0
Potansiyel etkiler:
Yutma: Büyük miktarlarda mide-bağırsak rahatsızlığı (bulantı, kusma).
Göz: Geçici rahatsızlık, kızarıklık.
Cilt: Normalde tahriş yapmaz.
Soluma: Normalde zararlı değildir.</t>
  </si>
  <si>
    <t>Yutma: Bir bardak su içirin. Semptom varsa doktora başvurun.
Göz: Bol su ile yıkayın, ağrı devam ederse doktora gidin.
Cilt: Su ve sabunla yıkayın.
Soluma: Temiz havaya çıkarın.</t>
  </si>
  <si>
    <t>Yanıcılık: Yanıcı, fakat düşük riskli.
Uygun söndürücüler: CO₂, kuru kimyasal, köpük, su spreyi.
Özel riskler: Yangında NOx ve duman açığa çıkabilir.
Uyumsuz maddeler: Kuvvetli oksitleyiciler.</t>
  </si>
  <si>
    <t>Küçük döküntüler: Eldiven ve gözlükle kuru temizleme yapın.
Büyük döküntüler: Toz oluşumunu engelleyin, uygun respiratör kullanın.
Kanalizasyona karışmasını engelleyin.</t>
  </si>
  <si>
    <t>Kullanım: Gereksiz temaslardan kaçının, iyi havalandırma sağlayın.
Depolama: Serin, kuru yerde, oksitleyicilerden uzak tutun. Kaplar sıkıca kapalı olmalı.</t>
  </si>
  <si>
    <t>Maruz kalma limitleri:
OSHA PEL (total dust): 15 mg/m³
OSHA PEL (respirable fraction): 5 mg/m³
Göz: Güvenlik gözlüğü.
Cilt: Hafif koruyucu eldiven.
Solunum: Toz oluşumunda P1/P2 respiratör.
Hijyen: İş sonrası elleri yıkayın.</t>
  </si>
  <si>
    <t>Form: Katı, beyazımsı toz
Koku: Karakteristik protein kokusu
Çözünürlük: Suda çözünür
pH (1% solüsyon): ~7
Nem: ~%3.6
Kül: ~%8.1
Toplam azot: ~%13.2</t>
  </si>
  <si>
    <t>Kararlılık: Normal koşullarda kararlı.
Kaçınılması gereken maddeler: Kuvvetli oksitleyiciler.
Bozunma ürünleri: NOx.</t>
  </si>
  <si>
    <t>Literatürde toksikolojik açıdan önemli veri bulunmamaktadır.
Normal kullanımda zararlı değildir.</t>
  </si>
  <si>
    <t>Atıklar yerel yönetmeliklere uygun şekilde bertaraf edilmeli.
Kaplar su ile dekontamine edilmeli.
Geri dönüşüm mümkünse tercih edilmeli.</t>
  </si>
  <si>
    <t>TWEEN 20</t>
  </si>
  <si>
    <t>Laboratuvar kimyasalı olarak kullanılır.
Araştırma amaçlıdır, tüketici kullanımına uygun değildir.</t>
  </si>
  <si>
    <t>Kimyasal adı: Polyethylene glycol sorbitan monolaurate 20
Formül: C₅₈H₁₁₄O₂₆
Molekül ağırlığı: 1226.78 g/mol
CAS No: 9005-64-5
Saflık: &gt;%99</t>
  </si>
  <si>
    <t>Soluma: Temiz havaya çıkarın, semptom devam ederse doktora başvurun.
Cilt: Bol su ile yıkayın, irritasyon devam ederse doktora gidin.
Göz: Bol su ile yıkayın, doktora başvurun.
Yutma: Ağız suyla çalkalayın, semptom varsa doktora gidin.</t>
  </si>
  <si>
    <t>Alanı havalandırın.
Uygun koruyucu ekipman kullanın.
Elektrik korumalı vakum ile toplayın, kapalı kaplarda bertaraf edin.</t>
  </si>
  <si>
    <t>Göz: Koruyucu gözlük.
Cilt: Eldiven ve laboratuvar önlüğü.
Solunum: Toz veya aerosol oluşumunda uygun respiratör.
Ventilasyon: Çeker ocak veya lokal egzoz sistemi.</t>
  </si>
  <si>
    <t>Form: Sıvı
Renk: Amber
Koku: Yok
Erime noktası: 245 °C
Kaynama noktası: &gt;100 °C
Yoğunluk: 1.106 g/cm³
Çözünürlük: Suda çözünür (100 g/L)
pH: Veri yok</t>
  </si>
  <si>
    <t>Kararlılık: Normal koşullarda kararlı.
Kaçınılması gereken koşullar: Toz oluşumu.
Uyumsuz maddeler: Kuvvetli oksitleyiciler.
Bozunma ürünleri: CO ve CO₂.</t>
  </si>
  <si>
    <t>LD₅₀: Veri yok.
Cilt/Göz: Hafif irritasyon riski.
Kanserojenite: ACGIH, IARC, NTP, OSHA tarafından listelenmemiştir.
Mutajenite/Reprodüktif toksisite: Veri yok.</t>
  </si>
  <si>
    <t>Uridine_sigma-aldrich</t>
  </si>
  <si>
    <t>Laboratuvar kimyasalı olarak kullanılır.
Araştırma ve madde imalatı için uygundur.
Tüketim veya doğrudan uygulama amaçlı değildir.</t>
  </si>
  <si>
    <t>Kimyasal adı: Uracil-1-β-D-ribofuranoside (Uridine)
Formül: C₉H₁₂N₂O₆
Molekül ağırlığı: 244.20 g/mol
CAS No: 58-96-8
EC No: 200-407-5
Saflık: %100</t>
  </si>
  <si>
    <t>CLP/GHS’ye göre tehlikeli sınıflandırmaya girmez.
PBT/vPvB özellikleri yok.</t>
  </si>
  <si>
    <t>Soluma: Temiz havaya çıkarın.
Cilt: Kirli giysileri çıkarın, bol su ile yıkayın.
Göz: Bol su ile yıkayın, kontakt lensleri çıkarın.
Yutma: 2 bardak su içirin, semptom varsa doktora başvurun.</t>
  </si>
  <si>
    <t>Yanıcılık: Yanıcıdır.
Uygun söndürücüler: Su, köpük, CO₂, kuru kimyasal.
Özel riskler: Yangında CO ve NOx açığa çıkabilir.
Ekipman: SCBA ve tam koruyucu giysi.</t>
  </si>
  <si>
    <t>Alanı boşaltın, havalandırın.
Toz oluşumunu engelleyin.
Döküntüleri kuru olarak toplayın, kapalı kaplarda bertaraf edin.
Kanalizasyona karışmasını engelleyin.</t>
  </si>
  <si>
    <t>Kullanım: Kirli giysileri değiştirin, ellerinizi yıkayın.
Depolama: Sıkıca kapatılmış, kuru ortamda saklanmalı.
Depolama sınıfı: TRGS 510 – 11 (Yanabilen maddeler).</t>
  </si>
  <si>
    <t>Göz: Koruyucu gözlük (EN 166/NIOSH).
Eller: Nitril eldiven (0.11 mm, 480 dk delinme süresi).
Solunum: Toz oluşumunda P1 filtreli respiratör.
Çevre: Kanalizasyona karışmamalı.</t>
  </si>
  <si>
    <t>Form: Kristal
Renk: Beyaz
Erime noktası: 163–167 °C
Molekül ağırlığı: 244.20 g/mol
Parlama noktası: Uygulanmaz
Çözünürlük: Veri yok
Yoğunluk: Veri yok</t>
  </si>
  <si>
    <t>Kararlılık: Normal koşullarda kararlı.
Kaçınılması gereken maddeler: Kuvvetli oksitleyiciler.
Bozunma ürünleri: CO, NOx.</t>
  </si>
  <si>
    <t>Akut toksisite: Veri yok.
Cilt/Göz: Veri yok.
Solunum/Cilt hassasiyeti: Veri yok.
Kanserojenite/Mutajenite/Üreme toksisitesi: Veri yok.
Not: Fiziksel ve toksikolojik özellikler tam incelenmemiştir.</t>
  </si>
  <si>
    <t>Atıklar Atık Yönetimi Yönetmeliği (2015, R.G. 29314) ve 2008/98/EC direktifine uygun şekilde bertaraf edilmeli.
Kimyasallar orijinal kaplarında bırakılmalı, başka atıklarla karıştırılmamalı.
Temizlenmemiş kaplar ürünle aynı şekilde işlem görmeli.</t>
  </si>
  <si>
    <t>YEAST EXTRACT BUT SİGMA AL.</t>
  </si>
  <si>
    <t>Laboratuvar kimyasalı olarak kullanılır.
Madde üretiminde kullanılır.
Tüketim veya doğrudan uygulama amaçlı değildir.</t>
  </si>
  <si>
    <t>Kimyasal adı: Yeast Extract
Formül: Organik kompleks (protein, amino asit, vitamin, mineral karışımı)
Molekül ağırlığı: Veri yok
CAS No: 8013-01-2
EC No: 232-387-9
Saflık: Veri yok</t>
  </si>
  <si>
    <t>CLP/GHS’ye göre tehlikeli sınıflandırmaya girmez.
PBT/vPvB özellikleri yok.
Endokrin bozucu özellik içermez.</t>
  </si>
  <si>
    <t>Yanıcılık: Yanıcı (katı organik madde).
Uygun söndürücüler: Su, köpük, CO₂, kuru kimyasal.
Özel riskler: Yangında zararlı gazlar açığa çıkabilir.
Ekipman: SCBA ve tam koruyucu giysi.</t>
  </si>
  <si>
    <t>Toz inhalasyonundan kaçının.
Alanı boşaltın, havalandırın.
Döküntüleri kuru olarak toplayın, kapalı kaplarda bertaraf edin.
Kanalizasyona karışmasını engelleyin.</t>
  </si>
  <si>
    <t>Kullanım: Toz oluşumunu engelleyin, kişisel koruyucu ekipman kullanın.
Depolama: Sıkıca kapatılmış, kuru ortamda saklanmalı.
Depolama sınıfı: TRGS 510 – 11 (Yanabilen katılar).</t>
  </si>
  <si>
    <t>Göz: Koruyucu gözlük (EN 166/NIOSH).
Eller: Kimyasallara dayanıklı eldiven.
Solunum: Toz oluşumunda P1 filtreli respiratör.
Çevre: Kanalizasyona karışmamalı.</t>
  </si>
  <si>
    <t>Form: Toz
Renk/Koku: Veri yok
Kaynama noktası: ~105 °C (1.013 hPa)
Yoğunluk: 1.22 g/cm³ (20 °C)
Viskozite: 182 mPa·s (20 °C)
Çözünürlük: Suda çözünür
Parlama noktası: Uygulanmaz
Patlayıcı özellikler: Toz halinde patlama riski olabilir.</t>
  </si>
  <si>
    <t>Kararlılık: Normal koşullarda kararlı.
Kaçınılması gereken maddeler: Kuvvetli oksitleyiciler.
Bozunma ürünleri: Yangında zararlı gazlar.</t>
  </si>
  <si>
    <t>LD₅₀ Oral (rat): &gt;2000 mg/kg
LD₅₀ Dermal (rat): &gt;2000 mg/kg
Cilt: Tahriş yapmaz (EPISKIN test).
Göz: Tahriş yapmaz (OECD 437).
Mutajenite: Ames testi negatif.
Kanserojenite/Üreme toksisitesi: Veri yok.</t>
  </si>
  <si>
    <t>Atıklar yerel ve ulusal yönetmeliklere uygun şekilde bertaraf edilmeli.
Kaplar su ile dekontamine edilmeli.
Geri dönüşüm mümkünse tercih edilmeli.</t>
  </si>
  <si>
    <t>Zinc chloride</t>
  </si>
  <si>
    <t>Analiz reaktifi olarak kullanılır.
Laboratuvar kimyasalıdır, tüketim veya doğrudan uygulama amaçlı değ</t>
  </si>
  <si>
    <t>Kimyasal adı: Zinc chloride
Formül: ZnCl₂
Molekül ağırlığı: 136.30 g/mol
CAS No: 7646-85-7
EC No: 231-592-0
Saflık: ≤100%</t>
  </si>
  <si>
    <t>Sınıflandırma (CLP/GHS):
Acute Tox. 4 – H302: Yutulursa zararlı
Skin Corr. 1B – H314: Ciddi cilt yanıkları ve göz hasarı
Eye Dam. 1 – H318: Ciddi göz hasarı
STOT SE 3 – H335: Solunum yollarında tahriş
Aquatic Acute 1 – H400: Sucul yaşam için çok toksik
Aquatic Chronic 1 – H410: Uzun süreli etkilerle çok toksik</t>
  </si>
  <si>
    <t>Soluma: Temiz havaya çıkarın, doktora başvurun.
Cilt: Kirli giysileri çıkarın, bol su ile yıkayın, doktora başvurun.
Göz: Bol su ile yıkayın, derhal göz doktoruna başvurun.
Yutma: 2 bardak su içirin, kusturmaya çalışmayın, doktora başvurun.</t>
  </si>
  <si>
    <t>Yanıcılık: Yanıcı değildir.
Uygun söndürücüler: Ortama uygun söndürücüler (su spreyi, köpük, CO₂, kuru kimyasal).
Özel riskler: Yangında HCl gazı ve ZnO açığa çıkabilir.
Ekipman: SCBA ve tam koruyucu giysi.</t>
  </si>
  <si>
    <t>Kullanım: Toz oluşumunu engelleyin, kişisel koruyucu ekipman kullanın.
Depolama: Sıkıca kapatılmış, kuru ortamda saklanmalı.
Depolama sınıfı: TRGS 510 – 8B (Yanıcı olmayan, aşındırıcı tehlikeli maddeler).</t>
  </si>
  <si>
    <t>DNEL (işçi, inhalasyon): 1 mg/m³
Göz: Koruyucu gözlük (EN 166/NIOSH).
Eller: Nitril eldiven (0.11 mm, 480 dk delinme süresi).
Solunum: Toz oluşumunda P2 filtreli respiratör.
Çevre: Kanalizasyona karışmamalı.</t>
  </si>
  <si>
    <t>Form: Beyaz toz
Koku: Kokusuz
Erime noktası: 293 °C
Yoğunluk: 2.93 g/cm³ (22 °C)
Çözünürlük: Suda tamamen çözünür (851 g/L, 20 °C)
Patlayıcı özellikler: Yok
Oksitleyici özellikler: Yok</t>
  </si>
  <si>
    <t>Kararlılık: Normal koşullarda kararlı.
Uyumsuz maddeler: Kuvvetli oksitleyiciler, bazı metaller.
Bozunma ürünleri: HCl gazı, ZnO.</t>
  </si>
  <si>
    <t>LD₅₀ Oral (rat): ~1100 mg/kg
LC₅₀ Inhalasyon (rat): ≤1975 mg/m³ (10 dk)
LD₅₀ Dermal (rat): &gt;2000 mg/kg
Cilt/Göz: Aşındırıcı, ciddi yanık ve körlük riski.
Solunum: İrritasyon, öksürük, göğüs ağrısı, pnömoni riski.
Kronik etkiler: Tekrarlı maruz kalmada organ toksisitesi.</t>
  </si>
  <si>
    <t>Atıklar yerel ve ulusal yönetmeliklere uygun şekilde bertaraf edilmeli.
Çevreye salınımı engellenmeli.</t>
  </si>
  <si>
    <t>Actı-Rev08-2004</t>
  </si>
  <si>
    <t>Yanmış yağları temizleme maddesi.
Profesyonel kullanım için geliştirilmiştir.</t>
  </si>
  <si>
    <t>%5–15 Sodyum Hidroksit (C, R35)
%5–15 Lineer alkil benzen sülfonik asit (C, R22-34)
%5–15 Anyonik aktif madde
%1–5 Noniyonik aktif madde
Diğer: çözücüler, köpük kesici, parfüm</t>
  </si>
  <si>
    <t>R34: Yanıklara neden olur
R35: Ciddi yanıklara neden olur
Sembol: C (Aşındırıcı)</t>
  </si>
  <si>
    <t>Soluma: Temiz havaya çıkarın, doktora başvurun.
Cilt: Akan su ve sabunla yıkayın, kirli giysileri çıkarın.
Göz: En az 10 dk su ile yıkayın, steril bezle kapatın, doktora başvurun.
Yutma: Ağız içini durulayın, bol su için, doktora başvurun.</t>
  </si>
  <si>
    <t>Yanıcılık: Yanıcı değildir.
Uygun söndürücüler: Tüm bilinen söndürücüler kullanılabilir.
Ekipman: Özel koruyucu giysi ve solunum cihazı.</t>
  </si>
  <si>
    <t>Koruyucu ekipman kullanın.
Kanalizasyona direkt verilmemeli.
Kalıntılar bol su ile temizlenmeli.</t>
  </si>
  <si>
    <t>Kullanım: Dikkatli açın ve kullanın.
Depolama: Kapalı ambalajda, serin ve kuru ortamda saklayın.</t>
  </si>
  <si>
    <t>Eller: Lastik eldiven.
Göz: Koruyucu gözlük.
Cilt: Koruyucu elbise.</t>
  </si>
  <si>
    <t>Form: Viskoz sıvı
Renk: Bulanık krem
Koku: Parfüm
pH (20 °C): 12.5–13.5 (konsantre)
Çözünürlük: Suda çözünür
Viskozite: 1100–1300 cP</t>
  </si>
  <si>
    <t>Uyumsuz maddeler: Asitlerle reaksiyona girer, ısı açığa çıkar.
Bozunma ürünleri: Normal kullanımda yok.</t>
  </si>
  <si>
    <t>Cilt: Tahriş edici.
Göz: Ciddi hasar riski.
Yutma: Ağız ve midede kuvvetli kostik etki.</t>
  </si>
  <si>
    <t>Yetkili kurum bilgisi dahilinde özel bertaraf.</t>
  </si>
  <si>
    <t>ALKLAR</t>
  </si>
  <si>
    <t>Mineralli sıvı temizleme maddesi.
Profesyonel kullanım için geliştirilmiştir.</t>
  </si>
  <si>
    <t>%1–5 Noniyonik aktif madde
Diğer: İnce yapılı mineral ovma maddesi, köpük kesici, parfüm</t>
  </si>
  <si>
    <t>Doğru kullanıldığında yan etkisi yoktur.</t>
  </si>
  <si>
    <t>Soluma: Temiz havaya çıkarın.
Cilt: Bol su ile yıkayın, cilt bakımı yapın.
Göz: En az 10 dk su ile yıkayın, steril bezle kapatın, doktora başvurun.
Yutma: Ağız içini durulayın, bol su için, doktora başvurun.</t>
  </si>
  <si>
    <t>Yanıcılık: Yanıcı değildir.
Uygun söndürücüler: Tüm bilinen söndürücüler kullanılabilir.
Ekipman: Özel koruyucu giysi.</t>
  </si>
  <si>
    <t>Kullanım: Dikkatli açın ve kullanın.
Depolama: Kapalı ambalajda, serin ve kuru ortamda saklanmalı.</t>
  </si>
  <si>
    <t>Form: Sıvı
Renk: Beyaz emülsiyon
Koku: Hoş kokulu
pH (20 °C): 9.5–10.5
Kuru madde: %46–50
Viskozite (20 °C): 4000–6000 mPa·s</t>
  </si>
  <si>
    <t>Uyumsuz maddeler: Asitlerle reaksiyona girer, ısı açığa çıkar.
Bozunma ürünleri: Bilinmiyor.</t>
  </si>
  <si>
    <t>Toksikolojik analizlere göre tehlikeli madde sınıfına girmez.</t>
  </si>
  <si>
    <t>BendurolForte</t>
  </si>
  <si>
    <t>Hassas yüzeyler için kir ve cila sökücü.
Profesyonel kullanım için geliştirilmiştir.</t>
  </si>
  <si>
    <t>&lt;%5 Noniyonik aktif madde
%5–15 Fosfat
Diğer: suda çözünen solventler, alkali, çözücüler, parfüm</t>
  </si>
  <si>
    <t>Form: Sıvı
Renk: Renksiz
Koku: Hoş kokulu
pH (20 °C): 10.0–11.0
Kuru madde: %20–25</t>
  </si>
  <si>
    <t>Contra-Rev08-2004</t>
  </si>
  <si>
    <t>Yüksek performanslı konsantre kireç çözme maddesi.
Profesyonel kullanım için geliştirilmiştir.</t>
  </si>
  <si>
    <t>%30 Fosforik Asit (C, R34)
%5–15 Nitrik Asit (C, R35)</t>
  </si>
  <si>
    <t>Sembol: C (Korozif)
R34: Yanıklara neden olur</t>
  </si>
  <si>
    <t>Soluma: Temiz havaya çıkarın.
Cilt: Akan su ve sabunla yıkayın, kirli giysileri çıkarın.
Göz: En az 10 dk su ile yıkayın, steril bezle kapatın, doktora başvurun.
Yutma: Bol su için, kusturmaya çalışmayın, derhal doktora başvurun.</t>
  </si>
  <si>
    <t>Yanıcılık: Yanıcı değildir.
Uygun söndürücüler: Tüm bilinen söndürücüler kullanılabilir.
Ekipman: Koruyucu giysi ve solunum cihazı.</t>
  </si>
  <si>
    <t>Göz ve cilt temasından kaçının.
Kanalizasyona direkt verilmemeli.
Sıvı absorban ile toplayın, kalıntıları bol su ile temizleyin.
Uygun kimyasalla nötralize edilebilir.</t>
  </si>
  <si>
    <t>Kullanım: Dikkatli açın, durgun suya katılarak seyreltilmeli.
Depolama: Kapalı ambalajda, serin yerde saklanmalı. Gıda malzemeleri ile depolanmamalı.</t>
  </si>
  <si>
    <t>Eller: Koruyucu eldiven.
Göz: Koruyucu gözlük.</t>
  </si>
  <si>
    <t>Form: Sıvı
Renk: Renksiz, berrak
Koku: Karakteristik
pH (%1 çözelti, 20 °C): 1.5–2.0
Çözünürlük: Suda çözünür</t>
  </si>
  <si>
    <t>Uyumsuz maddeler: Alkalilerle reaksiyona girer, ısı açığa çıkar.
Bozunma ürünleri: Normal kullanımda yok.</t>
  </si>
  <si>
    <t>Yutma: Zararlıdır.
Cilt: Kuvvetli aşındırıcı etki.
Göz: Ciddi hasar riski.</t>
  </si>
  <si>
    <t>DiesinR-80</t>
  </si>
  <si>
    <t>Dezenfektan etkili temizlik maddesi.
Profesyonel kullanım için geliştirilmiştir.</t>
  </si>
  <si>
    <t>%5–15 Noniyonik aktif madde (Xn, R22-36)
%1–5 Formaldehid (T, R23/24/25-34-40-43)
%1–5 Glyoxal (40%) (Xi, R36/38)
&lt;%5 Gluteraldehid (50%) (C, R20/22-34-43)
%1–5 Benzalkonyum klorür (C, R22-34)
Diğer: antimikrobiyal madde, solvent, boya, parfüm</t>
  </si>
  <si>
    <t>Sembol: Xn (Zararlı)
R36/38: Gözleri ve deriyi tahriş edicidir
R40: Tedavisi mümkün olmayan etki oluşturma ihtimali
R43: Deriyle temasta allerji yapabilir
 GHS07 (Ünlem), GHS08 (Sağlık tehlikesi), GHS05 (Aşındırıcı)</t>
  </si>
  <si>
    <t>Soluma: Temiz havaya çıkarın.
Cilt: Akan su ve sabunla yıkayın, kirli giysileri çıkarın.
Göz: En az 10 dk su ile yıkayın, steril bezle kapatın, doktora başvurun.
Yutma: Ağız içini durulayın, bol su için, doktora başvurun.</t>
  </si>
  <si>
    <t>Form: Sıvı
Renk: Pembe, berrak
pH (20 °C): 2.5–3.5
Kuru madde: %10–13
Aktif madde (katyon): %4.5–5.5</t>
  </si>
  <si>
    <t>Uyumsuz maddeler: Alkalilerle reaksiyona girer, ısı açığa çıkar.
Bozunma ürünleri: Bilinmiyor.</t>
  </si>
  <si>
    <t>Cilt: Tahriş edici, mukozayı irrite eder.
Göz: İrritasyon yapar.
Yutma: Zararlıdır.
Ek riskler: Formaldehid ve glutaraldehid nedeniyle allerjik reaksiyon ve kanserojenite riski.</t>
  </si>
  <si>
    <t>E-210</t>
  </si>
  <si>
    <t>Sert yüzeyler için cila ürünü.
Profesyonel kullanım için geliştirilmiştir.</t>
  </si>
  <si>
    <t>Polimerler
Anyonik aktif madde
Suda çözünen çözücüler
Diğer: koruyucu ve yardımcı maddeler, organik tuz, parfüm</t>
  </si>
  <si>
    <t>Form: Sıvı emülsiyon
Renk: Beyaz
Koku: Parfümlü
pH (20 °C): 8.0–9.0
Yoğunluk (20 °C): 1.025–1.100 g/ml
Kuru madde: %22–24
Viskozite (Brookfield, 20 °C): 25–50 mPa·s</t>
  </si>
  <si>
    <t>Uyumsuz maddeler: Bilinmiyor.
Bozunma ürünleri: Bilinmiyor.</t>
  </si>
  <si>
    <t>Sağlığa zararlı veya tehlikeli madde sınıfına girmez.</t>
  </si>
  <si>
    <t>EcocareOasis256</t>
  </si>
  <si>
    <t>Konsantre temizlik ürünü.
Profesyonel kullanım için geliştirilmiştir.</t>
  </si>
  <si>
    <t>&lt;%5 Anyonik aktif madde
&lt;%5 Noniyonik aktif madde
Diğer: çözücüler, parfüm, boya, koruyucu madde</t>
  </si>
  <si>
    <t>Amacına uygun kullanıldığında tehlike mevcut değildir.</t>
  </si>
  <si>
    <t>Soluma: Uygun değil.
Cilt: Akan su ve sabunla yıkayın, kirli giysileri çıkarın.
Göz: En az 10 dk su ile yıkayın, doktora başvurun.
Yutma: Ağız içini durulayın, bol su için, doktora başvurun.</t>
  </si>
  <si>
    <t>Yanıcılık: Bilinmiyor, yanıcı değil.
Uygun söndürücüler: Su veya köpük.
Ekipman: Özel koruyucu giysi.</t>
  </si>
  <si>
    <t>Göz ve cilt temasından kaçının.
Kanalizasyona direkt verilmemeli.
Kalıntılar bol su ile temizlenmeli.</t>
  </si>
  <si>
    <t>Kullanım: Özel tedbir gerekmez.
Depolama: Orijinal ambalajında, serin yerde saklanmalı.</t>
  </si>
  <si>
    <t>Göz: Temastan kaçının.
Ek önlem: Koruyucu ekipman önerilir.</t>
  </si>
  <si>
    <t>Form: Berrak sıvı
Renk: Mavi
Koku: Karakteristik
pH (20 °C, konsantre): 6.0–7.0
Çözünürlük: Suda çözünür</t>
  </si>
  <si>
    <t>Normal kullanımda tehlikeli reaksiyon yok.
Bozunma ürünleri: Yok.</t>
  </si>
  <si>
    <t>Uygulama sırasında sağlık açısından tehlike arz etmez.</t>
  </si>
  <si>
    <t>EcocareOasis266</t>
  </si>
  <si>
    <t>Noniyonik yüzey aktif madde
Kompleks yapıcı
Katyonik yüzey aktif madde
Boya ve parfüm
%5–15 Fatty alkol etoksilat (Xn, R22-41-50)</t>
  </si>
  <si>
    <t>R36/38: Gözleri ve cildi tahriş edicidir</t>
  </si>
  <si>
    <t>Soluma: Temiz havaya çıkarın, gerekirse doktora başvurun.
Cilt: Akan su ve sabunla yıkayın, kirli giysileri çıkarın.
Göz: En az 10 dk su ile yıkayın, doktora başvurun.
Yutma: Ağız içini durulayın, bol su için, doktora başvurun.</t>
  </si>
  <si>
    <t>Yanıcılık: Bilinmiyor.
Uygun söndürücüler: Su veya köpük.
Ekipman: Özel koruyucu giysi.</t>
  </si>
  <si>
    <t>Göz ve cilt temasından kaçının.
Kanalizasyona direkt verilmemeli.
Sıvı absorban ile toplayın, kalıntıları bol su ile temizleyin.</t>
  </si>
  <si>
    <t>Kullanım: Dikkatli açın ve kullanın.
Depolama: Orijinal ambalajında saklanmalı.</t>
  </si>
  <si>
    <t>Form: Sıvı
Renk: Kavuniçi
Koku: Parfümlü
pH (%1 çözelti, 20 °C): 7.0
Yoğunluk (20 °C): 1.038–1.044 g/cm³</t>
  </si>
  <si>
    <t>Uygulama sırasında sağlık açısından tehlikeli bir durum arz etmez.</t>
  </si>
  <si>
    <t>EcocareOasis277</t>
  </si>
  <si>
    <t>Koku giderici olarak geliştirilmiş profesyonel temizlik ürünü.
Ürün doğrudan kullanılmalı, uygulama sırasında sıçrama ve cilt teması önlenmelidir.
Çalışma alanında yeterli havalandırma sağlanmalı, ürünün gözle temasından kaçınılmalıdır.
Kullanım sırasında kirlenmiş giysiler derhal çıkarılmalı ve uygun kişisel koruyucu ekipman (eldiven, gözlük) tercih edilmelidir.</t>
  </si>
  <si>
    <t>Konsantre parfüm
Noniyonik yüzey aktif madde
Koruyucu ve boya</t>
  </si>
  <si>
    <t>Soluma: Uygun değil.
Cilt: Akan su ve sabunla yıkayın, kirli giysileri çıkarın.
Göz: En az 10 dk su ile yıkayın, gerekirse doktora başvurun.
Yutma: Ağız içini durulayın, bol su için, doktora başvurun.</t>
  </si>
  <si>
    <t>Yanıcılık: Bilinmiyor, yanıcı değil.
Uygun söndürücüler: Su veya köpük.
Ekipman: Koruyucu giysi ve solunum cihazı.</t>
  </si>
  <si>
    <t>Cilt temasından kaçının, koruyucu ekipman kullanın.
Kanalizasyona direkt verilmemeli.
Dökülme durumunda sıvı absorban malzeme (kum, talaş vb.) ile toplanmalı.
Temizlik sonrası yüzeyler bol su ile yıkanmalı, ürün kalıntısı tamamen uzaklaştırılmalıdır.</t>
  </si>
  <si>
    <t>Kullanım: Ürün dikkatli açılmalı, doğrudan temasından kaçınılmalı. Uygulama sırasında sıçrama riskine karşı kontrollü kullanılmalı.
Depolama: Orijinal ambalajında, serin ve kuru yerde saklanmalı. Gıda ürünlerinden ayrı tutulmalı, ambalaj kapalı olmalı. Direkt güneş ışığından ve aşırı sıcak ortamlardan korunmalıdır.</t>
  </si>
  <si>
    <t>Form: Sıvı
Renk: Turkuaz-yeşil
Koku: Taze çiçek kokusu
pH (20 °C, 10 g/L çözelti): 7.0–8.0
Çözünürlük: Suda çözünür</t>
  </si>
  <si>
    <t>Dökülme sonrası absorban malzeme ile toplanmalı.
Kalıntılar bol su ile yıkanmalı.
Bertaraf işlemleri ilgili kurum bilgisi dahilinde yapılmalı.</t>
  </si>
  <si>
    <t>EcocareOasis278</t>
  </si>
  <si>
    <t>Profesyonel ortamlarda koku giderici olarak kullanılır.
Ürün dikkatli açılmalı, doğrudan temasından kaçınılmalıdır.
Uygulama sırasında sıçrama riskine karşı kontrollü kullanılmalı, göz ve ciltle temas engellenmelidir.
Kirlenmiş giysiler derhal çıkarılmalı, uygulama sonrası eller bol su ve sabunla yıkanmalıdır.</t>
  </si>
  <si>
    <t>%1–5 Anyonik aktif madde
%5–15 Noniyonik aktif madde
Koruyucu madde
Diğer: parfüm, boya</t>
  </si>
  <si>
    <t>Göz ve cilt temasından kaçının, koruyucu ekipman kullanın.
Dökülme durumunda ürün doğrudan kanalizasyona verilmemeli.
Kalıntılar bol su ile yıkanmalı, yüzey tamamen temizlenmelidir.
Büyük döküntülerde absorban malzeme (kum, talaş vb.) kullanılabilir.</t>
  </si>
  <si>
    <t>Kullanım: Ürün dikkatli açılmalı, sıçrama riskine karşı kontrollü kullanılmalı. Uygulama sırasında göz ve ciltle temas engellenmeli.
Depolama: Orijinal ambalajında, serin ve kuru yerde saklanmalı. Ambalaj kapalı tutulmalı, doğrudan güneş ışığından ve aşırı sıcak ortamlardan korunmalıdır. Gıda ürünlerinden ayrı depolanmalıdır.</t>
  </si>
  <si>
    <t>Form: Sıvı
Renk: Yeşil
Koku: Çiçek kokusu
pH (20 °C, 10 g/L çözelti): 6.0
Çözünürlük: Suda çözünür</t>
  </si>
  <si>
    <t>Uygulama sırasında sağlık açısından tehlike arz etmez</t>
  </si>
  <si>
    <t>Küçük döküntüler bol su ile yıkanarak temizlenmeli.
Büyük döküntüler absorban malzeme ile toplanmalı, ardından yüzey bol su ile durulanmalıdır.
Bertaraf işlemleri ilgili kurum bilgisi dahilinde yapılmalıdır.</t>
  </si>
  <si>
    <t>EcocareOasis287</t>
  </si>
  <si>
    <t>Profesyonel ortamlarda banyo temizleme ürünü olarak kullanılır.
Ürün dikkatli açılmalı, doğrudan temasından kaçınılmalıdır.
Uygulama sırasında sıçrama riskine karşı kontrollü kullanılmalı, göz ve ciltle temas engellenmelidir.</t>
  </si>
  <si>
    <t>%1–5 Anyonik aktif madde
%1–5 Noniyonik aktif madde
Diğer: çözücü, yardımcı maddeler, koruyucu madde, parfüm, boya</t>
  </si>
  <si>
    <t>Soluma: Temiz havaya çıkarın.
Cilt: Akan su ile yıkayın.
Göz: En az 10 dk su ile yıkayın, doktora başvurun.
Yutma: Ağız içini durulayın, bol su için, kusturmaya çalışmayın, doktora başvurun.</t>
  </si>
  <si>
    <t>Göz ve cilt temasından kaçının, koruyucu ekipman kullanın.
Kanalizasyona direkt verilmemeli.
Dökülme durumunda sıvı absorban malzeme (kum, talaş vb.) ile toplanmalı.
Temizlik sonrası yüzeyler bol su ile yıkanmalı, ürün kalıntısı tamamen uzaklaştırılmalıdır.
Büyük döküntülerde alan havalandırılmalı ve atıklar yerel mevzuata uygun şekilde bertaraf edilmelidir.</t>
  </si>
  <si>
    <t>Kullanım: Ürün dikkatli açılmalı, sıçrama riskine karşı kontrollü kullanılmalı. Uygulama sırasında göz ve ciltle temas engellenmeli. İşlem sonrası eller mutlaka yıkanmalı.
Depolama: Orijinal ambalajında, serin ve kuru yerde saklanmalı. Ambalaj kapalı tutulmalı, doğrudan güneş ışığından ve aşırı sıcak ortamlardan korunmalıdır. Gıda ürünlerinden ayrı depolanmalıdır.</t>
  </si>
  <si>
    <t>Form: Sıvı
Renk: Kırmızı–oranj, berrak
Koku: Parfümlü
pH (20 °C, konsantre): 5.2–5.8</t>
  </si>
  <si>
    <t>EcocareOasis293-Rev06-2005</t>
  </si>
  <si>
    <t>Profesyonel ortamlarda temizlik ve bakım ürünü olarak kullanılır.
Ürün dikkatli açılmalı, doğrudan temasından kaçınılmalıdır.
Seyreltme işlemi durgun suya katılarak yapılmalı, sıçrama riskine karşı kontrollü kullanılmalıdır.
Uygulama sırasında göz ve ciltle temas engellenmeli, işlem sonrası eller mutlaka yıkanmalıdır.</t>
  </si>
  <si>
    <t>%30 Fosforik Asit (C, R34)
%1–5 Amfoterik aktif madde
Diğer: çözücü, parfüm, boya</t>
  </si>
  <si>
    <t>Sembol: C (Aşındırıcı)
R34: Yanıklara neden olur</t>
  </si>
  <si>
    <t>Soluma: Temiz havaya çıkarın, gerekirse doktora başvurun.
Cilt: Akan su ve sabunla yıkayın, kirli giysileri çıkarın.
Göz: En az 10 dk su ile yıkayın, steril bezle kapatın, doktora başvurun.
Yutma: Ağız içini durulayın, bol su için, kusturmaya çalışmayın, doktora başvurun.</t>
  </si>
  <si>
    <t>Yanıcılık: Yanıcı değildir.
Uygun söndürücüler: Su veya köpük.
Ekipman: Koruyucu giysi ve solunum cihazı.</t>
  </si>
  <si>
    <t>Kullanım: Ürün dikkatli açılmalı, durgun suya katılarak seyreltilmeli. Uygulama sırasında sıçrama riskine karşı kontrollü kullanılmalı. Göz ve ciltle temas engellenmeli. İşlem sonrası eller mutlaka yıkanmalı.
Depolama: Orijinal ambalajında, serin ve kuru yerde saklanmalı. Ambalaj kapalı tutulmalı, doğrudan güneş ışığından ve aşırı sıcak ortamlardan korunmalıdır. Gıda ürünleri ile birlikte depolanmamalıdır.</t>
  </si>
  <si>
    <t>Form: Berrak sıvı
Renk: Yeşil
Koku: Parfümlü
pH (%1 çözelti, 20 °C): 1.5–2.0
Çözünürlük: Suda çözünür</t>
  </si>
  <si>
    <t>Normal kullanımda tehlikeli reaksiyon yok.
Uyumsuz maddeler: Alkalilerle reaksiyona girer, ısı açığa çıkar. Hipoklorit içeren temizleyicilerle temasında toksik gaz çıkışı olur.
Bozunma ürünleri: Yok.</t>
  </si>
  <si>
    <t>EcocareOasis297</t>
  </si>
  <si>
    <t>Profesyonel ortamlarda asidik banyo temizleme ürünü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</si>
  <si>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%5–15 Noniyonik aktif madde
Organik ve anorganik asitler
Çözücü, parfüm, boya
Koruyucu madde</t>
  </si>
  <si>
    <t>Soluma: Temiz havaya çıkarın.
Cilt: Akan su ile yıkayın, kirli giysileri çıkarın.
Göz: En az 10 dk su ile yıkayın, doktora başvurun.
Yutma: Ağız içini durulayın, bol su için, doktora başvurun.</t>
  </si>
  <si>
    <t>Eller: Koruyucu eldiven.
Göz: Koruyucu gözlük.
Cilt: Koruyucu elbise.</t>
  </si>
  <si>
    <t>Form: Sıvı
Renk: Kırmızı–pembe, berrak
Koku: Parfümlü
pH (%1 çözelti, 20 °C): 2.1–2.5</t>
  </si>
  <si>
    <t>Normal kullanımda tehlikeli reaksiyon yok.
Uyumsuz maddeler: Alkalilerle reaksiyona girer, ısı açığa çıkar. Metallerle reaksiyona girer, hidrojen gazı açığa çıkar.
Bozunma ürünleri: Yok.</t>
  </si>
  <si>
    <t>Ecoguard111</t>
  </si>
  <si>
    <t>Profesyonel ortamlarda yer temizleme ürünü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</si>
  <si>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Kostik ve alkali maddeler
Noniyonik yüzey aktif madde
Organik çözücüler
Kompleks yapıcı, boya ve parfüm
%1–5 Butildiglikol (Xi, R36)
%1–5 Monoethanolamin (Xn, R20)
%1–5 EDTA (Xi, R36/38)
%1–5 Fatty alcohol etoxylate (Xn, R22/41)</t>
  </si>
  <si>
    <t>Sembol: Xi (Tahriş edici)
R36: Gözleri tahriş edicidir
R38: Cildi tahriş edicidir</t>
  </si>
  <si>
    <t>Soluma: Temiz havaya çıkarın, gerekirse doktora başvurun.
Cilt: Akan su ve sabunla yıkayın, kirli giysileri çıkarın.
Göz: En az 10 dk su ile yıkayın, steril bandaj ile kapatın, doktora başvurun.
Yutma: Ağız içini durulayın, bol su için, doktora başvurun.</t>
  </si>
  <si>
    <t>Göz ve cilt temasından kaçının, koruyucu ekipman kullanın.
Kanalizasyona direkt verilmemeli.
Dökülme durumunda absorban malzeme (kum, talaş vb.) ile toplanmalı.
Temizlik sonrası yüzeyler bol su ile yıkanmalı, ürün kalıntısı tamamen uzaklaştırılmalıdır.
Büyük döküntülerde alan havalandırılmalı ve atıklar yerel mevzuata uygun şekilde bertaraf edilmelidir.</t>
  </si>
  <si>
    <t>Form: Sıvı
Renk: Yeşil
Koku: Spesifik
pH (%1 çözelti, 20 °C): 11.0–12.0
Yoğunluk (20 °C): 1.014–1.054 g/cm³
Çözünürlük: Suda çözünür</t>
  </si>
  <si>
    <t>Cilt: Tahriş edici.
Göz: Tahriş edici.</t>
  </si>
  <si>
    <t>Küçük döküntüler absorban malzeme ile toplanmalı, ardından yüzey bol su ile durulanmalıdır.
Büyük döküntülerde alan havalandırılmalı ve atıklar yerel mevzuata uygun şekilde bertaraf edilmelidir.</t>
  </si>
  <si>
    <t>Ecoguard122-Rev06-2005</t>
  </si>
  <si>
    <t>Profesyonel ortamlarda mutfak yüzeyleri bakım ürünü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</si>
  <si>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%15–30 Fosforik Asit (Xi, R36/38)
%5–15 Fatty alcohol etoxylate (Xn, R22-36/38)
%5–15 Bütildiglikol (Xi, R36)
Diğer: çözücüler, parfüm, boya</t>
  </si>
  <si>
    <t>Sembol: Xi (Tahriş edici)
R36/38: Gözleri ve cildi tahriş edicidir
 Piktogram: GHS07 (Ünlem)</t>
  </si>
  <si>
    <t>Soluma: Temiz havaya çıkarın.
Cilt: Akan su ve sabunla yıkayın, kirli giysileri çıkarın.
Göz: En az 10 dk su ile yıkayın, steril bandaj ile kapatın, doktora başvurun.
Yutma: Ağız içini durulayın, bol su için, doktora başvurun.</t>
  </si>
  <si>
    <t>Eller: EN 374 standardına uygun kimyasal koruyucu eldiven.
Göz: EN 166 standardına uygun koruyucu gözlük veya yüz siperi.
Cilt: EN ISO 13688 standardına uygun iş elbisesi.
Solunum (toz/çözelti aerosolleri oluşursa): EN 149 standardına uygun partikül maskesi veya EN 14387 kimyasal filtreli maske.</t>
  </si>
  <si>
    <t>Form: Sıvı
Renk: Kavuniçi
Koku: Meyve kokusu
pH (20 °C, konsantre): 1.5–2.5
Yoğunluk (20 °C): 1.102–1.142 g/ml
Çözünürlük: Suda çözünür</t>
  </si>
  <si>
    <t>Normal kullanımda tehlikeli reaksiyon yok.
Uyumsuz maddeler: Alkali maddelerle reaksiyona girer, ısı açığa çıkar.
Bozunma ürünleri: Yok.</t>
  </si>
  <si>
    <t>Yutma: Zararlıdır.
Cilt: Tahriş edici.
Göz: Tahriş edici.</t>
  </si>
  <si>
    <t>Ecoguard133</t>
  </si>
  <si>
    <t>Profesyonel ortamlarda genel temizlik ürünü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</si>
  <si>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%5–15 Anyonik aktif madde
EDTA
Çözücüler
Parfüm ve boya</t>
  </si>
  <si>
    <t>Göz ve cilt temasından kaçının, koruyucu ekipman kullanın.
Kanalizasyona direkt verilmemeli.
Dökülme durumunda ürün bol su ile yıkanmalı.
Büyük döküntülerde alan havalandırılmalı ve atıklar yerel mevzuata uygun şekilde bertaraf edilmelidir.</t>
  </si>
  <si>
    <t>Form: Sıvı
Renk: Berrak sarı
Koku: Parfümlü
pH (%1 çözelti, 20 °C): 10.0–10.5
Çözünürlük: Suda çözünür</t>
  </si>
  <si>
    <t>Küçük döküntüler bol su ile yıkanarak temizlenmeli.
Büyük döküntülerde alan havalandırılmalı ve atıklar yerel mevzuata uygun şekilde bertaraf edilmelidir.</t>
  </si>
  <si>
    <t>Ecoguard144</t>
  </si>
  <si>
    <t>Profesyonel ortamlarda dezenfektan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</si>
  <si>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Katyonik yüzey aktif madde
Boya</t>
  </si>
  <si>
    <t>Sembol: Xi (Tahriş edici)
R36/38: Gözleri ve cildi tahriş edicidir
Piktogram: GHS07 (Ünlem)</t>
  </si>
  <si>
    <t>Soluma: Temiz havaya çıkarın.
Cilt: Akan su ve sabunla yıkayın, kirli giysileri çıkarın.
Göz: En az 10 dk su ile yıkayın, gerekirse doktora başvurun.
Yutma: Ağız içini durulayın, bol su için, kusturmaya çalışmayın, doktora başvurun.</t>
  </si>
  <si>
    <t>Form: Sıvı
Renk: Koyu menekşe
Koku: Karakteristik
pH (%1 çözelti, 20 °C): 5.5–6.5
Çözünürlük: Suda çözünür</t>
  </si>
  <si>
    <t>Yutma: Zararlıdır.
Cilt/Göz: Tahriş edici.</t>
  </si>
  <si>
    <t>Ecoguard498-Rev03-2004</t>
  </si>
  <si>
    <t>Profesyonel ortamlarda dezenfektanlı temizlik ürünü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</si>
  <si>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%5–15 Nonyonik yüzey aktif madde
%5–15 Katyonik yüzey aktif madde
Monoetanolamin
Parfüm ve boya
%5–15 Alkyl Dimetil Ammonium Chloride (C, R22-34)
%5–15 Fatty Alcohol Ethoxylate (Xn, R22-36/38)</t>
  </si>
  <si>
    <t>Sembol: Xi (Tahriş edici)
R36/38: Gözleri ve cildi tahriş edicidir  Piktogram: GHS07 (Ünlem)</t>
  </si>
  <si>
    <t>Soluma: Temiz havaya çıkarın, doktora başvurun.
Cilt: Akan su ve sabunla yıkayın, kirli giysileri çıkarın.
Göz: En az 10 dk su ile yıkayın, gerekirse doktora başvurun.
Yutma: Ağız içini durulayın, bol su için, kusturmaya çalışmayın, doktora başvurun.</t>
  </si>
  <si>
    <t>Form: Berrak sıvı
Renk: Menekşe
Koku: Parfümlü
pH (20 °C, direkt): 11.2–11.9
Yoğunluk (20 °C): 1.000–1.008 g/cm³
Çözünürlük: Suda çözünür</t>
  </si>
  <si>
    <t>Cilt: Tahriş edici, mukoza membranlarını etkileyebilir.
Göz: Tahriş edici.</t>
  </si>
  <si>
    <t>Fefix</t>
  </si>
  <si>
    <t>Profesyonel ortamlarda kireç ve çimento kalıntılarını temizleme maddesi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</si>
  <si>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%30 Amidosülfonik Asit (Xi, R36/38)</t>
  </si>
  <si>
    <t>Sembol: Xi (Tahriş edici)
R36/38: Gözleri ve deriyi tahriş eder
 Piktogram: GHS07 (Ünlem)</t>
  </si>
  <si>
    <t>Soluma: Temiz havaya çıkarın, doktora başvurun.
Cilt: Akan su ve sabunla yıkayın, kirli giysileri çıkarın, steril bezle kapatın, doktora başvurun.
Göz: En az 10 dk su ile yıkayın, steril bezle kapatın, doktora başvurun.
Yutma: Ağız içini durulayın, bol su için, doktora başvurun.</t>
  </si>
  <si>
    <t>Koruyucu ekipman giyilmeli.
Kanalizasyona direkt verilmemeli.
Dökülme durumunda ürün bol su ile yıkanmalı.
Büyük döküntülerde alan havalandırılmalı ve atıklar yerel mevzuata uygun şekilde bertaraf edilmelidir.</t>
  </si>
  <si>
    <t>Eller: EN 374 standardına uygun kimyasal koruyucu eldiven.
Göz: EN 166 standardına uygun koruyucu gözlük veya yüz siperi.
Cilt: EN ISO 13688 standardına uygun iş elbisesi.
Solunum (toz oluşursa): EN 149 standardına uygun partikül maskesi veya EN 14387 kimyasal filtreli maske.</t>
  </si>
  <si>
    <t>Form: Kristal toz
Renk: Beyaz
pH (%1 çözelti, 20 °C): 1.0–2.0
Asit yüzdesi: %99–100
Erime noktası: 200–210 °C</t>
  </si>
  <si>
    <t>Normal kullanımda tehlikeli reaksiyon yok.
Uyumsuz maddeler: Alkalilerle reaksiyona girer, ısı açığa çıkar.
Bozunma ürünleri: Bilinmiyor.</t>
  </si>
  <si>
    <t>Toksikolojik analizlere göre tehlikeli maddeler sınıfına girmez.
Ancak göz ve ciltte tahriş edici etki gösterebilir.</t>
  </si>
  <si>
    <t>G-100</t>
  </si>
  <si>
    <t>Profesyonel ortamlarda kir ve cila sökücü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
Kirlenmiş giysiler derhal çıkarılmalı ve tekrar kullanılmadan önce yıkanmalıdır.</t>
  </si>
  <si>
    <t>%5–15 Butildiglikol (Xn, R20/21/22-37)
%5–15 Monoethanolamin (Xn, R20-36/37/38)
%1–5 Sodyum Hidroksit (C, R35)
%1–5 Noniyonik aktif madde (Xn, R22-36/38)
Diğer: çözücüler, inorganik tuzlar, boya, parfüm</t>
  </si>
  <si>
    <t>Sembol: C (Aşındırıcı)
R10: Alevlenebilir
R20: Solunması halinde sağlığa zararlıdır
R34: Yanıklara neden olur
Piktogram: GHS05 (Aşındırıcı), GHS02 (Alev)</t>
  </si>
  <si>
    <t>Soluma: Temiz havaya çıkarın.
Cilt: Akan su ve sabunla yıkayın, kirli giysileri çıkarın, steril bezle kapatın, doktora başvurun.
Göz: En az 10 dk su ile yıkayın, steril bezle kapatın, doktora başvurun.
Yutma: Ağız içini durulayın, bol su için, doktora başvurun.</t>
  </si>
  <si>
    <t>Yanıcılık: Alevlenebilir.
Uygun söndürücüler: Tüm bilinen söndürücüler kullanılabilir.
Ekipman: Koruyucu giysi ve solunum cihazı.</t>
  </si>
  <si>
    <t>Eller: EN 374 standardına uygun kimyasal koruyucu eldiven.
Göz: EN 166 standardına uygun koruyucu gözlük veya yüz siperi.
Cilt: EN ISO 13688 standardına uygun iş elbisesi.
Solunum (buhar/aerosol oluşursa): EN 149 standardına uygun partikül maskesi veya EN 14387 kimyasal filtreli maske.</t>
  </si>
  <si>
    <t>Form: Sıvı
Renk: Koyu mavi
Koku: Parfümlü
pH (25 °C, direkt): 12.5–13.5</t>
  </si>
  <si>
    <t>Normal kullanımda tehlikeli reaksiyon yok.
Uyumsuz maddeler: Asitlerle reaksiyona girer, ısı açığa çıkar.
Bozunma ürünleri: Bilinmiyor.</t>
  </si>
  <si>
    <t>Göz: Tahriş edici.
Cilt: Tahriş edici.
Yutma: Kuvvetli kostik etki (ağız ve mide).</t>
  </si>
  <si>
    <t>Helıos</t>
  </si>
  <si>
    <t>Profesyonel ortamlarda paslanmaz çelik yüzeyler için bakım maddesi olarak kullanılır.
Ürün dikkatli açılmalı, doğrudan temasından kaçınılmalıdır.
Uygulama sırasında sıçrama riskine karşı kontrollü kullanılmalı.
Çalışma alanında yeterli havalandırma sağlanmalı, işlem sonrası eller mutlaka yıkanmalıdır.</t>
  </si>
  <si>
    <t>Noniyonik yüzey aktif madde
Metal parlatıcı ince inorganik madde
Çözücü
Parfüm</t>
  </si>
  <si>
    <t>Sembol: F (Alevlenebilir)
R10: Alevlenebilir
 Piktogram: GHS02 (Alev)</t>
  </si>
  <si>
    <t>Soluma: Temiz havaya çıkarın.
Cilt: Akan su ve sabunla yıkayın, kirli giysileri çıkarın.
Göz: En az 10 dk su ile yıkayın, gerekirse doktora başvurun.
Yutma: Ağız içini durulayın, bol su için, doktora başvurun.</t>
  </si>
  <si>
    <t>Alev kaynaklarından uzak tutulmalı.
Kanalizasyona direkt verilmemeli.
Dökülme durumunda ürün bol su ile yıkanmalı.
Büyük döküntülerde alan havalandırılmalı ve atıklar yerel mevzuata uygun şekilde bertaraf edilmelidir.</t>
  </si>
  <si>
    <t>Kullanım: Ürün dikkatli açılmalı, sıçrama riskine karşı kontrollü kullanılmalı.
Depolama: Orijinal ambalajında, serin ve kuru yerde saklanmalı. Ambalaj kapalı tutulmalı, doğrudan güneş ışığından ve ateş kaynaklarından korunmalıdır.</t>
  </si>
  <si>
    <t>Form: Bulanık viskoz sıvı
Renk: Kirli beyaz
Koku: Karakteristik
pH (20 °C, konsantre): 2.0–3.0
Çözünürlük: Suda çözünür</t>
  </si>
  <si>
    <t>Normal kullanımda tehlikeli reaksiyon yok.
Bozunma ürünleri: Bilinmiyor.</t>
  </si>
  <si>
    <t>Normal kullanımda tehlikeli bir durum bildirilmemiştir.</t>
  </si>
  <si>
    <t>Into</t>
  </si>
  <si>
    <t>Profesyonel ortamlarda banyo ve tuvalet temizleme maddesi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</si>
  <si>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%5–15 Noniyonik aktif madde
%5–15 Organik asit
Diğer: çözücüler, parfüm</t>
  </si>
  <si>
    <t>Soluma: Zararsızdır.
Cilt: Akan su ile yıkayın, cilt bakımı yapın.
Göz: En az 10 dk su ile yıkayın, steril bezle kapatın, doktora başvurun.
Yutma: Ağız içini durulayın, bol su için, doktora başvurun.</t>
  </si>
  <si>
    <t>Kullanım: Ürün dikkatli açılmalı, sıçrama riskine karşı kontrollü kullanılmalı.
Depolama: Orijinal ambalajında, serin ve kuru yerde saklanmalı. Ambalaj kapalı tutulmalı, doğrudan güneş ışığından ve aşırı sıcak ortamlardan korunmalıdır</t>
  </si>
  <si>
    <t>Eller: EN 374 standardına uygun kimyasal koruyucu eldiven.
Göz: EN 166 standardına uygun koruyucu gözlük veya yüz siperi.
Cilt: EN ISO 13688 standardına uygun iş elbisesi.
Solunum (aerosol oluşursa): EN 149 standardına uygun partikül maskesi veya EN 14387 kimyasal filtreli maske.</t>
  </si>
  <si>
    <t>Form: Sıvı
Renk: Açık sarı
Koku: Parfümlü
pH (%1 çözelti): 1.5–2.5
Yoğunluk (20 °C): 1.035–1.055 g/ml
Kuru madde: %15–18</t>
  </si>
  <si>
    <t>Cilt: Tahriş edici, mukoza membranını etkiler.
Göz: İrritasyona neden olur.
Yutma: Ağız ve mideye zarar verir.</t>
  </si>
  <si>
    <t>M-600</t>
  </si>
  <si>
    <t>Profesyonel ortamlarda mermer cilası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</si>
  <si>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%15–30 Magnesiumfluorosilikat (Xn, R22)
Diğer: Wax ve boya</t>
  </si>
  <si>
    <t>Sembol: Xn (Zararlı)
R22: Yutulduğunda zararlıdır
 Piktogram: GHS07 (Ünlem)</t>
  </si>
  <si>
    <t>Soluma: Temiz havaya çıkarın, yoğun maruziyette oksijen verin ve doktora başvurun.
Cilt: Akan su ve sabunla yıkayın, kirli giysileri çıkarın, steril bezle kapatın, doktora başvurun.
Göz: En az 10 dk su ile yıkayın, steril bezle kapatın, doktora başvurun.
Yutma: Ağız içini durulayın, bol su için, doktora başvurun.</t>
  </si>
  <si>
    <t>Kullanım: Ürün dikkatli açılmalı, sıçrama riskine karşı kontrollü kullanılmalı.
Depolama: Orijinal ambalajında, serin ve kuru yerde saklanmalı. Ambalaj kapalı tutulmalı, doğrudan güneş ışığından ve aşırı sıcak ortamlardan korunmalıdır.</t>
  </si>
  <si>
    <t>Form: Sıvı
Renk: Yeşil–sarı
pH (20 °C, direkt): 1.0–2.5</t>
  </si>
  <si>
    <t>Cilt: Tahriş edici, mukoza membranını etkiler.
Göz: İrritasyona neden olur.
Yutma: Zararlıdır.</t>
  </si>
  <si>
    <t>P-300</t>
  </si>
  <si>
    <t>Profesyonel ortamlarda temizlik ve cila bakım maddesi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</si>
  <si>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%1–5 Noniyonik aktif madde
Diğer: çözücü, inorganik tuz, koruyucu, parfüm, boya</t>
  </si>
  <si>
    <t>Doğru kullanıldığında yan etkisi yoktur.
Ancak cilt ve gözle temasında tahriş edici etki gösterebilir.
 Piktogram: GHS07 (Ünlem) – İyi uygulama olarak kullanılabilir.</t>
  </si>
  <si>
    <t>Form: Berrak sıvı
Renk: Mavi–yeşil
Koku: Parfümlü
pH (20 °C, direkt): 8.0–9.0</t>
  </si>
  <si>
    <t>Cilt: Tahriş edici, mukoza membranını etkiler.
Göz: İrritasyona neden olur.</t>
  </si>
  <si>
    <t>Pergal-Rev08-2004</t>
  </si>
  <si>
    <t>Profesyonel ortamlarda mutfak yüzeyleri için kir ve yağ çözücü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</si>
  <si>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&lt;%5 Noniyonik aktif madde
%1–5 Sodyum Hidroksit (C, R35)
Diğer: çözücüler, parfüm</t>
  </si>
  <si>
    <t>Sembol: C (Aşındırıcı)
R34: Yanıklara neden olur
 Piktogram: GHS05 (Aşındırıcı)</t>
  </si>
  <si>
    <t>Soluma: Temiz havaya çıkarın.
Cilt: Akan su ve sabunla yıkayın, kirli giysileri çıkarın, doktora başvurun.
Göz: En az 10 dk su ile yıkayın, doktora başvurun.
Yutma: Ağız içini durulayın, bol su için, doktora başvurun.</t>
  </si>
  <si>
    <t>Form: Sıvı
Renk: Renksiz
Koku: Parfümlü
pH (20 °C, konsantre): 12.5–13.5
Çözünürlük: Suda çözünür</t>
  </si>
  <si>
    <t>Cilt: Tahriş edici.
Göz: İrritasyona neden olur.</t>
  </si>
  <si>
    <t>Pilax</t>
  </si>
  <si>
    <t>Profesyonel ortamlarda sıvı WC temizleme maddesi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</si>
  <si>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%15–30 Hidroklorik Asit (C, R34-37)
%1–5 Noniyonik aktif madde (Xi, R36)
%1–5 Katyonik aktif madde
Diğer: boya, parfüm</t>
  </si>
  <si>
    <t>Sembol: C (Aşındırıcı)
R34: Yanıklara neden olur
R37: Solunum sistemini tahriş edicidir
 Piktogram: GHS05 (Aşındırıcı), GHS07 (Ünlem)</t>
  </si>
  <si>
    <t>Yanıcılık: Yanıcı değildir, ancak yangında zehirli gaz çıkışı mümkündür.
Uygun söndürücüler: Karbondioksit, yangın söndürme tozu, su spreyi, alkole dayanıklı köpük.
Ekipman: Koruyucu giysi ve solunum cihazı.</t>
  </si>
  <si>
    <t>Eller: EN 374 standardına uygun kimyasal koruyucu eldiven.
Göz: EN 166 standardına uygun koruyucu gözlük veya yüz siperi.
Cilt: EN ISO 13688 standardına uygun iş elbisesi.
Solunum (asit buharı/aerosol oluşursa): EN 149 standardına uygun partikül maskesi veya EN 14387 kimyasal filtreli maske.</t>
  </si>
  <si>
    <t>Form: Sıvı
Renk: Yeşil
pH (%1 çözelti, 20 °C): 1.0–2.0
Asit yüzdesi: %10–13
Viskozite (20 °C): 350–650 mPas</t>
  </si>
  <si>
    <t>Cilt: Tahriş edici, mukoza membranını etkiler.
Göz: İrritasyona neden olur.
Yutma: Kuvvetli asidik etki, ağız ve mideye zarar verir.</t>
  </si>
  <si>
    <t>Prilon-Rev08-2004</t>
  </si>
  <si>
    <t>Profesyonel ortamlarda sıvı bulaşık yıkama maddesi olarak kullanılır.
Ürün dikkatli açılmalı, doğrudan temasından kaçınılmalıdır.
Uygulama sırasında sıçrama riskine karşı kontrollü kullanılmalı.
Çalışma alanında yeterli havalandırma sağlanmalı, işlem sonrası eller mutlaka yıkanmalıdır.</t>
  </si>
  <si>
    <t>%15–30 Anyonik aktif madde
Diğer: parfüm, koruyucu madde</t>
  </si>
  <si>
    <t>Soluma: Zararsızdır.
Cilt: Akan su ve sabunla yıkayın, kirli giysileri çıkarın.
Göz: En az 10 dk su ile yıkayın, doktora başvurun.
Yutma: Ağız içini durulayın, bol su için, kusturmaya çalışmayın, doktora başvurun.</t>
  </si>
  <si>
    <t>Göz temasından kaçının.
Kanalizasyona direkt verilmemeli.
Dökülme durumunda ürün bol su ile yıkanmalı.</t>
  </si>
  <si>
    <t>Kullanım: Ürün dikkatli açılmalı, sıçrama riskine karşı kontrollü kullanılmalı.
Depolama: Orijinal ambalajında, serin ve kuru yerde saklanmalı. Ambalaj kapalı tutulmalı.</t>
  </si>
  <si>
    <t>Eller: EN 374 standardına uygun kimyasal koruyucu eldiven (gerektiğinde).
Göz: EN 166 standardına uygun koruyucu gözlük (sıçrama riski varsa).
Cilt: EN ISO 13688 standardına uygun iş elbisesi.
Solunum: Normal kullanımda gerekli değildir.</t>
  </si>
  <si>
    <t>Form: Sıvı
Renk: Berrak açık sarı
Koku: Parfümlü
pH (20 °C, konsantre): 6.5–7.5
Çözünürlük: Suda çözünür
Viskozite (20 °C): 350–450 cp</t>
  </si>
  <si>
    <t>Pro ShıneHazır07-2004</t>
  </si>
  <si>
    <t>Profesyonel ortamlarda bakım ve parlatma ürünü olarak kullanılır.
Ürün dikkatli açılmalı, doğrudan temasından kaçınılmalıdır.
Uygulama sırasında sıçrama riskine karşı kontrollü kullanılmalı.</t>
  </si>
  <si>
    <t>&lt;%5 Noniyonik aktif madde
Koruyucu madde
Diğer: bakım maddeleri, yardımcı maddeler, parfüm</t>
  </si>
  <si>
    <t>Yanıcılık: Yanıcı değildir.
Uygun söndürücüler: Tüm bilinen söndürücüler kullanılabilir.
Ekipman: Özel koruyucu ekipman gerekli değildir.</t>
  </si>
  <si>
    <t>Göz temasından kaçının.
Kanalizasyona direkt verilmemeli.
Dökülme durumunda mekanik yolla uzaklaştırın, ardından bol su ile yıkayın.</t>
  </si>
  <si>
    <t>Kullanım: Ürün dikkatli açılmalı, sıçrama riskine karşı kontrollü kullanılmalı.
Depolama: Orijinal ambalajında, serin yerde saklanmalı. Ambalaj kapalı tutulmalı.
Depolama sınıfı: VCI Storage Class 10</t>
  </si>
  <si>
    <t>Eller: Normal kullanımda gerekli değildir, ancak riskli uygulamalarda EN 374 standardına uygun eldiven önerilir.
Göz: Normal kullanımda gerekli değildir, ancak sıçrama riski varsa EN 166 standardına uygun gözlük önerilir.
Cilt: EN ISO 13688 standardına uygun iş elbisesi (gerektiğinde).
Solunum: Normal kullanımda gerekli değildir.</t>
  </si>
  <si>
    <t>Form: Sıvı
Renk: Beyaz süt görünümünde
Koku: Parfümlü
pH (20 °C, konsantre): 8.0
Yoğunluk (20 °C): 0.98 g/cm³
Çözünürlük: Suda çözünür</t>
  </si>
  <si>
    <t>Toksikolojik analizlere göre sağlığa zararlı şekilde sınıflandırılmaz.
Normal kullanımda tehlikeli bir durum bildirilmemiştir.</t>
  </si>
  <si>
    <t>Küçük döküntüler mekanik olarak uzaklaştırılmalı, ardından bol su ile yıkanmalıdır.
Büyük döküntülerde alan havalandırılmalı ve atıklar yerel mevzuata uygun şekilde bertaraf edilmelidir.</t>
  </si>
  <si>
    <t>R-400</t>
  </si>
  <si>
    <t>Profesyonel ortamlarda cila içeren yer temizleme maddesi olarak kullanılır.
Ürün dikkatli açılmalı, doğrudan temasından kaçınılmalıdır.
Uygulama sırasında sıçrama riskine karşı kontrollü kullanılmalı, göz ve ciltle temas engellenmelidir.
Çalışma alanında yeterli havalandırma sağlanmalı, işlem sonrası eller mutlaka yıkanmalıdır.</t>
  </si>
  <si>
    <t>%1–5 Noniyonik aktif madde
%15–30 Akrilik polimerler
Diğer: koruyucu maddeler, çözücü, wax emülsiyonu, parfüm</t>
  </si>
  <si>
    <t>Koruyucu ekipman giyilmeli.
Kanalizasyona direkt verilmemeli.
Dökülme durumunda ürün bol su ile yıkanmalı.</t>
  </si>
  <si>
    <t>Eller: EN 374 standardına uygun kimyasal koruyucu eldiven.
Göz: EN 166 standardına uygun koruyucu gözlük veya yüz siperi.
Cilt: EN ISO 13688 standardına uygun iş elbisesi.
Solunum: Normal kullanımda gerekli değildir.</t>
  </si>
  <si>
    <t>Form: Sıvı emülsiyon
Renk: Beyaz
Koku: Parfümlü
pH (20 °C, konsantre): 8.1–9.2
Kuru madde: %14.5–15.8
Viskozite (Brookfield): 50–100 mPa.s</t>
  </si>
  <si>
    <t>SapurA</t>
  </si>
  <si>
    <t>Profesyonel ortamlarda halılarda oluşan, suda çözünebilen lekeleri çıkarma maddesi olarak kullanılır.
Ürün dikkatli açılmalı, doğrudan temasından kaçınılmalıdır.
Uygulama sırasında sıçrama riskine karşı kontrollü kullanılmalı.</t>
  </si>
  <si>
    <t>&lt;%5 Noniyonik aktif madde
Diğer: koruyucu madde, iyileştirici madde, parfüm</t>
  </si>
  <si>
    <t>Soluma: Bilinen olumsuz etki yok.
Cilt: Bol su ile yıkayın.
Göz: En az 10 dk su ile yıkayın, steril bezle kapatın, doktora başvurun.
Yutma: Ağız içini durulayın, bol su için, doktora başvurun.</t>
  </si>
  <si>
    <t>Yanıcılık: Yanıcı değildir.
Uygun söndürücüler: Tüm bilinen söndürücüler kullanılabilir.
Ekipman: Özel koruyucu ekipman gerekmez.</t>
  </si>
  <si>
    <t>Kişisel önlem gerektirmez.
Kanalizasyona direkt verilmemeli.
Dökülme durumunda ürün bol su ile yıkanmal</t>
  </si>
  <si>
    <t>Kullanım: Özel yöntem gerektirmez.
Depolama: Özel tedbir gerektirmez.</t>
  </si>
  <si>
    <t>Form: Sıvı
Renk: Kirli beyaz
Koku: Taze kokulu
pH (20 °C, konsantre): 6.0–7.0
Yoğunluk (20 °C): 1.007 g/cm³
Çözünürlük: Suda çözünür</t>
  </si>
  <si>
    <t>Doğru kullanıldığında toksikolojik etkisi yoktur.</t>
  </si>
  <si>
    <t>SapurB</t>
  </si>
  <si>
    <t>Profesyonel ortamlarda halılarda oluşan yağ ve yağlı lekeleri çıkarma maddesi olarak kullanılır.
Ürün dikkatli açılmalı, ateş kaynaklarından uzak tutulmalıdır.
Uygulama sırasında sıçrama riskine karşı kontrollü kullanılmalı.</t>
  </si>
  <si>
    <t>&lt;%5 Noniyonik aktif madde
%5–15 Alifatik hidrokarbonlar
Diğer: koruyucu madde, suda çözünür solventler, parfüm</t>
  </si>
  <si>
    <t>R10: Alevlenebilir
 Piktogram: GHS02 (Alev)</t>
  </si>
  <si>
    <t>Soluma: Temiz havaya çıkarın.
Cilt: Bol su ile yıkayın.
Göz: En az 10 dk su ile yıkayın, steril bezle kapatın, doktora başvurun.
Yutma: Ağız içini durulayın, bol su için, doktora başvurun.</t>
  </si>
  <si>
    <t>Yanıcılık: Alevlenebilir.
Uygun söndürücüler: Jet su spreyi.
Kullanılmaması gereken: Yüksek basınçlı su jeti.
Ekipman: Özel koruyucu ekipman gerekmez.</t>
  </si>
  <si>
    <t>Ateş kaynaklarından uzak tutulmalı.
Kanalizasyona direkt verilmemeli.
Dökülme durumunda ürün emici bez ile alınmalı ve çöpe atılmalı.</t>
  </si>
  <si>
    <t>Kullanım: Kullanım odaları iyi havalandırılmalı, açık ateşten uzak tutulmalı.
Depolama: Orijinal ambalajında, serin yerde saklanmalı.</t>
  </si>
  <si>
    <t>Eller: EN 374 standardına uygun kimyasal koruyucu eldiven (gerektiğinde).
Göz: EN 166 standardına uygun koruyucu gözlük (sıçrama riski varsa).
Cilt: EN ISO 13688 standardına uygun iş elbisesi (gerektiğinde).
Solunum: Normal kullanımda gerekli değildir, ancak solvent buharı oluşursa EN 149 standardına uygun maske önerilir.</t>
  </si>
  <si>
    <t>Form: Sıvı emülsiyon
Renk: Beyaz
Koku: Taze solvent
pH (20 °C, konsantre): 6.8–7.6
Alev alma noktası: 26 °C
Yoğunluk (20 °C): 0.96 g/cm³
Çözünürlük: Suda çözünür</t>
  </si>
  <si>
    <t>Küçük döküntüler emici bez ile alınmalı ve çöpe atılmalı.
Büyük döküntülerde alan havalandırılmalı ve atıklar yerel mevzuata uygun şekilde bertaraf edilmelidir.</t>
  </si>
  <si>
    <t>Sidol</t>
  </si>
  <si>
    <t>Profesyonel ortamlarda pirinç, bakır, bronz ve gümüş yüzeyler için parlatma maddesi olarak kullanılır.
Ürün dikkatli açılmalı, doğrudan temasından kaçınılmalıdır.
Uygulama sırasında sıçrama riskine karşı kontrollü kullanılmalı.</t>
  </si>
  <si>
    <t>%5–15 Sabun
Diğer: amonyum sitrat, alkol, amonyak, koruyucu madde</t>
  </si>
  <si>
    <t>Soluma: Bilinen olumsuz etki yok.
Cilt: Akan su ve sabunla yıkayın, kirli giysileri çıkarın, steril bezle kapatın, doktora başvurun.
Göz: En az 10 dk su ile yıkayın, steril bezle kapatın, doktora başvurun.
Yutma: Ağız içini durulayın, bol su için, doktora başvurun.</t>
  </si>
  <si>
    <t>Kişisel önlem gerektirmez.
Yüksek miktarlarda kanalizasyona verilmemeli.
Dökülme durumunda ürün bol su ile yıkanmalı.</t>
  </si>
  <si>
    <t>Form: Süspansiyon
Renk: Bej
pH (20 °C, konsantre): 9.5–10.5
Çözünürlük: Suda çözünür</t>
  </si>
  <si>
    <t>Sirafan</t>
  </si>
  <si>
    <t>Profesyonel ortamlarda genel amaçlı dezenfeksiyon ve temizlik maddesi olarak kullanılır.
Ürün dikkatli açılmalı, doğrudan temasından kaçınılmalıdır.
Uygulama sırasında sıçrama riskine karşı kontrollü kullanılmalı.</t>
  </si>
  <si>
    <t>%5–15 Noniyonik aktif madde
%5–15 Katyonik aktif madde
Diğer: antimikrobiyal madde, parfüm, boya</t>
  </si>
  <si>
    <t>Mevcut değil (ürün düşük riskli sınıfta).</t>
  </si>
  <si>
    <t>Soluma: Temiz havaya çıkarın, gerekirse doktora başvurun.
Cilt: Akan su ve sabunla yıkayın, kirli giysileri çıkarın.
Göz: En az 10 dk su ile yıkayın, steril bandaj koyun, doktora başvurun.
Yutma: Ağız içini durulayın, bol su için, kusturmaya çalışmayın, doktora başvurun.</t>
  </si>
  <si>
    <t>Kullanım: Özel tedbir gerekmez.
Depolama: Orijinal ambalajında, serin ortamda saklanmalı.</t>
  </si>
  <si>
    <t>Eller: EN 374 standardına uygun kimyasal koruyucu eldiven (gerektiğinde).
Göz: EN 166 standardına uygun koruyucu gözlük.
Cilt: EN ISO 13688 standardına uygun iş elbisesi (gerektiğinde).
Solunum: Normal kullanımda gerekli değildir.</t>
  </si>
  <si>
    <t>Form: Sıvı
Renk: Yeşil
Koku: Parfümlü
pH (20 °C, konsantre): 8.0–9.0
Çözünürlük: Suda çözünür</t>
  </si>
  <si>
    <t>Göz: Temastan kaçınılmalı, irritasyon riski vardır.</t>
  </si>
  <si>
    <t>ssplclnr -Hazır08.2003</t>
  </si>
  <si>
    <t>Profesyonel ortamlarda paslanmaz çelik yüzeyler için koruyucu temizleme ve parlatma maddesi olarak kullanılır.
Ürün dikkatli açılmalı, doğrudan temasından kaçınılmalıdır.
Kullanım sırasında yemek, içmek ve sigara içmek yasaktır.</t>
  </si>
  <si>
    <t>%30 Alifatik hidrokarbonlar
%15–30 Bütilglikol (Xn, R20/21/22, R37)
Diğer: Parafin yağı, parfüm, propan (itici gaz)</t>
  </si>
  <si>
    <t>Sembol: F (Şiddetli alevlenebilir), Xn (Zararlı)
R12: Şiddetli alevlenebilir
R20/21/22: Solunduğunda, deri ile temasta ve yutulduğunda sağlığa zararlıdır</t>
  </si>
  <si>
    <t>Soluma: Temiz havaya çıkarın, gerekirse doktora başvurun.
Cilt: Akan su ile yıkayın.
Göz: En az 10 dk su ile yıkayın, gerekirse doktora başvurun.
Yutma: Ağız içini durulayın, bol su için, doktora başvurun.</t>
  </si>
  <si>
    <t>Yanıcılık: Şiddetli alevlenebilir.
Uygun söndürücüler: Köpük, karbondioksit.
Kullanılmaması gereken: Yüksek basınçlı su püskürtücü.
Tehlike: Patlayıcı hava-gaz karışımı oluşturabilir.
Ekipman: Koruyucu giysi ve solunum cihazı, patlayıcı konteynerlerin muhafazası sağlanmalı.</t>
  </si>
  <si>
    <t>Alev kaynaklarından uzak tutulmalı.
Göz ve cilt temasından kaçınılmalı.
Kanalizasyona direkt verilmemeli.
Dökülme durumunda mekanik yolla uzaklaştırılmalı, ardından bol su ile yıkanmalı.</t>
  </si>
  <si>
    <t>Kullanım: Dikkatli açılmalı, sıçrama riskine karşı kontrollü kullanılmalı.
Depolama: Aerosollere uygun prosedürler dahilinde, orijinal ambalajında saklanmalı. Alev kaynaklarından uzak tutulmalı.</t>
  </si>
  <si>
    <t>Eller: EN 374 standardına uygun kimyasal koruyucu eldiven.
Göz: EN 166 standardına uygun koruyucu gözlük.
Cilt: EN ISO 13688 standardına uygun iş elbisesi.
Solunum: İyi havalandırılan alanlarda kullanılmalı; solvent buharı oluşursa EN 14387 filtreli maske önerilir.</t>
  </si>
  <si>
    <t>Form: Sıvı
Renk: Renksiz
Koku: Aromatik
Yoğunluk (20 °C): 0.81 g/cm³
Çözünürlük: Suda çözünmez</t>
  </si>
  <si>
    <t>Normal kullanımda tehlikeli reaksiyon yok.
Isıtma işleminden kaçınılmalı.
Bozunma ürünleri: Yok.</t>
  </si>
  <si>
    <t>Soluma: Solunum sistemini irrite eder.
Cilt: Tahriş edici.
Göz: İrritasyona neden olur.</t>
  </si>
  <si>
    <t>Tamamen boşaltıldıktan sonra ambalaj geri kazanılabilir.
Atıklar yerel mevzuata uygun şekilde bertaraf edilmelidir.</t>
  </si>
  <si>
    <t>Stain-Ex A</t>
  </si>
  <si>
    <t xml:space="preserve">   Ürünün ticari ismi:
   STAIN-EX A       
   Pas çözücü
</t>
  </si>
  <si>
    <t xml:space="preserve">   89/542/EEC’ye göre kullanılan kimyasallara ait bilgiler:
% 15 – 30: Ammonium hidrojen florür.        
</t>
  </si>
  <si>
    <t xml:space="preserve">Xn: Zararlı
R 25: Yutulduğunda zehirlidir.      
R 34: Yanıklara neden olur.
</t>
  </si>
  <si>
    <t xml:space="preserve">   Teneffüs edilirse:
 Temiz havaya çıkarınız.
Yoğun olarak teneffüs edildiğinde temiz havaya çıkarınız, oksijen veriniz  ve doktora başvurun.
    Cilde temas ederse:
 Akan suda durulayın ve sabunlayın. Cild bakımı. Vücuttan ürünle kirlenmiş elbiseleri  uzaklaştırın. Steril gazlı bez ile kapatıp, doktora başvurun. 
   Gözle temas edilirse:
 Hemen akar su ile durulayın (10 dakika). Steril gazlı bez ile kapatıp, doktora başvurun.
   Yutulursa:
 Ağız içini durulayın, bol su için. Doktora başvurun.
</t>
  </si>
  <si>
    <t xml:space="preserve">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</si>
  <si>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   Kişisel önlemler:
 Koruyucu ekipman giyiniz.
   Çevresel önlemler:
 Direkt kanalizasyona verilmez.
   Temizleme önlemleri:
 Ürün kalıntısını bol su ile yıkayınız
</t>
  </si>
  <si>
    <t xml:space="preserve">   Kullanma:
 Dikkatli açılıp kullanılmalıdır.
   Depolama:
 Ambalajı sıkı kapalı tutunuz ve serin ve kuru ortamda depolayınız.
</t>
  </si>
  <si>
    <t xml:space="preserve">   Teknik tesislerin kurulmasında ek tavsiyeler:
 Özel tedbirler gerekmez.
   İş yerinde kontrol altında tutulması gereken sınır değerlere yönelik bilgiler:
 Mevcut değil.
   Kişiye yönelik koruyucu donanım:
 Ellerin korunması : Uygun koruyucu lastikten yapılmış eldiven kullanılmalıdır.
 Gözlerin korunması : Koruyucu gözlük kullanılmalıdır.
 Cildin Korunması : Koruyucu elbise kullanımı uygundur.
</t>
  </si>
  <si>
    <t xml:space="preserve">Hali   : sıvı    
 Rengi   : renksiz berrak    
 pH değeri  : (direkt, 20C)  4.00 – 5.00 
</t>
  </si>
  <si>
    <t xml:space="preserve">Kaçınılması gereken durumlar:
 Tavsiye edilen şekilde kullanıldığı taktirde mevcut değil.
   Temas etmemesi gereken maddeler:
 Bilinmiyor.
   Tehlikeli bozunma ürünleri:
 Bilinmiyor. 
</t>
  </si>
  <si>
    <t xml:space="preserve">   Deri ile temas:
 Ürün mukoza membranını  ve deriyi tahriş eder.
   Göz ile temas:
 Gözü irite eder.
</t>
  </si>
  <si>
    <t xml:space="preserve">   İlgili kurumun bilgisinde özel uygulama.</t>
  </si>
  <si>
    <t>Stain-Ex B</t>
  </si>
  <si>
    <t xml:space="preserve">   Ürünün ticari ismi:
   STAIN-EX B      
   Yağ ve boya çözücü
</t>
  </si>
  <si>
    <t xml:space="preserve">% 5 – 15: Anyon aktif  madde  
% 5 – 15: Alifatik hidrokarbon
&gt; % 30: Organik çözücü
Diğerleri:  Alkalite verici  madde
</t>
  </si>
  <si>
    <t xml:space="preserve">   Xi: Tahriş edici
   R 36: Gözleri tahriş edicidir.     
   R 38: Cildi tahriş edicidir.
</t>
  </si>
  <si>
    <t xml:space="preserve">   Teneffüs edilirse:
 Temiz havaya çıkarınız.
Yoğun olarak teneffüs edildiğinde temiz havaya çıkarınız, oksijen veriniz, 
 ve doktora başvurun.
   Cilde temas ederse:
 Akan suda durulayın ve sabunlayın. Cild bakımı. Vücuttan ürünle kirlenmiş elbiseleri  uzaklaştırın. Steril gazlı bez ile kapatıp, doktora başvurun. 
   Gözle temas edilirse:
 Hemen akar su ile durulayın (10 dakika). Steril gazlı bez ile kapatıp, doktora başvurun.
   Yutulursa:
 Ağız içini durulayın, bol su için. Doktora başvurun.
</t>
  </si>
  <si>
    <t xml:space="preserve">   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</si>
  <si>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   Kişisel önlemler:
 Koruyucu ekipman giyiniz.
   Çevresel önlemler:
 Direkt kanalizasyona verilmez.
   Temizleme önlemleri:
 Ürün kalıntısını bol su ile yıkayınız.
</t>
  </si>
  <si>
    <t xml:space="preserve">Teknik tesislerin kurulmasında ek tavsiyeler:
 Özel tedbirler gerekmez.
   İş yerinde kontrol altında tutulması gereken sınır değerlere yönelik bilgiler:
 Mevcut değil.
   Kişiye yönelik koruyucu donanım:
 Ellerin korunması : Uygun koruyucu lastikten yapılmış eldiven kullanılmalıdır.
 Gözlerin korunması : Koruyucu gözlük kullanılmalıdır.
 Cildin Korunması : Koruyucu elbise kullanımı uygundur.
</t>
  </si>
  <si>
    <t xml:space="preserve">Hali  : berrak sıvı    
 Rengi  : açık sarı    
 pH değeri : (direkt , 20C) 2.00 – 3.00
</t>
  </si>
  <si>
    <t xml:space="preserve">   Kaçınılması gereken durumlar:
 Tavsiye edilen şekilde kullanıldığı taktirde mevcut değil.
   Temas etmemesi gereken maddeler:
 Bilinmiyor.
   Tehlikeli bozunma ürünleri:
 Bilinmiyor. 
</t>
  </si>
  <si>
    <t xml:space="preserve">   Deri ile temas:
 Ürün mukoza membranını  ve deriyi tahriş eder.
   Göz ile temas:
 Gözü irite eder.
</t>
  </si>
  <si>
    <t xml:space="preserve"> İlgili kurumun bilgisinde özel uygulama.</t>
  </si>
  <si>
    <t>Stain-Ex C</t>
  </si>
  <si>
    <t xml:space="preserve">   Ürünün ticari ismi:
   STAIN-EX C      
   Tanin çözücü  
</t>
  </si>
  <si>
    <t xml:space="preserve">&gt; % 30 :  Anyon aktif madde
% 5 - 15 :  Noniyonik aktif  madde  
% 15 - 30 : Butildiglikol  
Diğer : Organik asit, gliserin
</t>
  </si>
  <si>
    <t xml:space="preserve">Xi : Tahriş edici 
R 36 : Gözleri tahriş edicidir.    
</t>
  </si>
  <si>
    <t xml:space="preserve">
   Teneffüs edilirse:
 Temiz havaya çıkarınız
 Yoğun olarak teneffüs edildiğinde temiz havaya çıkarınız, oksijen veriniz, 
 ve doktora başvurun.
   Cilde temas ederse:
 Akan suda durulayın ve sabunlayın. Cild bakımı. Vücuttan ürünle kirlenmiş elbiseleri  uzaklaştırın. Steril gazlı bez ile kapatıp, doktora başvurun. 
   Gözle temas edilirse:
 Hemen akar su ile durulayın (10 dakika). Steril gazlı bez ile kapatıp, doktora başvurun.
   Yutulursa:
 Ağız içini durulayın, bol su için. Doktora başvurun.
</t>
  </si>
  <si>
    <t xml:space="preserve">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</si>
  <si>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Kişisel önlemler:
 Koruyucu ekipman giyiniz.
   Çevresel önlemler:
 Direkt kanalizasyona verilmez.
   Temizleme önlemleri:
 Ürün kalıntısını bol su ile yıkayınız
</t>
  </si>
  <si>
    <t xml:space="preserve">Kullanma:
 Dikkatli açılıp kullanılmalıdır.
   Depolama:
 Ambalajı sıkı kapalı tutunuz ve serin ve kuru ortamda depolayınız.
</t>
  </si>
  <si>
    <t xml:space="preserve">Hali   : sıvı    
 Rengi   : açık sarı    
 Kokusu   : hafif kendine has   
 pH değeri  : (direct,20C)  2.00 – 3.00
</t>
  </si>
  <si>
    <t xml:space="preserve">   Kaçınılması gereken durumlar:
Tavsiye edilen şekilde kullanıldığı taktirde mevcut değil.
   Temas etmemesi gereken maddeler:
 Bilinmiyor. 
   Tehlikeli bozunma ürünleri:
 Bilinmiyor. 
</t>
  </si>
  <si>
    <t>İlgili kurumun bilgisinde özel uygulama</t>
  </si>
  <si>
    <t>Stain-Ex D</t>
  </si>
  <si>
    <t xml:space="preserve">   Ürünün ticari ismi:
   STAIN-EX D     
   Protein ve kan çözücü
</t>
  </si>
  <si>
    <t xml:space="preserve">&gt; % 5 : Enzim
Diğer : Nonyonik aktif madde, kompleks yapıcı ve alkalite verici             
</t>
  </si>
  <si>
    <t xml:space="preserve">Xi : Tahriş edici  
R 36:  Gözleri tahriş edicidir   
</t>
  </si>
  <si>
    <t xml:space="preserve">   Teneffüs edilirse:
 Temiz havaya çıkarınız.
   Cilde temas ederse:
 Akan suda durulayın ve sabunlayın. Cild bakımı. Vücuttan ürünle kirlenmiş elbiseleri  uzaklaştırın. Steril gazlı bez ile kapatıp, doktora başvurun. 
   Gözle temas edilirse:
 Hemen akar su ile durulayın (10 dakika). Steril gazlı bez ile kapatıp, doktora başvurun.
   Yutulursa:
 Ağız içini durulayın, bol su için. Doktora başvurun.
</t>
  </si>
  <si>
    <t xml:space="preserve">5. Yangınla Mücadele
---------------------------
   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</si>
  <si>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   Kişisel önlemler:
 Koruyucu ekipman giyiniz.
   Çevresel önlemler:
 Direkt kanalizasyona verilmez.
   Temizleme önlemleri:
 Ürün kalıntısını bol su ile yıkayınız.
</t>
  </si>
  <si>
    <t xml:space="preserve">Teknik tesislerin kurulmasında ek tavsiyeler:
 Özel tedbirler gerekmez.
   İş yerinde kontrol altında tutulması gereken sınır değerlere yönelik bilgiler:
 Mevcut değil.
   Kişiye yönelik koruyucu donanım:
 Ellerin korunması : Uygun koruyucu lastikten yapılmış eldiven kullanılmalıdır.
 Gözlerin korunması : Koruyucu gözlük kullanılmalıdır.
 Cildin Korunması : Koruyucu elbise kullanımı uygundur.
</t>
  </si>
  <si>
    <t xml:space="preserve">Hali   : toz    
 Rengi   : beyaz    
 pH değeri  : ( % 1.0 lik)(20C)  10.0 – 11.0
 Kaba Yoğunluk  : (20 C) ca.  700 - 900  gr/lt   
</t>
  </si>
  <si>
    <t xml:space="preserve">Kaçınılması gereken durumlar:
 Tavsiye edilen şekilde kullanıldığı taktirde mevcut değil.
   Temas etmemesi gereken maddeler:
 Asitlerle reaksiyona girer.Isı açığa çıkar.
   Tehlikeli bozunma ürünleri:
 Bilinmiyor. 
</t>
  </si>
  <si>
    <t xml:space="preserve">   Deri ile temas:
 Ürün mukoza membranını  ve deriyi tahriş eder.
   Göz ile temas:
 Gözü irite eder. 
   Yutuluduğu taktirde ağızda ve midede kuvvetli kostik etki gösterir. 
</t>
  </si>
  <si>
    <t xml:space="preserve">
   İlgili kurumun bilgisinde özel uygulama.
</t>
  </si>
  <si>
    <t>Stain-Ex E</t>
  </si>
  <si>
    <t xml:space="preserve">   Ürünün ticari ismi:
   STAIN-EX E
   Boya çözücü      
</t>
  </si>
  <si>
    <t xml:space="preserve">15 - 30 %  : sodyum dithionit     
5 - 15 % : sodyum karbonat     
5 - 15 % : sodyum tripolyfosfate
Diğer: parafin yağı 
</t>
  </si>
  <si>
    <t xml:space="preserve">Xn  :  Zararlı 
R 7: Yangına neden olabilir    
R 22: Yutulması halinde sağlığa zararlıdır    
R 31: Asitlerle temasında  toksik gaz  çıkarır.  
</t>
  </si>
  <si>
    <t xml:space="preserve">   Teneffüs edilirse:
 Temiz havaya çıkarınız.
Yoğun olarak teneffüs edildiğinde temiz havaya çıkarınız, oksijen veriniz, 
 48 saat kontrol altında tutunuz, ve doktora başvurun.
   Cilde temas ederse:
 Akan suda durulayın ve sabunlayın. Cild bakımı. Vücuttan ürünle kirlenmiş elbiseleri  uzaklaştırın. Steril gazlı bez ile  kapatıp ,doktora başvurun. 
   Gözle temas edilirse:
 Hemen akar su ile durulayın (10 dakika).Steril gazlı bez ile kapatıp,doktora başvurun.
   Yutulursa:
 Ağız içini durulayın, bol su için. Doktora başvurun
</t>
  </si>
  <si>
    <t xml:space="preserve">Uygun yangın söndürme maddesi:
 Bilinmiyor.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</si>
  <si>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Kişisel önlemler:
 Koruyucu ekipman giyiniz.
   Çevresel önlemler:
 Direkt kanalizasyona verilmez.
   Temizleme önlemleri:
 Ürün kalıntısını bol su ile yıkayınız.
</t>
  </si>
  <si>
    <t xml:space="preserve">   Kullanma:
 Dikkatli açılıp kullanılmalıdır. 
   Depolama:
 Ambalajı sıkı kapalı tutunuz ve serin ve kuru ortamda depolayınız.
</t>
  </si>
  <si>
    <t xml:space="preserve">   Teknik tesislerin kurulmasında ek tavsiyeler:
 Özel tedbirler gerekmez.
   İş yerinde kontrol altında tutulması gereken sınır değerlere yönelik bilgiler:
 Mevcut değil.
   Kişiye yönelik koruyucu donanım:
 Ellerin korunması : Uygun koruyucu lastikten yapılmış eldiven kullanılmalıdır.
 Gözlerin korunması : Koruyucu gözlük kullanılmalıdır.
 Cildin Korunması : Koruyucu elbise kullanımı uygundur.
</t>
  </si>
  <si>
    <t xml:space="preserve">Hali   : toz    
 Rengi   : beyaz    
 pH değeri  : (% 1’lik saf sudaki çözelti , 20C)   9.0 – 10.0
 Kaba Yoğunluk  : 700 - 900   kg/m3   
</t>
  </si>
  <si>
    <t xml:space="preserve">   Kaçınılması gereken durumlar:
 Tavsiye edilen şekilde kullanıldığı taktirde mevcut değil.
   Temas etmemesi gereken maddeler:
 Asitlerle temasında toksik gaz çıkarır.   
   Tehlikeli bozunma ürünleri:
 Bilinmiyor. 
</t>
  </si>
  <si>
    <t xml:space="preserve">Deri ile temas:
 Ürün mukoza membranını  ve deriyi tahriş eder.
   Göz ile temas:
 Gözü irite eder.
   Yutuluduğu taktirde ağızda ve midede kuvvetli kostik etki gösterir.
</t>
  </si>
  <si>
    <t>İlgili kurumun bilgisinde özel uygulama.</t>
  </si>
  <si>
    <t>Stain-Ex Fe</t>
  </si>
  <si>
    <t xml:space="preserve">Ürünün ticari ismi:
   STAİN-EX Fe      
   Demir bağlayıcı katkı maddesi 
</t>
  </si>
  <si>
    <t xml:space="preserve">89/542/EEC’ye göre kullanılan kimyasallara ait bilgiler:
&gt; % 30: Fosfonatlar
</t>
  </si>
  <si>
    <t xml:space="preserve">Xi : tahriş edici 
R 36 : Gözleri tahriş edicidir.      
</t>
  </si>
  <si>
    <t xml:space="preserve">Teneffüs edilirse:
 Temiz havaya çıkarınız.
   Cilde temas ederse:
 Akan suda durulayın ve sabunlayın. 
   Gözle temas edilirse:
 Hemen akar su ile durulayın (10 dakika). Steril gazlı bez ile kapatıp, doktora başvurun.
   Yutulursa:
 Ağız içini durulayın, bol su için. Doktora başvurun.
</t>
  </si>
  <si>
    <t xml:space="preserve">   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koruyucu ekipman giyilmelidir.
</t>
  </si>
  <si>
    <t xml:space="preserve">   Kullanma:
 Dikkatli açılıp kullanılmalıdır.
   Depolama:
 Ambalajı sıkı kapalı tutunuz ve serin ve kuru ortamda depolayınız
</t>
  </si>
  <si>
    <t xml:space="preserve">Hali  : sıvı    
 Rengi  : berrak sıvı     
 pH değeri : (kullanım konsantrasyonunda, 20 C)  2.0 – 3.0
</t>
  </si>
  <si>
    <t xml:space="preserve">   Kaçınılması gereken durumlar:
 Tavsiye edilen şekilde kullanıldığı taktirde mevcut değil.
   Temas etmemesi gereken maddeler:
Alkalilerle reaksiyona girer, ısı açığa çıkar.
   Tehlikeli bozunma ürünleri:
 Bilinmiyor. 
</t>
  </si>
  <si>
    <t xml:space="preserve">Göz ile teması : 
 Gözleri tahriş edicidir.   
   Cilt ile teması : 
 Cildi tahriş edicidir. 
</t>
  </si>
  <si>
    <t xml:space="preserve">T-500 </t>
  </si>
  <si>
    <t xml:space="preserve">   Ürünün ticari ismi:
   FLOORDRESS  T -500        
   Halı yıkama maddesi       
</t>
  </si>
  <si>
    <t xml:space="preserve">89/542/EEC’ye göre kullanılan kimyasallara ait bilgiler:
     % 1-5   :  Noniyonik aktif madde   
     % 5 – 15 : Anyonik aktif madde
     Diğerleri : köpük kesici, inorganik tuz, boya ve  parfüm  
</t>
  </si>
  <si>
    <t xml:space="preserve">Amacına uygun kullanıldığı taktirde mevcut değil. </t>
  </si>
  <si>
    <t xml:space="preserve">   Teneffüs edilirse:
 Temiz havaya çıkarınız
   Cilde temas ederse:
 Akan suda durulayın ve sabunlayın. Cild bakımı. Vücuttan ürünle kirlenmiş elbiseleri  uzaklaştırın. Steril gazlı bez ile  kapatıp ,doktora başvurun. 
   Gözle temas edilirse:
 Hemen akar su ile durulayın (10 dakika).Steril gazlı bez ile kapatıp,doktora başvurun.
   Yutulursa:
 Ağız içini durulayın, bol su için. Doktora başvurun.
</t>
  </si>
  <si>
    <t xml:space="preserve">    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Yanıcı değil 
   Yangınla mücadelede gerekli koruyucu teçhizat:
 Özel koruyucu ekipman giyilmelidir.
</t>
  </si>
  <si>
    <t xml:space="preserve">   Kişisel önlemler:
 Koruyucu ekipman giyiniz.
   Çevresel önlemler:
 Direkt kanalizasyona verilmez.
   Temizleme önlemleri:
 Ürün kalıntısını bol su ile yıkayınız. 
</t>
  </si>
  <si>
    <t xml:space="preserve">   Kullanma:
 Dikkatli açılıp kullanılmalıdır. 
   Depolama:
 Ambalajı sıkı kapalı tutunuz ve serin ve kuru ortamda depolayınız.
</t>
  </si>
  <si>
    <t xml:space="preserve">   Teknik tesislerin kurulmasında ek tavsiyeler:
 Özel tedbirler gerekmez.
   İş yerinde kontrol altında tutulması gereken sınır değerlere yönelik bilgiler:
 Mevcut değil.
   Kişiye yönelik koruyucu donanım:
 Ellerin korunması                     : uygun koruyucu lastikten yapılmış eldiven kullanılmalıdır.
 Gözlerin korunması        : koruyucu gözlük kullanılmalıdır.
 Cildin Korunması        : Koruyucu elbise kullanımı uygundur. 
</t>
  </si>
  <si>
    <t xml:space="preserve">Hali   : berrak sıvı    
 Rengi   : sarı    
 Kokusu   : parfümlü     
 pH değeri  : (konsantre)(25C)  10.7 – 11.3 
</t>
  </si>
  <si>
    <t xml:space="preserve">      Kaçınılması gereken durumlar:
 Tavsiye edilen şekilde kullanıldığı taktirde mevcut değil..
     Temas etmemesi gereken maddeler:
 Asitlerle reaksiyona girer.Isı açığa çıkar.   
      Tehlikeli bozunma ürünleri:
 Bilinmiyor. 
</t>
  </si>
  <si>
    <t xml:space="preserve">           Deri ile temas:
 Ürün mukoza membranını  ve deriyi tahriş eder.
           Göz ile temas:
 Gözü irite eder. 
</t>
  </si>
  <si>
    <t xml:space="preserve">
       İlgili kurumun bilgisinde özel uygulama. 
</t>
  </si>
  <si>
    <t>Tompa</t>
  </si>
  <si>
    <t xml:space="preserve">   Ürünün ticari ismi:
   TOMPA    
   Sıvı genel temizlik maddesi   
</t>
  </si>
  <si>
    <t xml:space="preserve">
89/542/EEC’ye göre kullanılan kimyasallara ait bilgiler:
 % 5-15 : Anyonik aktif madde 
 % 5 altında : Noniyonik aktif madde 
            Diğerleri: Köpük kesici,koruyucu,boya ve parfüm  
</t>
  </si>
  <si>
    <t xml:space="preserve"> Amacına uygun kullanıldığı taktirde mevcut değil</t>
  </si>
  <si>
    <t xml:space="preserve">  Teneffüs edilirse:
 Temiz havaya çıkarınız.
  Cilde temas ederse:
 Akan suda durulayın ve sabunlayın. Cild bakımı. Vücuttan ürünle kirlenmiş elbiseleri  uzaklaştırın.
   Gözle temas edilirse:
 Hemen akar su ile durulayın (10 dakika).Doktora başvurun.
   Yutulursa:
 Ağız içini durulayın, bol su için, doktora başvurun.
</t>
  </si>
  <si>
    <t xml:space="preserve">    Uygun yangın söndürme maddesi:
 Bilinen tüm yangın söndürme maddeleri uygundur.
   Güvenlik önlemleri sebebi ile kullanılmaması gereken yangın söndürücüler:
 Bilinmiyor.
   Ürünün kendisinin, yanma sonucu oluşturduğu maddelerin veya oluşan gazların sebep olabileceği   
    spesifik tehlikeler:
 Bilinmiyor.
   Yangınla mücadelede gerekli koruyucu teçhizat:
 Özel tedbirler gerekmez.
</t>
  </si>
  <si>
    <t xml:space="preserve">   Kişisel önlemler:
 Gerekli değil.
   Çevresel önlemler:
 Biyolojik arıtma sistemlerinde işleme tabi tutulmadan kanalizasyona verilmez.
   Temizleme önlemleri:
 Ürün kalıntısını bol su ile yıkayınız. 
</t>
  </si>
  <si>
    <t xml:space="preserve">   Kullanma:
 Özel tedbirler gerekmez. 
   Depolama:
 Özel tedbirler gerekmez.
 Storage Class: 10   
</t>
  </si>
  <si>
    <t xml:space="preserve">   Teknik tesislerin kurulmasında ek tavsiyeler:
 Özel tedbirler gerekmez.
   İş yerinde kontrol altında tutulması gereken sınır değerlere yönelik bilgiler:
 Mevcut değil.
   Kişiye yönelik koruyucu donanım:
 Özel tedbirler gerekmez. 
</t>
  </si>
  <si>
    <t xml:space="preserve">Hali   : sıvı 
 Rengi   : yeşil     
 Kokusu   : çam 
 pH değeri  : (konsantre) (25C ) 8.50-9.50  
 Viskozite   : (25 C) 50-150 cp 
              Anyon aktif madde           : % 7.5 – 8.5 
</t>
  </si>
  <si>
    <t xml:space="preserve">      Kaçınılması gereken durumlar:
 Tavsiye edilen şekilde kullanıldığı taktirde mevcut değil. 
     Temas etmemesi gereken maddeler:
 Amacına uygun  kullanıldığı taktirde mevcut değil. 
      Tehlikeli bozunma ürünleri:
 Amacına uygun kullanıldığında mevcut değil.
</t>
  </si>
  <si>
    <t xml:space="preserve">Toksikolojik analizlere göre tehlikeli maddeler sınıfına girmez. </t>
  </si>
  <si>
    <t xml:space="preserve">       İlgili kurumun bilgisinde özel uygulama. </t>
  </si>
  <si>
    <t>topmatic-Rev08-2004</t>
  </si>
  <si>
    <t>Profesyonel ortamlarda sanayi tipi bulaşık makineleri için sıvı yıkama maddesi olarak kullanılır.
Ürün dikkatli açılmalı, doğrudan temasından kaçınılmalıdır.
Uygulama sırasında sıçrama riskine karşı kontrollü kullanılmalı.</t>
  </si>
  <si>
    <t>%15–30 EDTA
%5–15 Sodyum Hidroksit (C, R35)</t>
  </si>
  <si>
    <t>Sembol: C (Aşındırıcı)
R35: Ciddi yanıklara neden olur</t>
  </si>
  <si>
    <t>Soluma: Temiz havaya çıkarın.
Cilt: Akan su ve sabunla yıkayın, kirli giysileri çıkarın.
Göz: En az 10 dk su ile yıkayın, doktora başvurun.
Yutma: Ağız içini durulayın, bol su için, doktora başvurun.</t>
  </si>
  <si>
    <t>Göz ve cilt temasından kaçının, koruyucu ekipman kullanın.
Kanalizasyona direkt verilmemeli.
Dökülme durumunda ürün bol su ile yıkanmalı.</t>
  </si>
  <si>
    <t>Kullanım: Ürün dikkatli açılmalı, sıçrama riskine karşı kontrollü kullanılmalı.
Depolama: Orijinal ambalajında, serin ortamda saklanmalı. Ambalaj kapalı tutulmalı.</t>
  </si>
  <si>
    <t>Form: Sıvı
Renk: Renksiz
pH (%1 çözelti, 20 °C): 12–13
Çözünürlük: Suda çözünür</t>
  </si>
  <si>
    <t>Normal kullanımda tehlikeli reaksiyon yok.
Uyumsuz maddeler: Asitlerle reaksiyona girer, ısı açığa çıkar.
Bozunma ürünleri: Yok.</t>
  </si>
  <si>
    <t>Cilt: Tahriş edici.</t>
  </si>
  <si>
    <t>Toprinse-Rev08-2004</t>
  </si>
  <si>
    <t>Profesyonel ortamlarda sanayi tipi bulaşık makineleri için sıvı durulama maddesi olarak kullanılır.
Ürün dikkatli açılmalı, doğrudan temasından kaçınılmalıdır.
Uygulama sırasında sıçrama riskine karşı kontrollü kullanılmalı.</t>
  </si>
  <si>
    <t>%5–15 Noniyonik aktif madde
%5–15 Organik asitler
Diğer: koruyucu maddeler, çözücüler, boya</t>
  </si>
  <si>
    <t>Tavsiye edilen şekilde kullanıldığında tehlike mevcut değildir.</t>
  </si>
  <si>
    <t>Göz ve cilt temasından kaçının.
Kanalizasyona direkt verilmemeli.
Dökülme durumunda ürün bol su ile yıkanmalı.</t>
  </si>
  <si>
    <t>Kullanım: Ürün dikkatli açılmalı, sıçrama riskine karşı kontrollü kullanılmalı.
Depolama: Orijinal ambalajında saklanmalı.</t>
  </si>
  <si>
    <t>Eller: EN 374 standardına uygun kimyasal koruyucu eldiven.
Göz: EN 166 standardına uygun koruyucu gözlük.
Cilt: EN ISO 13688 standardına uygun iş elbisesi (gerektiğinde).
Solunum: Normal kullanımda gerekli değildir.</t>
  </si>
  <si>
    <t>Form: Sıvı
Renk: Açık yeşil
Koku: Karakteristik
pH (20 °C, konsantre): 1.0–2.0
Çözünürlük: Suda çözünür</t>
  </si>
  <si>
    <t>Normal kullanımda tehlikeli reaksiyon yok.
Uyumsuz maddeler: Alkali maddelerle temasından kaçınılmalı.
Bozunma ürünleri: Yok.</t>
  </si>
  <si>
    <t>Yutma: Zararlıdır.
Cilt: Temastan kaçınılmalı.
Göz: Temastan kaçınılmalı.</t>
  </si>
  <si>
    <t>Belirlenmiş kullanım: Ağır kir ve cila sökücü.
Tavsiye edilmeyen kullanım: Yalnızca tasarlanan amaç için kullanılmalı.</t>
  </si>
  <si>
    <t>2-bütoksietanol (10–20%) – H302, H312, H332, H315, H319
D-glukopiranoz türevleri (5–10%) – H318
2-aminoetanol (1–5%) – H302, H312, H332, H314, H318, H335
Tetrapotasyum pirofosfat (1–5%) – H319
Sodyum hidroksit (1–5%) – H314
Amonyak (&lt;1%) – H221, H331, H314, H400
Bakır sülfat pentahidrat (&lt;1%) – H302, H318, H400, H410
Bronopol (&lt;0,02%) – H302, H312, H315, H318, H335, H400
CMIT/MIT (&lt;0,02%) – H301, H310, H330, H314, H318, H317, H400, H410</t>
  </si>
  <si>
    <t>Cilt Aşındırıcı 1B – H314: Ciddi cilt yanıklarına ve göz hasarına yol açar.
Göz Hasarı 1 – H318: Ciddi göz hasarı.
Sucul Kronik 3 – H412: Sucul ortamda uzun süreli zararlı etki.
Ek bilgi: EUH208 – İzotiazolinon türevleri içerir, alerjik reaksiyona yol açabilir.
GHS05 (Aşındırıcı)
GHS09 (Çevre)</t>
  </si>
  <si>
    <t>Soluma: Temiz havaya çıkarın, gerekirse oksijen verin.
Cilt: Bol su ile en az 15 dk yıkayın, kimyasal yanıklar doktora gösterilmeli.
Göz: En az 10 dk su ile yıkayın, kontakt lens varsa çıkarın.
Yutma: Ağız çalkalanmalı, su veya süt içirilmeli, kusturulmamalı.</t>
  </si>
  <si>
    <t>Yanıcılık: Ürün alevlenir değildir.
Uygun söndürücüler: Köpük, CO₂, kuru toz, su sisi.
Özel risk: Kaplar ısıtıldığında patlayabilir; söndürme suları aşındırıcı olabilir.
Ekipman: EN469 uyumlu itfaiyeci giysisi, pozitif basınçlı solunum cihazı.</t>
  </si>
  <si>
    <t>Kişisel: Koruyucu giysi, gözlük, eldiven kullanın.
Çevresel: Kanalizasyona ve su kaynaklarına dökülmemeli.
Temizlik: Küçük döküntüler toplanmalı, büyük döküntüler emici malzeme ile alınmalı, alan bol su ile yıkanmalı. Asitle nötralize edilebilir (ısı çıkışı riski).</t>
  </si>
  <si>
    <t>Kullanım: Koruyucu ekipman olmadan elleçlenmemeli.
Depolama: Asitlerden uzak, orijinal kapta, serin ve havalandırılmış ortamda.
Depolama sınıfı: Aşındırıcı depolama.</t>
  </si>
  <si>
    <t>Göz/Yüz: EN 166 kimyasal gözlük veya yüz siperi.
Eller: EN 374 kimyasal dirençli eldiven.
Cilt: EN ISO 13688 koruyucu giysi, uygun ayakkabı.
Solunum: Yetersiz havalandırmada EN 14387 filtreli maske.
Hijyen: Göz duşu ve acil duş bulunmalı, kirli giysiler tekrar kullanılmadan yıkanmalı</t>
  </si>
  <si>
    <t>Görünüm: Mor, akışkan sıvı
pH (derişik): &gt;13 (aşındırıcı)
Çözünürlük: Suda çözünür</t>
  </si>
  <si>
    <t>Uyumsuz maddeler: Asitler, asit anhidritler, fenoller.
Bozunma ürünleri: Aşındırıcı gazlar/buharlar.</t>
  </si>
  <si>
    <t>Cilt: Ciddi yanıklara neden olur.
Göz: Ciddi göz hasarı.
Yutma: Kimyasal yanık, mide ve yemek borusunda hasar.
Soluma: Burun ve boğazda şiddetli tahriş.</t>
  </si>
  <si>
    <t>PREMY PROTECT ANTIFOAM - SDS7466 - TR</t>
  </si>
  <si>
    <t>Belirlenmiş kullanım: Köpük kesici.
Tavsiye edilmeyen kullanım: Belirtilmemiştir.</t>
  </si>
  <si>
    <t>2-methyl-2H-isothiazol-3-one (&lt;0,02%)
H301 (oral toksik), H311 (dermal toksik), H330 (soluma toksik), H314 (aşındırıcı), H318 (göz hasarı), H334 (solunum hassasiyeti), H400/H410 (sucul toksisite).</t>
  </si>
  <si>
    <t>Fiziksel zararlar: Sınıflandırılmamış.
Sağlık zararları: Sınıflandırılmamış.
Çevresel zararlar: Sınıflandırılmamış.
Ek bilgi: EUH208 – 2-methyl-2H-isothiazol-3-one içerir, alerjik reaksiyona yol açabilir.</t>
  </si>
  <si>
    <t>Genel: Güvenlik bilgi formu sağlık personeline gösterilmeli.
Yutma: Ağız suyla çalkalanmalı, kusma kontrol edilmeli.
Cilt: Su ile yıkayın.
Göz: En az 10 dk bol su ile yıkayın, kontakt lens varsa çıkarın.</t>
  </si>
  <si>
    <t>Yanıcılık: Ürün alevlenir değildir.
Uygun söndürücüler: Köpük, CO₂, kuru toz, su sisi.
Özel risk: Kaplar ısıtıldığında patlayabilir.
Ekipman: EN469 uyumlu itfaiyeci giysisi, pozitif basınçlı solunum cihazı.</t>
  </si>
  <si>
    <t>Kişisel: Koruyucu giysi giyilmeli, döküntüye çıplak elle temas edilmemeli.
Çevresel: Büyük döküntülerde ilgili makamlara haber verilmeli.
Temizlik: Küçük döküntüler suyla seyreltilebilir; büyük döküntüler inert malzeme ile absorbe edilip uygun kaplara alınmalı.</t>
  </si>
  <si>
    <t>Kullanım: Yiyeceklerden ve içeceklerden uzak tutulmalı, sis oluşumundan kaçınılmalı.
Depolama: Orijinal kapta, serin ve havalandırılmış ortamda, dik konumda saklanmalı.
Depolama sınıfı: Belirsiz depolama.</t>
  </si>
  <si>
    <t>Göz/Yüz: EN 166 güvenlik gözlüğü.
Eller: EN 374 kimyasal dirençli eldiven.
Cilt: EN ISO 13688 koruyucu giysi.
Solunum: EN 14387 filtreli solunum cihazı (gerekirse).
Hijyen: Göz duşu ve acil duş bulunmalı, kirli giysiler tekrar kullanılmadan yıkanmalı.</t>
  </si>
  <si>
    <t>Görünüm: Berrak sıvı
Renk: Sarı/kehribar
pH (derişik): 6,5–7,5 (nötr)
Yoğunluk: ~1,00 g/cm³
Çözünürlük: Suda çözünür</t>
  </si>
  <si>
    <t>Normal kullanımda kararlı.
Bilinen tehlikeli reaksiyon yok.
Bozunma ürünleri: Zararlı gazlar/buharlar.</t>
  </si>
  <si>
    <t>Genel: Düşük riskli, ancak izotiazolinon türevleri nedeniyle hassasiyet riski mevcut.
Soluma: Yüksek konsantrasyonlarda solunum sistemi tahrişi.
Yutma: Mide bozulması, gastrointestinal semptomlar.
Cilt: Uzun süreli temas kuruluğa neden olabilir.
Göz: Geçici tahriş.</t>
  </si>
  <si>
    <t>Kanalizasyona boşaltılmamalı.
Atıklar lisanslı bertaraf tesisinde imha edilmeli.
Boş kaplar temizlenmeli, geri dönüşüm mümkün değilse yakma/gömme uygulanmalı.</t>
  </si>
  <si>
    <t>Belirlenmiş kullanım: Banyo-tuvalet temizleyici.
Tavsiye edilmeyen kullanım: Kişisel temizlik için kullanılmaz.</t>
  </si>
  <si>
    <t>ECODAC KR 8 (10–20%) – H302, H318
Sülfamid asit (10–20%) – H315, H319, H412
Fosforik asit (5–10%) – H290, H302, H314, H318
Propan-2-ol (1–5%) – H225, H319, H336
Metanol (&lt;1%) – H225, H301, H311, H331, H370
CMIT/MIT (&lt;0,02%) – H301, H310, H330, H314, H318, H317, H400, H410</t>
  </si>
  <si>
    <t>Cilt Aşındırıcı 1B – H314: Ciddi cilt yanıklarına yol açar.
Göz Hasarı 1 – H318: Ciddi göz hasarı.
Ek bilgi: EUH208 – İzotiazolinon türevleri içerir, alerjik reaksiyona yol açabilir.</t>
  </si>
  <si>
    <t>Soluma: Temiz havaya çıkarın, rahat pozisyonda dinlendirin.
Cilt: Bol su ile en az 15 dk yıkayın, kirli giysileri çıkarın.
Göz: En az 10 dk su ile yıkayın, kontakt lens varsa çıkarın.
Yutma: Ağız çalkalanmalı, su veya süt içirilmeli, kusturulmamalı.</t>
  </si>
  <si>
    <t>Kişisel: Koruyucu giysi, gözlük, eldiven kullanılmalı.
Çevresel: Sucul ortama dökülmemeli; pH değişimi organizmalara zarar verebilir.
Temizlik: Küçük döküntüler toplanmalı, büyük döküntüler emici malzeme ile alınmalı, alan bol su ile yıkanmalı. Alkali ile nötralize edilebilir (ısı çıkışı riski).</t>
  </si>
  <si>
    <t>Kullanım: Koruyucu ekipman olmadan elleçlenmemeli.
Depolama: Alkalilerden uzak, kilit altında, orijinal kapta, serin ve havalandırılmış ortamda.
Depolama sınıfı: Aşındırıcı depolama.</t>
  </si>
  <si>
    <t>Göz/Yüz: EN 166 kimyasal gözlük veya yüz siperi.
Eller: EN 374 kimyasal dirençli eldiven.
Cilt: EN ISO 13688 koruyucu giysi.
Solunum: Yetersiz havalandırmada EN 14387 filtreli maske.
Hijyen: Göz duşu ve acil duş bulunmalı, kirli giysiler tekrar kullanılmadan yıkanmalı.</t>
  </si>
  <si>
    <t>Görünüm: Şeffaf, berrak sıvı
Renk: Kehribar
pH (derişik): &lt;3 (aşındırıcı, asidik)
Çözünürlük: Suda çözünür</t>
  </si>
  <si>
    <t>Uyumsuz maddeler: Alkaliler, aminler.
Bozunma ürünleri: Aşındırıcı gazlar/buharlar.</t>
  </si>
  <si>
    <t>Paslanmaz çelik yüzeyler için temizlik ve bakım ürünü.
Tavsiye edilmeyen özel kullanım tanımlanmamıştır.</t>
  </si>
  <si>
    <t>Alfa-alumina (15–30%) – Zararlı olarak sınıflandırılmamış
Alkol Etoksilat (5–10%) – H315, H318, H400
Lineer Alkil Benzen Sülfonat (&lt;5%) – H302, H314, H318, H412
Alkil Poliglikozit (1–5%) – H315, H318
2-bütoksietanol (&lt;1%) – H302, H312, H332, H315, H319
d-Limonene (&lt;1%) – H226, H315, H317, H400, H410</t>
  </si>
  <si>
    <t>H315: Cilt tahrişine yol açar.
H318: Ciddi göz hasarına yol açar.
EUH208: d-Limonene içerir, alerjik reaksiyona yol açabilir.</t>
  </si>
  <si>
    <t>Soluma: Temiz havaya çıkarın, dinlendirin.
Cilt: Bol su ile yıkayın.
Göz: En az 10 dk su ile yıkayın, kontakt lens varsa çıkarın.
Yutma: Ağız çalkalayın, kusturmaya çalışmayın, doktora başvurun.</t>
  </si>
  <si>
    <t>Yanıcılık: Ürün alevlenir değildir.
Söndürücüler: Köpük, CO₂, kuru toz, su sisi.
Yanma ürünleri: Zararlı gazlar/buharlar.
Ekipman: EN469 uyumlu itfaiyeci giysisi, solunum cihazı.</t>
  </si>
  <si>
    <t>Kişisel: Koruyucu giysi, gözlük, eldiven kullanılmalı.
Çevresel: Kanalizasyona ve su kaynaklarına dökülmemeli.
Temizlik: Emici malzeme ile toplayın, asitle nötralize edin, bol su ile yıkayın.</t>
  </si>
  <si>
    <t>Kullanım: Koruyucu ekipman olmadan elleçlenmemeli.
Depolama: Asitlerden uzak, orijinal kapta, serin ve havalandırılmış ortamda.
Depolama sınıfı: Asit reaktif depolama.</t>
  </si>
  <si>
    <t>Mesleki limitler:
Alfa-alumina: 15 mg/m³ (toplam toz), 5 mg/m³ (solunabilir toz)
2-bütoksietanol: 20 ppm (TWA), 50 ppm (STEL)
KKD:
EN 166 gözlük/yüz siperi
EN 374 kimyasal eldiven
EN ISO 13688 koruyucu giysi
EN 14387 filtreli maske (gerekirse)</t>
  </si>
  <si>
    <t>Görünüm: Viskoz sıvı
Renk: Beyaz, opak
pH (%10 çözelti): 4.0–5.0 @20°C
Yoğunluk: 1.5 ±0,02 g/ml @20°C
Çözünürlük: Suda çözünür</t>
  </si>
  <si>
    <t>Normal koşullarda stabil.
Kaçınılması gereken maddeler: Asitler, asit anhidritler, fenoller.
Bozunma ürünleri: Zararlı gazlar/buharlar.</t>
  </si>
  <si>
    <t>Cilt: Tahriş edici.
Göz: Ciddi tahriş.
Yutma: Tahrişe neden olabilir.
Soluma: Yüksek konsantrasyonlarda solunum sistemi tahrişi.
Akut toksisite: Düşük (ATE oral: 73.500 mg/kg).</t>
  </si>
  <si>
    <t>İmha: Lisanslı bertaraf tesisinde imha edilmeli.
Taşımacılık: ADR/RID, IMDG, IATA kapsamında tehlikeli madde sınıfına girmez.
UN No: Yok.
Ambalaj grubu: Yok.
Çevresel zarar: Deniz kirletici değil.</t>
  </si>
  <si>
    <t>PREMY PROTECT CARPET FOAM - SDS7356 - TR</t>
  </si>
  <si>
    <t>Halı yıkama şampuanı.
Tavsiye edilmeyen kullanım: Kişisel temizlik için kullanılmaz.</t>
  </si>
  <si>
    <t>Sulfonic acids, C14-17-sec-alkane, sodium salts (1–5%) – H302, H315, H318, H412
Alcohols, C12-14, ethoxylated, sulfates, sodium salts (1–5%) – H315, H318, H412
Bronopol (&lt;0,02%) – H302, H312, H315, H318, H335, H400
CMIT/MIT (&lt;0,02%) – H301, H310, H330, H314, H318, H317, H400, H410</t>
  </si>
  <si>
    <t>H318: Ciddi göz hasarına yol açar.
EUH208: İzotiazolinon türevleri içerir, alerjik reaksiyona yol açabilir.</t>
  </si>
  <si>
    <t>Soluma: Temiz havaya çıkarın, rahat pozisyonda dinlendirin.
Cilt: Bol su ile yıkayın.
Göz: En az 10 dk su ile yıkayın, kontakt lens varsa çıkarın.
Yutma: Ağız çalkalayın, kusturmaya çalışmayın, doktora başvurun.</t>
  </si>
  <si>
    <t>Yanıcılık: Ürün alevlenir değildir.
Söndürücüler: Köpük, CO₂, kuru toz, su sisi.
Yanma ürünleri: Toksik ve aşındırıcı gazlar/buharlar.
Ekipman: EN469 uyumlu itfaiyeci giysisi, solunum cihazı.</t>
  </si>
  <si>
    <t>Kişisel: Koruyucu giysi, gözlük, eldiven kullanılmalı.
Çevresel: Sucul ortama dökülmemeli; pH değişimi organizmalara zarar verebilir.
Temizlik: Emici malzeme ile toplayın, alkali ile nötralize edin, bol su ile yıkayın.</t>
  </si>
  <si>
    <t>Kullanım: Koruyucu ekipman olmadan elleçlenmemeli.
Depolama: Alkalilerden uzak, orijinal kapta, serin ve havalandırılmış ortamda.
Depolama sınıfı: Aşındırıcı depolama.</t>
  </si>
  <si>
    <t>EN 166 gözlük/yüz siperi
EN 374 kimyasal eldiven
EN ISO 13688 koruyucu giysi
EN 14387 filtreli maske (gerekirse)</t>
  </si>
  <si>
    <t>Görünüm: Opak sıvı
Renk: Beyaz
pH (derişik): 8.0–10.0
Çözünürlük: Suda çözünür</t>
  </si>
  <si>
    <t>Normal koşullarda stabil.
Kaçınılması gereken maddeler: Alkaliler, aminler.
Bozunma ürünleri: Aşındırıcı gazlar/buharlar.</t>
  </si>
  <si>
    <t>Cilt: Ciddi yanıklara neden olabilir.
Göz: Ciddi göz hasarı.
Yutma: Kimyasal yanık, mide ve yemek borusunda hasar.
Soluma: Solunum yollarında aşınma ve tahriş.
Akut toksisite: Düşük (ATE oral: 13.888 mg/kg).</t>
  </si>
  <si>
    <t>PREMY PROTECT CARPET MASTER - SDS7475 - TR</t>
  </si>
  <si>
    <t>Spray-ekstraksiyon makineleri için halı yıkama ürünü.
Tavsiye edilmeyen kullanım: Kişisel temizlik için kullanılmaz.</t>
  </si>
  <si>
    <t>Tetrapotasyum pirofosfat (10–20%) – H319
2-(2-butoxyethoxy)ethanol (1–5%) – H319
Alcohols, C12-14, ethoxylated (1–5%) – H400, H412
Sodium cumenesulphonate (1–5%) – H319, H335
Bronopol (&lt;1%) – H302, H312, H315, H318, H335, H400
CMIT/MIT (&lt;0,02%) – H301, H310, H330, H314, H318, H317, H400, H410</t>
  </si>
  <si>
    <t>H319: Ciddi göz tahrişine yol açar.
EUH208: İzotiazolinon türevleri içerir, alerjik reaksiyona yol açabilir.</t>
  </si>
  <si>
    <t>Soluma: Temiz havaya çıkarın, dinlendirin.
Cilt: Su ile yıkayın.
Göz: En az 10 dk su ile yıkayın, kontakt lens varsa çıkarın.
Yutma: Ağız çalkalayın, kusturmaya çalışmayın, doktora başvurun.</t>
  </si>
  <si>
    <t>Kişisel: Koruyucu giysi, gözlük, eldiven kullanılmalı.
Çevresel: Büyük döküntülerde ilgili makamlara haber verilmeli.
Temizlik: Küçük döküntüler suyla seyreltilebilir; büyük döküntüler inert malzeme ile absorbe edilip uygun kaplara alınmalı.</t>
  </si>
  <si>
    <t>Görünüm: Berrak sıvı
Renk: Sarı
pH (derişik): 9–11
Yoğunluk: ~1,02 g/cm³
Çözünürlük: Suda çözünür</t>
  </si>
  <si>
    <t>Cilt: Uzun süreli temas kuruluğa neden olabilir.
Göz: Tahriş edici.
Yutma: Mide bozulması, gastrointestinal semptomlar.
Soluma: Yüksek konsantrasyonlarda solunum sistemi tahrişi.</t>
  </si>
  <si>
    <t>PREMY PROTECT CEDROSA - SDS7411 - TR</t>
  </si>
  <si>
    <t>Elde bulaşık yıkama deterjanı.
Tavsiye edilmeyen kullanım: Yalnızca tasarlanan amaç için kullanılmalı.</t>
  </si>
  <si>
    <t>SLS (10–20%) – H315, H318, H412
Cocamidopropyl betaine (&lt;1%) – H315, H319, H317, H412
CMIT/MIT (&lt;0,02%) – H301, H310, H330, H314, H318, H317, H400, H410</t>
  </si>
  <si>
    <t>H315: Cilt tahrişine yol açar.
H318: Ciddi göz hasarına yol açar.
H412: Sucul ortamda uzun süreli zararlı etki.
EUH208: Cocamidopropyl betaine ve izotiazolinon türevleri içerir, alerjik reaksiyona yol açabilir.</t>
  </si>
  <si>
    <t>Soluma: Temiz havaya çıkarın, dinlendirin.
Cilt: En az 10 dk su ile yıkayın.
Göz: En az 10 dk bol su ile yıkayın, kontakt lens varsa çıkarın.
Yutma: Ağız çalkalayın, kusturmaya çalışmayın, doktora başvurun.</t>
  </si>
  <si>
    <t>Kişisel: Koruyucu giysi, gözlük, eldiven kullanılmalı.
Çevresel: Kanalizasyona ve su kaynaklarına dökülmemeli.
Temizlik: Küçük döküntüler toplanmalı, büyük döküntüler inert malzeme ile absorbe edilip uygun kaplara alınmalı, alan bol su ile yıkanmalı.</t>
  </si>
  <si>
    <t>Görünüm: Berrak, viskoz sıvı
Renk: Sarı
pH (derişik): 7–8
Çözünürlük: Suda çözünür</t>
  </si>
  <si>
    <t>Normal koşullarda stabil.
Kaçınılması gereken maddeler: Asitler, asit anhidritler, fenoller.
Bozunma ürünleri: Aşındırıcı gazlar/buharlar.</t>
  </si>
  <si>
    <t>Cilt: Tahriş edici, uzun süreli temas yanıklara neden olabilir.
Göz: Ciddi hasar riski.
Yutma: Kimyasal yanık, mide ve yemek borusunda hasar.
Soluma: Solunum yollarında aşınma ve tahriş.</t>
  </si>
  <si>
    <t>PREMY PROTECT CLEAN MASTER - SDS7391 - TR</t>
  </si>
  <si>
    <t>Ağır kir ve cila sökücü.
Tavsiye edilmeyen kullanım: Kişisel temizlik için kullanılmaz.</t>
  </si>
  <si>
    <t>Butil Diglikol Eter (5–10%) – H319
Tetrapotasyum pirofosfat (1–5%) – H319
Sodyum Kümen Sülfonat (1–5%) – H319, H335
Alkoller, C9-11, etoksillenmiş (1–5%) – H302, H318
Amonyak, susuz (&lt;0,1%) – H221, H331, H314, H400
Bronopol (&lt;0,02%) – H302, H312, H315, H318, H335, H400
CMIT/MIT (&lt;0,02%) – H301, H310, H330, H314, H318, H317, H400, H410</t>
  </si>
  <si>
    <t>Soluma: Temiz havaya çıkarın, dinlendirin.
Cilt: Su ile yıkayın.
Göz: En az 10 dk bol su ile yıkayın, kontakt lens varsa çıkarın.
Yutma: Ağız çalkalayın, kusturmaya çalışmayın, doktora başvurun.</t>
  </si>
  <si>
    <t>Mesleki limitler:
Butil Diglikol Eter: 10 ppm (TWA), 15 ppm (STEL)
Amonyak: 25 ppm (TWA), 35 ppm (STEL)
KKD:
EN 166 gözlük/yüz siperi
EN 374 kimyasal eldiven
EN ISO 13688 koruyucu giysi
EN 14387 filtreli maske (gerekirse)</t>
  </si>
  <si>
    <t>Görünüm: Renksiz sıvı
pH (derişik): 10–12
Çözünürlük: Suda çözünür</t>
  </si>
  <si>
    <t>Cilt: Uzun süreli temas yanıklara neden olabilir.
Göz: Ciddi hasar riski.
Yutma: Kimyasal yanık, mide ve yemek borusunda hasar.
Soluma: Solunum yollarında aşınma ve tahriş.
Akut toksisite: Düşük (ATE oral: 25.000 mg/kg).</t>
  </si>
  <si>
    <t>PREMY PROTECT CLEANMAX - SDS7358 - TR</t>
  </si>
  <si>
    <t>Ağır kir ve yağ çözücü mutfak temizlik ürünü.
Tavsiye edilmeyen kullanım: Kişisel temizlik için kullanılmaz.</t>
  </si>
  <si>
    <t>Sodyum hidroksit (10–20%) – H314
EDTA (5–10%) – H302, H332, H318, H373
Aminler, koko alkildimetil, N-oksitleri (1–5%) – H315, H318, H400
Coco Glucoside (1–5%) – H315, H318
Sodyum kümen sülfonat (1–5%) – H319, H335
Nitrilotri acetic acid (&lt;1%) – H319, H351
Bronopol (&lt;0,02%) – H302, H312, H315, H318, H335, H400
CMIT/MIT (&lt;0,02%) – H301, H310, H330, H314, H318, H317, H400, H410</t>
  </si>
  <si>
    <t>H314: Ciddi cilt yanıklarına yol açar.
H318: Ciddi göz hasarına yol açar.
EUH208: İzotiazolinon türevleri içerir, alerjik reaksiyona yol açabilir.</t>
  </si>
  <si>
    <t>Soluma: Temiz havaya çıkarın, dinlendirin.
Cilt: Bol su ile en az 15 dk yıkayın, kirli giysileri çıkarın.
Göz: En az 10 dk bol su ile yıkayın, kontakt lens varsa çıkarın.
Yutma: Ağız çalkalayın, kusturmaya çalışmayın, doktora başvurun.</t>
  </si>
  <si>
    <t>Kişisel: Koruyucu giysi, gözlük, eldiven kullanılmalı.
Çevresel: Sucul ortama dökülmemeli; pH değişimi organizmalara zarar verebilir.
Temizlik: Emici malzeme ile toplayın, asitle nötralize edin, bol su ile yıkayın.</t>
  </si>
  <si>
    <t>Mesleki limitler:
Sodyum hidroksit: 2 mg/m³ (TWA)
KKD:
EN 166 gözlük/yüz siperi
EN 374 kimyasal eldiven
EN ISO 13688 koruyucu giysi
EN 14387 filtreli maske (gerekirse)</t>
  </si>
  <si>
    <t>Görünüm: Berrak sıvı
Renk: Açık kahverengi
pH (derişik): 13–14 (yüksek alkalilik)
Çözünürlük: Suda çözünür</t>
  </si>
  <si>
    <t>Cilt: Ciddi yanıklara neden olur.
Göz: Ciddi hasar riski.
Yutma: Kimyasal yanık, mide ve yemek borusunda hasar.
Soluma: Solunum yollarında aşınma ve tahriş.
Akut toksisite: Düşük (ATE oral: 23.733 mg/kg).</t>
  </si>
  <si>
    <t>Sert zeminler için polimer bazlı cila.
Tavsiye edilmeyen kullanım: Belirtilmemiştir.</t>
  </si>
  <si>
    <t>Alcohols, C12-14, ethoxylated (1–5%) – H400, H412
Propan-2-ol (1–5%) – H225, H319, H336
Triizobütil fosfat (&lt;0,2%) – H317
CMIT/MIT (&lt;0,02%) – H301, H310, H330, H314, H318, H317, H400, H410</t>
  </si>
  <si>
    <t>EUH208: Triizobütil fosfat ve izotiazolinon türevleri içerir, alerjik reaksiyona yol açabilir.
Genel sınıflandırma: Zararlı olarak sınıflandırılmamıştır.</t>
  </si>
  <si>
    <t>Soluma: Temiz havaya çıkarın, giysilerin sıkı bölümlerini gevşetin.
Cilt: Su ile yıkayın.
Göz: Bol su ile yıkayın.
Yutma: Ağız çalkalayın, kusturmaya çalışmayın.</t>
  </si>
  <si>
    <t>Yanıcılık: Propan-2-ol nedeniyle yanıcıdır.
Söndürücüler: Köpük, CO₂, kuru toz, su sisi.
Yanma ürünleri: Zararlı gazlar/buharlar.
Ekipman: EN469 uyumlu itfaiyeci giysisi.</t>
  </si>
  <si>
    <t>Kişisel: Koruyucu giysi, gözlük, eldiven kullanılmalı.
Çevresel: Kanalizasyona ve su kaynaklarına dökülmemeli.
Temizlik: Emici malzeme ile toplayın, uygun kaplarda bertaraf edin.</t>
  </si>
  <si>
    <t>EN 166 gözlük/yüz siperi
EN 374 kimyasal eldiven
EN ISO 13688 koruyucu giysi</t>
  </si>
  <si>
    <t>Görünüm: Opak sıvı
Renk: Beyaz
pH (derişik): 8.5–10.0
Katı madde: %15–17
Çözünürlük: Suda çözünür</t>
  </si>
  <si>
    <t>Cilt: Uzun süreli temas kuruluğa neden olabilir.
Göz: Geçici tahriş riski.
Yutma: Mide bozulması, gastrointestinal semptomlar.
Soluma: Yüksek konsantrasyonlarda solunum sistemi tahrişi.</t>
  </si>
  <si>
    <t>PREMY PROTECT DIP-REPAIR - SDS7375 - TR</t>
  </si>
  <si>
    <t>Klor bazlı sıvı ön daldırma ürünü.
Tavsiye edilmeyen kullanım: Kişisel temizlik için kullanılmaz.</t>
  </si>
  <si>
    <t>Sodyum hipoklorit (25–40%) – H314, H318, H400, H410
Potasyum hidroksit (10–20%) – H302, H314, H318
Sodyum metasilikat pentahidrat (1–5%) – H290, H314, H318, H335</t>
  </si>
  <si>
    <t>H314: Ciddi cilt yanıklarına ve göz hasarına yol açar.
H410: Sucul ortamda uzun süre kalıcı, çok toksik etki.</t>
  </si>
  <si>
    <t>Soluma: Temiz havaya çıkarın, rahat pozisyonda dinlendirin.
Cilt: Bol su ile en az 15 dk yıkayın, kirli giysileri çıkarın.
Göz: En az 10 dk bol su ile yıkayın, kontakt lens varsa çıkarın.
Yutma: Ağız çalkalayın, birkaç bardak su veya süt içirin, kusturmaya çalışmayın.</t>
  </si>
  <si>
    <t>Kullanım: Koruyucu ekipman olmadan elleçlenmemeli.
Depolama: Asitlerden uzak, kilit altında, orijinal kapta, serin ve havalandırılmış ortamda.
Depolama sınıfı: Aşındırıcı depolama.</t>
  </si>
  <si>
    <t>Mesleki limitler:
Potasyum hidroksit: 2 mg/m³ (STEL, 15 dk)
KKD:
EN 166 gözlük/yüz siperi
EN 374 kimyasal eldiven
EN ISO 13688 koruyucu giysi
EN 14387 filtreli maske (gerekirse)</t>
  </si>
  <si>
    <t>Görünüm: Şeffaf sıvı
Renk: Uçuk sarı
pH (derişik): &gt;13 (yüksek alkalilik)
Çözünürlük: Suda çözünür</t>
  </si>
  <si>
    <t>Cilt: Ciddi yanıklara neden olur.
Göz: Ciddi hasar riski.
Yutma: Kimyasal yanık, mide ve yemek borusunda hasar.
Soluma: Solunum yollarında aşınma ve tahriş.
Akut toksisite: Orta düzey (ATE oral: 2.220 mg/kg).</t>
  </si>
  <si>
    <t>Genel temizlik ürünü / yüzey temizleyici.
Tavsiye edilmeyen kullanım: Kişisel temizlik için kullanılmaz.</t>
  </si>
  <si>
    <t>Propan-2-ol (5–10%) – H225, H319, H336
Benzenesülfonik asit, C10-13 alkil türevleri (1–5%) – H302, H314, H318, H412
ECODAC KR 8 (1–5%) – H302, H318
Butil Diglikol Eter (1–5%) – H319
Sodyum hidroksit (&lt;1%) – H314
Bronopol (&lt;0,02%) – H302, H312, H315, H318, H335, H400
CMIT/MIT (&lt;0,02%) – H301, H310, H330, H314, H318, H317, H400, H410</t>
  </si>
  <si>
    <t>H314: Ciddi cilt yanıklarına ve göz hasarına yol açar.
EUH208: İzotiazolinon türevleri içerir, alerjik reaksiyona yol açabilir.GHS05 (Aşındırıcı)
 GHS07 (Ünlem)
 GHS02 (Alev)
 GHS09 (Çevre)</t>
  </si>
  <si>
    <t>Soluma: Temiz havaya çıkarın, dinlendirin.
Cilt: Bol su ile en az 15 dk yıkayın, kirli giysileri çıkarın.
Göz: En az 10 dk bol su ile yıkayın, kontakt lens varsa çıkarın.
Yutma: Ağız çalkalayın, birkaç bardak su veya süt içirin, kusturmaya çalışmayın.</t>
  </si>
  <si>
    <t>Yanıcılık: Propan-2-ol nedeniyle yanıcıdır.
Söndürücüler: Köpük, CO₂, kuru toz, su sisi.
Yanma ürünleri: Toksik ve aşındırıcı gazlar/buharlar.
Ekipman: EN469 uyumlu itfaiyeci giysisi, solunum cihazı.</t>
  </si>
  <si>
    <t>Kişisel: Koruyucu giysi, gözlük, eldiven kullanılmalı.
Çevresel: Kanalizasyona ve su kaynaklarına dökülmemeli.
Temizlik: Emici malzeme ile toplayın, alkali ile nötralize edin, bol su ile yıkayın.</t>
  </si>
  <si>
    <t>Mesleki limitler:
Sodyum hidroksit: 2 mg/m³ (TWA)
Butil Diglikol Eter: 10 ppm (TWA), 15 ppm (STEL)
Benzenesülfonik asit türevleri: 0,1 mg/m³ (TWA)
KKD:
EN 166 gözlük/yüz siperi
EN 374 kimyasal eldiven
EN ISO 13688 koruyucu giysi
EN 14387 filtreli maske (gerekirse)</t>
  </si>
  <si>
    <t>Görünüm: Berrak sıvı
Renk: Mavi
pH (derişik): 7–9
Çözünürlük: Suda çözünür</t>
  </si>
  <si>
    <t>Cilt: Ciddi yanıklara neden olur.
Göz: Ciddi hasar riski.
Yutma: Kimyasal yanık, mide ve yemek borusunda hasar.
Soluma: Solunum yollarında aşınma ve tahriş.
Akut toksisite: Düşük (ATE oral: 22.923 mg/kg).</t>
  </si>
  <si>
    <t>PREMY PROTECT GRILLIX - SDS7370 - TR</t>
  </si>
  <si>
    <t>Yanmış yağ sökücü.
Tavsiye edilmeyen kullanım: Yalnızca tasarlanan amaç için kullanılmalı.</t>
  </si>
  <si>
    <t>D-glukopiranoz, oligomerler, desil oktil glikozitler (5–10%) – H318
2-bütoksietanol (1–5%) – H302, H312, H332, H315, H319
Sodyum hidroksit (1–5%) – H314
Sodyum metasilikat pentahidrat (1–5%) – H290, H314, H318, H335
Bronopol (&lt;0,02%) – H302, H312, H315, H318, H335, H400
CMIT/MIT (&lt;0,02%) – H301, H310, H330, H314, H318, H317, H400, H410</t>
  </si>
  <si>
    <t>H314: Ciddi cilt yanıklarına ve göz hasarına yol açar.
EUH208: İzotiazolinon türevleri içerir, alerjik reaksiyona yol açabilir.
 GHS Piktogramlar:
 GHS05 (Aşındırıcı)
 GHS07 (Ünlem)
 GHS09 (Çevre)</t>
  </si>
  <si>
    <t>Soluma: Temiz havaya çıkarın, dinlendirin.
Cilt: Bol su ve sabunla en az 15 dk yıkayın, kirli giysileri çıkarın.
Göz: En az 10 dk bol su ile yıkayın, kontakt lens varsa çıkarın.
Yutma: Ağız çalkalayın, kusturmaya çalışmayın, doktora başvurun.</t>
  </si>
  <si>
    <t>Kişisel: Koruyucu giysi, gözlük, eldiven kullanılmalı.
Çevresel: Kanalizasyona ve su kaynaklarına dökülmemeli.
Temizlik: Emici malzeme ile toplayın, bol su ile yıkayın.</t>
  </si>
  <si>
    <t>Mesleki limitler:
2-bütoksietanol: 20 ppm (TWA), 50 ppm (STEL)
Sodyum hidroksit: 2 mg/m³ (TWA)
KKD:
EN 166 gözlük/yüz siperi
EN 374 kimyasal eldiven
EN ISO 13688 koruyucu giysi
EN 14387 filtreli maske (gerekirse)</t>
  </si>
  <si>
    <t>Görünüm: Berrak sıvı
Renk: Açık kahverengi
pH (derişik): &gt;13 (yüksek alkalilik)
Çözünürlük: Suda çözünür</t>
  </si>
  <si>
    <t>Cilt: Ciddi yanıklara neden olur.
Göz: Ciddi hasar riski.
Yutma: Kimyasal yanık, mide ve yemek borusunda hasar.
Soluma: Solunum yollarında aşınma ve tahriş.
Akut toksisite: Düşük (ATE oral: 35.350 mg/kg; dermal: 26.500 mg/kg).</t>
  </si>
  <si>
    <t>PREMY PROTECT LIMEOFF - SDS7351 - TR</t>
  </si>
  <si>
    <t>Bulaşık makinası kireç sökücü.
Tavsiye edilmeyen kullanım: Yalnızca tasarlanan amaç için kullanılmalı.</t>
  </si>
  <si>
    <t>Fosforik asit (25–40%) – H290, H302, H314, H318
Propan-2-ol (1–5%) – H225, H319, H336
Bronopol (&lt;0,02%) – H302, H312, H315, H318, H335, H400
CMIT/MIT (&lt;0,02%) – H301, H310, H330, H314, H318, H317, H400, H410</t>
  </si>
  <si>
    <t>H314: Ciddi cilt yanıklarına ve göz hasarına yol açar.
EUH208: İzotiazolinon türevleri içerir, alerjik reaksiyona yol açabilir.
 GHS Piktogramlar:
 GHS05 (Aşındırıcı)
 GHS07 (Ünlem)
 GHS02 (Alev)
 GHS09 (Çevre)</t>
  </si>
  <si>
    <t>Soluma: Temiz havaya çıkarın, dinlendirin.
Cilt: Bol su ile en az 15 dk yıkayın, kirli giysileri çıkarın.
Göz: En az 10 dk bol su ile yıkayın, kontakt lens varsa çıkarın.
Yutma: Ağız çalkalayın, birkaç bardak su veya süt içirin, kusturmaya çalışmayın</t>
  </si>
  <si>
    <t>Mesleki limitler:
Fosforik asit: 1 mg/m³ (TWA), 2 mg/m³ (STEL)
KKD:
EN 166 gözlük/yüz siperi
EN 374 kimyasal eldiven
EN ISO 13688 koruyucu giysi
EN 14387 filtreli maske (gerekirse)</t>
  </si>
  <si>
    <t>Görünüm: Şeffaf, berrak sıvı
Renk: Sarı/kehribar
pH (derişik): &lt;3 (yüksek asidik)
Çözünürlük: Suda çözünür</t>
  </si>
  <si>
    <t>Cilt: Ciddi yanıklara neden olur.
Göz: Ciddi hasar riski.
Yutma: Kimyasal yanık, mide ve yemek borusunda hasar.
Soluma: Solunum yollarında aşınma ve tahriş.
Akut toksisite: Orta düzey (ATE oral: 5.378 mg/kg).</t>
  </si>
  <si>
    <t>PREMY PROTECT MARSHINE - SDS7516 - TR</t>
  </si>
  <si>
    <t>Mermer yüzeyler için sıvı kristalize cila.
Tavsiye edilmeyen kullanım: Belirtilmemiştir.</t>
  </si>
  <si>
    <t>Magnezyum hekzaflorosilikat (25–40%) – H301 (toksik yutma)
Hidroklorik asit çözeltisi (1–5%) – H314, H318, H335
Diğer katkılar: düşük konsantrasyonlarda asidik bileşenler</t>
  </si>
  <si>
    <t>H302: Yutulması halinde zararlıdır.
H301: Yutulması halinde toksiktir.
H314: Ciddi cilt yanıklarına ve göz hasarına yol açar.
H335: Solunum yolu tahrişine yol açabilir.
 GHS Piktogramlar:
 GHS07 (Ünlem)
 GHS05 (Aşındırıcı)</t>
  </si>
  <si>
    <t>Soluma: Temiz havaya çıkarın, dinlendirin.
Cilt: Su ile yıkayın, uzun süreli temas kuruluk yapabilir.
Göz: En az 10 dk bol su ile yıkayın, kontakt lens varsa çıkarın.
Yutma: Ağız çalkalayın, kusturmaya çalışmayın, doktora başvurun.</t>
  </si>
  <si>
    <t>Yanıcılık: Ürün alevlenir değildir.
Söndürücüler: Köpük, CO₂, kuru toz, su sisi.
Yanma ürünleri: Toksik gazlar ve buharlar.
Ekipman: EN469 uyumlu itfaiyeci giysisi.</t>
  </si>
  <si>
    <t>Kullanım: Koruyucu ekipman olmadan elleçlenmemeli.
Depolama: Alkalilerden ve aminlerden uzak, orijinal kapta, serin ve havalandırılmış ortamda.
Depolama sınıfı: Asitler.</t>
  </si>
  <si>
    <t>Mesleki limitler:
Hidroklorik asit: 5 ppm (TWA), 10 ppm (STEL)
KKD:
EN 166 gözlük/yüz siperi
EN 374 kimyasal eldiven
EN ISO 13688 koruyucu giysi
EN 14387 filtreli maske (gerekirse)</t>
  </si>
  <si>
    <t>Görünüm: Berrak sıvı
Renk: Sarı
pH (derişik): ~2 (asidik)
Çözünürlük: Suda çözünür</t>
  </si>
  <si>
    <t>Normal koşullarda stabil.
Kaçınılması gereken maddeler: Alkaliler, aminler.
Bozunma ürünleri: Toksik gazlar/buharlar.</t>
  </si>
  <si>
    <t>Cilt: Uzun süreli temas kuruluk yapabilir.
Göz: Geçici tahriş riski.
Yutma: Zararlı, toksik etki gösterebilir (ATE oral: 333 mg/kg).
Soluma: Solunum yollarında tahriş.</t>
  </si>
  <si>
    <t>PREMY PROTECT MINERO - SDS7570 - TR</t>
  </si>
  <si>
    <t>Krem temizlik ürünü.
Tavsiye edilmeyen kullanım: Belirtilmemiştir.</t>
  </si>
  <si>
    <t>Kalsiyum karbonat (50–60%) – Zararlı olarak sınıflandırılmamış
Sodyum karbonat (&lt;5%) – H319
Benzenesülfonik asit türevleri (&lt;5%) – H302, H314, H318, H412
Alcohols, C9-11, ethoxylated (&lt;2%) – H302, H318
Amonyak çözeltisi (&lt;1%) – H314, H335, H400
CMIT/MIT (&lt;0,0015%) – H301, H310, H330, H314, H318, H317, H400, H410</t>
  </si>
  <si>
    <t>H315: Cilt tahrişine yol açar.
H319: Ciddi göz tahrişine yol açar.
EUH208: İzotiazolinon türevleri içerir, alerjik reaksiyona yol açabilir.</t>
  </si>
  <si>
    <t>Soluma: Temiz havaya çıkarın, dinlendirin.
Cilt: Bol su ile yıkayın.
Göz: En az 10 dk bol su ile yıkayın, kontakt lens varsa çıkarın.
Yutma: Ağız çalkalayın, kusturmaya çalışmayın, doktora başvurun.</t>
  </si>
  <si>
    <t>Yanıcılık: Ürün alevlenir değildir.
Söndürücüler: Köpük, CO₂, kuru toz, su sisi.
Yanma ürünleri: Zararlı gazlar/buharlar.
Ekipman: EN469 uyumlu itfaiyeci giysisi.</t>
  </si>
  <si>
    <t>Mesleki limitler:
Kalsiyum karbonat: 15 mg/m³ (TWA, toplam toz), 5 mg/m³ (solunabilir toz)
Benzenesülfonik asit türevleri: 0,1 mg/m³ (TWA)
KKD:
EN 166 gözlük/yüz siperi
EN 374 kimyasal eldiven
EN ISO 13688 koruyucu giysi</t>
  </si>
  <si>
    <t>Görünüm: Viskoz sıvı
Renk: Beyaz, opak
pH (derişik): 9–11 (orta alkalilik)
Yoğunluk: 1,4–1,6 g/ml
Çözünürlük: Suda çözünür</t>
  </si>
  <si>
    <t>Cilt: Tahriş, kızarıklık.
Göz: Tahriş riski.
Yutma: Tahrişe neden olabilir.
Soluma: Uzun süreli maruziyet solunum sisteminde hasara yol açabilir.
Akut toksisite: Düşük (ATE oral: 33.108 mg/kg).</t>
  </si>
  <si>
    <t>Nötr zemin temizleme ürünü.
Tavsiye edilmeyen kullanım: Kişisel temizlik için kullanılmaz.</t>
  </si>
  <si>
    <t>ECODAC KR 8 (5–10%) – H302, H318
Propan-2-ol (1–5%) – H225, H319, H336
Disodyum tetraborat dekahidrat (&lt;1%) – H360FD (üreme toksisitesi, yüksek konsantrasyonda)
Bronopol (&lt;0,02%) – H302, H312, H315, H318, H335, H400
CMIT/MIT (&lt;0,02%) – H301, H310, H330, H314, H318, H317, H400, H410</t>
  </si>
  <si>
    <t>Soluma: Temiz havaya çıkarın, dinlendirin.
Cilt: En az 10 dk bol su ile yıkayın.
Göz: En az 10 dk bol su ile yıkayın, kontakt lens varsa çıkarın.
Yutma: Ağız çalkalayın, kusturmaya çalışmayın, doktora başvurun.</t>
  </si>
  <si>
    <t>Yanıcılık: Propan-2-ol nedeniyle yanıcıdır.
Söndürücüler: Köpük, CO₂, kuru toz, su sisi.
Yanma ürünleri: Toksik ve aşındırıcı gazlar/buharlar.
Ekipman: EN469 uyumlu itfaiyeci giysisi.</t>
  </si>
  <si>
    <t>KKD:
EN 166 gözlük/yüz siperi
EN 374 kimyasal eldiven
EN ISO 13688 koruyucu giysi
EN 14387 filtreli maske (gerekirse)</t>
  </si>
  <si>
    <t>Görünüm: Şeffaf sıvı
Renk: Yeşil
pH (derişik): 7–9 (nötr–hafif alkali)
Çözünürlük: Suda çözünür</t>
  </si>
  <si>
    <t>Cilt: Yanıklara neden olabilir.
Göz: Ciddi hasar riski.
Yutma: Kimyasal yanık, mide ve yemek borusunda hasar.
Soluma: Solunum yollarında aşınma ve tahriş.
Akut toksisite: Düşük (ATE oral: 40.000 mg/kg).</t>
  </si>
  <si>
    <t>H302: Yutulması halinde zararlıdır.
H301: Yutulması halinde toksiktir.
H314: Ciddi cilt yanıklarına ve göz hasarına yol açar.
H335: Solunum yolu tahrişine yol açabilir.</t>
  </si>
  <si>
    <t>H314: Ciddi cilt yanıklarına ve göz hasarına yol açar.
EUH208: İzotiazolinon türevleri içerir, alerjik reaksiyona yol açabilir. GHS05 (Aşındırıcı)
 GHS07 (Ünlem)
 GHS02 (Alev)
 GHS09 (Çevre)</t>
  </si>
  <si>
    <t>Endüstriyel mutfaklarda yanmış yağ sökücü.
Tavsiye edilmeyen kullanım: Yalnızca tasarlanan amaç için kullanılmalı.</t>
  </si>
  <si>
    <t>D-glukopiranoz oligomerleri, desil oktil glikozitler (5–10%) – H318
2-bütoksietanol (1–5%) – H302, H312, H332, H315, H319
Sodyum hidroksit (1–5%) – H314
Sodyum metasilikat pentahidrat (1–5%) – H290, H314, H318, H335
Bronopol (&lt;0,02%) – H302, H312, H315, H318, H335, H400
CMIT/MIT (&lt;0,02%) – H301, H310, H330, H314, H318, H317, H400, H410</t>
  </si>
  <si>
    <t>H314: Ciddi cilt yanıklarına ve göz hasarına yol açar.
EUH208: İzotiazolinon türevleri içerir, alerjik reaksiyona yol açabilir.
 GHS Piktogramlar:
GHS05 (Aşındırıcı)
 GHS07 (Ünlem)
 GHS09 (Çevre)</t>
  </si>
  <si>
    <t>Soluma: Temiz havaya çıkarın, dinlendirin.
Cilt: Bol sabun ve su ile en az 15 dk yıkayın, kirli giysileri çıkarın.
Göz: En az 10 dk bol su ile yıkayın, kontakt lens varsa çıkarın.
Yutma: Ağız çalkalayın, kusturmaya çalışmayın, doktora başvurun.</t>
  </si>
  <si>
    <t>Cilt: Ciddi yanıklara neden olur.
Göz: Ciddi hasar riski.
Yutma: Kimyasal yanık, mide ve yemek borusunda hasar.
Soluma: Solunum yollarında aşınma ve tahriş.
Akut toksisite: Düşük (ATE oral: 35.350 mg/kg).</t>
  </si>
  <si>
    <t>Genel yüzey temizleyici.
Tavsiye edilmeyen kullanım: Kişisel temizlik için kullanılmaz.</t>
  </si>
  <si>
    <t>Propan-2-ol (5–10%) – H225, H319, H336
Benzenesülfonik asit türevleri (1–5%) – H302, H314, H318, H412
ECODAC KR 8 (1–5%) – H302, H318
Butil Diglikol Eter (1–5%) – H319
Sodyum hidroksit (&lt;1%) – H314
Bronopol (&lt;0,02%) – H302, H312, H315, H318, H335, H400
CMIT/MIT (&lt;0,02%) – H301, H310, H330, H314, H318, H317, H400, H410</t>
  </si>
  <si>
    <t>H314: Ciddi cilt yanıklarına ve göz hasarına yol açar.
EUH208: İzotiazolinon türevleri içerir, alerjik reaksiyona yol açabilir.
 GHS Piktogramlar:
 GHS05 (Aşındırıcı)
 GHS07 (Ünlem)
 GHS09 (Çevre)
 GHS02 (Alev)</t>
  </si>
  <si>
    <t>Soluma: Temiz havaya çıkarın, gerekirse oksijen verin.
Cilt: Bol su ile en az 15 dk yıkayın, kirli giysileri çıkarın.
Göz: En az 10 dk bol su ile yıkayın, kontakt lens varsa çıkarın.
Yutma: Ağız çalkalayın, birkaç bardak su veya süt içirin, kusturmaya çalışmayın.</t>
  </si>
  <si>
    <t>Mesleki limitler:
Benzenesülfonik asit: 0,1 mg/m³ (TWA)
Butil Diglikol Eter: 10 ppm (TWA), 15 ppm (STEL)
Sodyum hidroksit: 2 mg/m³ (TWA)
KKD:
EN 166 gözlük/yüz siperi
EN 374 kimyasal eldiven
EN ISO 13688 koruyucu giysi
EN 14387 filtreli maske (gerekirse)</t>
  </si>
  <si>
    <t>Görünüm: Berrak sıvı
Renk: Mavi
pH (derişik): 7–9 (nötr–hafif alkali)
Çözünürlük: Suda çözünür</t>
  </si>
  <si>
    <t>Cilt: Ciddi yanıklara neden olur.
Göz: Ciddi hasar riski.
Yutma: Kimyasal yanık, mide ve yemek borusunda hasar.
Soluma: Solunum yollarında aşınma ve tahriş.
Akut toksisite: Düşük (ATE oral: 22.924 mg/kg).</t>
  </si>
  <si>
    <t>H314: Ciddi cilt yanıklarına ve göz hasarına yol açar.
H410: Sucul ortamda uzun süre kalıcı, çok toksik etki.
 GHS Piktogramlar:
 GHS05 (Aşındırıcı)
 GHS09 (Çevre)</t>
  </si>
  <si>
    <t>Yanıcılık: Ürün alevlenir değildir.
Söndürücüler: Köpük, CO₂, kuru toz, su sisi.
Yanma ürünleri: Çok toksik ve aşındırıcı gazlar/buharlar.
Ekipman: EN469 uyumlu itfaiyeci giysisi, solunum cihazı.</t>
  </si>
  <si>
    <t>Mesleki limitler:
Potasyum hidroksit: 2 mg/m³ (STEL)
KKD:
EN 166 gözlük/yüz siperi
EN 374 kimyasal eldiven
EN ISO 13688 koruyucu giysi
EN 14387 filtreli maske (gerekirse)</t>
  </si>
  <si>
    <t>Polimer bazlı sert zemin cilası
Endüstriyel ve profesyonel temizlik ürünü</t>
  </si>
  <si>
    <t>Alcohols, C12-14, ethoxylated (%1–5)
Propan-2-ol (%1–5)
Triizobütil fosfat (&lt;%0,2)
CMIT/MIT (&lt;%0,02)</t>
  </si>
  <si>
    <t>Ürün zararlı olarak sınıflandırılmamıştır.
Ancak:
EUH208 → Alerjik reaksiyona yol açabilir (izotiyazolinon içerir)
Uzun süreli temas cilt kuruluğu yapabilir
Yüksek buhar maruziyeti solunum tahrişi yapabilir</t>
  </si>
  <si>
    <t>Soluma: Temiz havaya çıkar.
Yutma: Ağız çalkala, kusturma.
Cilt: Su ile yıka.
Göz: Bol su ile hemen yıka.
Semptomatik tedavi uygulanır.</t>
  </si>
  <si>
    <t>Ürün alevlenir değildir.
Söndürücü: Köpük, CO₂, kuru toz, su sisi
Su jeti kullanılmaz
Yanma halinde zararlı gazlar oluşabilir.</t>
  </si>
  <si>
    <t>Koruyucu ekipman kullan
Kanalizasyona karışmasını önle
Emici materyal ile topla
Alanı suyla yıka</t>
  </si>
  <si>
    <t>Kullanım:
Yiyeceklerden uzak
KKD kullan
Sigara içme
Depolama:
Orijinal ambalajında
Asitlerden uzak
Dik konumda
Sızıntı geçirmez zeminde
Depolama sınıfı: Asit reaktif depolama</t>
  </si>
  <si>
    <t>TS/EN 166 uygun gözlük
Kimyasala dayanıklı eldiven
Koruyucu giysi
Göz duşu ve acil duş olmalı</t>
  </si>
  <si>
    <t>Görünüm: Opak sıvı
Renk: Beyaz
pH: 8.5 – 10
Suda çözünür
Katı madde oranı: %15–17</t>
  </si>
  <si>
    <t>Normal şartlarda kararlı
Asitler, asit anhidritler, fenollerle uyumsuz
Tehlikeli reaksiyon beklenmez</t>
  </si>
  <si>
    <t>Akut toksisite sınıflandırması yok
Uzun süreli soluma → solunum tahrişi
Uzun süreli cilt teması → kuruluk
Göz teması → geçici tahriş</t>
  </si>
  <si>
    <t>Kanalizasyona boşaltılmaz
Lisanslı atık bertaraf firması
Atık Yönetimi Yönetmeliği’ne uygun işlem</t>
  </si>
  <si>
    <t>Polimer bazlı sert zemin cilasıdır. Profesyonel kullanım içindir.</t>
  </si>
  <si>
    <t>Triizobütil fosfat ve CMIT/MIT koruyucu içerir (alerjik reaksiyon riski).</t>
  </si>
  <si>
    <t>Zararlı olarak sınıflandırılmamıştır.
EUH208: Alerjik reaksiyona yol açabilir.</t>
  </si>
  <si>
    <t>Yutma: Gastrointestinal rahatsızlık yapabilir.
Cilt: Uzun temas kuruluğa neden olabilir.
Semptomatik tedavi.</t>
  </si>
  <si>
    <t>Alevlenir değildir.
Köpük, CO₂, kuru toz kullanılabilir.
Su jeti kullanılmaz.</t>
  </si>
  <si>
    <t>Koruyucu ekipman kullanın.
Kanalizasyona verilmemeli.</t>
  </si>
  <si>
    <t>Kaplar sıkıca kapalı tutulmalı.</t>
  </si>
  <si>
    <t>Eldiven, gözlük önerilir.</t>
  </si>
  <si>
    <t>Sıvı form.</t>
  </si>
  <si>
    <t>Normal koşullarda kararlı</t>
  </si>
  <si>
    <t>Düşük akut risk, hassasiyet oluşturabilir.</t>
  </si>
  <si>
    <t>Atık mevzuatına uygun bertaraf.</t>
  </si>
  <si>
    <t>Profesyonel yüzey temizleyici
Endüstriyel alanlar, hastane, okul, AVM zeminleri
Seyreltilerek veya direkt kullanım (etiket talimatına göre)</t>
  </si>
  <si>
    <t>Noniyonik yüzey aktif maddeler
Anyonik yüzey aktif maddeler
İzopropil alkol (düşük oran)
Koruyucu biyosit (izotiyazolinon türevi)
Parfüm</t>
  </si>
  <si>
    <t>Zararlı olarak sınıflandırılmamıştır.
Ancak:
EUH208 → Alerjik reaksiyona neden olabilir
Uzun süreli temas → Cilt kuruluğu
Göz temasında → Hafif tahriş</t>
  </si>
  <si>
    <t>Soluma: Temiz havaya çıkar.
Yutma: Ağız çalkala, kusturma.
Cilt: Sabunlu su ile yıka.
Göz: 15 dakika bol su ile yıka.</t>
  </si>
  <si>
    <t>Yanıcı değildir
Köpük, CO₂, kuru kimyevi toz kullanılabilir
Su jeti kullanılmaz
Yanma halinde CO ve CO₂ oluşabilir.</t>
  </si>
  <si>
    <t>KKD kullan
Kaygan zemin riski oluşturur
Emici malzeme ile topla
Kanalizasyona dökme</t>
  </si>
  <si>
    <t>Kullanım:
Yiyeceklerden uzak
Sigara içme
Eldiven kullan
Depolama:
Serin ve kuru ortam
Orijinal ambalaj
Asitlerden uzak</t>
  </si>
  <si>
    <t>EN 166 uygun gözlük
Kimyasala dayanıklı eldiven
Uzun süreli maruziyette maske önerilir
Göz duşu bulundurulmalı</t>
  </si>
  <si>
    <t>Form: Sıvı
Renk: Şeffaf / açık renkli
Koku: Parfümlü
pH: 7–9 arası
Suda çözünür</t>
  </si>
  <si>
    <t>Normal şartlarda stabil
Güçlü asitlerle temas ettirilmez
Tehlikeli polimerizasyon beklenmez</t>
  </si>
  <si>
    <t>Akut toksisite sınıflandırması yok
Göz tahrişi yapabilir
Hassas kişilerde alerjik reaksiyon</t>
  </si>
  <si>
    <t>Lisanslı bertaraf firması
Ambalaj geri dönüşüme gönderilir
Atık Yönetmeliğine uygun işlem</t>
  </si>
  <si>
    <t>Profesyonel yüzey temizleyici ve parlatıcı
Hastane, ofis, AVM, otel zeminleri
Mop veya bez ile uygulanır
Seyreltilerek kullanım önerilir</t>
  </si>
  <si>
    <t>Noniyonik yüzey aktif maddeler
Anyonik yüzey aktif maddeler
Parfüm (Cedrosa esansı)
Koruyucu biyosit (izotiyazolinon türevi)
Yardımcı solvent bileşenler</t>
  </si>
  <si>
    <t>Zararlı olarak sınıflandırılmamıştır.
Ancak:
EUH208 → Alerjik reaksiyona neden olabilir
Göz ile temasında hafif tahriş
Uzun süreli cilt temasında kuruluk</t>
  </si>
  <si>
    <t>Soluma: Temiz havaya çıkar.
Yutma: Ağız çalkalanır, kusturma yapılmaz.
Cilt: Bol su ve sabunla yıka.
Göz: En az 15 dakika bol su ile yıka.
Şikayet sürerse doktora başvur.</t>
  </si>
  <si>
    <t>Yanıcı sınıfta değildir
Köpük, CO₂, kuru kimyevi toz kullanılabilir
Basınçlı su jeti önerilmez
Yanma halinde CO ve CO₂ oluşabilir</t>
  </si>
  <si>
    <t>Eldiven ve gözlük kullan
Kaygan zemin riski oluşturur
Emici malzeme ile topla
Kanalizasyona kontrolsüz verilmez</t>
  </si>
  <si>
    <t>Kullanım:
Yiyeceklerden uzak kullan
Sigara içme
Eldiven önerilir
Depolama:
Serin ve kuru yerde
Orijinal ambalajında
Donmaya karşı korunmalı</t>
  </si>
  <si>
    <t>EN 166 uygun koruyucu gözlük
Kimyasala dayanıklı eldiven
Uzun süreli maruziyette maske önerilebilir
Göz duşu bulundurulmalı</t>
  </si>
  <si>
    <t>Form: Sıvı
Renk: Açık renkli
Koku: Parfümlü (Cedrosa)
pH: Yaklaşık 7–9
Suda tamamen çözünür</t>
  </si>
  <si>
    <t>Normal depolama koşullarında stabil
Güçlü asit ve oksitleyicilerden uzak tutulmalı
Tehlikeli polimerizasyon beklenmez</t>
  </si>
  <si>
    <t>Akut toksisite sınıflandırması yok
Göz tahrişi yapabilir
Hassas kişilerde alerjik reaksiyon görülebilir</t>
  </si>
  <si>
    <t>Lisanslı atık bertaraf firması
Ambalaj geri dönüşüm
Atık Yönetmeliğine uygun işlem</t>
  </si>
  <si>
    <t>Spray-ekstraksiyon makineleri için halı yıkama ürünü
Profesyonel kullanım
Kişisel temizlik amacıyla kullanılmaz
Seyreltilerek uygulanır</t>
  </si>
  <si>
    <t>Tetrapotasyum pirofosfat (%10–20)
2-(2-butoxyethoxy)ethanol (%1–5)
C12-14 etoksile alkol (%1–5)
Sodium cumenesulphonate (%1–5)
Bronopol (&lt;%1)
CMIT/MIT izotiyazolinon (&lt;%0,02)</t>
  </si>
  <si>
    <t>Sınıflandırma:
⚠️ Göz Tahrişi 2 – H319
“Ciddi göz tahrişine yol açar.”
EUH208: İzotiyazolinon içerir – Alerjik reaksiyona yol açabilir.</t>
  </si>
  <si>
    <t>Soluma: Temiz havaya çıkar, dinlendir.
Yutma: Ağız çalkalanır. Kusma zorlanmaz.
Cilt: Su ile yıka.
Göz: En az 10–15 dakika bol su ile yıka. Lens varsa çıkar.
Belirtiler:
Göz tahrişi
Mide rahatsızlığı
Uzun temas → cilt kuruluğu</t>
  </si>
  <si>
    <t>Yanıcı değildir
Köpük, CO₂, kuru toz kullanılabilir
Su jeti kullanılmaz
Isınan kaplar patlayabilir
Yangın sırasında:
EN469 uygun ekipman
SCBA (tüplü solunum cihazı)</t>
  </si>
  <si>
    <t>Alan boşaltılır
KKD kullanılır
Küçük döküntü: Su ile seyreltilip emdirilir
Büyük döküntü: Kum/toprak ile absorbe edilir
Kanalizasyona kontrolsüz verilmez</t>
  </si>
  <si>
    <t>Kullanım:
Yiyeceklerden uzak
Sigara içilmez
Eldiven ve gözlük kullan
Depolama:
Asitlerden uzak
Serin, havalandırılan alan
Orijinal kapta
Sızıntı tutucu zemin
Depolama sınıfı: Asit reaktif depolama</t>
  </si>
  <si>
    <t>EN 166 uygun gözlük
TS/EN 374 kimyasala dayanıklı eldiven
Uygun havalandırma
Göz yıkama istasyonu ve acil duş</t>
  </si>
  <si>
    <t>Görünüm: Berrak sıvı
Renk: Sarı
pH: 9–11
Yoğunluk: ~1,02 g/cm³
Suda çözünür
Yanıcı değil</t>
  </si>
  <si>
    <t>Normal şartlarda stabil
Asitler ve asit anhidritlerden uzak
Zararlı polimerizasyon beklenmez
Yanma halinde zararlı gazlar çıkabilir</t>
  </si>
  <si>
    <t>Akut toksisite sınıflandırması yok
Ciddi göz tahrişi yapar
Solunum yolu tahrişi olabilir
Ciltte uzun temas → kuruluk
Kanserojen, mutajen sınıflandırma yok</t>
  </si>
  <si>
    <t>Lisanslı bertaraf firması
Atıklar etiketlenmeli
Ambalaj geri dönüşüme verilmeli
Atık Yönetmeliğine uygun işlem</t>
  </si>
  <si>
    <t>Halı yıkama makinelerinde köpük şampuanı olarak kullanılır
Kişisel temizlik amacıyla kullanılmaz
Yalnızca tasarlanan amaç için kullanılır</t>
  </si>
  <si>
    <t>Sulfonic acids, C14-17-sec-alkane, sodium salts (%1–5)
Alcohols, C12-14, ethoxylated, sulfates, sodium salts (%1–5)
Bronopol (&lt;%0,02)
CMIT/MIT izotiyazolinon karışımı (&lt;%0,02)</t>
  </si>
  <si>
    <t>Sınıflandırma:
Göz Hasarı 1 – H318
"Ciddi göz hasarına yol açar."
EUH208: İzotiyazolinon içerir – Alerjik reaksiyona yol açabilir.</t>
  </si>
  <si>
    <t>Soluma:
Temiz havaya çıkar, dinlendir.
Yutma:
Ağız çalkalanır. Kusma zorlanmaz. Baş aşağı pozisyonda tutulur.
Cilt Teması:
Bol su ile hemen yıka.
Göz Teması (KRİTİK):
En az 10–15 dakika bol su ile yıka.
Kontakt lens çıkarılır.
Tıbbi yardım alınır.
Belirtiler:
Ciddi göz hasarı
Kimyasal yanık
Karın ağrısı, kusma
Solunum yolu tahrişi</t>
  </si>
  <si>
    <t>Yanıcı değildir
Köpük, CO₂, kuru toz, su sisi kullanılabilir
Su jeti kullanılmaz
Isınan kaplar patlayabilir
Yangın suyu aşındırıcı olabilir</t>
  </si>
  <si>
    <t>KKD kullanılır
Göz ve cilt temasından kaçınılır
Döküntü hemen temizlenir
Alkali ile nötralize edilebilir
Kanalizasyona kontrolsüz verilmez
Sucul ortama karışması önlenir</t>
  </si>
  <si>
    <t>Kullanım:
Ürün aşındırıcıdır
Eldiven ve gözlük zorunlu
Yiyeceklerden uzak
Boş kap tekrar kullanılmaz
Depolama:
Alkaliler ve aminlerden uzak
Orijinal kapta
Dik konumda
Sızıntı tutucu zemin
Depolama sınıfı: Aşındırıcı depolama</t>
  </si>
  <si>
    <t>TS/EN 166 uygun gözlük veya yüz siperi
TS/EN 374 kimyasala dayanıklı eldiven
Gerekirse solunum koruma
İyi havalandırma
Göz yıkama ünitesi zorunlu</t>
  </si>
  <si>
    <t>Görünüm: Opak sıvı
Renk: Beyaz
pH: 8 – 10
Suda çözünür
Yanıcı değil</t>
  </si>
  <si>
    <t>Normal şartlarda stabil
Alkaliler ve aminlerle temas etmemeli
Tehlikeli polimerizasyon yok
Yanma halinde aşındırıcı gaz çıkabilir</t>
  </si>
  <si>
    <t>Ağızdan akut toksisite sınıflandırması yok
Ciddi göz hasarı yapar
Ciltte yanık yapabilir
Solunum yolu tahrişi
Kanserojen sınıflandırma yok</t>
  </si>
  <si>
    <t>Lisanslı bertaraf firması
Atıklar etiketlenmeli
Ambalaj kalıntı içerir → tehlikeli atık gibi işlem
Atık Yönetmeliğine uygun imha</t>
  </si>
  <si>
    <t>Genel yüzey temizleyici olarak kullanılır. Konsantre formdadır, önerilen oranlarda sulandırılarak zemin, seramik, fayans ve sert yüzeylerde uygulanır. Gıda ile temas eden yüzeylerde durulama yapılmalıdır.</t>
  </si>
  <si>
    <t>Noniyonik yüzey aktif maddeler
Anyonik yüzey aktif maddeler
Parfüm
Koruyucu bileşenler
Yardımcı solventler</t>
  </si>
  <si>
    <t>CLP’ye göre genellikle:
Ciddi göz tahrişi yapar
Uzun süreli temas ciltte tahrişe neden olabilir</t>
  </si>
  <si>
    <t>Soluma: Temiz havaya çıkarın.
Cilt Teması: Bol su ile yıkayın.
Göz Teması: En az 15 dakika bol su ile yıkayın.
Yutma: Ağız çalkalanır, kusturulmaz, doktora başvurulur.</t>
  </si>
  <si>
    <t>Ürün yanıcı değildir.
Yangın durumunda köpük, CO₂, kuru kimyevi toz kullanılabilir.
Yanma sırasında zararlı gazlar açığa çıkabilir.</t>
  </si>
  <si>
    <t>Kaygan zemin riski oluşturur.
Dökülen alan inert emici madde ile temizlenir.
Kanalizasyona kontrolsüz verilmemelidir.</t>
  </si>
  <si>
    <t>Orijinal ambalajında saklanmalıdır.
Güneş ışığından korunmalıdır.
Donmaya karşı korunmalıdır.</t>
  </si>
  <si>
    <t>Kimyasala dayanıklı eldiven
Gözlük
Uzun süreli maruziyette maske
İyi havalandırma</t>
  </si>
  <si>
    <t>Fiziksel hali: Sıvı
Renk: Açık renkli
Koku: Parfümlü
pH: Hafif alkali
Suda çözünür</t>
  </si>
  <si>
    <t>Normal koşullarda stabildir.
Kuvvetli oksitleyicilerle reaksiyona girebilir.</t>
  </si>
  <si>
    <t>Akut toksisite düşük seviyededir.
Göz tahriş edicidir.
Uzun süreli temas dermatite yol açabilir.</t>
  </si>
  <si>
    <t>Küçük miktarlar bol su ile seyreltilerek bertaraf edilebilir.
Ambalajlar yerel mevzuata göre bertaraf edilir.
Tehlikeli atık sınıfına girmez (konsantre hali hariç).</t>
  </si>
  <si>
    <t>Banyo yüzeyleri, seramik, fayans, armatür ve lavabo temizliği için kullanılan sıvı temizlik ürünüdür. Sprey veya bez yardımıyla yüzeye uygulanır, kısa bekleme sonrası durulanır veya silinir. Endüstriyel ve profesyonel kullanım amaçlıdır.</t>
  </si>
  <si>
    <t>Anyonik / noniyonik yüzey aktif maddeler
Organik asitler (kireç çözücü özellik)
Parfüm
Koruyucu maddeler
Su bazlı çözelti</t>
  </si>
  <si>
    <t>Cilt tahrişine neden olabilir
Gözde ciddi tahrişe yol açabilir
Asidik karakterli olabilir
Uzun süreli temas cilt kuruluğu yapabilir</t>
  </si>
  <si>
    <t>Soluma: Temiz havaya çıkarın.
Cilt Teması: Bol su ile yıkayın. Tahriş varsa doktora başvurun.
Göz Teması: En az 15 dakika bol su ile yıkayın.
Yutma: Kusturmayın, bol su içirin, doktora başvurun.</t>
  </si>
  <si>
    <t>Ürün yanıcı değildir.
Çevresel yangında köpük, CO₂, kuru kimyevi toz kullanılabilir.
Yangın halinde toksik gazlar oluşabilir.</t>
  </si>
  <si>
    <t>Eldiven kullanın.
Dökülen alanı kayganlık riskine karşı işaretleyin.
Emici malzeme ile toplayın.
Kanalizasyona kontrolsüz dökmeyin.</t>
  </si>
  <si>
    <t>Gıda maddelerinden uzak tutun.
Serin ve kuru yerde saklayın.
Orijinal ambalajında muhafaza edin.
Çocuklardan uzak tutun.</t>
  </si>
  <si>
    <t>Nitril eldiven
Koruyucu gözlük
Gerektiğinde maske
İyi havalandırma</t>
  </si>
  <si>
    <t>Fiziksel hali: Sıvı
Renk: Açık renkli
Koku: Parfümlü
pH: Asidik (yaklaşık 2–4 arası olabilir)
Suda tamamen çözünür</t>
  </si>
  <si>
    <t>Normal şartlarda stabildir.
Kuvvetli bazlarla reaksiyona girebilir.
Aşırı ısıdan kaçınılmalıdır.</t>
  </si>
  <si>
    <t>Cilt tahrişi yapabilir.
Göz tahrişi riski vardır.
Yutulması mide rahatsızlığına neden olabilir.</t>
  </si>
  <si>
    <t>Küçük miktarlar bol su ile seyreltilerek bertaraf edilebilir.
Büyük miktarlar lisanslı atık firmalarına verilmelidir.
Ambalaj geri dönüşüm talimatlarına göre imha edilir.</t>
  </si>
  <si>
    <t>Köpük kesici (antifoam)
Özel olarak tavsiye edilmeyen kullanım tanımlanmamış</t>
  </si>
  <si>
    <t>2-methyl-2H-isothiazol-3-one &lt;0,02%
CAS: 2682-20-4
Sınıflandırmalar: Akut toksik, cilt aşındırıcı, göz hasarı, solunum hassaslaştırıcı, sucul toksik (çok düşük oranda içerik)</t>
  </si>
  <si>
    <t>Fiziksel, sağlık ve çevresel zararlar: zararlı olarak sınıflandırılmamış
Etiket ifadesi: EUH208 → 2-methyl-2H-isothiazol-3-one içerir, alerjik reaksiyon yapabilir
PBT/vPvB içermez</t>
  </si>
  <si>
    <t>Yutma: Ağız çalkala, kusmayı durdur, semptomatik tedavi
Cilt: Su ile yıka
Göz: Bol su ile en az 10 dk yıka, lens varsa çıkar
Soluma: Temiz havaya çıkar</t>
  </si>
  <si>
    <t>Yanıcı değil
Söndürücüler: Köpük, CO₂, kuru toz, su sisi
Kaplar ısıtıldığında patlayabilir
Yanma ürünleri: Zararlı gazlar/buharlar</t>
  </si>
  <si>
    <t>Alanı boşalt, havalandır
Küçük döküntü: Su ile seyrelt veya inert malzeme ile absorbe et
Büyük döküntü: Kum/toprak ile emdir, lisanslı bertaraf tesisine gönder
Kanalizasyona doğrudan boşaltma yasak</t>
  </si>
  <si>
    <t>Kapları sıkıca kapalı tut
Serin, havalandırılmış ortamda depola
Uyumsuz maddelerden uzak tut
Depolama zemini sızıntı geçirmez olmalı</t>
  </si>
  <si>
    <t>Havalandırma sağlanmalı
Göz: TS/EN 166 uyumlu gözlük
Eller: TS/EN 374 uyumlu kimyasal dirençli eldiven
Solunum: TS/EN 14387 uyumlu filtreli maske gerekirse
Hijyen: İş bitiminde el yıka, kirli giysileri tekrar kullanmadan önce yıka</t>
  </si>
  <si>
    <t>Görünüm: Berrak sıvı
Renk: Sarı/kehribar
pH: 6.5–7.5
Yoğunluk: ~1.00 g/cm³
Suda çözünür</t>
  </si>
  <si>
    <t>Normal koşullarda stabil
Tehlikeli reaksiyon yok
Yanma halinde zararlı gazlar oluşabilir</t>
  </si>
  <si>
    <t>Akut toksisite: sınıflandırma kriteri karşılanmaz
Cilt/göz tahrişi: düşük risk
Uzun süreli soluma → solunum sistemi hasarı riski
Kanserojen değil (IARC listesinde yok)</t>
  </si>
  <si>
    <t>Kanalizasyona boşaltma yasak
Lisanslı bertaraf tesisinde imha
Kaplar temizlenmeli, geri dönüşüm uygunsa yapılmalı</t>
  </si>
  <si>
    <t>Ağır kir ve cila sökücü
Yalnızca tasarlanan amaç için kullanılmalı</t>
  </si>
  <si>
    <t>2-bütoksietanol (10–20%)
D-glukopiranoz, oligomerler, desil oktil glikozitler (5–10%)
2-aminoetanol (1–5%)
Tetrapotasyum pirofosfat (1–5%)
Sodyum hidroksit (1–5%)
Amonyak, susuz (&lt;1%)
Bakır sülfat pentahidrat (&lt;1%)
Bronopol (&lt;0,02%)
CMIT/MIT karışımı (&lt;0,02%)</t>
  </si>
  <si>
    <t>Sağlık zararları:
H314: Ciddi cilt yanıklarına ve göz hasarına yol açar
H318: Ciddi göz hasarı
Çevresel zararlar:
H412: Sucul ortamda uzun süre kalıcı zararlı etki</t>
  </si>
  <si>
    <t>Soluma: Temiz havaya çıkar, gerekirse oksijen ver
Yutma: Ağız çalkala, su/süt içir, kusmayı durdur
Cilt: Hemen bol su ile en az 15 dk yıka, giysileri çıkar, tıbbi yardım al
Göz: Bol su ile en az 10 dk yıka, lens varsa çıkar</t>
  </si>
  <si>
    <t>Yanıcı değil
Söndürücüler: Köpük, CO₂, kuru toz, su sisi
Kaplar ısıtıldığında patlayabilir
Yanma ürünleri: toksik/aşındırıcı gazlar</t>
  </si>
  <si>
    <t>Koruyucu giysi giy, döküntüye dokunma
Küçük döküntü: topla
Büyük döküntü: inert emici madde ile absorbe et, asitle nötralize et (ısı çıkabilir)
Kanalizasyona boşaltma yasak</t>
  </si>
  <si>
    <t>Kullanım: Koruyucu ekipman olmadan elleçleme yapma
Depolama:
Asitlerden uzak tut
Orijinal kabında, serin ve havalandırılmış ortamda sakla
Depolama sınıfı: Aşındırıcı depolama</t>
  </si>
  <si>
    <t>Mesleki limitler:
2-bütoksietanol: TWA 20 ppm, STEL 50 ppm
2-aminoetanol: TWA 1 ppm, STEL 3 ppm
Sodyum hidroksit: TWA 2 mg/m³
Amonyak: TWA 25 ppm, STEL 35 ppm
KKD:
Göz: TS/EN 166 uyumlu gözlük veya yüz siperliği
Eller: TS/EN 374 uyumlu kimyasal dirençli eldiven
Solunum: TS/EN 14387 uyumlu filtreli maske gerekirse
Giysi: Kimyasal koruyucu kıyafet</t>
  </si>
  <si>
    <t>Görünüm: Şeffaf, akışkan sıvı
Renk: Mor
pH: &gt;13 (aşındırıcı)
Çözünürlük: Suda çözünür</t>
  </si>
  <si>
    <t>Normal koşullarda stabil
Kaçınılması gereken maddeler: Asitler, fenoller, kresoller
Yanma halinde aşındırıcı gazlar oluşabilir</t>
  </si>
  <si>
    <t>Akut toksisite: sınıflandırma kriteri karşılanmaz
ATE oral: ~10.296 mg/kg
ATE dermal: ~8.599 mg/kg
Cilt ve göz: ciddi yanık ve hasar
Kanserojen değil (IARC listesinde yok)</t>
  </si>
  <si>
    <t>Kanalizasyona boşaltma yasak
Lisanslı bertaraf tesisinde imha
Kirlenmiş kaplar ve giysiler etiketlenerek toplanmalı</t>
  </si>
  <si>
    <t>best sıvı gress</t>
  </si>
  <si>
    <t>Belirlenmiş kullanım: Aerosol formunda yağlayıcı gres
Kullanım kısıtlaması: Profesyonel kullanım için</t>
  </si>
  <si>
    <t>Hydrocarbons, C6 (n-hexane, iso-alkanes, cyclics): %27–35 → H225, H315, H304, H336, H361, H373, H411
Lubricating oils (CAS 74869-22-0): %27–32 → H361, H372
Petrol gazları, sıvılaştırılmış (CAS 68476-85-7): %30–40 → H220, H280</t>
  </si>
  <si>
    <t>H226: Alevlenir sıvı ve buhar
H304: Solunum yoluna nüfuzu ve yutulması halinde öldürücü olabilir
H315: Cilt tahrişine yol açar
H336: Rehavete veya baş dönmesine yol açabilir
H361: Üreme sağlığına zarar verebilir
H372: Uzun süreli maruz kalma sonucu organlarda hasara yol açar
H411: Sucul ortamda uzun süre kalıcı toksik etki
H220/H280: Çok kolay alevlenir gaz, basınç altında gaz</t>
  </si>
  <si>
    <t>Soluma: Temiz havaya çıkar, semptom varsa doktora başvur
Yutma: Ağzı çalkala, kusturma yok, bol su içir, doktora başvur
Cilt: Sabun ve su ile yıka, tahriş varsa doktora danış
Göz: Bol su ile yıka, lens varsa çıkar, doktora başvur</t>
  </si>
  <si>
    <t>Söndürücüler: CO₂, kuru kimyasal toz, su spreyi, alkole dayanıklı köpük
Yangında patlama riski: Aerosol kapları ısındığında patlayabilir
Yanma ürünleri: CO₂, CO, kükürt gazları
Solunum cihazı ve tam koruyucu giysi gerekli</t>
  </si>
  <si>
    <t>Ateş kaynaklarını uzaklaştır, havalandırma sağla
Absorban malzeme (kum, silisli toprak) ile topla
Kanalizasyona ve suya karışmasını engelle
Atıkları yetkili tesislerde bertaraf et</t>
  </si>
  <si>
    <t>Kullanım: İyi havalandırma sağla, buhar solumaktan kaçın, ateş kaynaklarından uzak tut
Depolama:
Orijinal ambalajında
Güneş ışığından ve 50 °C üzeri sıcaklıktan uzak
Çocukların erişemeyeceği yerde</t>
  </si>
  <si>
    <t>OEL: n-hexane TLV 20 ppm (72 mg/m³)
KKD:
Eldiven (nitril, EN374)
Emniyet gözlükleri (EN166)
Koruyucu giysi
Solunum cihazı (kötü havalandırmada)</t>
  </si>
  <si>
    <t>Görünüm: Aerosol
Renk: Sarımtırak
Koku: Karakteristik
Parlama noktası: 65 °C
Kaynama noktası: 110 °C
Yoğunluk: 0.82 g/cm³</t>
  </si>
  <si>
    <t>Normal koşullarda stabil
Kaçınılması gereken: Isı &gt;50 °C, oksitleyiciler
Zararlı bozunma ürünleri: CO, CO₂, kükürt gazları</t>
  </si>
  <si>
    <t>Soluma: Solunum yollarında tahriş, öksürük, baş dönmesi
Yutma: Mide mukozasında yanık, nekroz riski
Cilt: Uzun süreli temas alerjik reaksiyon yapabilir
Göz: Tahriş edici</t>
  </si>
  <si>
    <t>Dolu aerosol kutuları özel atık toplayıcıya götürülmeli
Boş kutular geri dönüşüme verilmeli
Kaplar delinmemeli, kesilmemeli, yakılmamalı</t>
  </si>
  <si>
    <t>GBF-228-TEX-LAVABO-ACICI</t>
  </si>
  <si>
    <t>Belirlenmiş kullanım: Tıkanmış lavaboların temizliğinde kullanılır
Kullanım kısıtlaması: Evsel ve profesyonel kullanım için</t>
  </si>
  <si>
    <t>Sodyum Hipoklorit (CAS 7681-52-9): &lt;%5
Potasyum Hidroksit (CAS 1310-58-3): %5–15
Sabun: &lt;%5
Deiyonize Su: %100’e tamamlayıcı</t>
  </si>
  <si>
    <t>H314: Ciddi cilt yanıkları ve göz hasarı
EUH031: Asitlerle temasında toksik gaz çıkarır
Göz Tahrişi 2
Cilt Aşındırıcı 1A</t>
  </si>
  <si>
    <t>Göz: Bol su ile en az 15 dk yıka, doktora başvur
Cilt: Uzun süreli temas halinde bol su ile yıka
Yutma: Ağzı çalkala, bol su iç, doktora başvur
Soluma: Temiz havaya çıkar</t>
  </si>
  <si>
    <t>Söndürücüler: Kuru kimyasal, CO₂, su buharı, alkole dayanıklı köpük
Özel zarar: Yok
Koruyucu ekipman: Yangında uygun koruyucu giysi</t>
  </si>
  <si>
    <t>Göz ve cilt temasını engelle
Çevresel önlem: Özel gereklilik yok
Temizlik: Su ile temizlenebilir</t>
  </si>
  <si>
    <t>Kullanım: Özel önlem gerektirmez
Depolama: Serin ve kuru ortamda, sıkıca kapalı kaplarda</t>
  </si>
  <si>
    <t>KKD:
Eldiven
Gözlük
Koruyucu giysi</t>
  </si>
  <si>
    <t>Görünüm: Şeffaf, kıvamlı
Koku: Kendine has
pH: 13–14
Çözünürlük: Suda çözünür</t>
  </si>
  <si>
    <t>Normal koşullarda stabil
Zararlı reaksiyon yok
Asitlerle temasında toksik gaz çıkışı olabilir</t>
  </si>
  <si>
    <t>Belirgin toksik etki raporlanmamış
Cilt ve gözde aşındırıcı etkiler mevcut</t>
  </si>
  <si>
    <t>Atık ambalajlar mevzuata uygun bertaraf edilmeli</t>
  </si>
  <si>
    <t>marshall yağlı boya msds 2</t>
  </si>
  <si>
    <t>Belirlenmiş kullanım: Tüketici kullanımı için solvent bazlı kaplama (yağlı boya)
Kullanım kısıtlaması: Yalnızca belirtilen amaç için</t>
  </si>
  <si>
    <t>Nafta (petrol), hidrojenle muamele edilmiş ağır (CAS 64742-48-9): %25–50 → H226, H336, H304, EUH066
Nafta (petrol), hidrojenle kükürtü giderilmiş ağır (CAS 64742-82-1): &lt;%10 → H226, H336, H372, H304, H411
Etilbenzen ve ksilen karışımı: ≤3 → H226, H312, H332, H315, H319, H335, H373, H304
Hydrocarbons, C10–C13 (n-alkanes, isoalkanes, cyclics, &lt;2% aromatics): ≤3 → H412, H304
2-bütanonoksim (CAS 96-29-7): &lt;1 → H312, H318, H317, H351
2-etilhekzanoik asit, zirkonyum tuzu (CAS 22464-99-9): ≤1 → H361
Kalsiyum bis(2-etilhekzanoat) (CAS 136-51-6): ≤0.3 → H318, H361d
Neodekanoik asit, kobalt tuzu (CAS 27253-31-2): ≤0.3 → H302, H317, H372, H412</t>
  </si>
  <si>
    <t>H226: Alevlenir sıvı ve buhar
H336: Rehavete veya baş dönmesine yol açabilir
H373: Uzun süreli veya tekrarlı maruz kalma sonucu organlarda hasara yol açar
H412: Sucul ortamda uzun süre kalıcı zararlı etki
EUH066: Tekrarlı maruz kalmalarda ciltte kuruluğa ve çatlaklara neden olabilir
Ek risk: Alerjik reaksiyon riski (2-bütanonoksim, kobalt tuzu)</t>
  </si>
  <si>
    <t>Göz: Bol su ile en az 10 dk yıka, lensleri çıkar, doktora başvur
Soluma: Açık havaya çıkar, semptom varsa doktora başvur
Cilt: Sabunlu su ile yıka, kirli giysileri çıkar, doktora başvur
Yutma: Ağzı çalkala, kusturma yok, doktora başvur</t>
  </si>
  <si>
    <t>Söndürücüler: Kuru kimyasal, CO₂, su spreyi (sis)
Uygun olmayan: Basınçlı su
Yangında zararlı ürünler: CO₂, CO, metal oksitler
Kaplar ısındığında patlama riski var</t>
  </si>
  <si>
    <t>Tutuşturucu kaynakları kapat, havalandırma sağla
Küçük döküntü: Su ile seyrelt, inert malzeme ile topla
Büyük döküntü: Kum, toprak, vermikülit ile absorbe et, uygun konteynere al
Kanalizasyona ve suya karışmasını engelle</t>
  </si>
  <si>
    <t>Kullanım: Yalnızca iyi havalandırmada, ateş kaynaklarından uzak
Depolama: Serin, kuru, güneş ışığından uzak, kilit altında
Uyumsuz maddelerden ayrı tut (oksitleyiciler)</t>
  </si>
  <si>
    <t>OEL:
Etilbenzen/ksilen: TWA 50 ppm, STEL 100 ppm
Zirkonyum bileşikleri: TWA 5 mg/m³
Kobalt bileşikleri: TWA 0.02 mg/m³
KKD:
Eldiven (kimyasallara dayanıklı)
Emniyet gözlükleri
Anti-statik koruyucu giysi
Solunum cihazı (EN140 tip A/P2 filtre)</t>
  </si>
  <si>
    <t>Görünüm: Beyaz sıvı
Koku: Karakteristik
Fiziksel durum: Sıvı
Diğer veriler: Belirtilmemiş</t>
  </si>
  <si>
    <t>Normal koşullarda stabil
Kaçınılması gereken: Isı, alev, kıvılcım, oksitleyiciler
Zararlı bozunma ürünleri: CO₂, CO, metal oksitler</t>
  </si>
  <si>
    <t>Soluma: CNS depresyonu, baş dönmesi, sersemlik
Cilt: Kuruluk, çatlama, tahriş
Yutma: CNS depresyonu
Alerjik reaksiyon riski mevcut (2-bütanonoksim, kobalt tuzu)</t>
  </si>
  <si>
    <t>Atıklar yerel mevzuata uygun bertaraf edilmeli
Boş kaplar tekrar kullanılmamalı</t>
  </si>
  <si>
    <t>marshall yağlı boya msds</t>
  </si>
  <si>
    <t>Belirlenmiş kullanım: İç cephelerde kullanılan su bazlı kaplama
Kullanım kısıtlaması: Yalnızca belirtilen amaç için</t>
  </si>
  <si>
    <t>1-isopropyl-2,2-dimethyltrimethylene diisobutyrate (CAS 6846-50-0): ≤2% → H361d, H412
1,2-benzisothiazol-3(2H)-one (CAS 2634-33-5): &lt;0.05% → H302, H315, H318, H317, H400
Metilisothiazolin (CAS 2682-20-4): &lt;0.01% → H301, H311, H330, H314, H317, H400, H410
Tepkime kütlesi: 5-kloro-2-metil-4-izotiazolin-3-on + 2-metil-2H-izotiazol-3-on (CAS 55965-84-9): &lt;0.0015% → H301, H310, H330, H314, H317, H400, H410</t>
  </si>
  <si>
    <t>H317: Alerjik cilt reaksiyonlarına yol açar
H302/H311/H330: Akut toksisite riskleri (düşük konsantrasyonlarda)
H314: Ciddi cilt aşındırıcı etkiler (bazı bileşenlerde)
H400/H410: Sucul ortamda akut ve kronik toksisite</t>
  </si>
  <si>
    <t>Söndürücüler: Uygun yangın söndürücü (su spreyi, CO₂, kuru kimyasal)
Yangında zararlı ürünler: CO₂, CO, metal oksitler
Kaplar ısındığında patlama riski var</t>
  </si>
  <si>
    <t>Buhar ve buğuyu solumaktan kaçın
Küçük döküntü: Su ile seyrelt, inert malzeme ile topla
Büyük döküntü: Kum, toprak, vermikülit ile absorbe et, uygun konteynere al
Kanalizasyona ve suya karışmasını engelle</t>
  </si>
  <si>
    <t>Kullanım: İyi havalandırmada, kişisel koruyucu ekipmanla
Depolama: Serin, kuru, güneş ışığından uzak, orijinal ambalajında</t>
  </si>
  <si>
    <t>KKD:
Eldiven (kimyasallara dayanıklı)
Emniyet gözlükleri
Koruyucu giysi
Solunum cihazı (havalandırma yetersizse)</t>
  </si>
  <si>
    <t>Görünüm: Sıvı
Renk: Belirtilmemiş
Koku: Belirtilmemiş
Kaynama noktası: 100 °C
Yoğunluk: 1.643 g/cm³
Çözünürlük: Suda kolayca çözünür</t>
  </si>
  <si>
    <t>Normal koşullarda stabil
Zararlı reaksiyon yok
Zararlı bozunma ürünleri: CO₂, CO, metal oksitler</t>
  </si>
  <si>
    <t>Cilt: Alerjik reaksiyon riski
Göz: Tahriş edici olabilir
Soluma/Yutma: Belirgin toksik etki düşük, ancak bazı bileşenlerde akut toksisite mevcut
Aşırı maruz kalma: Tahriş, kızarıklık, alerjik reaksiyon</t>
  </si>
  <si>
    <t>PATEX 2K silo.tips_rn</t>
  </si>
  <si>
    <t>Belirlenmiş kullanım: Polikloropren ve reçine esaslı yapıştırıcı (organik çözücü karışımı içinde)
Kullanım kısıtlaması: Profesyonel kullanım için</t>
  </si>
  <si>
    <t>Heptan (CAS 142-82-5): %30–50 → R11, R38, R65, R67
Butan (CAS 106-97-8): %1–5 → R12
Propan (CAS 74-98-6): %1–5 → R12
N,N,4-Trimetilanilin (CAS 99-97-8): %1–4 → R20/21/22</t>
  </si>
  <si>
    <t>R12: Çok kolay alevlenebilir
R38: Cildi tahriş edicidir
R65: Yutulması halinde akciğerde hasara yol açabilir
R67: Buharları uyuşukluğa ve baş dönmesine neden olabilir
R20/21/22: Solunduğunda, cilt ile temasında ve yutulduğunda zararlıdır</t>
  </si>
  <si>
    <t>Soluma: Temiz havaya çıkar, semptom varsa doktora başvur
Cilt: Kirli giysileri çıkar, sabunlu su ile yıka, tahriş varsa doktora danış
Göz: Bol su ile en az 15 dk yıka, doktora başvur
Yutma: Ağzı çalkala, kusturma yok, doktora başvur</t>
  </si>
  <si>
    <t>Söndürücüler: CO₂, kuru kimyasal toz, köpük, su spreyi
Uygun olmayan: Su jeti
Yangında zararlı ürünler: Buharlar havadan ağırdır, uzak mesafede bile tutuşabilir
Solunum cihazı ve tam koruyucu giysi gerekli</t>
  </si>
  <si>
    <t>Tutuşturucu kaynaklardan uzak tut
Havalandırma sağla
Kanalizasyona ve suya karışmasını engelle
Absorban malzeme ile topla, uygun şekilde bertaraf et</t>
  </si>
  <si>
    <t>Kullanım: İyi havalandırmada, ateş kaynaklarından uzak, KKD ile
Depolama: Serin, kuru, güneş ışığından uzak, 15–26 °C arası, basınçlı kapları 50 °C üstüne çıkarmayın</t>
  </si>
  <si>
    <t>KKD:
Eldiven (butil/nitril kauçuk)
Emniyet gözlükleri
Koruyucu giysi
Solunum cihazı (havalandırma yetersizse)</t>
  </si>
  <si>
    <t>Görünüm: Basınçlı kap içinde sıvı
Renk: Renksiz
Koku: Karakteristik
Yoğunluk: 1.06–1.08 g/cm³
Patlama limitleri: %1.1–11.5 (Vol)</t>
  </si>
  <si>
    <t>Normal koşullarda stabil
Zararlı bozunma ürünleri yok
Kaçınılması gereken: Isı, alev, kıvılcım</t>
  </si>
  <si>
    <t>Soluma: Mukoza tahrişi, öksürük, baş ağrısı, yüksek konsantrasyonda boğulma riski
Cilt: Uzun süreli temas alerjik reaksiyon yapabilir
Göz: Tahriş edici
Yutma: Ağız, boğaz ve mideyi tahriş eder</t>
  </si>
  <si>
    <t>Atıklar absorban malzeme ile toplanmalı
Yerel mevzuata uygun şekilde yakılarak veya bertaraf edilerek imha edilmeli</t>
  </si>
  <si>
    <t>polisan antibakteriyel iç cephe boyası</t>
  </si>
  <si>
    <t>Belirlenmiş kullanım: Su bazlı, akrilik emülsiyon reçine esaslı, silikon katkılı, yarı mat, silinebilir dekoratif son kat iç cephe boyası
Kullanım kısıtlaması: Yalnızca iç cephe dekoratif kullanım için</t>
  </si>
  <si>
    <t>Etandiol (CAS 107-21-1): %1–5 → H302 (Yutulması halinde zararlı), H373 (Uzun süreli maruz kalma sonucu organ hasarı)
İzotiazolin türevleri (5-kloro-2-metil-4-izotiazolin-3-on + 2-metil-2H-izotiazol-3-on, 3:1): düşük konsantrasyon → EUH208 (Alerjik reaksiyon riski)</t>
  </si>
  <si>
    <t>EUH208: İzotiazolin türevleri içerir, alerjik reaksiyona yol açabilir
H302: Yutulması halinde zararlıdır
H373: Uzun süreli veya tekrarlı maruz kalma sonucu organlarda hasara yol açabilir
Ürün genel olarak yanıcı değildir ve çevre için tehlikeli olarak sınıflandırılmamıştır</t>
  </si>
  <si>
    <t>Göz: Bol su ile yıka, tahriş devam ederse doktora başvur
Cilt: Sabun ve su ile yıka, tahriş varsa doktora danış
Yutma: Hemen tıbbi yardım al
Soluma: Belirgin risk yok</t>
  </si>
  <si>
    <t>Ürün yanıcı değildir
Olağandışı yangın/patlama riski yok
Özel ekipman gerekmez</t>
  </si>
  <si>
    <t>Göz ve cilt temasından kaçın
Kanalizasyona ve suya karışmasını engelle
Döküntüleri hemen temizle, güvenli şekilde bertaraf et</t>
  </si>
  <si>
    <t>Kullanım: Yeterli havalandırma sağla
Depolama: Orijinal kabında, sıkıca kapalı, kuru ortamda, 5–35 °C arasında</t>
  </si>
  <si>
    <t>KKD:
Koruyucu gözlük
Eldiven
Koruyucu giysi
Hijyen: Yemek, içmek, sigara içmek yasak; elleri düzenli yıka</t>
  </si>
  <si>
    <t>Görünüm: Sıvı
Renk: Polisan renk kataloğuna uygun
Koku: Karakteristik
pH: 8–9
Yoğunluk: 1.35–1.39 g/cm³
Viskozite: 9000–11000 cP
Parlama noktası: İlgili değil</t>
  </si>
  <si>
    <t>Normal koşullarda stabil
Donmadan korunmalı
Zararlı bozunma ürünleri yok</t>
  </si>
  <si>
    <t>Genel olarak toksik değil
Yutma: Rahatsızlık verebilir
Cilt: Belirgin tehlike yok, ancak alerjik reaksiyon riski mevcut
Göz: Geçici tahriş yapabilir</t>
  </si>
  <si>
    <t>Atıklar kontrollü şekilde bertaraf edilmeli
Kaplar ve ürün kalıntıları yerel yönetmeliklere uygun şekilde imha edilmeli</t>
  </si>
  <si>
    <t>polisan iç cephe boyası</t>
  </si>
  <si>
    <t>Belirlenmiş kullanım: Alkid esaslı mat parke cilası
Kullanım kısıtlaması: Profesyonel kullanım için</t>
  </si>
  <si>
    <t>Alifatik solvent içinde uzun yağlı alkid solüsyonu: %47.5–52.5 → R10, R65, R51/53
Dimetil benzen (Xylene): %1.2–1.7 → R10, R20/21, R38
Kurşun oktoat (%24): %0.17–0.23 → R10, R20/22, R33, R50/53, R61/62
Metiletilketoksim (CAS 96-29-7): %0.34–0.46 → R21, R40, R41, R43</t>
  </si>
  <si>
    <t>Xn: Zararlı
N: Çevre için tehlikeli
R10: Alevlenebilir
R20/21/22: Solunduğunda, cilt ile temasında ve yutulduğunda zararlı
R51/53: Sudaki organizmalar için toksik, uzun süreli olumsuz etkilere neden olabilir
R65: Yutulması halinde akciğerde hasara yol açabilir</t>
  </si>
  <si>
    <t>Soluma: Temiz havaya çıkar, gerekirse oksijen ver, doktora başvur
Cilt: Kirli giysileri çıkar, sabunlu su ile yıka, çözücü kullanma
Göz: Bol su ile en az 10 dk yıka, doktora başvur
Yutma: Kusturma yok, rahat pozisyonda tut, doktora başvur</t>
  </si>
  <si>
    <t>Söndürücüler: Köpük, CO₂, kuru kimyasal toz, su sisi
Uygun olmayan: Su jeti
Yangında zararlı ürünler: Yoğun siyah duman, CO, CO₂, NOx
İtfaiyeciler: Pozitif basınçlı solunum cihazı kullanmalı</t>
  </si>
  <si>
    <t>Tutuşturucu kaynakları uzaklaştır, havalandırma sağla
Absorban malzeme (kum, emici bant) ile topla
Kanalizasyona ve suya karışmasını engelle
Deterjanla temizle, çözücü kullanma</t>
  </si>
  <si>
    <t>Kullanım: Exproof cihazlarla, antistatik ekipmanla, havalandırmalı ortamda
Depolama: Serin, kuru, 5–35 °C arası, oksitleyicilerden ve asit/bazlardan uzak
Uygun ambalaj: Çelik, PE, PP, teflon</t>
  </si>
  <si>
    <t>OEL:
White spirit: TWA 100 ppm (525 mg/m³)
Dimetil benzen: TWA 100 ppm (434 mg/m³), STEL 150 ppm (655 mg/m³)
KKD:
Solunum: Pozitif basınçlı solunum cihazı
Eldiven: Nitril, neopren, lateks
Gözlük: Antifog koruyucu gözlük
Giysi: Antistatik koruyucu giysi</t>
  </si>
  <si>
    <t>Görünüm: Sıvı, mat
Koku: Karakteristik
Yoğunluk: 0.92–0.94 g/cm³
Viskozite: 70–90 sn (ASTM D562)
Parlama noktası: 38 °C
Alt patlama limiti: %0.6
Üst patlama limiti: %8.0</t>
  </si>
  <si>
    <t>Normal koşullarda stabil
Kaçınılması gereken: Yüksek sıcaklık, oksitleyiciler, güçlü asit ve bazlar
Zararlı bozunma ürünleri: CO, CO₂, Nox</t>
  </si>
  <si>
    <t>Soluma: Baş ağrısı, baş dönmesi, yorgunluk, bilinç kaybı
Cilt: Tahriş, uzun süreli temas dermatitis yapabilir
Göz: Tahriş ve tedavi edilebilir hasar
Yutma: Zararlı, aspirasyon riski</t>
  </si>
  <si>
    <t>Atıklar ve kaplar tehlikeli atık olarak bertaraf edilmeli
Kanalizasyona boşaltılmamalı</t>
  </si>
  <si>
    <t>polisan su bazlı iç cephe boyası</t>
  </si>
  <si>
    <t>Belirlenmiş kullanım: Su bazlı, akrilik emülsiyon reçine esaslı, mat görünümlü dekoratif son kat iç cephe boyası
Kullanım kısıtlaması: Yalnızca iç cephe dekoratif kullanım için</t>
  </si>
  <si>
    <t>Etandiol (CAS 107-21-1): %1–5 → H302 (Yutulması halinde zararlı), H373 (Uzun süreli maruz kalma sonucu organ hasarı)
İzotiazolin türevleri (5-kloro-2-metil-4-izotiazolin-3-on + 2-metil-2H-izotiazol-3-on, 3:1, CAS 55965-84-9): &lt;%0.0015 → H301, H310, H330, H314, H317, H318, H400, H410</t>
  </si>
  <si>
    <t>EUH208: İzotiazolin türevleri içerir, alerjik reaksiyona yol açabilir
H302: Yutulması halinde zararlıdır
H373: Uzun süreli veya tekrarlı maruz kalma sonucu organlarda hasara yol açabilir
H317: Alerjik cilt reaksiyonlarına yol açabilir
H314/H318: Ciddi cilt ve göz hasarı riski (yüksek konsantrasyonda)
H400/H410: Sucul ortamda çok toksik, uzun süreli etkiler</t>
  </si>
  <si>
    <t>Göz: Bol su ile en az 15 dk yıka, lensleri çıkar, doktora başvur
Cilt: Bol su ile yıka, giysileri çıkar, tahriş varsa doktora danış
Soluma: Açık havaya çıkar, semptom varsa doktora başvur
Yutma: Ağzı çalkala, bol su içir, doktora başvur</t>
  </si>
  <si>
    <t>Göz ve cilt temasından kaçın
Kanalizasyona ve suya karışmasını engelle
Absorban malzeme ile topla, bol su ile temizle</t>
  </si>
  <si>
    <t>Kullanım: Etiketi okuyarak, KKD ile kullan
Depolama: 5–35 °C arası, orijinal ambalajında, güneş ışığından ve donmadan koru
Çocukların erişemeyeceği yerde sakla</t>
  </si>
  <si>
    <t>Görünüm: Sıvı
Renk: Beyaz ve katalog renkleri
Koku: Karakteristik
pH: 8–9
Yoğunluk: 1.34–1.38 g/cm³
Viskozite: 9000–11000 cP
Yanıcılık: Yanıcı değil</t>
  </si>
  <si>
    <t>Normal koşullarda stabil
Zararlı reaksiyon yok
Zararlı bozunma ürünleri yok</t>
  </si>
  <si>
    <t>Etandiol: Yutulması halinde zararlı, uzun süreli maruz kalmada organ hasarı
İzotiazolin türevleri: Akut toksisite, cilt ve göz hasarı, alerjik reaksiyon riski
Genel: Yutulması rahatsızlık verebilir, gözde tahriş yapabilir</t>
  </si>
  <si>
    <t>Atıklar kontrollü şekilde bertaraf edilmeli
Atık oluşumu en aza indirilmeli</t>
  </si>
  <si>
    <t>sista beyaz silikon</t>
  </si>
  <si>
    <t>Belirlenmiş kullanım: Poliüretan köpük (PU köpük)
Kullanım kısıtlaması: Profesyonel kullanım için</t>
  </si>
  <si>
    <t>Difenilmetandiizosiyanat izomerleri ve homologları (CAS 9016-87-9): %25–35 → R20, R36/37/38, R42/43
Propan/İzobütan (CAS 74-98-6 / 75-28-5): %5–15 → R12
Dimetileter (CAS 115-10-6): %2–10 → R12
Tri(2-klorizopropil)fosfat (CAS 13674-84-5): %5–20 → R22, R52/53</t>
  </si>
  <si>
    <t>R12: Çok kolay alevlenebilir
R20: Solunması halinde zararlı
R22: Yutulması halinde zararlı
R36/37/38: Göz, solunum sistemi ve cilt tahrişi
R42/43: Solunduğunda veya cilt ile temasında alerji yapabilir</t>
  </si>
  <si>
    <t>Soluma: Açık havaya çıkar, semptom varsa doktora başvur
Cilt: Kürleşmemiş köpüğü bez veya asetonla temizle, tahriş varsa doktora danış
Göz: Bol su ile en az 15 dk yıka, doktora başvur
Yutma: Kusturma yok, su veya süt içir, doktora başvur</t>
  </si>
  <si>
    <t>Söndürücüler: CO₂, kuru kimyasal toz, köpük, su spreyi
Yangında zararlı ürünler: Buharlar havadan ağırdır, uzak mesafede bile tutuşabilir
İtfaiyeciler: Solunum cihazı ve kimyasallara dayanıklı koruyucu giysi kullanmalı</t>
  </si>
  <si>
    <t>Koruyucu eldiven, gözlük, iş giysisi kullan
Havalandırma sağla, ateş kaynaklarını uzaklaştır
Kürleşmemiş köpüğü hemen temizle, kürleşmiş köpük mekanik olarak uzaklaştırılır
Kanalizasyona ve suya karışmasını engelle</t>
  </si>
  <si>
    <t>Kullanım: İyi havalandırmada, yanıcı sıvılar yönetmeliğine uygun şekilde
Depolama: 5–35 °C arası, oksitleyicilerden ve metallerden uzak, basınçlı kaplarda
Kapları 50 °C üzerine çıkarmayın, dondan koruyun</t>
  </si>
  <si>
    <t>KKD:
Solunum maskesi (havalandırma yetersizse)
Eldiven
Koruyucu gözlük
Uzun süreli maruziyette taze hava maskesi önerilir</t>
  </si>
  <si>
    <t>Görünüm: Basınçlı kaplarda sıvı
Renk: Koyu kahverengi
Koku: Hafif alkali
Yoğunluk: ~1.2 kg/l
Parlama noktası: &lt; -20 °C (propan/bütan nedeniyle)
Çözünürlük: Suda çözünmez
Kendiliğinden tutuşma: &gt;400 °C</t>
  </si>
  <si>
    <t>Normal koşullarda stabil
Kaçınılması gereken: 50 °C üzeri sıcaklık, su içerikli aktif hidrojenli maddeler
Zararlı bozunma ürünleri: Bilinen yok</t>
  </si>
  <si>
    <t>Soluma: Tahriş, öksürük, baş ağrısı, yüksek konsantrasyonda boğulma riski
Cilt: Uzun süreli temas alerjik reaksiyon yapabilir
Göz: Tahriş edici
Yutma: Zararlı, mukozada tahriş yapar
Kürleşmiş köpük: Zehirli veya tahriş edici değildir</t>
  </si>
  <si>
    <t>Dolu kaplar tehlikeli atık bertaraf tesislerine gönderilmeli
Kürleşmiş köpük plastik atık gibi bertaraf edilmeli</t>
  </si>
  <si>
    <t>sista şeffaf silikon</t>
  </si>
  <si>
    <t>Belirlenmiş kullanım: Endüstriyel kullanım için şeffaf silikon
Kullanım kısıtlaması: Belirtilmemiş</t>
  </si>
  <si>
    <t>Polidimetilsiloksan (CAS 63148-62-9): &gt;%99 → Sınıflandırılmamış (zararsız)</t>
  </si>
  <si>
    <t>Ürün SEA (28848/2013) yönetmeliğine göre zararlı olarak sınıflandırılmamıştır
Etiket unsurları: Zararlılık işareti, uyarı kelimesi, zararlılık ifadeleri yok</t>
  </si>
  <si>
    <t>Soluma: Açık havaya çıkar, gerekirse suni solunum uygula
Cilt: Bol su ile yıka, tahriş devam ederse doktora danış
Göz: Bol su ile yıka, tahriş devam ederse doktora danış
Yutma: Doktor tavsiyesi olmadan kusturma yok, tıbbi yardım al</t>
  </si>
  <si>
    <t>Söndürücüler: CO₂, köpük, toz, su buharı
Yanma ürünleri: Zararlı gazlar oluşabilir, solumaktan kaçınılmalı
İtfaiyeciler: Tam koruyucu ekipman ve solunum cihazı kullanmalı</t>
  </si>
  <si>
    <t>Solunum koruyucu ekipman kullan
Kanalizasyona ve suya karışmasını engelle
Toprak veya inert malzeme ile sınırlandır, kalıntıyı su ile temizle</t>
  </si>
  <si>
    <t>Kullanım: Çalışma sırasında yemek, içmek, sigara yasak
Depolama: Etiketli kaplarda, oksidanlardan uzak, uygun koşullarda</t>
  </si>
  <si>
    <t>Maruz kalma limiti yok
KKD:
Gözlük (sızdırmaz koruyucu)
Eldiven ve giysi genelde gerekli değil
Solunum koruması normal şartlarda gerekli değil</t>
  </si>
  <si>
    <t>Görünüm: Sıvı
Renk: Şeffaf
Koku: Kokusuz
Yoğunluk: 0.96–1.0 g/cm³ (20 °C)
Çözünürlük: Organik solventlerde çözünür
Yanıcılık: Belirtilmemiş, patlayıcı özellik yok</t>
  </si>
  <si>
    <t>Normal koşullarda stabil
Kaçınılması gereken: Kuvvetli oksidanlar
Zararlı bozunma ürünleri: Bilgi yok</t>
  </si>
  <si>
    <t>LD50 oral: &gt;5000 mg/kg
LD50 dermal: &gt;2000 mg/kg
Akut toksisite, cilt ve göz tahrişi, mutajenite, kanserojenite, üreme toksisitesi: Sınıflandırılmamış</t>
  </si>
  <si>
    <t>Tekrar kullanılabilir
Kalıntılar tehlikeli olmayan özel atık olarak kabul edilir
Ambalajlar geri kazanım veya bertaraf için gönderilmeli</t>
  </si>
  <si>
    <t>tablet LAVABO-GIDER-ACICI-MSDS</t>
  </si>
  <si>
    <t>Belirlenmiş kullanım: Tıkanan lavabo ve giderleri açmak için kullanılan alkali kimyasal
Kullanım kısıtlaması: Evsel ve profesyonel kullanım için</t>
  </si>
  <si>
    <t>Sodyum Hidroksit (CAS 1310-73-2, EC 215-185-5): %25–45 → H314 (Ciddi cilt yanıkları ve göz hasarı)</t>
  </si>
  <si>
    <t>H314: Ciddi cilt yanıklarına ve göz hasarına yol açar
Sinyal kelime: Tehlike
Ek risk: Soluma ve yutma halinde zararlı etkiler</t>
  </si>
  <si>
    <t>Soluma: Açık havaya çıkar, gerekirse suni solunum uygula, doktora başvur
Cilt: Kirli giysileri çıkar, bol suyla yıka, semptom varsa doktora başvur
Göz: Bol su ile en az 15 dk yıka, lensleri çıkar, doktora başvur
Yutma: Kusturma yok, ağzı çalkala, doktora başvur</t>
  </si>
  <si>
    <t>Ürün yanıcı değildir
Söndürücüler: Köpük, CO₂, kuru toz, su sisi
Uygun olmayan: Basınçlı su jeti
Yangında zararlı ürünler: CO₂ oluşabilir</t>
  </si>
  <si>
    <t>Tehlikeli bölgeyi izole et (en az 50 m)
Koruyucu giysi, gözlük, eldiven kullan
Kanalizasyona ve suya karışmasını engelle
Döküntüleri mekanik olarak topla, bol suyla yıka</t>
  </si>
  <si>
    <t>Kullanım: Buhar ve sprey solumaktan kaçın, KKD kullan, hijyen kurallarına uy
Depolama: Serin, kuru, iyi havalandırılmış ortamda, orijinal ambalajında, asit ve oksitleyicilerden uzak</t>
  </si>
  <si>
    <t>KKD:
Gözlük veya yüz siperi
Neoprin, nitril, PVC eldiven
Koruyucu giysi
Hijyen: Eller düzenli yıkanmalı, kirli giysiler ayrı tutulmalı</t>
  </si>
  <si>
    <t>Görünüm: Akışkan sıvı
Renk: Açık sarı
Koku: Kokusuz
pH: 13–14
Yoğunluk: 1.05 g/ml
Çözünürlük: Suda çözünür
Yanıcılık: Yanıcı değil</t>
  </si>
  <si>
    <t>Normal koşullarda stabil
Kaçınılması gereken: Kuvvetli asitler, alkoller, yüksek ısı
Zararlı bozunma ürünleri: Yok</t>
  </si>
  <si>
    <t>Soluma: Solunum yollarında tahriş, bronş ve akciğer hasarı
Yutma: Mukoza zarlarında yanık, mide ve yemek borusunda hasar
Cilt: Yanık ve aşındırıcı etki
Göz: Ciddi yanık ve hasar</t>
  </si>
  <si>
    <t>Atıklar yerel yönetmeliklere uygun bertaraf edilmeli
Kanalizasyona ve suya karışması engellenmeli
Ambalajlar tehlikeli atık olarak bertaraf edilmeli</t>
  </si>
  <si>
    <t>TR_079_CLP_2-Akcali-Sprey-Sentetik-Boya</t>
  </si>
  <si>
    <t>Belirlenmiş kullanım: Dekoratif amaçlı, solvent bazlı sprey boya
Kullanım kısıtlaması: Yalnızca belirtilen yüzeylerde, iyi havalandırma altında kullanılmalı</t>
  </si>
  <si>
    <t>Organik solventler (ör. toluen, ksilen, asetatlar)
Pigmentler (renk verici maddeler)
Propellant gazlar (propan, bütan, dimetileter)</t>
  </si>
  <si>
    <t>H222: Çok kolay alevlenir aerosol
H229: Basınçlı kap, ısıtıldığında patlayabilir
H315/H319: Cilt ve göz tahrişi
H336: Baş dönmesi veya uyku hali yapabilir
H412: Sucul ortamda zararlı, uzun süreli etkiler</t>
  </si>
  <si>
    <t>Soluma: Açık havaya çıkar, semptom varsa doktora başvur
Cilt: Sabunlu su ile yıka, tahriş varsa doktora danış
Göz: Bol su ile en az 15 dk yıka, doktora başvur
Yutma:</t>
  </si>
  <si>
    <t>Söndürücüler: Köpük, CO₂, kuru kimyasal toz
Uygun olmayan: Basınçlı su jeti
Kaplar ısıtıldığında patlama riski taşır</t>
  </si>
  <si>
    <t>Ateş kaynaklarını uzaklaştır, havalandırma sağla
Absorban malzeme ile topla
Kanalizasyona ve suya karışmasını engelle</t>
  </si>
  <si>
    <t>Kullanım: İyi havalandırmada, ateş kaynaklarından uzak
Depolama: Serin, kuru, güneş ışığından uzak, 50 °C altında</t>
  </si>
  <si>
    <t>KKD:
Solunum maskesi (havalandırma yetersizse)
Eldiven
Koruyucu gözlük
Koruyucu giysi</t>
  </si>
  <si>
    <t>Görünüm: Aerosol kutusunda sıvı boya
Renk: Ürün çeşidine göre değişir
Koku: Solvent kokusu
Yoğunluk: ~0.8–1.0 g/cm³
Parlama noktası: &lt;0 °C (propellant gazlardan dolayı)</t>
  </si>
  <si>
    <t>Normal koşullarda stabil
Kaçınılması gereken: Isı, alev, oksitleyiciler
Zararlı bozunma ürünleri: CO, CO₂</t>
  </si>
  <si>
    <t>Soluma: Baş dönmesi, uyku hali, solunum tahrişi
Cilt: Tahriş, kuruluk
Göz: Tahriş
Yutma: Zararlı, aspirasyon riski</t>
  </si>
  <si>
    <t>Atıklar tehlikeli atık olarak bertaraf edilmeli
Boş kutular delinmemeli, yakılmamalı</t>
  </si>
  <si>
    <t>wd-40 msds 1</t>
  </si>
  <si>
    <t>Belirlenmiş kullanım: Korozyona karşı koruma, yağlama maddesi
Kullanım kısıtlaması: Belirtilmemiş</t>
  </si>
  <si>
    <t>Hidrokarbonlar (C9–C11, n-alkanlar, isoalkanlar, sikloalkanlar, &lt;%2 aromatikler): %60–80 → H226, H336, H304, EUH066
Karbon dioksit (CAS 124-38-9): %1–3 → propellant gaz
Diğer katkılar: Madeni yağ sisleri, parafin mumları (düşük konsantrasyonlarda)</t>
  </si>
  <si>
    <t>H222: Çok kolay alevlenir aerosol
H229: Basınçlı kap, ısıtıldığında patlayabilir
H304: Solunum yoluna nüfuzu ve yutulması halinde öldürücü olabilir (aspirasyon riski)
H336: Rehavete veya baş dönmesine yol açabilir
EUH066: Tekrarlı maruz kalmalarda ciltte kuruluğa ve çatlaklara neden olabilir</t>
  </si>
  <si>
    <t>Soluma: Açık havaya çıkar, solunum durursa cihaz solunumu uygula
Cilt: Kirli giysileri çıkar, sabunlu su ile yıka, tahriş varsa doktora danış
Göz: Bol su ile yıka, lensleri çıkar, doktora başvur
Yutma: Ağzı çalkala, kusturma yok, doktora başvur (aspirasyon riski)</t>
  </si>
  <si>
    <t>Söndürücüler: Köpük, CO₂, kuru kimyasal toz, su spreyi
Uygun olmayan: Basınçlı su jeti
Yangında zararlı ürünler: CO, CO₂
Kaplar ısıtıldığında patlama riski taşır</t>
  </si>
  <si>
    <t>Havalandırma sağla, ateş kaynaklarını uzaklaştır
Absorban malzeme (kum, silisli toprak) ile topla
Kanalizasyona ve suya karışmasını engelle</t>
  </si>
  <si>
    <t>Kullanım: İyi havalandırmada, ateş kaynaklarından uzak, elektrostatik yüklemeye karşı önlem al
Depolama: 50 °C üzeri sıcaklıktan ve güneş ışığından koru, kuru ve serin ortamda sakla
Kaplar basınçlıdır, delme veya yakma yasaktır</t>
  </si>
  <si>
    <t>OEL: Hidrokarbonlar için TWA 1200 mg/m³
KKD:
Gözlük (EN 166)
Nitril eldiven (EN ISO 374)
Koruyucu iş elbisesi
Solunum maskesi (gerekirse, filtre A P3)</t>
  </si>
  <si>
    <t>Görünüm: Aerosol (etken madde sıvı)
Renk: Açık kahverengi
Koku: Karakteristik
Erime noktası: &lt;-66 °C
Kaynama noktası: 176 °C
Parlama noktası: 47 °C
Alt patlama limiti: %0.6
Üst patlama limiti: %8.0
Yoğunluk: 0.817 g/ml
Buhar basıncı: 7.2 bar (20 °C), 9.4 bar (50 °C)
Suda çözünürlük: Çözünmez</t>
  </si>
  <si>
    <t>Soluma: Baş ağrısı, bulantı, baş dönmesi, solunum tahrişi, CNS etkileri
Cilt: Kuruluk, çatlaklar, uzun süreli temas dermatitis yapabilir
Göz: Tahriş edici
Yutma: Aspirasyon riski, bulantı, kusma, diyare</t>
  </si>
  <si>
    <t>Atıklar onaylı bertaraf tesislerinde imha edilmeli
Boş kaplar delinmemeli, yakılmamalı</t>
  </si>
  <si>
    <t>wd-40 msds 2</t>
  </si>
  <si>
    <t>Belirlenmiş kullanım: Korozyona karşı koruma, yağlama
Kullanım kısıtlaması: Belirtilmemiş</t>
  </si>
  <si>
    <t>wd-40 msds 3</t>
  </si>
  <si>
    <t>prodan</t>
  </si>
  <si>
    <t>Araştırma ve geliştirme (Ar-Ge) amaçlı kullanılır
Laboratuvar kimyasalıdır
Tıbbi veya evsel kullanım için uygun değildir</t>
  </si>
  <si>
    <t>PRODAN (saf madde)
Kimyasal formül: C₁₅H₁₇NO
Molekül ağırlığı: 227.3 g/mol</t>
  </si>
  <si>
    <t>SDS’de tehlike sınıflandırması belirtilmemiş
GHS etiketleme bilgisi yok
Genel kimyasal riskler (toz, temas) dikkate alınmalıdır</t>
  </si>
  <si>
    <t>Soluma:
Temiz havaya çıkar, gerekirse oksijen verilir.
Cilt Teması:
Kirli kıyafet çıkarılır, bol su ve sabunla yıkanır.
Göz Teması:
En az 15 dakika su ile yıkanır, doktora gidilir.
Yutma:
Ağız çalkalanır, kusturulmaz, hemen doktora başvurulur.</t>
  </si>
  <si>
    <t>Kuru kimyevi toz
Karbondioksit (CO₂)
Alkol dirençli köpük
İtfaiyeciler:
Tüplü solunum cihazı kullanmalı</t>
  </si>
  <si>
    <t>Toz oluşumu engellenir
Buhar/gaz solunmaz
Eldiven ve KKD kullanılır
Tutuşturucu kaynaklar uzaklaştırılır
Dökülen madde kapalı kapta toplanır</t>
  </si>
  <si>
    <t>Kullanım:
İyi havalandırılan ortamda çalış
Cilt ve göz temasından kaçın
Toz oluşumunu önle
Depolama:
Serin, kuru ve havalandırılan yerde
Kap sıkıca kapalı tutulur
Gıdalardan uzak saklanır</t>
  </si>
  <si>
    <t>Koruyucu gözlük (EN166)
Kimyasala dayanıklı eldiven
Koruyucu kıyafet
Gerekirse tam yüz maskesi
İyi havalandırma zorunlu</t>
  </si>
  <si>
    <t>Fiziksel hali: Katı
Renk: Açık sarı – sarı
Erime noktası: 275 °C
Kaynama noktası: 80 °C (düşük basınçta)
Parlama noktası: 90 °C
Yoğunluk: 1.085 g/cm³
Çözünürlük: DMF’de çözünür</t>
  </si>
  <si>
    <t>Veri bulunmamaktadır
Normal koşullarda stabil kabul edilir
Tehlikeli reaksiyon bilgisi yok</t>
  </si>
  <si>
    <t>Akut toksisite verisi yok
Tahriş, hassasiyet, kanserojenlik verisi yok
Genel laboratuvar kimyasalı riski dikkate alınmalı</t>
  </si>
  <si>
    <t>Lisanslı kimyasal bertaraf tesisine gönderilir
Kontrollü yakma yapılabilir
Kanalizasyona verilmez
Ambalaj uygun şekilde temizlenip geri dönüştürülebilir</t>
  </si>
  <si>
    <t>wax.la_looks_styling_gel_msds</t>
  </si>
  <si>
    <t>Laboratuvar reaktifi olarak kullanılır
Özellikle ELISA ve biyokimyasal testlerde substrat
Sadece profesyonel ve araştırma amaçlı kullanım</t>
  </si>
  <si>
    <t>3,3',5,5'-Tetrametilbenzidin (TMB)
Saf madde veya çözelti formunda bulunabilir</t>
  </si>
  <si>
    <t>Zararlı yutulursa toksik etki gösterebilir
Cilt ve göz tahrişine neden olabilir
Uzun süreli maruziyette sağlık riski oluşturabilir
Sınıflandırma (genel SDS bilgisi):
Acute Tox. 4
Eye Irrit. 2</t>
  </si>
  <si>
    <t>Soluma:
Temiz havaya çıkar, rahat nefes alması sağlanır.
Cilt Teması:
Bol su ve sabunla yıkanır.
Göz Teması:
En az 15 dakika bol su ile yıkanır, doktora başvurulur.
Yutma:
Ağız çalkalanır, kusturma yapılmaz, acil tıbbi yardım alınır.</t>
  </si>
  <si>
    <t>Kuru kimyevi toz
CO₂
Köpük
Yangında:
Zararlı gazlar (CO, NOx) oluşabilir
İtfaiyeciler SCBA kullanmalıdır</t>
  </si>
  <si>
    <t>Toz oluşumu engellenir
Eldiven ve gözlük kullanılır
Dökülen madde dikkatlice toplanır
Kanalizasyona verilmez</t>
  </si>
  <si>
    <t>Kullanım:
İyi havalandırılan ortamda
Cilt ve göz temasından kaçınılır
Toz oluşumu önlenir
Depolama:
Serin ve kuru yerde
Işıktan korunarak
Kapalı kapta saklanır</t>
  </si>
  <si>
    <t>Koruyucu gözlük
Kimyasala dayanıklı eldiven
Laboratuvar önlüğü
Toz oluşursa maske</t>
  </si>
  <si>
    <t>Fiziksel hali: Katı
Renk: Açık sarı / beyaz
Koku: Hafif
Suda çözünürlük: Düşük
Organik çözücülerde çözünür</t>
  </si>
  <si>
    <t>Normal koşullarda stabil
Işığa duyarlıdır (bozulabilir)
Güçlü oksitleyicilerle reaksiyon verebilir</t>
  </si>
  <si>
    <t>Yutulması zararlıdır
Göz ve cilt tahrişi yapar
Uzun süreli maruziyet sağlık riski oluşturabilir</t>
  </si>
  <si>
    <t>Lisanslı kimyasal atık olarak bertaraf edilir
Kanalizasyona verilmez
Kontrollü yakma yöntemi uygulanabilir</t>
  </si>
  <si>
    <t>saç spray.INOX-MX3-Aerosol-Feb-2022</t>
  </si>
  <si>
    <t>Laboratuvar tampon çözeltisi olarak kullanılır
Hücre kültürü, biyokimya ve moleküler biyoloji çalışmalarında kullanılır
pH dengeleme ve yıkama çözeltilerinde kullanılır</t>
  </si>
  <si>
    <t>Sodyum klorür (NaCl)
Potasyum klorür (KCl)
Disodyum fosfat (Na₂HPO₄)
Potasyum dihidrojen fosfat (KH₂PO₄)
Su bazlı çözelti</t>
  </si>
  <si>
    <t>GHS’ye göre tehlikeli olarak sınıflandırılmamıştır
İnsan sağlığı açısından düşük risk
Kimyasal olarak inert sayılabilir</t>
  </si>
  <si>
    <t>Soluma: Temiz havaya çıkarılır.
Cilt Teması: Su ile yıkanır.
Göz Teması: Bol su ile yıkanır.
Yutma: Ağız çalkalanır, genelde zararsızdır ancak gerekirse doktora başvurulur.</t>
  </si>
  <si>
    <t>Yanıcı değildir
Yangın söndürmede çevreye uygun söndürücüler kullanılabilir
Özel önlem gerektirmez</t>
  </si>
  <si>
    <t>Kaygan zemin oluşturabilir
Emici malzeme ile temizlenir
Kanalizasyona kontrollü verilebilir</t>
  </si>
  <si>
    <t>Kullanım:
Standart laboratuvar kurallarına uyulur
Kontaminasyondan kaçınılır
Depolama:
Oda sıcaklığında veya önerilen koşullarda
Kapalı kapta
Temiz ortamda</t>
  </si>
  <si>
    <t>Genel laboratuvar KKD yeterlidir
Eldiven
Koruyucu gözlük
Laboratuvar önlüğü</t>
  </si>
  <si>
    <t>Fiziksel hali: Sıvı
Renk: Renksiz
Koku: Yok
pH: ~7.2 – 7.4
Suda tamamen çözünür</t>
  </si>
  <si>
    <t>Normal koşullarda stabildir
Reaktif değildir
Tehlikeli reaksiyon beklenmez</t>
  </si>
  <si>
    <t>Toksik değildir
Tahriş edici değildir (normal kullanımda)
Biyolojik olarak uyumludur</t>
  </si>
  <si>
    <t>Küçük miktarlar kanalizasyona verilebilir
Büyük miktarlar yerel mevzuata göre bertaraf edilir
Kontamine ise biyolojik atık olarak değerlendirilir</t>
  </si>
  <si>
    <t>Marka</t>
  </si>
  <si>
    <t>Miktar</t>
  </si>
  <si>
    <t>Birim</t>
  </si>
  <si>
    <t>Adet/ Miktar</t>
  </si>
  <si>
    <t>BATTICON-ISOSOL</t>
  </si>
  <si>
    <t>1-5 Adet
(1-5 Litre)</t>
  </si>
  <si>
    <t>MERKEZ İLAÇ</t>
  </si>
  <si>
    <t>CRYOS SOĞUTUCU SPREY</t>
  </si>
  <si>
    <t>1-5 Adet
(400-2000 ml)</t>
  </si>
  <si>
    <t>PHYTO</t>
  </si>
  <si>
    <t>DERHAND PLUS</t>
  </si>
  <si>
    <t>5-15 Adet
(5-15 Litre)</t>
  </si>
  <si>
    <t>ECOLAB</t>
  </si>
  <si>
    <t>2-10 Litre</t>
  </si>
  <si>
    <t>D.D.K.Sr. I (ddkitalia)</t>
  </si>
  <si>
    <t>GAZ OKSİJEN</t>
  </si>
  <si>
    <t>1-5 Adet
(5-25 Litre)</t>
  </si>
  <si>
    <t>LİNDE</t>
  </si>
  <si>
    <t>HİDROJEN PEROKSİT (OKSİJENLİ SU)</t>
  </si>
  <si>
    <t>AQUA</t>
  </si>
  <si>
    <t>1-5 Adet
(750-3750 ml)</t>
  </si>
  <si>
    <t>1-2 Adet
(6-12 Litre)</t>
  </si>
  <si>
    <t>OPSITE SPREY</t>
  </si>
  <si>
    <t>1-5 Adet
(100-500 ml)</t>
  </si>
  <si>
    <t>SMITH&amp;NEPHEW</t>
  </si>
  <si>
    <t>POVİİODEKS SCRUB</t>
  </si>
  <si>
    <t>DERMOSEPT</t>
  </si>
  <si>
    <t xml:space="preserve">1-5 Adet </t>
  </si>
  <si>
    <t>POVIDONE %10</t>
  </si>
  <si>
    <t>KONIX</t>
  </si>
  <si>
    <t>SKINMAN SOFT</t>
  </si>
  <si>
    <t>ULTRASON JELİ</t>
  </si>
  <si>
    <t>1-5 Adet
(250-1250 gr)</t>
  </si>
  <si>
    <t>ALKOLLÜ ANTİSEPTİK SWAB</t>
  </si>
  <si>
    <t>1-5 Kutu</t>
  </si>
  <si>
    <t>DAMLA  SAĞLIK</t>
  </si>
  <si>
    <t>ASETON</t>
  </si>
  <si>
    <t>1-5 Adet
(220-1100 ml)</t>
  </si>
  <si>
    <t>ÇEŞİTLİ</t>
  </si>
  <si>
    <t>20-60 Adet
(20-60 Litre)</t>
  </si>
  <si>
    <t>DERMANIOS SCRUB CHLORHEXIDINE</t>
  </si>
  <si>
    <t>3-10 Adet
(3-10 Litre)</t>
  </si>
  <si>
    <t>ANİOS</t>
  </si>
  <si>
    <t>2-10 Adet
(10-50 Litre)</t>
  </si>
  <si>
    <t>ALKOMED</t>
  </si>
  <si>
    <t>GAZ KARBONDİOKSİT</t>
  </si>
  <si>
    <t>5-20 Adet
(25-100 Litre)</t>
  </si>
  <si>
    <t>3-6 Adet
(2250-4500 ml)</t>
  </si>
  <si>
    <t>5-20 Adet
(30-120 Litre)</t>
  </si>
  <si>
    <t>KLORHEKSOL</t>
  </si>
  <si>
    <t>1-5 Adet
(500-2500 ml)</t>
  </si>
  <si>
    <t>5-10 Adet
(5-10 Litre)</t>
  </si>
  <si>
    <t>KİMPA</t>
  </si>
  <si>
    <t>Kimpa</t>
  </si>
  <si>
    <t>SEVOFLURANE</t>
  </si>
  <si>
    <t>1-5 Adet
(250-1000 ml)</t>
  </si>
  <si>
    <t>BAXTER</t>
  </si>
  <si>
    <t>5-20 Adet
(5-20 Litre)</t>
  </si>
  <si>
    <t>SODA LIME</t>
  </si>
  <si>
    <t>5-20 Adet
(125-500 Litre)</t>
  </si>
  <si>
    <t>ERSU</t>
  </si>
  <si>
    <t>100-150 Kutu
(10000-15000 Adet)</t>
  </si>
  <si>
    <t>LİFECARE SAĞLIK</t>
  </si>
  <si>
    <t>BİKARDİ B BAZİK</t>
  </si>
  <si>
    <t>1-10 Adet
(10-100 Litre)</t>
  </si>
  <si>
    <t>RENAL</t>
  </si>
  <si>
    <t>BİKARDİ SÜPER KONSANTRE AK2 DEX</t>
  </si>
  <si>
    <t>BİOCLEAN %96</t>
  </si>
  <si>
    <t>BİORAD</t>
  </si>
  <si>
    <t>CLORETHYL ICE SPREY</t>
  </si>
  <si>
    <t>5-10 Adet
(750-1500 ml)</t>
  </si>
  <si>
    <t>DERHAND</t>
  </si>
  <si>
    <t>20-60 Adet
(100-300 Litre)</t>
  </si>
  <si>
    <t>DERSOL</t>
  </si>
  <si>
    <t>EL VE CİLT ANTİBAKTERİYAL KD</t>
  </si>
  <si>
    <t>10-50 Adet
(10-50 Litre)</t>
  </si>
  <si>
    <t>NATUREL</t>
  </si>
  <si>
    <t>1-2 Adet
(5-10 Litre)</t>
  </si>
  <si>
    <t>2-5 Kutu
(200-500 Adet)</t>
  </si>
  <si>
    <t>WEİSS</t>
  </si>
  <si>
    <t>25-50 Adet
(18750-37500 ml)</t>
  </si>
  <si>
    <t>2-4 Adet
(12-24 Litre)</t>
  </si>
  <si>
    <t>MANISOFT</t>
  </si>
  <si>
    <t>1-2 Adet
(1-2 Litre)</t>
  </si>
  <si>
    <t>ONESURFACE WİPES</t>
  </si>
  <si>
    <t>4-8 Kutu
(800-1600 Adet)</t>
  </si>
  <si>
    <t>KAF GRUP</t>
  </si>
  <si>
    <t>50-100 Adet
(3-6 Litre)</t>
  </si>
  <si>
    <t>MERKEZ</t>
  </si>
  <si>
    <t>OPAK JEL MENDİL</t>
  </si>
  <si>
    <t>10-30 Paket
(1000-3000 Adet)</t>
  </si>
  <si>
    <t>100-200 Adet
(10-20 Litre)</t>
  </si>
  <si>
    <t>BATIQON</t>
  </si>
  <si>
    <t>SCHUTZ PLUS</t>
  </si>
  <si>
    <t>20-50 Adet
(3-7,5 Litre)</t>
  </si>
  <si>
    <t>EBT SAĞLIK</t>
  </si>
  <si>
    <t>SEKUMATIC FNP</t>
  </si>
  <si>
    <t>SEKUMATIC FNZ</t>
  </si>
  <si>
    <t>SEKUMATIC FR</t>
  </si>
  <si>
    <t>SEKUSEPT AKTİV</t>
  </si>
  <si>
    <t>1-2 Adet
(6-12 Kg)</t>
  </si>
  <si>
    <t>1-3 Adet
(6-18 Litre)</t>
  </si>
  <si>
    <t>SIVI VAZELİN</t>
  </si>
  <si>
    <t>1-2 Adet
(20-40 Kg)</t>
  </si>
  <si>
    <t>SOLUSCOPE EZ</t>
  </si>
  <si>
    <t>Laboratoires Anios</t>
  </si>
  <si>
    <t>SOLUSCOPE NW</t>
  </si>
  <si>
    <t>SOLUSCOPE PA</t>
  </si>
  <si>
    <t>Laboratoires Anios-</t>
  </si>
  <si>
    <t>50-100 Adet</t>
  </si>
  <si>
    <t xml:space="preserve">AQUA - KONİX - WEİSS </t>
  </si>
  <si>
    <t>5-10 Adet
(3750-7500 ml)</t>
  </si>
  <si>
    <t>-</t>
  </si>
  <si>
    <t>10-15 Adet
(10-15 Litre)</t>
  </si>
  <si>
    <t>1-2 Adet
(750-1500 ml)</t>
  </si>
  <si>
    <t>JOHNSON'S BABY SHAMPOO</t>
  </si>
  <si>
    <t>1-3 Adet
(1-3 Litre)</t>
  </si>
  <si>
    <t>MUSTELA GENTLE CLEANSING JEL</t>
  </si>
  <si>
    <t>PATTEX HIZLI YAPIŞTIRICI</t>
  </si>
  <si>
    <t>1-5 Adet
(200-1000 ml)</t>
  </si>
  <si>
    <t>PATTEX</t>
  </si>
  <si>
    <t>WD-40</t>
  </si>
  <si>
    <t>HENKEL</t>
  </si>
  <si>
    <t>SIVI AZOT</t>
  </si>
  <si>
    <t>1-5 Adet
(6-30 Litre)</t>
  </si>
  <si>
    <t>ARKİMYA</t>
  </si>
  <si>
    <t>100-250 Adet</t>
  </si>
  <si>
    <t>GAZ ARGON</t>
  </si>
  <si>
    <t>1-3 Adet
(5-15 Litre)</t>
  </si>
  <si>
    <t>1 kutu</t>
  </si>
  <si>
    <t>1-2 Adet
(150-300 ml)</t>
  </si>
  <si>
    <t>5-15 Adet
(3750-11250 ml)</t>
  </si>
  <si>
    <t>1-5 Kutu
(100-500 Adet)</t>
  </si>
  <si>
    <t>PARAFİN</t>
  </si>
  <si>
    <t>1 Adet
(150 ml)</t>
  </si>
  <si>
    <t>3-8 Kutu</t>
  </si>
  <si>
    <t>BATTİCON-İSOSOL</t>
  </si>
  <si>
    <t>10-20 Adet
(10-20 Litre)</t>
  </si>
  <si>
    <t>3-6 Adet
(3-6 Litre)</t>
  </si>
  <si>
    <t>1-3 Adet
(100-300 ml)</t>
  </si>
  <si>
    <t>SMITH &amp; NEPHEW 
ÇAPA MEDİKAL</t>
  </si>
  <si>
    <t>1000-2000 Adet</t>
  </si>
  <si>
    <t>1-10 Adet
(5-50 Litre)</t>
  </si>
  <si>
    <t>50-100 Adet/Alık</t>
  </si>
  <si>
    <t>DETERGENT 7X</t>
  </si>
  <si>
    <t>SERVA</t>
  </si>
  <si>
    <t>GAZ AZOT</t>
  </si>
  <si>
    <t>IMMERSIYON YAĞI</t>
  </si>
  <si>
    <t>1-5 Adet
(5-25 ml)</t>
  </si>
  <si>
    <t>Merck ilaç Ecza ve Kimya Tic. A.ş.</t>
  </si>
  <si>
    <t>OOSAFE DISINFECTANT</t>
  </si>
  <si>
    <t>SPARMED</t>
  </si>
  <si>
    <t>10-50 Litre</t>
  </si>
  <si>
    <t>BİKARDİ RSC DEKSTROZLU</t>
  </si>
  <si>
    <t>DERCİTRO PLUS</t>
  </si>
  <si>
    <t>1-60 Adet
(100-6000 ml)</t>
  </si>
  <si>
    <t>SERBEST KLOR KİTİ</t>
  </si>
  <si>
    <t>WATER DOCTORS</t>
  </si>
  <si>
    <t>TOPLAM SERTLİK KİTİ</t>
  </si>
  <si>
    <t>10-30 Adet</t>
  </si>
  <si>
    <t>ÇAPA MEDİKAL</t>
  </si>
  <si>
    <t>HİDROJEN PEROKSİT
(OKSİJENLİ SU)</t>
  </si>
  <si>
    <t>30-60 Adet
(3-6 Litre)</t>
  </si>
  <si>
    <t>MULTİ CREAM</t>
  </si>
  <si>
    <t>DİVERSEY</t>
  </si>
  <si>
    <t>ORİON SOFTCAREALCOPLUS</t>
  </si>
  <si>
    <t>ORİON SUMA EXPERT</t>
  </si>
  <si>
    <t>1-5 Adet
(20-100 Litre)</t>
  </si>
  <si>
    <t>SUMA BAC CONC D10 CONC</t>
  </si>
  <si>
    <t>SUMA CAL-X D5</t>
  </si>
  <si>
    <t>SUMA CRYSTAL A8.8</t>
  </si>
  <si>
    <t>SUMA DIFY MA1</t>
  </si>
  <si>
    <t>1-5 Adet
(4,2-25 Kg)</t>
  </si>
  <si>
    <t>SUMA DİP K1</t>
  </si>
  <si>
    <t>SUMA EASY FOAM</t>
  </si>
  <si>
    <t>SUMA GRİLL D9</t>
  </si>
  <si>
    <t>SUMA İNOX D7</t>
  </si>
  <si>
    <t>SUMA TERA</t>
  </si>
  <si>
    <t>TASKİ HARMONY FLOWER</t>
  </si>
  <si>
    <t>TASKİ SPRİNT GLASS E3C</t>
  </si>
  <si>
    <t xml:space="preserve">250-500 Adet </t>
  </si>
  <si>
    <t>3-10 Adet</t>
  </si>
  <si>
    <t>PANTOCAİNE 
(JETOCAİNE VEMOCAİN)</t>
  </si>
  <si>
    <t>SCIENSE LAB</t>
  </si>
  <si>
    <t>1-3 Kutu
(100-300 Adet)</t>
  </si>
  <si>
    <t>1-2 Paket
(100-200 Adet)</t>
  </si>
  <si>
    <t>SANI-CLOTH CH%2</t>
  </si>
  <si>
    <t>KBM016</t>
  </si>
  <si>
    <t>1-20 Adet</t>
  </si>
  <si>
    <t>1-20 Adet
(5-100 Litre)</t>
  </si>
  <si>
    <t>KURU HAVA</t>
  </si>
  <si>
    <t>1-20 Adet
(50-1000 L)</t>
  </si>
  <si>
    <t>ACID WASH</t>
  </si>
  <si>
    <t>1-4 Adet
(0,5-2 Litre)</t>
  </si>
  <si>
    <t>ABBOTT</t>
  </si>
  <si>
    <t>ALKALINE WASH</t>
  </si>
  <si>
    <t>ARCHITECT 25-OH Vitamin D Assay Diluent</t>
  </si>
  <si>
    <t>1-10 Adet</t>
  </si>
  <si>
    <t>ARCHITECT 25-OH Vitamin D Conjugate</t>
  </si>
  <si>
    <t>ARCHITECT 25-OH Vitamin D Microparticles</t>
  </si>
  <si>
    <t>ARCHITECT 2nd Generation Testosterone Assay Specific Diluent</t>
  </si>
  <si>
    <t>ARCHITECT 2nd Generation Testosterone Conjugate</t>
  </si>
  <si>
    <t>ARCHITECT 2nd Generation Testosterone Microparticles</t>
  </si>
  <si>
    <t>ARCHITECT 2nd Generation Testosterone Specimen Diluent</t>
  </si>
  <si>
    <t>ARCHITECT AFP Conjugate</t>
  </si>
  <si>
    <t>ARCHITECT AFP Microparticles</t>
  </si>
  <si>
    <t>ARCHITECT Anti-Tg Assay Diluent</t>
  </si>
  <si>
    <t>1-8 Adet</t>
  </si>
  <si>
    <t>ARCHITECT Anti-Tg Coated Microparticles</t>
  </si>
  <si>
    <t>ARCHITECT Anti-Tg Conjugate</t>
  </si>
  <si>
    <t>ARCHITECT Anti-TPO Assay Diluent</t>
  </si>
  <si>
    <t>ARCHITECT Anti-TPO Conjugate</t>
  </si>
  <si>
    <t>ARCHITECT Anti-TPO Microparticles</t>
  </si>
  <si>
    <t>ARCHITECT B12 Assay Diluent</t>
  </si>
  <si>
    <t>ARCHITECT B12 Conjugate</t>
  </si>
  <si>
    <t>ARCHITECT B12 Microparticles</t>
  </si>
  <si>
    <t>ARCHITECT B12 Pretreatment Reagent 1</t>
  </si>
  <si>
    <t>ARCHITECT B12 Pretreatment Reagent 2</t>
  </si>
  <si>
    <t>ARCHITECT B12 Pretreatment Reagent 3</t>
  </si>
  <si>
    <t>ARCHITECT CA 125 II Conjugate</t>
  </si>
  <si>
    <t>ARCHITECT CA 125 II Microparticles</t>
  </si>
  <si>
    <t>ARCHITECT CA 19-9 XR Conjugate</t>
  </si>
  <si>
    <t>0-2 Adet</t>
  </si>
  <si>
    <t>ARCHITECT CA 19-9 XR Microparticles</t>
  </si>
  <si>
    <t>ARCHITECT CA15-3 Conjugate</t>
  </si>
  <si>
    <t>ARCHITECT CA15-3 Microparticles</t>
  </si>
  <si>
    <t>ARCHITECT CEA Conjugate</t>
  </si>
  <si>
    <t>ARCHITECT CEA Microparticles</t>
  </si>
  <si>
    <t>ARCHITECT Concentrated Wash Buffer</t>
  </si>
  <si>
    <t>1-5 Adet
(2-10 Litre)</t>
  </si>
  <si>
    <t>ARCHITECT Estradiol Assay Diluent</t>
  </si>
  <si>
    <t>ARCHITECT Estradiol Conjugate</t>
  </si>
  <si>
    <t>ARCHITECT Estradiol Microparticles</t>
  </si>
  <si>
    <t>ARCHITECT Estradiol Specimen Diluent</t>
  </si>
  <si>
    <t>ARCHITECT Ferritin Coated Microparticles</t>
  </si>
  <si>
    <t>1-25 Adet</t>
  </si>
  <si>
    <t>ARCHITECT Ferritin Conjugate</t>
  </si>
  <si>
    <t>ARCHITECT Folate Assay Specific Diluent</t>
  </si>
  <si>
    <t>ARCHITECT Folate Conjugate</t>
  </si>
  <si>
    <t>ARCHITECT Folate Microparticles</t>
  </si>
  <si>
    <t>ARCHITECT Folate Pre-Treatment Reagent 1</t>
  </si>
  <si>
    <t>ARCHITECT Folate Pre-Treatment Reagent 2</t>
  </si>
  <si>
    <t>ARCHITECT Folate Specimen Diluent</t>
  </si>
  <si>
    <t>ARCHITECT Free PSA Conjugate</t>
  </si>
  <si>
    <t>ARCHITECT Free PSA Microparticles</t>
  </si>
  <si>
    <t>ARCHITECT Free T3 Conjugate</t>
  </si>
  <si>
    <t>ARCHITECT Free T3 Microparticles</t>
  </si>
  <si>
    <t>ARCHITECT Free T4 Conjugate</t>
  </si>
  <si>
    <t>ARCHITECT Free T4 Microparticles</t>
  </si>
  <si>
    <t>ARCHITECT FSH Conjugate</t>
  </si>
  <si>
    <t>ARCHITECT FSH Microparticles</t>
  </si>
  <si>
    <t>ARCHITECT HAVAb-IgG Assay Diluent</t>
  </si>
  <si>
    <t>1-4 Adet</t>
  </si>
  <si>
    <t>ARCHITECT HAVAb-IgG Conjugate</t>
  </si>
  <si>
    <t>ARCHITECT HAVAb-IgG Microparticle</t>
  </si>
  <si>
    <t>ARCHITECT LH Conjugate</t>
  </si>
  <si>
    <t>ARCHITECT LH Microparticles</t>
  </si>
  <si>
    <t>ARCHITECT Progesterone Assay Specific Diluent</t>
  </si>
  <si>
    <t>ARCHITECT Progesterone Conjugate</t>
  </si>
  <si>
    <t>ARCHITECT Progesterone Microparticles</t>
  </si>
  <si>
    <t>ARCHITECT Prolactin Conjugate</t>
  </si>
  <si>
    <t>ARCHITECT Prolactin Microparticles</t>
  </si>
  <si>
    <t>ARCHITECT STAT Troponin-I Conjugate</t>
  </si>
  <si>
    <t>ARCHITECT STAT Troponin-I Microparticles</t>
  </si>
  <si>
    <t>ARCHITECT Tacrolimus Whole Blood Precipitation Reagent</t>
  </si>
  <si>
    <t>1-3 Kutu
(20,4 - 61,2 ml)</t>
  </si>
  <si>
    <t>ARCHITECT Total PSA Conjugate</t>
  </si>
  <si>
    <t>ARCHITECT Total PSA Microparticles</t>
  </si>
  <si>
    <t>ARCHITECT Total β-hCG Conjugate</t>
  </si>
  <si>
    <t>ARCHITECT Total β-hCG Microparticles</t>
  </si>
  <si>
    <t>ARCHITECT Trigger Solution</t>
  </si>
  <si>
    <t>1-5 Adet
(975-4875 ml)</t>
  </si>
  <si>
    <t>ARCHITECT TSH Assay Diluent</t>
  </si>
  <si>
    <t>ARCHITECT TSH Conjugate</t>
  </si>
  <si>
    <t>ARCHITECT TSH Microparticles</t>
  </si>
  <si>
    <t>AxSYM HBsAg Conjugate</t>
  </si>
  <si>
    <t>AxSYM HBsAg US Microparticles</t>
  </si>
  <si>
    <t>AxSYM HIV Ag/Ab Combo Conjugate</t>
  </si>
  <si>
    <t>AxSYM HIV Ag/Ab Combo Index Calibrator</t>
  </si>
  <si>
    <t>AxSYM HIV Ag/Ab Combo Microparticle</t>
  </si>
  <si>
    <t>BACT ALERT</t>
  </si>
  <si>
    <t>BIOMERIEUX</t>
  </si>
  <si>
    <t>BD ™ Stem Hücre Reaktifi
(BD™ Stem Cell Reagent)</t>
  </si>
  <si>
    <t>Becton, Dickinson and Company</t>
  </si>
  <si>
    <t>CELLCLEAN</t>
  </si>
  <si>
    <t>SYSMEX</t>
  </si>
  <si>
    <t>CELLPACK DCL</t>
  </si>
  <si>
    <t>4-40 Adet</t>
  </si>
  <si>
    <t>CELLPACK DFL</t>
  </si>
  <si>
    <t>CLINICAL CHEMISTRY Albumin BCG</t>
  </si>
  <si>
    <t>1-3 Kutu</t>
  </si>
  <si>
    <t>CLINICAL CHEMISTRY Alkaline Phosphatase Reagent 1</t>
  </si>
  <si>
    <t>2-20 Adet</t>
  </si>
  <si>
    <t>CLINICAL CHEMISTRY Alkaline Phosphatase Reagent 2</t>
  </si>
  <si>
    <t>CLINICAL CHEMISTRY ALT Reagent 1</t>
  </si>
  <si>
    <t>1-40 Adet</t>
  </si>
  <si>
    <t>CLINICAL CHEMISTRY ALT Reagent 2</t>
  </si>
  <si>
    <t>CLINICAL CHEMISTRY Amylase Reagent 1</t>
  </si>
  <si>
    <t>CLINICAL CHEMISTRY AST Reagent 1</t>
  </si>
  <si>
    <t>CLINICAL CHEMISTRY AST Reagent 2</t>
  </si>
  <si>
    <t>CLINICAL CHEMISTRY Calcium Reagent 1</t>
  </si>
  <si>
    <t>CLINICAL CHEMISTRY Cholesterol Reagent 1</t>
  </si>
  <si>
    <t>1-30 Adet</t>
  </si>
  <si>
    <t>CLINICAL CHEMISTRY Concentrated Glucose Reagent</t>
  </si>
  <si>
    <t>CLINICAL CHEMISTRY Creatine Kinase Reagent 1</t>
  </si>
  <si>
    <t>1-15</t>
  </si>
  <si>
    <t>CLINICAL CHEMISTRY Creatine Kinase Reagent 2</t>
  </si>
  <si>
    <t>1-15 Adet</t>
  </si>
  <si>
    <t>CLINICAL CHEMISTRY Creatinine Reagent 1</t>
  </si>
  <si>
    <t>CLINICAL CHEMISTRY Creatinine Reagent 2</t>
  </si>
  <si>
    <t>CLINICAL CHEMISTRY Detergent A</t>
  </si>
  <si>
    <t>CLINICAL CHEMISTRY Detergent B</t>
  </si>
  <si>
    <t>CLINICAL CHEMISTRY Direct Bilirubin Reagent 1</t>
  </si>
  <si>
    <t>CLINICAL CHEMISTRY Direct Bilirubin Reagent 2</t>
  </si>
  <si>
    <t>CLINICAL CHEMISTRY GGT Reagent 1</t>
  </si>
  <si>
    <t>CLINICAL CHEMISTRY GGT Reagent 2</t>
  </si>
  <si>
    <t>CLINICAL CHEMISTRY Hemoglobin A1c Diluent CLINICAL
CHEMISTRY Hemoglobin A1c Pre-Treatment</t>
  </si>
  <si>
    <t>CLINICAL CHEMISTRY Hemoglobin A1c R1</t>
  </si>
  <si>
    <t>CLINICAL CHEMISTRY Hemoglobin A1c R2</t>
  </si>
  <si>
    <t>CLINICAL CHEMISTRY ICT Cleaning Fluid Kit</t>
  </si>
  <si>
    <t>CLINICAL CHEMISTRY ICT Reference Solution Kit</t>
  </si>
  <si>
    <t>CLINICAL CHEMISTRY ICT Sample Diluent (ICTD5)</t>
  </si>
  <si>
    <t>CLINICAL CHEMISTRY ICT Serum Calibrator Kit</t>
  </si>
  <si>
    <t>CLINICAL CHEMISTRY ICT Urine Calibrator Kit</t>
  </si>
  <si>
    <t>CLINICAL CHEMISTRY LDH Reagent 1</t>
  </si>
  <si>
    <t>CLINICAL CHEMISTRY LDH Reagent 2</t>
  </si>
  <si>
    <t>CLINICAL CHEMISTRY Lipase Reagent 1</t>
  </si>
  <si>
    <t>CLINICAL CHEMISTRY Lipase Reagent 1A</t>
  </si>
  <si>
    <t>CLINICAL CHEMISTRY Lipase Reagent 2</t>
  </si>
  <si>
    <t>CLINICAL CHEMISTRY Magnesium Reagent 1</t>
  </si>
  <si>
    <t>CLINICAL CHEMISTRY Magnesium Reagent 2</t>
  </si>
  <si>
    <t>CLINICAL CHEMISTRY Phosphorus Reagent 1</t>
  </si>
  <si>
    <t>CLINICAL CHEMISTRY Phosphorus Reagent 2</t>
  </si>
  <si>
    <t>CLINICAL CHEMISTRY Total Bilirubin Reagent 1</t>
  </si>
  <si>
    <t>CLINICAL CHEMISTRY Total Bilirubin Reagent 2</t>
  </si>
  <si>
    <t>CLINICAL CHEMISTRY Total Protein</t>
  </si>
  <si>
    <t>CLINICAL CHEMISTRY Triglyceride Reagent 1</t>
  </si>
  <si>
    <t>CLINICAL CHEMISTRY Urea Nitrogen Reagent 1</t>
  </si>
  <si>
    <t>CLINICAL CHEMISTRY Urea Nitrogen Reagent 2</t>
  </si>
  <si>
    <t>CLINICAL CHEMISTRY Uric Acid Reagent 1</t>
  </si>
  <si>
    <t>CLINICAL CHEMISTRY Uric Acid Reagent 2</t>
  </si>
  <si>
    <t>CLINICAL CHEMISTRY Water Bath Additive</t>
  </si>
  <si>
    <t>FLUOROCELL WDF</t>
  </si>
  <si>
    <t>FLUOROCELL WNR</t>
  </si>
  <si>
    <t>5-100 Litre</t>
  </si>
  <si>
    <t>WELLPATH- TEKPATH</t>
  </si>
  <si>
    <t xml:space="preserve">FORMALİNE (NBF)  Nötral Tamponlu Formalin Histoloji Fiksatifi </t>
  </si>
  <si>
    <t>GİEMSA</t>
  </si>
  <si>
    <t>GBL</t>
  </si>
  <si>
    <t>GRAM FUKSİN BOYASI (Sulu Fuksin)</t>
  </si>
  <si>
    <t>1-5 Adet
(0,5-2,5 Litre)</t>
  </si>
  <si>
    <t>MERCK</t>
  </si>
  <si>
    <t>GRAM FUKSİN ÇÖZELTİSİ</t>
  </si>
  <si>
    <t>GRAM KRİSTAL MORU</t>
  </si>
  <si>
    <t>1-3 Adet</t>
  </si>
  <si>
    <t>HOLLAND SOLÜSYONU</t>
  </si>
  <si>
    <t>DDK</t>
  </si>
  <si>
    <t>4-20 Adet</t>
  </si>
  <si>
    <t>KRİSTAL MORU ÇÖZELTİSİ</t>
  </si>
  <si>
    <t>KRİSTAL VİOLET</t>
  </si>
  <si>
    <t>LUGOL SOLÜSYONU</t>
  </si>
  <si>
    <t>LYSERCELL WDF</t>
  </si>
  <si>
    <t>LYSERCELL WNR</t>
  </si>
  <si>
    <t>MAY GRÜNWALD BOYASI</t>
  </si>
  <si>
    <t xml:space="preserve">METİLEN MAVİSİ </t>
  </si>
  <si>
    <t>1-2 Adet
(0,5-1 Litre)</t>
  </si>
  <si>
    <t>NORATEKS</t>
  </si>
  <si>
    <t>MULTIGENT Fe-PI Reagent 1</t>
  </si>
  <si>
    <t>MULTIGENT Fe-PI Reagent 2</t>
  </si>
  <si>
    <t>POTASYUM HİDROKSİT</t>
  </si>
  <si>
    <t>quantia RF 1 Buffer</t>
  </si>
  <si>
    <t>quantia RF 2 Reagent</t>
  </si>
  <si>
    <t>3-20 Adet</t>
  </si>
  <si>
    <t>SULFOLYSER</t>
  </si>
  <si>
    <t>SÜLFOSALISILIK ASİT</t>
  </si>
  <si>
    <t>Vitek ve Vitek 2 Tanımlama ve Duyarlılık Kartları</t>
  </si>
  <si>
    <t>WRIGHT  BOYASI</t>
  </si>
  <si>
    <t>XN CHECK</t>
  </si>
  <si>
    <t>3-30 Adet</t>
  </si>
  <si>
    <t>INCIDIN OXY FOAM</t>
  </si>
  <si>
    <t>MON.FDG (18F) ENJEKSİYONLUK ÇÖZELTİ</t>
  </si>
  <si>
    <t>Eczacıbaşı Monrol Nükleer Ürünler San. ve Tic. A.Ş.</t>
  </si>
  <si>
    <t>MON.IYOT -131 ORAL ÇÖZELTİ</t>
  </si>
  <si>
    <t>MON.IYOT -131 ORAL KAPSÜL</t>
  </si>
  <si>
    <t>GAZ HELYUM</t>
  </si>
  <si>
    <t>ARES MEDICAL</t>
  </si>
  <si>
    <t>5-20 Adet
(3750-15000 ml)</t>
  </si>
  <si>
    <t xml:space="preserve"> SELÜLOZİK TİNER</t>
  </si>
  <si>
    <t>1-2 Adet
(3-6 kg)</t>
  </si>
  <si>
    <t>DYO</t>
  </si>
  <si>
    <t xml:space="preserve"> SENTETİK TİNER</t>
  </si>
  <si>
    <t>ANTİSKALANT</t>
  </si>
  <si>
    <t>1-5 Adet
(25-100 litre)</t>
  </si>
  <si>
    <t>AQM 35</t>
  </si>
  <si>
    <t>DUVAR BOYASI</t>
  </si>
  <si>
    <t>1-5 Adet
(5-25 kG)</t>
  </si>
  <si>
    <t>JOTUN</t>
  </si>
  <si>
    <t>FENOMASTİC HYGİENE EMULSİON SİLK</t>
  </si>
  <si>
    <t>FENOMASTİK</t>
  </si>
  <si>
    <t>3-6 Adet
(60-120 Litre)</t>
  </si>
  <si>
    <t>20-40 Adet
(100-200 Litre)</t>
  </si>
  <si>
    <t>KARBONDİOKSİT (GAZ)</t>
  </si>
  <si>
    <t>5-10 Adet</t>
  </si>
  <si>
    <t>KIRMIZI GRES</t>
  </si>
  <si>
    <t>1-2 Adet
(500-1000 ml)</t>
  </si>
  <si>
    <t>KONTAKT 04</t>
  </si>
  <si>
    <t>WÜRTH</t>
  </si>
  <si>
    <t xml:space="preserve">MERMER VE TAŞ YAPIŞTIRICI </t>
  </si>
  <si>
    <t>2-4 Adet
(500-1000 gr)</t>
  </si>
  <si>
    <t>MOTOR YAĞI</t>
  </si>
  <si>
    <t>2-4 Adet
(40-80 Litre)</t>
  </si>
  <si>
    <t>MOTORİN (MAZOT)</t>
  </si>
  <si>
    <t>5-10 Ton</t>
  </si>
  <si>
    <t>Özdemir Petrol</t>
  </si>
  <si>
    <t>NANOMAT</t>
  </si>
  <si>
    <t>1-5 Adet
(20-100 kg)</t>
  </si>
  <si>
    <t>POLİÜRETAN KÖPÜK</t>
  </si>
  <si>
    <t>10-20 Adet
(7,5-15 Litre)</t>
  </si>
  <si>
    <t>404, Weber
Sista</t>
  </si>
  <si>
    <t>SANAYİ TUZU</t>
  </si>
  <si>
    <t>Akar İleri Arıtım</t>
  </si>
  <si>
    <t>3-5 Adet</t>
  </si>
  <si>
    <t>SİSTA AKRİLİK MASTİK</t>
  </si>
  <si>
    <t>10-20 Adet
(310-620 ml)</t>
  </si>
  <si>
    <t>Henkel</t>
  </si>
  <si>
    <t>SİSTA UNIVERSAL SİLİKON</t>
  </si>
  <si>
    <t>30-50 Adet
(8400-14000 gr)</t>
  </si>
  <si>
    <t>Henkel, Weber</t>
  </si>
  <si>
    <t>SODYUM HİPOKLORİT
(SIVI KLOR)</t>
  </si>
  <si>
    <t>5-10 Adet
(125-250 Litre)</t>
  </si>
  <si>
    <t>TANGİT U-PVC YAPIŞTIRICI</t>
  </si>
  <si>
    <t>2-5 Adet
(2-5 Kg)</t>
  </si>
  <si>
    <t>2-4 Adet
(800-1600 ml)</t>
  </si>
  <si>
    <t xml:space="preserve"> OASIS PRO 64</t>
  </si>
  <si>
    <t>DURO VOLL</t>
  </si>
  <si>
    <t>1-5 Adet
(20-100 litre)</t>
  </si>
  <si>
    <t>BAYCO</t>
  </si>
  <si>
    <t>FLOORDRESS G-100</t>
  </si>
  <si>
    <t>FLOORDRESS R-400</t>
  </si>
  <si>
    <t>FLOORDRESS T-500</t>
  </si>
  <si>
    <t>FLOORDRESS T-510</t>
  </si>
  <si>
    <t>1-5 Litre</t>
  </si>
  <si>
    <t>HELIOS BRILLANT</t>
  </si>
  <si>
    <t>3-8 Adet
(1500-4000 ml)</t>
  </si>
  <si>
    <t>INTO</t>
  </si>
  <si>
    <t>KÖPÜK SABUNU</t>
  </si>
  <si>
    <t>UZMAN MEDİKAL</t>
  </si>
  <si>
    <t>LAUNDRY POWER</t>
  </si>
  <si>
    <t>MAX İNTO</t>
  </si>
  <si>
    <t>NE-O-DOR</t>
  </si>
  <si>
    <t>OASIS PRO 61</t>
  </si>
  <si>
    <t>OASİS PRO ACİD BATH</t>
  </si>
  <si>
    <t>OASİS PRO ALL BATH</t>
  </si>
  <si>
    <t>OASİS PRO GLASS</t>
  </si>
  <si>
    <t>OASİS PRO TOİLET</t>
  </si>
  <si>
    <t>ODA SPREYİ/ PARFÜMÜ</t>
  </si>
  <si>
    <t>NEJAT BEŞİR</t>
  </si>
  <si>
    <t>ORIX SOFT</t>
  </si>
  <si>
    <t>1-5 Adet
(5-10 Litre)</t>
  </si>
  <si>
    <t>OXİVİR PLUS</t>
  </si>
  <si>
    <t>DIVERSEY</t>
  </si>
  <si>
    <t>PILAX</t>
  </si>
  <si>
    <t>POLISH CLEANER</t>
  </si>
  <si>
    <t>1-5 Adet
(650-3250 ml)</t>
  </si>
  <si>
    <t>RILAN CREME</t>
  </si>
  <si>
    <t>TARA CERAMİCA</t>
  </si>
  <si>
    <t>TARA EX</t>
  </si>
  <si>
    <t>1-5 Adet
(10-50 Litre)</t>
  </si>
  <si>
    <t>TARA SPEZİAL</t>
  </si>
  <si>
    <t xml:space="preserve">TARA TOP </t>
  </si>
  <si>
    <t>TASKİ JONTEC TERRANOVA  W F9f</t>
  </si>
  <si>
    <t>USONA POWER JEL</t>
  </si>
  <si>
    <t>XENSE FLOOR &amp; SURFACE</t>
  </si>
  <si>
    <t>EAU DE GOULARD</t>
  </si>
  <si>
    <t>HOLLANDE'S FIXATIVE</t>
  </si>
  <si>
    <t>BES LAB</t>
  </si>
  <si>
    <t>ASSERT</t>
  </si>
  <si>
    <t>CONTRA</t>
  </si>
  <si>
    <t>DİP İT LİQUİD</t>
  </si>
  <si>
    <t>FREEDRAİN</t>
  </si>
  <si>
    <t>GREASECUTTER</t>
  </si>
  <si>
    <t>KİTCHENPRO DES</t>
  </si>
  <si>
    <t>MİCRO CHLOR LİQUİD</t>
  </si>
  <si>
    <t>RİNSE DRY</t>
  </si>
  <si>
    <t>SİRAFAN SPEED</t>
  </si>
  <si>
    <t>SOLİD POWER XL</t>
  </si>
  <si>
    <t>1-5 Adet
(4,5-23 Litre)</t>
  </si>
  <si>
    <t>TOPAX 19</t>
  </si>
  <si>
    <t>TOPMATİC</t>
  </si>
  <si>
    <t>Adet</t>
  </si>
  <si>
    <t>Litre</t>
  </si>
  <si>
    <t>Ton</t>
  </si>
  <si>
    <t>kg</t>
  </si>
  <si>
    <t>Kutu</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</si>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</sst>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2"/>
      <color theme="1"/>
      <name val="Aptos Narrow"/>
      <family val="2"/>
      <charset val="162"/>
      <scheme val="minor"/>
    </font>
    <font>
      <sz val="10"/>
      <name val="Arial"/>
      <family val="2"/>
      <charset val="162"/>
    </font>
    <font>
      <b/>
      <sz val="11"/>
      <name val="Tahoma"/>
      <family val="2"/>
      <charset val="162"/>
    </font>
    <font>
      <b/>
      <sz val="12"/>
      <name val="Tahoma"/>
      <family val="2"/>
      <charset val="162"/>
    </font>
    <font>
      <sz val="12"/>
      <name val="Tahoma"/>
      <family val="2"/>
      <charset val="162"/>
    </font>
    <font>
      <sz val="11"/>
      <color indexed="8"/>
      <name val="Calibri"/>
      <family val="2"/>
      <charset val="162"/>
    </font>
    <font>
      <sz val="12"/>
      <color indexed="8"/>
      <name val="Tahoma"/>
      <family val="2"/>
      <charset val="162"/>
    </font>
    <font>
      <sz val="14"/>
      <color indexed="8"/>
      <name val="Tahoma"/>
      <family val="2"/>
      <charset val="162"/>
    </font>
    <font>
      <sz val="14"/>
      <name val="Tahoma"/>
      <family val="2"/>
      <charset val="162"/>
    </font>
    <font>
      <sz val="9"/>
      <name val="Tahoma"/>
      <family val="2"/>
      <charset val="162"/>
    </font>
    <font>
      <sz val="11"/>
      <name val="Tahoma"/>
      <family val="2"/>
      <charset val="162"/>
    </font>
    <font>
      <sz val="8"/>
      <name val="Tahoma"/>
      <family val="2"/>
      <charset val="162"/>
    </font>
    <font>
      <sz val="10"/>
      <name val="Tahoma"/>
      <family val="2"/>
      <charset val="162"/>
    </font>
    <font>
      <b/>
      <sz val="12"/>
      <color indexed="8"/>
      <name val="Tahoma"/>
      <family val="2"/>
      <charset val="162"/>
    </font>
    <font>
      <sz val="10"/>
      <color indexed="8"/>
      <name val="Tahoma"/>
      <family val="2"/>
      <charset val="162"/>
    </font>
    <font>
      <sz val="16"/>
      <color indexed="8"/>
      <name val="Tahoma"/>
      <family val="2"/>
      <charset val="162"/>
    </font>
    <font>
      <sz val="15"/>
      <name val="Tahoma"/>
      <family val="2"/>
      <charset val="162"/>
    </font>
    <font>
      <sz val="9"/>
      <color indexed="8"/>
      <name val="Tahoma"/>
      <family val="2"/>
      <charset val="162"/>
    </font>
    <font>
      <sz val="7"/>
      <name val="Tahoma"/>
      <family val="2"/>
      <charset val="162"/>
    </font>
    <font>
      <sz val="11"/>
      <color indexed="8"/>
      <name val="Tahoma"/>
      <family val="2"/>
      <charset val="162"/>
    </font>
    <font>
      <sz val="8"/>
      <color indexed="8"/>
      <name val="Tahoma"/>
      <family val="2"/>
      <charset val="162"/>
    </font>
    <font>
      <sz val="6"/>
      <name val="Tahoma"/>
      <family val="2"/>
      <charset val="162"/>
    </font>
    <font>
      <sz val="10"/>
      <name val="Courier New"/>
      <family val="3"/>
      <charset val="162"/>
    </font>
    <font>
      <sz val="7"/>
      <name val="Times New Roman"/>
      <family val="1"/>
      <charset val="162"/>
    </font>
    <font>
      <b/>
      <sz val="14"/>
      <name val="Calibri"/>
      <family val="2"/>
      <charset val="162"/>
    </font>
    <font>
      <sz val="13"/>
      <color indexed="8"/>
      <name val="Tahoma"/>
      <family val="2"/>
      <charset val="162"/>
    </font>
    <font>
      <b/>
      <sz val="14"/>
      <name val="Tahoma"/>
      <family val="2"/>
      <charset val="162"/>
    </font>
    <font>
      <b/>
      <sz val="8"/>
      <color indexed="8"/>
      <name val="Arial"/>
      <family val="2"/>
      <charset val="162"/>
    </font>
    <font>
      <sz val="7"/>
      <color indexed="8"/>
      <name val="Arial"/>
      <family val="2"/>
      <charset val="162"/>
    </font>
  </fonts>
  <fills count="8">
    <fill>
      <patternFill patternType="none"/>
    </fill>
    <fill>
      <patternFill patternType="gray125"/>
    </fill>
    <fill>
      <patternFill patternType="solid">
        <fgColor theme="7" tint="0.79998168889431442"/>
        <bgColor indexed="64"/>
      </patternFill>
    </fill>
    <fill>
      <patternFill patternType="solid">
        <fgColor indexed="9"/>
        <bgColor indexed="26"/>
      </patternFill>
    </fill>
    <fill>
      <patternFill patternType="solid">
        <fgColor theme="0"/>
        <bgColor indexed="26"/>
      </patternFill>
    </fill>
    <fill>
      <patternFill patternType="solid">
        <fgColor rgb="FFFFFF00"/>
        <bgColor indexed="64"/>
      </patternFill>
    </fill>
    <fill>
      <patternFill patternType="solid">
        <fgColor theme="0"/>
        <bgColor indexed="64"/>
      </patternFill>
    </fill>
    <fill>
      <patternFill patternType="solid">
        <fgColor indexed="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5" fillId="0" borderId="0"/>
    <xf numFmtId="0" fontId="5" fillId="0" borderId="0"/>
    <xf numFmtId="0" fontId="1" fillId="0" borderId="0"/>
  </cellStyleXfs>
  <cellXfs count="99">
    <xf numFmtId="0" fontId="0" fillId="0" borderId="0" xfId="0"/>
    <xf numFmtId="0" fontId="2" fillId="2" borderId="1" xfId="1" applyFont="1" applyFill="1" applyBorder="1" applyAlignment="1" applyProtection="1">
      <alignment horizontal="center" vertical="center" wrapText="1"/>
      <protection locked="0"/>
    </xf>
    <xf numFmtId="0" fontId="6" fillId="3" borderId="1" xfId="2"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xf numFmtId="0" fontId="4" fillId="4" borderId="1" xfId="0" applyFont="1" applyFill="1" applyBorder="1" applyAlignment="1">
      <alignment horizontal="center" vertical="center" wrapText="1"/>
    </xf>
    <xf numFmtId="0" fontId="4" fillId="0" borderId="1" xfId="1" applyFont="1" applyBorder="1" applyAlignment="1" applyProtection="1">
      <alignment horizontal="center" vertical="center" wrapText="1"/>
      <protection locked="0"/>
    </xf>
    <xf numFmtId="0" fontId="4" fillId="3" borderId="1" xfId="2" applyFont="1" applyFill="1" applyBorder="1" applyAlignment="1">
      <alignment horizontal="center" vertical="center" wrapText="1"/>
    </xf>
    <xf numFmtId="0" fontId="3" fillId="0" borderId="1" xfId="1" applyFont="1" applyBorder="1" applyAlignment="1" applyProtection="1">
      <alignment horizontal="center" vertical="center" wrapText="1"/>
      <protection locked="0"/>
    </xf>
    <xf numFmtId="0" fontId="6" fillId="0" borderId="1" xfId="2"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7" fillId="3" borderId="1" xfId="2" applyFont="1" applyFill="1" applyBorder="1" applyAlignment="1">
      <alignment horizontal="center" vertical="center" wrapText="1"/>
    </xf>
    <xf numFmtId="0" fontId="8" fillId="4" borderId="1" xfId="2"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2" applyFont="1" applyBorder="1" applyAlignment="1">
      <alignment horizontal="center" vertical="center" wrapText="1"/>
    </xf>
    <xf numFmtId="0" fontId="4" fillId="4" borderId="1" xfId="2" applyFont="1" applyFill="1" applyBorder="1" applyAlignment="1">
      <alignment horizontal="center" vertical="center" wrapText="1"/>
    </xf>
    <xf numFmtId="0" fontId="3" fillId="0" borderId="3" xfId="1" applyFont="1" applyBorder="1" applyAlignment="1" applyProtection="1">
      <alignment horizontal="center" vertical="center" wrapText="1"/>
      <protection locked="0"/>
    </xf>
    <xf numFmtId="0" fontId="4" fillId="0" borderId="3" xfId="1" applyFont="1" applyBorder="1" applyAlignment="1" applyProtection="1">
      <alignment horizontal="center" vertical="center" wrapText="1"/>
      <protection locked="0"/>
    </xf>
    <xf numFmtId="0" fontId="6" fillId="3" borderId="5"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6" fillId="0" borderId="5" xfId="0" applyFont="1" applyBorder="1" applyAlignment="1" applyProtection="1">
      <alignment horizontal="center" vertical="center" wrapText="1"/>
      <protection locked="0"/>
    </xf>
    <xf numFmtId="0" fontId="0" fillId="0" borderId="6" xfId="0" applyBorder="1"/>
    <xf numFmtId="0" fontId="6" fillId="0" borderId="3" xfId="2" applyFont="1" applyBorder="1" applyAlignment="1">
      <alignment horizontal="center" vertical="center" wrapText="1"/>
    </xf>
    <xf numFmtId="0" fontId="6" fillId="3" borderId="8" xfId="2" applyFont="1" applyFill="1" applyBorder="1" applyAlignment="1">
      <alignment horizontal="center" vertical="center" wrapText="1"/>
    </xf>
    <xf numFmtId="0" fontId="4" fillId="4" borderId="8" xfId="2" applyFont="1" applyFill="1" applyBorder="1" applyAlignment="1">
      <alignment horizontal="center" vertical="center" wrapText="1"/>
    </xf>
    <xf numFmtId="0" fontId="6" fillId="0" borderId="8" xfId="0" applyFont="1" applyBorder="1" applyAlignment="1" applyProtection="1">
      <alignment horizontal="center" vertical="center" wrapText="1"/>
      <protection locked="0"/>
    </xf>
    <xf numFmtId="0" fontId="3" fillId="0" borderId="8" xfId="1" applyFont="1" applyBorder="1" applyAlignment="1" applyProtection="1">
      <alignment horizontal="center" vertical="center" wrapText="1"/>
      <protection locked="0"/>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9" fillId="0" borderId="1" xfId="1" applyFont="1" applyBorder="1" applyAlignment="1" applyProtection="1">
      <alignment horizontal="center" vertical="center" wrapText="1"/>
      <protection locked="0"/>
    </xf>
    <xf numFmtId="0" fontId="4" fillId="0" borderId="5" xfId="0" applyFont="1" applyBorder="1" applyAlignment="1">
      <alignment horizontal="center" vertical="center" wrapText="1"/>
    </xf>
    <xf numFmtId="0" fontId="4" fillId="0" borderId="5" xfId="1" applyFont="1" applyBorder="1" applyAlignment="1" applyProtection="1">
      <alignment horizontal="center" vertical="center" wrapText="1"/>
      <protection locked="0"/>
    </xf>
    <xf numFmtId="0" fontId="4" fillId="0" borderId="5" xfId="2" applyFont="1" applyBorder="1" applyAlignment="1">
      <alignment horizontal="center" vertical="center" wrapText="1"/>
    </xf>
    <xf numFmtId="0" fontId="3" fillId="0" borderId="6" xfId="1" applyFont="1" applyBorder="1" applyAlignment="1" applyProtection="1">
      <alignment horizontal="center" vertical="center" wrapText="1"/>
      <protection locked="0"/>
    </xf>
    <xf numFmtId="0" fontId="13" fillId="0" borderId="1" xfId="2" applyFont="1" applyBorder="1" applyAlignment="1">
      <alignment horizontal="center" vertical="center" wrapText="1"/>
    </xf>
    <xf numFmtId="0" fontId="0" fillId="0" borderId="1" xfId="0" applyBorder="1" applyAlignment="1">
      <alignment vertical="center" wrapText="1"/>
    </xf>
    <xf numFmtId="0" fontId="14" fillId="0" borderId="1" xfId="2" applyFont="1" applyBorder="1" applyAlignment="1">
      <alignment horizontal="center" vertical="center" wrapText="1"/>
    </xf>
    <xf numFmtId="0" fontId="15" fillId="0" borderId="1" xfId="2" applyFont="1" applyBorder="1" applyAlignment="1">
      <alignment horizontal="center" vertical="center" wrapText="1"/>
    </xf>
    <xf numFmtId="0" fontId="16" fillId="0" borderId="1" xfId="1" applyFont="1" applyBorder="1" applyAlignment="1" applyProtection="1">
      <alignment horizontal="center" vertical="center" wrapText="1"/>
      <protection locked="0"/>
    </xf>
    <xf numFmtId="0" fontId="12" fillId="0" borderId="1" xfId="1" applyFont="1" applyBorder="1" applyAlignment="1" applyProtection="1">
      <alignment horizontal="center" vertical="center" wrapText="1"/>
      <protection locked="0"/>
    </xf>
    <xf numFmtId="0" fontId="6" fillId="0" borderId="9" xfId="2" applyFont="1" applyBorder="1" applyAlignment="1">
      <alignment horizontal="center" vertical="center" wrapText="1"/>
    </xf>
    <xf numFmtId="0" fontId="6" fillId="0" borderId="10" xfId="2" applyFont="1" applyBorder="1" applyAlignment="1">
      <alignment horizontal="center" vertical="center" wrapText="1"/>
    </xf>
    <xf numFmtId="0" fontId="4" fillId="0" borderId="10" xfId="2" applyFont="1" applyBorder="1" applyAlignment="1">
      <alignment horizontal="center" vertical="center" wrapText="1"/>
    </xf>
    <xf numFmtId="0" fontId="6" fillId="0" borderId="10" xfId="0" applyFont="1" applyBorder="1" applyAlignment="1" applyProtection="1">
      <alignment horizontal="center" vertical="center" wrapText="1"/>
      <protection locked="0"/>
    </xf>
    <xf numFmtId="0" fontId="4" fillId="3" borderId="8" xfId="0" applyFont="1" applyFill="1" applyBorder="1" applyAlignment="1">
      <alignment vertical="center" wrapText="1"/>
    </xf>
    <xf numFmtId="0" fontId="4" fillId="4" borderId="8" xfId="0" applyFont="1" applyFill="1" applyBorder="1" applyAlignment="1">
      <alignment vertical="center" wrapText="1"/>
    </xf>
    <xf numFmtId="0" fontId="4" fillId="3" borderId="8" xfId="2" applyFont="1" applyFill="1" applyBorder="1" applyAlignment="1">
      <alignment vertical="center" wrapText="1"/>
    </xf>
    <xf numFmtId="0" fontId="6" fillId="3" borderId="8" xfId="2" applyFont="1" applyFill="1" applyBorder="1" applyAlignment="1">
      <alignment vertical="center" wrapText="1"/>
    </xf>
    <xf numFmtId="0" fontId="10" fillId="4" borderId="1" xfId="0" applyFont="1" applyFill="1" applyBorder="1" applyAlignment="1">
      <alignment horizontal="center" vertical="center" wrapText="1"/>
    </xf>
    <xf numFmtId="0" fontId="10" fillId="0" borderId="1" xfId="1" applyFont="1" applyBorder="1" applyAlignment="1" applyProtection="1">
      <alignment horizontal="center" vertical="center" wrapText="1"/>
      <protection locked="0"/>
    </xf>
    <xf numFmtId="0" fontId="12" fillId="3" borderId="1" xfId="2" applyFont="1" applyFill="1" applyBorder="1" applyAlignment="1">
      <alignment horizontal="center" vertical="center" wrapText="1"/>
    </xf>
    <xf numFmtId="0" fontId="17" fillId="0" borderId="1" xfId="2" applyFont="1" applyBorder="1" applyAlignment="1">
      <alignment horizontal="center" vertical="center" wrapText="1"/>
    </xf>
    <xf numFmtId="0" fontId="18" fillId="0" borderId="1" xfId="1" applyFont="1" applyBorder="1" applyAlignment="1" applyProtection="1">
      <alignment horizontal="center" vertical="center" wrapText="1"/>
      <protection locked="0"/>
    </xf>
    <xf numFmtId="0" fontId="19" fillId="0" borderId="1" xfId="2" applyFont="1" applyBorder="1" applyAlignment="1">
      <alignment horizontal="center" vertical="center" wrapText="1"/>
    </xf>
    <xf numFmtId="0" fontId="20" fillId="0" borderId="1" xfId="2" applyFont="1" applyBorder="1" applyAlignment="1">
      <alignment horizontal="center" vertical="center" wrapText="1"/>
    </xf>
    <xf numFmtId="0" fontId="21" fillId="0" borderId="1" xfId="1" applyFont="1" applyBorder="1" applyAlignment="1" applyProtection="1">
      <alignment horizontal="center" vertical="center" wrapText="1"/>
      <protection locked="0"/>
    </xf>
    <xf numFmtId="0" fontId="0" fillId="0" borderId="0" xfId="0" applyAlignment="1">
      <alignment vertical="center" wrapText="1"/>
    </xf>
    <xf numFmtId="0" fontId="7" fillId="0" borderId="1" xfId="2" applyFont="1" applyBorder="1" applyAlignment="1">
      <alignment horizontal="center" vertical="center" wrapText="1"/>
    </xf>
    <xf numFmtId="0" fontId="22" fillId="0" borderId="0" xfId="0" applyFont="1" applyAlignment="1">
      <alignment horizontal="justify" vertical="center"/>
    </xf>
    <xf numFmtId="0" fontId="14" fillId="3" borderId="1" xfId="2" applyFont="1" applyFill="1" applyBorder="1" applyAlignment="1">
      <alignment horizontal="center" vertical="center" wrapText="1"/>
    </xf>
    <xf numFmtId="0" fontId="17" fillId="3" borderId="1" xfId="2" applyFont="1" applyFill="1" applyBorder="1" applyAlignment="1">
      <alignment horizontal="center" vertical="center" wrapText="1"/>
    </xf>
    <xf numFmtId="0" fontId="12" fillId="4" borderId="1" xfId="2" applyFont="1" applyFill="1" applyBorder="1" applyAlignment="1">
      <alignment horizontal="center" vertical="center" wrapText="1"/>
    </xf>
    <xf numFmtId="0" fontId="19" fillId="3" borderId="1" xfId="2" applyFont="1" applyFill="1" applyBorder="1" applyAlignment="1">
      <alignment horizontal="center" vertical="center" wrapText="1"/>
    </xf>
    <xf numFmtId="0" fontId="25" fillId="3" borderId="1" xfId="2" applyFont="1" applyFill="1" applyBorder="1" applyAlignment="1">
      <alignment horizontal="center" vertical="center" wrapText="1"/>
    </xf>
    <xf numFmtId="0" fontId="20" fillId="3" borderId="1" xfId="2" applyFont="1" applyFill="1" applyBorder="1" applyAlignment="1">
      <alignment horizontal="center" vertical="center" wrapText="1"/>
    </xf>
    <xf numFmtId="0" fontId="3" fillId="0" borderId="2" xfId="1" applyFont="1" applyBorder="1" applyAlignment="1" applyProtection="1">
      <alignment horizontal="center" vertical="center" wrapText="1"/>
      <protection locked="0"/>
    </xf>
    <xf numFmtId="0" fontId="3" fillId="0" borderId="4" xfId="1" applyFont="1" applyBorder="1" applyAlignment="1" applyProtection="1">
      <alignment horizontal="center" vertical="center" wrapText="1"/>
      <protection locked="0"/>
    </xf>
    <xf numFmtId="0" fontId="3" fillId="0" borderId="7" xfId="1" applyFont="1" applyBorder="1" applyAlignment="1" applyProtection="1">
      <alignment horizontal="center" vertical="center" wrapText="1"/>
      <protection locked="0"/>
    </xf>
    <xf numFmtId="0" fontId="3" fillId="0" borderId="10" xfId="1" applyFont="1" applyBorder="1" applyAlignment="1" applyProtection="1">
      <alignment horizontal="center" vertical="center" wrapText="1"/>
      <protection locked="0"/>
    </xf>
    <xf numFmtId="0" fontId="3" fillId="0" borderId="7" xfId="1" applyFont="1" applyBorder="1" applyAlignment="1" applyProtection="1">
      <alignment vertical="center" wrapText="1"/>
      <protection locked="0"/>
    </xf>
    <xf numFmtId="0" fontId="2" fillId="0" borderId="1" xfId="1" applyFont="1" applyBorder="1" applyAlignment="1" applyProtection="1">
      <alignment horizontal="center" vertical="center" wrapText="1"/>
      <protection locked="0"/>
    </xf>
    <xf numFmtId="16" fontId="4" fillId="0" borderId="1" xfId="1" applyNumberFormat="1" applyFont="1" applyBorder="1" applyAlignment="1" applyProtection="1">
      <alignment horizontal="center" vertical="center" wrapText="1"/>
      <protection locked="0"/>
    </xf>
    <xf numFmtId="0" fontId="8" fillId="0" borderId="1" xfId="1" applyFont="1" applyBorder="1" applyAlignment="1" applyProtection="1">
      <alignment horizontal="center" vertical="center" wrapText="1"/>
      <protection locked="0"/>
    </xf>
    <xf numFmtId="16" fontId="4" fillId="0" borderId="8" xfId="1" applyNumberFormat="1" applyFont="1" applyBorder="1" applyAlignment="1" applyProtection="1">
      <alignment horizontal="center" vertical="center" wrapText="1"/>
      <protection locked="0"/>
    </xf>
    <xf numFmtId="0" fontId="4" fillId="0" borderId="8" xfId="1" applyFont="1" applyBorder="1" applyAlignment="1" applyProtection="1">
      <alignment horizontal="center" vertical="center" wrapText="1"/>
      <protection locked="0"/>
    </xf>
    <xf numFmtId="16" fontId="4" fillId="0" borderId="5" xfId="1" applyNumberFormat="1" applyFont="1" applyBorder="1" applyAlignment="1" applyProtection="1">
      <alignment horizontal="center" vertical="center" wrapText="1"/>
      <protection locked="0"/>
    </xf>
    <xf numFmtId="0" fontId="4" fillId="0" borderId="10" xfId="1" applyFont="1" applyBorder="1" applyAlignment="1" applyProtection="1">
      <alignment horizontal="center" vertical="center" wrapText="1"/>
      <protection locked="0"/>
    </xf>
    <xf numFmtId="0" fontId="4" fillId="0" borderId="8" xfId="1" applyFont="1" applyBorder="1" applyAlignment="1" applyProtection="1">
      <alignment vertical="center" wrapText="1"/>
      <protection locked="0"/>
    </xf>
    <xf numFmtId="0" fontId="4" fillId="0" borderId="0" xfId="1" applyFont="1" applyAlignment="1" applyProtection="1">
      <alignment horizontal="center" vertical="center" wrapText="1"/>
      <protection locked="0"/>
    </xf>
    <xf numFmtId="0" fontId="4" fillId="0" borderId="1" xfId="1" applyFont="1" applyBorder="1" applyAlignment="1" applyProtection="1">
      <alignment horizontal="center" vertical="center" wrapText="1"/>
      <protection locked="0"/>
    </xf>
    <xf numFmtId="0" fontId="3" fillId="0" borderId="1" xfId="1" applyFont="1" applyBorder="1" applyAlignment="1" applyProtection="1">
      <alignment horizontal="center" vertical="center" wrapText="1"/>
      <protection locked="0"/>
    </xf>
    <xf numFmtId="16" fontId="4" fillId="0" borderId="1" xfId="1" applyNumberFormat="1" applyFont="1" applyBorder="1" applyAlignment="1" applyProtection="1">
      <alignment horizontal="center" vertical="center" wrapText="1"/>
      <protection locked="0"/>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3" borderId="1" xfId="2" applyFont="1" applyFill="1" applyBorder="1" applyAlignment="1">
      <alignment horizontal="center" vertical="center" wrapText="1"/>
    </xf>
    <xf numFmtId="0" fontId="6" fillId="3" borderId="1" xfId="2" applyFont="1" applyFill="1" applyBorder="1" applyAlignment="1">
      <alignment horizontal="center" vertical="center"/>
    </xf>
    <xf numFmtId="0" fontId="4" fillId="3" borderId="1" xfId="2" applyFont="1" applyFill="1" applyBorder="1" applyAlignment="1">
      <alignment horizontal="center" vertical="center" wrapText="1"/>
    </xf>
    <xf numFmtId="0" fontId="26" fillId="2" borderId="1" xfId="4" applyFont="1" applyFill="1" applyBorder="1" applyAlignment="1" applyProtection="1">
      <alignment horizontal="center" vertical="center" textRotation="90" wrapText="1"/>
      <protection locked="0"/>
    </xf>
    <xf numFmtId="0" fontId="4" fillId="0" borderId="1" xfId="4" applyFont="1" applyBorder="1" applyAlignment="1" applyProtection="1">
      <alignment horizontal="center" vertical="center" textRotation="90" wrapText="1"/>
      <protection locked="0"/>
    </xf>
    <xf numFmtId="0" fontId="27" fillId="7" borderId="0" xfId="3" applyFont="1" applyFill="1" applyAlignment="1">
      <alignment horizontal="center" vertical="center" wrapText="1"/>
    </xf>
    <xf numFmtId="0" fontId="26" fillId="2" borderId="1" xfId="4" applyFont="1" applyFill="1" applyBorder="1" applyAlignment="1" applyProtection="1">
      <alignment horizontal="center" vertical="center" wrapText="1"/>
      <protection locked="0"/>
    </xf>
    <xf numFmtId="0" fontId="4" fillId="0" borderId="1" xfId="4" applyFont="1" applyBorder="1" applyAlignment="1" applyProtection="1">
      <alignment horizontal="center" vertical="center" wrapText="1"/>
      <protection locked="0"/>
    </xf>
    <xf numFmtId="0" fontId="28" fillId="0" borderId="0" xfId="3" applyFont="1" applyAlignment="1">
      <alignment horizontal="center" vertical="center" wrapText="1"/>
    </xf>
    <xf numFmtId="0" fontId="3" fillId="0" borderId="1" xfId="4" applyFont="1" applyBorder="1" applyAlignment="1" applyProtection="1">
      <alignment horizontal="center" vertical="center" wrapText="1"/>
      <protection locked="0"/>
    </xf>
    <xf numFmtId="0" fontId="3" fillId="5" borderId="1" xfId="4" applyFont="1" applyFill="1" applyBorder="1" applyAlignment="1" applyProtection="1">
      <alignment horizontal="center" vertical="center" wrapText="1"/>
      <protection locked="0"/>
    </xf>
    <xf numFmtId="0" fontId="3" fillId="6" borderId="1" xfId="4" applyFont="1" applyFill="1" applyBorder="1" applyAlignment="1" applyProtection="1">
      <alignment horizontal="center" vertical="center" wrapText="1"/>
      <protection locked="0"/>
    </xf>
    <xf numFmtId="0" fontId="13" fillId="0" borderId="1" xfId="3" applyFont="1" applyBorder="1" applyAlignment="1" applyProtection="1">
      <alignment horizontal="center" vertical="center" wrapText="1"/>
      <protection locked="0"/>
    </xf>
  </cellXfs>
  <cellStyles count="5">
    <cellStyle name="Excel Built-in Normal" xfId="2" xr:uid="{2871A13C-9D1B-1849-94CC-9DF3E4391F6D}"/>
    <cellStyle name="Normal" xfId="0" builtinId="0"/>
    <cellStyle name="Normal 2" xfId="1" xr:uid="{F0251156-4C1C-864E-84A7-8295F8657406}"/>
    <cellStyle name="Normal 2 2" xfId="3" xr:uid="{A9DDDDBD-14BB-AF43-9DBA-D3FDD6FF115E}"/>
    <cellStyle name="Normal 2 2 2" xfId="4" xr:uid="{4D799FCD-43FD-E04D-AD14-13A993BA9659}"/>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gif"/><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png"/><Relationship Id="rId11" Type="http://schemas.openxmlformats.org/officeDocument/2006/relationships/image" Target="../media/image11.jp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gif"/><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16</xdr:col>
      <xdr:colOff>106680</xdr:colOff>
      <xdr:row>19</xdr:row>
      <xdr:rowOff>1661160</xdr:rowOff>
    </xdr:from>
    <xdr:ext cx="1080000" cy="1080000"/>
    <xdr:pic>
      <xdr:nvPicPr>
        <xdr:cNvPr id="2" name="Resim 1">
          <a:extLst>
            <a:ext uri="{FF2B5EF4-FFF2-40B4-BE49-F238E27FC236}">
              <a16:creationId xmlns:a16="http://schemas.microsoft.com/office/drawing/2014/main" id="{96AFA9D4-DC40-954C-985B-A9967D3F31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3680" y="96911160"/>
          <a:ext cx="1080000" cy="1080000"/>
        </a:xfrm>
        <a:prstGeom prst="rect">
          <a:avLst/>
        </a:prstGeom>
      </xdr:spPr>
    </xdr:pic>
    <xdr:clientData/>
  </xdr:oneCellAnchor>
  <xdr:oneCellAnchor>
    <xdr:from>
      <xdr:col>16</xdr:col>
      <xdr:colOff>137160</xdr:colOff>
      <xdr:row>19</xdr:row>
      <xdr:rowOff>2926080</xdr:rowOff>
    </xdr:from>
    <xdr:ext cx="1080000" cy="1080000"/>
    <xdr:pic>
      <xdr:nvPicPr>
        <xdr:cNvPr id="3" name="Resim 2">
          <a:extLst>
            <a:ext uri="{FF2B5EF4-FFF2-40B4-BE49-F238E27FC236}">
              <a16:creationId xmlns:a16="http://schemas.microsoft.com/office/drawing/2014/main" id="{9557D329-5CBC-D447-BC71-43659E597A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94160" y="98176080"/>
          <a:ext cx="1080000" cy="1080000"/>
        </a:xfrm>
        <a:prstGeom prst="rect">
          <a:avLst/>
        </a:prstGeom>
      </xdr:spPr>
    </xdr:pic>
    <xdr:clientData/>
  </xdr:oneCellAnchor>
  <xdr:oneCellAnchor>
    <xdr:from>
      <xdr:col>16</xdr:col>
      <xdr:colOff>91440</xdr:colOff>
      <xdr:row>59</xdr:row>
      <xdr:rowOff>914400</xdr:rowOff>
    </xdr:from>
    <xdr:ext cx="1080000" cy="1080000"/>
    <xdr:pic>
      <xdr:nvPicPr>
        <xdr:cNvPr id="4" name="Resim 3">
          <a:extLst>
            <a:ext uri="{FF2B5EF4-FFF2-40B4-BE49-F238E27FC236}">
              <a16:creationId xmlns:a16="http://schemas.microsoft.com/office/drawing/2014/main" id="{7649F935-1949-594E-9351-7F6D38D984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304457100"/>
          <a:ext cx="1080000" cy="1080000"/>
        </a:xfrm>
        <a:prstGeom prst="rect">
          <a:avLst/>
        </a:prstGeom>
      </xdr:spPr>
    </xdr:pic>
    <xdr:clientData/>
  </xdr:oneCellAnchor>
  <xdr:oneCellAnchor>
    <xdr:from>
      <xdr:col>16</xdr:col>
      <xdr:colOff>106680</xdr:colOff>
      <xdr:row>59</xdr:row>
      <xdr:rowOff>2255520</xdr:rowOff>
    </xdr:from>
    <xdr:ext cx="1080000" cy="1080000"/>
    <xdr:pic>
      <xdr:nvPicPr>
        <xdr:cNvPr id="5" name="Resim 4">
          <a:extLst>
            <a:ext uri="{FF2B5EF4-FFF2-40B4-BE49-F238E27FC236}">
              <a16:creationId xmlns:a16="http://schemas.microsoft.com/office/drawing/2014/main" id="{D0C1DFC3-37F2-C14D-BD6C-DA84B0E8E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305798220"/>
          <a:ext cx="1080000" cy="1080000"/>
        </a:xfrm>
        <a:prstGeom prst="rect">
          <a:avLst/>
        </a:prstGeom>
      </xdr:spPr>
    </xdr:pic>
    <xdr:clientData/>
  </xdr:oneCellAnchor>
  <xdr:oneCellAnchor>
    <xdr:from>
      <xdr:col>16</xdr:col>
      <xdr:colOff>155080</xdr:colOff>
      <xdr:row>27</xdr:row>
      <xdr:rowOff>934225</xdr:rowOff>
    </xdr:from>
    <xdr:ext cx="1080000" cy="1080000"/>
    <xdr:pic>
      <xdr:nvPicPr>
        <xdr:cNvPr id="6" name="Resim 5">
          <a:extLst>
            <a:ext uri="{FF2B5EF4-FFF2-40B4-BE49-F238E27FC236}">
              <a16:creationId xmlns:a16="http://schemas.microsoft.com/office/drawing/2014/main" id="{68578705-D2A7-D64C-8E93-3EFFAAC971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2080" y="137852925"/>
          <a:ext cx="1080000" cy="1080000"/>
        </a:xfrm>
        <a:prstGeom prst="rect">
          <a:avLst/>
        </a:prstGeom>
      </xdr:spPr>
    </xdr:pic>
    <xdr:clientData/>
  </xdr:oneCellAnchor>
  <xdr:oneCellAnchor>
    <xdr:from>
      <xdr:col>16</xdr:col>
      <xdr:colOff>200520</xdr:colOff>
      <xdr:row>5</xdr:row>
      <xdr:rowOff>3093720</xdr:rowOff>
    </xdr:from>
    <xdr:ext cx="1080000" cy="1080000"/>
    <xdr:pic>
      <xdr:nvPicPr>
        <xdr:cNvPr id="7" name="Resim 6">
          <a:extLst>
            <a:ext uri="{FF2B5EF4-FFF2-40B4-BE49-F238E27FC236}">
              <a16:creationId xmlns:a16="http://schemas.microsoft.com/office/drawing/2014/main" id="{7CC42DD1-E888-2B48-A6C2-FB0FEE056A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7520" y="25445720"/>
          <a:ext cx="1080000" cy="1080000"/>
        </a:xfrm>
        <a:prstGeom prst="rect">
          <a:avLst/>
        </a:prstGeom>
      </xdr:spPr>
    </xdr:pic>
    <xdr:clientData/>
  </xdr:oneCellAnchor>
  <xdr:oneCellAnchor>
    <xdr:from>
      <xdr:col>16</xdr:col>
      <xdr:colOff>167640</xdr:colOff>
      <xdr:row>5</xdr:row>
      <xdr:rowOff>1704480</xdr:rowOff>
    </xdr:from>
    <xdr:ext cx="1080000" cy="1080000"/>
    <xdr:pic>
      <xdr:nvPicPr>
        <xdr:cNvPr id="8" name="Resim 7">
          <a:extLst>
            <a:ext uri="{FF2B5EF4-FFF2-40B4-BE49-F238E27FC236}">
              <a16:creationId xmlns:a16="http://schemas.microsoft.com/office/drawing/2014/main" id="{7DE37420-67F3-2B4E-9C55-45B8AF6951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4640" y="24056480"/>
          <a:ext cx="1080000" cy="1080000"/>
        </a:xfrm>
        <a:prstGeom prst="rect">
          <a:avLst/>
        </a:prstGeom>
      </xdr:spPr>
    </xdr:pic>
    <xdr:clientData/>
  </xdr:oneCellAnchor>
  <xdr:oneCellAnchor>
    <xdr:from>
      <xdr:col>16</xdr:col>
      <xdr:colOff>137160</xdr:colOff>
      <xdr:row>5</xdr:row>
      <xdr:rowOff>335280</xdr:rowOff>
    </xdr:from>
    <xdr:ext cx="1080000" cy="1080000"/>
    <xdr:pic>
      <xdr:nvPicPr>
        <xdr:cNvPr id="9" name="Resim 8">
          <a:extLst>
            <a:ext uri="{FF2B5EF4-FFF2-40B4-BE49-F238E27FC236}">
              <a16:creationId xmlns:a16="http://schemas.microsoft.com/office/drawing/2014/main" id="{19691F67-056C-134F-93F5-8EE7013BC9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22687280"/>
          <a:ext cx="1080000" cy="1080000"/>
        </a:xfrm>
        <a:prstGeom prst="rect">
          <a:avLst/>
        </a:prstGeom>
      </xdr:spPr>
    </xdr:pic>
    <xdr:clientData/>
  </xdr:oneCellAnchor>
  <xdr:oneCellAnchor>
    <xdr:from>
      <xdr:col>16</xdr:col>
      <xdr:colOff>200660</xdr:colOff>
      <xdr:row>10</xdr:row>
      <xdr:rowOff>998220</xdr:rowOff>
    </xdr:from>
    <xdr:ext cx="1080000" cy="1080000"/>
    <xdr:pic>
      <xdr:nvPicPr>
        <xdr:cNvPr id="10" name="Resim 9">
          <a:extLst>
            <a:ext uri="{FF2B5EF4-FFF2-40B4-BE49-F238E27FC236}">
              <a16:creationId xmlns:a16="http://schemas.microsoft.com/office/drawing/2014/main" id="{FCB548BF-66DA-DF40-807B-432EEAB5D45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57660" y="49385220"/>
          <a:ext cx="1080000" cy="1080000"/>
        </a:xfrm>
        <a:prstGeom prst="rect">
          <a:avLst/>
        </a:prstGeom>
      </xdr:spPr>
    </xdr:pic>
    <xdr:clientData/>
  </xdr:oneCellAnchor>
  <xdr:oneCellAnchor>
    <xdr:from>
      <xdr:col>16</xdr:col>
      <xdr:colOff>152400</xdr:colOff>
      <xdr:row>54</xdr:row>
      <xdr:rowOff>1615440</xdr:rowOff>
    </xdr:from>
    <xdr:ext cx="1080000" cy="1080000"/>
    <xdr:pic>
      <xdr:nvPicPr>
        <xdr:cNvPr id="11" name="Resim 10">
          <a:extLst>
            <a:ext uri="{FF2B5EF4-FFF2-40B4-BE49-F238E27FC236}">
              <a16:creationId xmlns:a16="http://schemas.microsoft.com/office/drawing/2014/main" id="{C9539A8D-40C4-3944-9FBB-6109AA654D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279123140"/>
          <a:ext cx="1080000" cy="1080000"/>
        </a:xfrm>
        <a:prstGeom prst="rect">
          <a:avLst/>
        </a:prstGeom>
      </xdr:spPr>
    </xdr:pic>
    <xdr:clientData/>
  </xdr:oneCellAnchor>
  <xdr:oneCellAnchor>
    <xdr:from>
      <xdr:col>16</xdr:col>
      <xdr:colOff>152400</xdr:colOff>
      <xdr:row>53</xdr:row>
      <xdr:rowOff>579120</xdr:rowOff>
    </xdr:from>
    <xdr:ext cx="1080000" cy="1080000"/>
    <xdr:pic>
      <xdr:nvPicPr>
        <xdr:cNvPr id="12" name="Resim 11">
          <a:extLst>
            <a:ext uri="{FF2B5EF4-FFF2-40B4-BE49-F238E27FC236}">
              <a16:creationId xmlns:a16="http://schemas.microsoft.com/office/drawing/2014/main" id="{7EA0C3E6-71E3-DD42-AE57-9DA6E12DBA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272879820"/>
          <a:ext cx="1080000" cy="1080000"/>
        </a:xfrm>
        <a:prstGeom prst="rect">
          <a:avLst/>
        </a:prstGeom>
      </xdr:spPr>
    </xdr:pic>
    <xdr:clientData/>
  </xdr:oneCellAnchor>
  <xdr:oneCellAnchor>
    <xdr:from>
      <xdr:col>16</xdr:col>
      <xdr:colOff>137160</xdr:colOff>
      <xdr:row>53</xdr:row>
      <xdr:rowOff>2606040</xdr:rowOff>
    </xdr:from>
    <xdr:ext cx="1080000" cy="1080000"/>
    <xdr:pic>
      <xdr:nvPicPr>
        <xdr:cNvPr id="13" name="Resim 12">
          <a:extLst>
            <a:ext uri="{FF2B5EF4-FFF2-40B4-BE49-F238E27FC236}">
              <a16:creationId xmlns:a16="http://schemas.microsoft.com/office/drawing/2014/main" id="{61110E5E-18ED-7349-8FD5-8567B5E1C4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274906740"/>
          <a:ext cx="1080000" cy="1080000"/>
        </a:xfrm>
        <a:prstGeom prst="rect">
          <a:avLst/>
        </a:prstGeom>
      </xdr:spPr>
    </xdr:pic>
    <xdr:clientData/>
  </xdr:oneCellAnchor>
  <xdr:oneCellAnchor>
    <xdr:from>
      <xdr:col>16</xdr:col>
      <xdr:colOff>152400</xdr:colOff>
      <xdr:row>55</xdr:row>
      <xdr:rowOff>228600</xdr:rowOff>
    </xdr:from>
    <xdr:ext cx="1080000" cy="1080000"/>
    <xdr:pic>
      <xdr:nvPicPr>
        <xdr:cNvPr id="14" name="Resim 13">
          <a:extLst>
            <a:ext uri="{FF2B5EF4-FFF2-40B4-BE49-F238E27FC236}">
              <a16:creationId xmlns:a16="http://schemas.microsoft.com/office/drawing/2014/main" id="{2B132935-826A-CD47-8280-E8A2E6D728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282943300"/>
          <a:ext cx="1080000" cy="1080000"/>
        </a:xfrm>
        <a:prstGeom prst="rect">
          <a:avLst/>
        </a:prstGeom>
      </xdr:spPr>
    </xdr:pic>
    <xdr:clientData/>
  </xdr:oneCellAnchor>
  <xdr:oneCellAnchor>
    <xdr:from>
      <xdr:col>16</xdr:col>
      <xdr:colOff>137160</xdr:colOff>
      <xdr:row>55</xdr:row>
      <xdr:rowOff>1752600</xdr:rowOff>
    </xdr:from>
    <xdr:ext cx="1080000" cy="1080000"/>
    <xdr:pic>
      <xdr:nvPicPr>
        <xdr:cNvPr id="15" name="Resim 14">
          <a:extLst>
            <a:ext uri="{FF2B5EF4-FFF2-40B4-BE49-F238E27FC236}">
              <a16:creationId xmlns:a16="http://schemas.microsoft.com/office/drawing/2014/main" id="{476C8D11-34A9-9A40-8075-94D1A683BE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284467300"/>
          <a:ext cx="1080000" cy="1080000"/>
        </a:xfrm>
        <a:prstGeom prst="rect">
          <a:avLst/>
        </a:prstGeom>
      </xdr:spPr>
    </xdr:pic>
    <xdr:clientData/>
  </xdr:oneCellAnchor>
  <xdr:oneCellAnchor>
    <xdr:from>
      <xdr:col>16</xdr:col>
      <xdr:colOff>152400</xdr:colOff>
      <xdr:row>55</xdr:row>
      <xdr:rowOff>3352800</xdr:rowOff>
    </xdr:from>
    <xdr:ext cx="1080000" cy="1080000"/>
    <xdr:pic>
      <xdr:nvPicPr>
        <xdr:cNvPr id="16" name="Resim 15">
          <a:extLst>
            <a:ext uri="{FF2B5EF4-FFF2-40B4-BE49-F238E27FC236}">
              <a16:creationId xmlns:a16="http://schemas.microsoft.com/office/drawing/2014/main" id="{9B7997EF-D2EA-B545-8C67-C194599D12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9400" y="286067500"/>
          <a:ext cx="1080000" cy="1080000"/>
        </a:xfrm>
        <a:prstGeom prst="rect">
          <a:avLst/>
        </a:prstGeom>
      </xdr:spPr>
    </xdr:pic>
    <xdr:clientData/>
  </xdr:oneCellAnchor>
  <xdr:oneCellAnchor>
    <xdr:from>
      <xdr:col>16</xdr:col>
      <xdr:colOff>106680</xdr:colOff>
      <xdr:row>56</xdr:row>
      <xdr:rowOff>137160</xdr:rowOff>
    </xdr:from>
    <xdr:ext cx="1080000" cy="1080000"/>
    <xdr:pic>
      <xdr:nvPicPr>
        <xdr:cNvPr id="17" name="Resim 16">
          <a:extLst>
            <a:ext uri="{FF2B5EF4-FFF2-40B4-BE49-F238E27FC236}">
              <a16:creationId xmlns:a16="http://schemas.microsoft.com/office/drawing/2014/main" id="{A566480E-8EE0-D147-A6C9-C272DDCDD7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3680" y="288058860"/>
          <a:ext cx="1080000" cy="1080000"/>
        </a:xfrm>
        <a:prstGeom prst="rect">
          <a:avLst/>
        </a:prstGeom>
      </xdr:spPr>
    </xdr:pic>
    <xdr:clientData/>
  </xdr:oneCellAnchor>
  <xdr:oneCellAnchor>
    <xdr:from>
      <xdr:col>16</xdr:col>
      <xdr:colOff>182880</xdr:colOff>
      <xdr:row>56</xdr:row>
      <xdr:rowOff>1752600</xdr:rowOff>
    </xdr:from>
    <xdr:ext cx="1080000" cy="1080000"/>
    <xdr:pic>
      <xdr:nvPicPr>
        <xdr:cNvPr id="18" name="Resim 17">
          <a:extLst>
            <a:ext uri="{FF2B5EF4-FFF2-40B4-BE49-F238E27FC236}">
              <a16:creationId xmlns:a16="http://schemas.microsoft.com/office/drawing/2014/main" id="{C42052EA-8DFE-9E46-8A78-99D3D87287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9880" y="289674300"/>
          <a:ext cx="1080000" cy="1080000"/>
        </a:xfrm>
        <a:prstGeom prst="rect">
          <a:avLst/>
        </a:prstGeom>
      </xdr:spPr>
    </xdr:pic>
    <xdr:clientData/>
  </xdr:oneCellAnchor>
  <xdr:oneCellAnchor>
    <xdr:from>
      <xdr:col>16</xdr:col>
      <xdr:colOff>198120</xdr:colOff>
      <xdr:row>56</xdr:row>
      <xdr:rowOff>3203976</xdr:rowOff>
    </xdr:from>
    <xdr:ext cx="1080000" cy="1072847"/>
    <xdr:pic>
      <xdr:nvPicPr>
        <xdr:cNvPr id="19" name="Resim 18">
          <a:extLst>
            <a:ext uri="{FF2B5EF4-FFF2-40B4-BE49-F238E27FC236}">
              <a16:creationId xmlns:a16="http://schemas.microsoft.com/office/drawing/2014/main" id="{924F33A9-9066-854E-8FC7-ED219E141CF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55120" y="291125676"/>
          <a:ext cx="1080000" cy="1072847"/>
        </a:xfrm>
        <a:prstGeom prst="rect">
          <a:avLst/>
        </a:prstGeom>
      </xdr:spPr>
    </xdr:pic>
    <xdr:clientData/>
  </xdr:oneCellAnchor>
  <xdr:oneCellAnchor>
    <xdr:from>
      <xdr:col>16</xdr:col>
      <xdr:colOff>137160</xdr:colOff>
      <xdr:row>51</xdr:row>
      <xdr:rowOff>579120</xdr:rowOff>
    </xdr:from>
    <xdr:ext cx="1080000" cy="1080000"/>
    <xdr:pic>
      <xdr:nvPicPr>
        <xdr:cNvPr id="20" name="Resim 19">
          <a:extLst>
            <a:ext uri="{FF2B5EF4-FFF2-40B4-BE49-F238E27FC236}">
              <a16:creationId xmlns:a16="http://schemas.microsoft.com/office/drawing/2014/main" id="{F0A42FE0-FB79-924D-BEDF-9D753D85291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262465820"/>
          <a:ext cx="1080000" cy="1080000"/>
        </a:xfrm>
        <a:prstGeom prst="rect">
          <a:avLst/>
        </a:prstGeom>
      </xdr:spPr>
    </xdr:pic>
    <xdr:clientData/>
  </xdr:oneCellAnchor>
  <xdr:oneCellAnchor>
    <xdr:from>
      <xdr:col>16</xdr:col>
      <xdr:colOff>152400</xdr:colOff>
      <xdr:row>51</xdr:row>
      <xdr:rowOff>2148840</xdr:rowOff>
    </xdr:from>
    <xdr:ext cx="1080000" cy="1080000"/>
    <xdr:pic>
      <xdr:nvPicPr>
        <xdr:cNvPr id="21" name="Resim 20">
          <a:extLst>
            <a:ext uri="{FF2B5EF4-FFF2-40B4-BE49-F238E27FC236}">
              <a16:creationId xmlns:a16="http://schemas.microsoft.com/office/drawing/2014/main" id="{90F55046-7903-0E4D-BD33-233F91E684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264035540"/>
          <a:ext cx="1080000" cy="1080000"/>
        </a:xfrm>
        <a:prstGeom prst="rect">
          <a:avLst/>
        </a:prstGeom>
      </xdr:spPr>
    </xdr:pic>
    <xdr:clientData/>
  </xdr:oneCellAnchor>
  <xdr:oneCellAnchor>
    <xdr:from>
      <xdr:col>16</xdr:col>
      <xdr:colOff>152400</xdr:colOff>
      <xdr:row>52</xdr:row>
      <xdr:rowOff>960120</xdr:rowOff>
    </xdr:from>
    <xdr:ext cx="1080000" cy="1080000"/>
    <xdr:pic>
      <xdr:nvPicPr>
        <xdr:cNvPr id="22" name="Resim 21">
          <a:extLst>
            <a:ext uri="{FF2B5EF4-FFF2-40B4-BE49-F238E27FC236}">
              <a16:creationId xmlns:a16="http://schemas.microsoft.com/office/drawing/2014/main" id="{C03FA652-2E9F-524B-A5B1-56123A233C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268053820"/>
          <a:ext cx="1080000" cy="1080000"/>
        </a:xfrm>
        <a:prstGeom prst="rect">
          <a:avLst/>
        </a:prstGeom>
      </xdr:spPr>
    </xdr:pic>
    <xdr:clientData/>
  </xdr:oneCellAnchor>
  <xdr:oneCellAnchor>
    <xdr:from>
      <xdr:col>16</xdr:col>
      <xdr:colOff>176107</xdr:colOff>
      <xdr:row>6</xdr:row>
      <xdr:rowOff>2424854</xdr:rowOff>
    </xdr:from>
    <xdr:ext cx="1080000" cy="1080000"/>
    <xdr:pic>
      <xdr:nvPicPr>
        <xdr:cNvPr id="23" name="Resim 22">
          <a:extLst>
            <a:ext uri="{FF2B5EF4-FFF2-40B4-BE49-F238E27FC236}">
              <a16:creationId xmlns:a16="http://schemas.microsoft.com/office/drawing/2014/main" id="{C283B974-5B4B-724E-9EEB-0FF4EE99F9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33107" y="29983854"/>
          <a:ext cx="1080000" cy="1080000"/>
        </a:xfrm>
        <a:prstGeom prst="rect">
          <a:avLst/>
        </a:prstGeom>
      </xdr:spPr>
    </xdr:pic>
    <xdr:clientData/>
  </xdr:oneCellAnchor>
  <xdr:oneCellAnchor>
    <xdr:from>
      <xdr:col>16</xdr:col>
      <xdr:colOff>149412</xdr:colOff>
      <xdr:row>39</xdr:row>
      <xdr:rowOff>392206</xdr:rowOff>
    </xdr:from>
    <xdr:ext cx="1080000" cy="1080000"/>
    <xdr:pic>
      <xdr:nvPicPr>
        <xdr:cNvPr id="24" name="Resim 23">
          <a:extLst>
            <a:ext uri="{FF2B5EF4-FFF2-40B4-BE49-F238E27FC236}">
              <a16:creationId xmlns:a16="http://schemas.microsoft.com/office/drawing/2014/main" id="{A16ECD62-4BC0-F645-AA95-33C7B734B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6412" y="199794906"/>
          <a:ext cx="1080000" cy="1080000"/>
        </a:xfrm>
        <a:prstGeom prst="rect">
          <a:avLst/>
        </a:prstGeom>
      </xdr:spPr>
    </xdr:pic>
    <xdr:clientData/>
  </xdr:oneCellAnchor>
  <xdr:oneCellAnchor>
    <xdr:from>
      <xdr:col>16</xdr:col>
      <xdr:colOff>112059</xdr:colOff>
      <xdr:row>39</xdr:row>
      <xdr:rowOff>2110441</xdr:rowOff>
    </xdr:from>
    <xdr:ext cx="1080000" cy="1080000"/>
    <xdr:pic>
      <xdr:nvPicPr>
        <xdr:cNvPr id="25" name="Resim 24">
          <a:extLst>
            <a:ext uri="{FF2B5EF4-FFF2-40B4-BE49-F238E27FC236}">
              <a16:creationId xmlns:a16="http://schemas.microsoft.com/office/drawing/2014/main" id="{A5D55594-7DD3-E14F-9941-BB1A8FBA64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9059" y="201513141"/>
          <a:ext cx="1080000" cy="1080000"/>
        </a:xfrm>
        <a:prstGeom prst="rect">
          <a:avLst/>
        </a:prstGeom>
      </xdr:spPr>
    </xdr:pic>
    <xdr:clientData/>
  </xdr:oneCellAnchor>
  <xdr:oneCellAnchor>
    <xdr:from>
      <xdr:col>16</xdr:col>
      <xdr:colOff>169334</xdr:colOff>
      <xdr:row>49</xdr:row>
      <xdr:rowOff>296333</xdr:rowOff>
    </xdr:from>
    <xdr:ext cx="1080000" cy="1080000"/>
    <xdr:pic>
      <xdr:nvPicPr>
        <xdr:cNvPr id="26" name="Resim 25">
          <a:extLst>
            <a:ext uri="{FF2B5EF4-FFF2-40B4-BE49-F238E27FC236}">
              <a16:creationId xmlns:a16="http://schemas.microsoft.com/office/drawing/2014/main" id="{62681ECB-C766-1E4E-A099-DD0A1DA43A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6334" y="251769033"/>
          <a:ext cx="1080000" cy="1080000"/>
        </a:xfrm>
        <a:prstGeom prst="rect">
          <a:avLst/>
        </a:prstGeom>
      </xdr:spPr>
    </xdr:pic>
    <xdr:clientData/>
  </xdr:oneCellAnchor>
  <xdr:oneCellAnchor>
    <xdr:from>
      <xdr:col>16</xdr:col>
      <xdr:colOff>105834</xdr:colOff>
      <xdr:row>49</xdr:row>
      <xdr:rowOff>2942167</xdr:rowOff>
    </xdr:from>
    <xdr:ext cx="1080000" cy="1080000"/>
    <xdr:pic>
      <xdr:nvPicPr>
        <xdr:cNvPr id="27" name="Resim 26">
          <a:extLst>
            <a:ext uri="{FF2B5EF4-FFF2-40B4-BE49-F238E27FC236}">
              <a16:creationId xmlns:a16="http://schemas.microsoft.com/office/drawing/2014/main" id="{A144836C-E05A-544A-A3F5-E9B76132FD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54414867"/>
          <a:ext cx="1080000" cy="1080000"/>
        </a:xfrm>
        <a:prstGeom prst="rect">
          <a:avLst/>
        </a:prstGeom>
      </xdr:spPr>
    </xdr:pic>
    <xdr:clientData/>
  </xdr:oneCellAnchor>
  <xdr:oneCellAnchor>
    <xdr:from>
      <xdr:col>16</xdr:col>
      <xdr:colOff>169334</xdr:colOff>
      <xdr:row>49</xdr:row>
      <xdr:rowOff>1651001</xdr:rowOff>
    </xdr:from>
    <xdr:ext cx="1080000" cy="1056857"/>
    <xdr:pic>
      <xdr:nvPicPr>
        <xdr:cNvPr id="28" name="Resim 27">
          <a:extLst>
            <a:ext uri="{FF2B5EF4-FFF2-40B4-BE49-F238E27FC236}">
              <a16:creationId xmlns:a16="http://schemas.microsoft.com/office/drawing/2014/main" id="{0BC9C2C3-2244-2545-BC9D-B493EF76EF0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26334" y="253123701"/>
          <a:ext cx="1080000" cy="1056857"/>
        </a:xfrm>
        <a:prstGeom prst="rect">
          <a:avLst/>
        </a:prstGeom>
      </xdr:spPr>
    </xdr:pic>
    <xdr:clientData/>
  </xdr:oneCellAnchor>
  <xdr:oneCellAnchor>
    <xdr:from>
      <xdr:col>16</xdr:col>
      <xdr:colOff>142875</xdr:colOff>
      <xdr:row>13</xdr:row>
      <xdr:rowOff>238125</xdr:rowOff>
    </xdr:from>
    <xdr:ext cx="1080000" cy="1080000"/>
    <xdr:pic>
      <xdr:nvPicPr>
        <xdr:cNvPr id="29" name="Resim 28">
          <a:extLst>
            <a:ext uri="{FF2B5EF4-FFF2-40B4-BE49-F238E27FC236}">
              <a16:creationId xmlns:a16="http://schemas.microsoft.com/office/drawing/2014/main" id="{BF545096-8120-F749-8A85-BC947B1EC7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99875" y="64246125"/>
          <a:ext cx="1080000" cy="1080000"/>
        </a:xfrm>
        <a:prstGeom prst="rect">
          <a:avLst/>
        </a:prstGeom>
      </xdr:spPr>
    </xdr:pic>
    <xdr:clientData/>
  </xdr:oneCellAnchor>
  <xdr:oneCellAnchor>
    <xdr:from>
      <xdr:col>16</xdr:col>
      <xdr:colOff>158750</xdr:colOff>
      <xdr:row>13</xdr:row>
      <xdr:rowOff>1460499</xdr:rowOff>
    </xdr:from>
    <xdr:ext cx="1083931" cy="1060704"/>
    <xdr:pic>
      <xdr:nvPicPr>
        <xdr:cNvPr id="30" name="Resim 29">
          <a:extLst>
            <a:ext uri="{FF2B5EF4-FFF2-40B4-BE49-F238E27FC236}">
              <a16:creationId xmlns:a16="http://schemas.microsoft.com/office/drawing/2014/main" id="{5A73FCAF-FABC-824A-A7A3-2C9FFF6FB2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366750" y="65468499"/>
          <a:ext cx="1083931" cy="1060704"/>
        </a:xfrm>
        <a:prstGeom prst="rect">
          <a:avLst/>
        </a:prstGeom>
      </xdr:spPr>
    </xdr:pic>
    <xdr:clientData/>
  </xdr:oneCellAnchor>
  <xdr:oneCellAnchor>
    <xdr:from>
      <xdr:col>16</xdr:col>
      <xdr:colOff>190500</xdr:colOff>
      <xdr:row>13</xdr:row>
      <xdr:rowOff>2794000</xdr:rowOff>
    </xdr:from>
    <xdr:ext cx="1080000" cy="1080000"/>
    <xdr:pic>
      <xdr:nvPicPr>
        <xdr:cNvPr id="31" name="Resim 30">
          <a:extLst>
            <a:ext uri="{FF2B5EF4-FFF2-40B4-BE49-F238E27FC236}">
              <a16:creationId xmlns:a16="http://schemas.microsoft.com/office/drawing/2014/main" id="{3672D849-C2AB-BE4A-97E3-D6A4C55F1F8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47500" y="66802000"/>
          <a:ext cx="1080000" cy="1080000"/>
        </a:xfrm>
        <a:prstGeom prst="rect">
          <a:avLst/>
        </a:prstGeom>
      </xdr:spPr>
    </xdr:pic>
    <xdr:clientData/>
  </xdr:oneCellAnchor>
  <xdr:oneCellAnchor>
    <xdr:from>
      <xdr:col>16</xdr:col>
      <xdr:colOff>127000</xdr:colOff>
      <xdr:row>1</xdr:row>
      <xdr:rowOff>1222375</xdr:rowOff>
    </xdr:from>
    <xdr:ext cx="1080000" cy="1080000"/>
    <xdr:pic>
      <xdr:nvPicPr>
        <xdr:cNvPr id="32" name="Resim 31">
          <a:extLst>
            <a:ext uri="{FF2B5EF4-FFF2-40B4-BE49-F238E27FC236}">
              <a16:creationId xmlns:a16="http://schemas.microsoft.com/office/drawing/2014/main" id="{CC414727-1EC6-5343-ACC8-2F056EF3F3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746375"/>
          <a:ext cx="1080000" cy="1080000"/>
        </a:xfrm>
        <a:prstGeom prst="rect">
          <a:avLst/>
        </a:prstGeom>
      </xdr:spPr>
    </xdr:pic>
    <xdr:clientData/>
  </xdr:oneCellAnchor>
  <xdr:oneCellAnchor>
    <xdr:from>
      <xdr:col>16</xdr:col>
      <xdr:colOff>174625</xdr:colOff>
      <xdr:row>1</xdr:row>
      <xdr:rowOff>2656417</xdr:rowOff>
    </xdr:from>
    <xdr:ext cx="1080000" cy="1072847"/>
    <xdr:pic>
      <xdr:nvPicPr>
        <xdr:cNvPr id="33" name="Resim 32">
          <a:extLst>
            <a:ext uri="{FF2B5EF4-FFF2-40B4-BE49-F238E27FC236}">
              <a16:creationId xmlns:a16="http://schemas.microsoft.com/office/drawing/2014/main" id="{CD3DEF77-19D0-9140-8C31-FC3CCA63D88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31625" y="4180417"/>
          <a:ext cx="1080000" cy="1072847"/>
        </a:xfrm>
        <a:prstGeom prst="rect">
          <a:avLst/>
        </a:prstGeom>
      </xdr:spPr>
    </xdr:pic>
    <xdr:clientData/>
  </xdr:oneCellAnchor>
  <xdr:oneCellAnchor>
    <xdr:from>
      <xdr:col>16</xdr:col>
      <xdr:colOff>111125</xdr:colOff>
      <xdr:row>61</xdr:row>
      <xdr:rowOff>396875</xdr:rowOff>
    </xdr:from>
    <xdr:ext cx="1080000" cy="1080000"/>
    <xdr:pic>
      <xdr:nvPicPr>
        <xdr:cNvPr id="34" name="Resim 33">
          <a:extLst>
            <a:ext uri="{FF2B5EF4-FFF2-40B4-BE49-F238E27FC236}">
              <a16:creationId xmlns:a16="http://schemas.microsoft.com/office/drawing/2014/main" id="{4166CC00-C94B-7D4F-80C6-C08F31ABC9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8125" y="314353575"/>
          <a:ext cx="1080000" cy="1080000"/>
        </a:xfrm>
        <a:prstGeom prst="rect">
          <a:avLst/>
        </a:prstGeom>
      </xdr:spPr>
    </xdr:pic>
    <xdr:clientData/>
  </xdr:oneCellAnchor>
  <xdr:oneCellAnchor>
    <xdr:from>
      <xdr:col>16</xdr:col>
      <xdr:colOff>156509</xdr:colOff>
      <xdr:row>61</xdr:row>
      <xdr:rowOff>2250141</xdr:rowOff>
    </xdr:from>
    <xdr:ext cx="1080000" cy="1080000"/>
    <xdr:pic>
      <xdr:nvPicPr>
        <xdr:cNvPr id="35" name="Resim 34">
          <a:extLst>
            <a:ext uri="{FF2B5EF4-FFF2-40B4-BE49-F238E27FC236}">
              <a16:creationId xmlns:a16="http://schemas.microsoft.com/office/drawing/2014/main" id="{96F5549B-C591-004B-ADBB-0A54BD6998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13509" y="316206841"/>
          <a:ext cx="1080000" cy="1080000"/>
        </a:xfrm>
        <a:prstGeom prst="rect">
          <a:avLst/>
        </a:prstGeom>
      </xdr:spPr>
    </xdr:pic>
    <xdr:clientData/>
  </xdr:oneCellAnchor>
  <xdr:oneCellAnchor>
    <xdr:from>
      <xdr:col>16</xdr:col>
      <xdr:colOff>127000</xdr:colOff>
      <xdr:row>2</xdr:row>
      <xdr:rowOff>142875</xdr:rowOff>
    </xdr:from>
    <xdr:ext cx="1080000" cy="1080000"/>
    <xdr:pic>
      <xdr:nvPicPr>
        <xdr:cNvPr id="36" name="Resim 35">
          <a:extLst>
            <a:ext uri="{FF2B5EF4-FFF2-40B4-BE49-F238E27FC236}">
              <a16:creationId xmlns:a16="http://schemas.microsoft.com/office/drawing/2014/main" id="{C6AD97A0-0B00-9342-B544-92E2AE9E79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6873875"/>
          <a:ext cx="1080000" cy="1080000"/>
        </a:xfrm>
        <a:prstGeom prst="rect">
          <a:avLst/>
        </a:prstGeom>
      </xdr:spPr>
    </xdr:pic>
    <xdr:clientData/>
  </xdr:oneCellAnchor>
  <xdr:oneCellAnchor>
    <xdr:from>
      <xdr:col>16</xdr:col>
      <xdr:colOff>127000</xdr:colOff>
      <xdr:row>2</xdr:row>
      <xdr:rowOff>1349375</xdr:rowOff>
    </xdr:from>
    <xdr:ext cx="1080000" cy="1080000"/>
    <xdr:pic>
      <xdr:nvPicPr>
        <xdr:cNvPr id="37" name="Resim 36">
          <a:extLst>
            <a:ext uri="{FF2B5EF4-FFF2-40B4-BE49-F238E27FC236}">
              <a16:creationId xmlns:a16="http://schemas.microsoft.com/office/drawing/2014/main" id="{18BD2E5E-E83F-6141-9CF3-60A2818252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8080375"/>
          <a:ext cx="1080000" cy="1080000"/>
        </a:xfrm>
        <a:prstGeom prst="rect">
          <a:avLst/>
        </a:prstGeom>
      </xdr:spPr>
    </xdr:pic>
    <xdr:clientData/>
  </xdr:oneCellAnchor>
  <xdr:oneCellAnchor>
    <xdr:from>
      <xdr:col>16</xdr:col>
      <xdr:colOff>142875</xdr:colOff>
      <xdr:row>2</xdr:row>
      <xdr:rowOff>2476500</xdr:rowOff>
    </xdr:from>
    <xdr:ext cx="1080000" cy="1072847"/>
    <xdr:pic>
      <xdr:nvPicPr>
        <xdr:cNvPr id="38" name="Resim 37">
          <a:extLst>
            <a:ext uri="{FF2B5EF4-FFF2-40B4-BE49-F238E27FC236}">
              <a16:creationId xmlns:a16="http://schemas.microsoft.com/office/drawing/2014/main" id="{65459ADF-565B-9940-B581-EA45E09674B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99875" y="9207500"/>
          <a:ext cx="1080000" cy="1072847"/>
        </a:xfrm>
        <a:prstGeom prst="rect">
          <a:avLst/>
        </a:prstGeom>
      </xdr:spPr>
    </xdr:pic>
    <xdr:clientData/>
  </xdr:oneCellAnchor>
  <xdr:oneCellAnchor>
    <xdr:from>
      <xdr:col>16</xdr:col>
      <xdr:colOff>127000</xdr:colOff>
      <xdr:row>2</xdr:row>
      <xdr:rowOff>3746500</xdr:rowOff>
    </xdr:from>
    <xdr:ext cx="1080000" cy="1080000"/>
    <xdr:pic>
      <xdr:nvPicPr>
        <xdr:cNvPr id="39" name="Resim 38">
          <a:extLst>
            <a:ext uri="{FF2B5EF4-FFF2-40B4-BE49-F238E27FC236}">
              <a16:creationId xmlns:a16="http://schemas.microsoft.com/office/drawing/2014/main" id="{703551B2-CC0C-914B-910F-8E494F20CF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84000" y="10477500"/>
          <a:ext cx="1080000" cy="1080000"/>
        </a:xfrm>
        <a:prstGeom prst="rect">
          <a:avLst/>
        </a:prstGeom>
      </xdr:spPr>
    </xdr:pic>
    <xdr:clientData/>
  </xdr:oneCellAnchor>
  <xdr:oneCellAnchor>
    <xdr:from>
      <xdr:col>16</xdr:col>
      <xdr:colOff>127000</xdr:colOff>
      <xdr:row>3</xdr:row>
      <xdr:rowOff>142875</xdr:rowOff>
    </xdr:from>
    <xdr:ext cx="1080000" cy="1080000"/>
    <xdr:pic>
      <xdr:nvPicPr>
        <xdr:cNvPr id="40" name="Resim 39">
          <a:extLst>
            <a:ext uri="{FF2B5EF4-FFF2-40B4-BE49-F238E27FC236}">
              <a16:creationId xmlns:a16="http://schemas.microsoft.com/office/drawing/2014/main" id="{7F311BEA-E913-BC4E-A077-9324280F00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2080875"/>
          <a:ext cx="1080000" cy="1080000"/>
        </a:xfrm>
        <a:prstGeom prst="rect">
          <a:avLst/>
        </a:prstGeom>
      </xdr:spPr>
    </xdr:pic>
    <xdr:clientData/>
  </xdr:oneCellAnchor>
  <xdr:oneCellAnchor>
    <xdr:from>
      <xdr:col>16</xdr:col>
      <xdr:colOff>127000</xdr:colOff>
      <xdr:row>3</xdr:row>
      <xdr:rowOff>1349375</xdr:rowOff>
    </xdr:from>
    <xdr:ext cx="1080000" cy="1080000"/>
    <xdr:pic>
      <xdr:nvPicPr>
        <xdr:cNvPr id="41" name="Resim 40">
          <a:extLst>
            <a:ext uri="{FF2B5EF4-FFF2-40B4-BE49-F238E27FC236}">
              <a16:creationId xmlns:a16="http://schemas.microsoft.com/office/drawing/2014/main" id="{9CBE3260-190C-4D4E-ACDC-F39425DF41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3287375"/>
          <a:ext cx="1080000" cy="1080000"/>
        </a:xfrm>
        <a:prstGeom prst="rect">
          <a:avLst/>
        </a:prstGeom>
      </xdr:spPr>
    </xdr:pic>
    <xdr:clientData/>
  </xdr:oneCellAnchor>
  <xdr:oneCellAnchor>
    <xdr:from>
      <xdr:col>16</xdr:col>
      <xdr:colOff>142875</xdr:colOff>
      <xdr:row>3</xdr:row>
      <xdr:rowOff>2476500</xdr:rowOff>
    </xdr:from>
    <xdr:ext cx="1080000" cy="1072847"/>
    <xdr:pic>
      <xdr:nvPicPr>
        <xdr:cNvPr id="42" name="Resim 41">
          <a:extLst>
            <a:ext uri="{FF2B5EF4-FFF2-40B4-BE49-F238E27FC236}">
              <a16:creationId xmlns:a16="http://schemas.microsoft.com/office/drawing/2014/main" id="{D6C92FAE-A121-A24C-AEC4-2B8A7AA6220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99875" y="14414500"/>
          <a:ext cx="1080000" cy="1072847"/>
        </a:xfrm>
        <a:prstGeom prst="rect">
          <a:avLst/>
        </a:prstGeom>
      </xdr:spPr>
    </xdr:pic>
    <xdr:clientData/>
  </xdr:oneCellAnchor>
  <xdr:oneCellAnchor>
    <xdr:from>
      <xdr:col>16</xdr:col>
      <xdr:colOff>127000</xdr:colOff>
      <xdr:row>3</xdr:row>
      <xdr:rowOff>3746500</xdr:rowOff>
    </xdr:from>
    <xdr:ext cx="1080000" cy="1080000"/>
    <xdr:pic>
      <xdr:nvPicPr>
        <xdr:cNvPr id="43" name="Resim 42">
          <a:extLst>
            <a:ext uri="{FF2B5EF4-FFF2-40B4-BE49-F238E27FC236}">
              <a16:creationId xmlns:a16="http://schemas.microsoft.com/office/drawing/2014/main" id="{A9754299-3FF7-3341-B826-4417AB1C8A1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84000" y="15684500"/>
          <a:ext cx="1080000" cy="1080000"/>
        </a:xfrm>
        <a:prstGeom prst="rect">
          <a:avLst/>
        </a:prstGeom>
      </xdr:spPr>
    </xdr:pic>
    <xdr:clientData/>
  </xdr:oneCellAnchor>
  <xdr:oneCellAnchor>
    <xdr:from>
      <xdr:col>16</xdr:col>
      <xdr:colOff>111125</xdr:colOff>
      <xdr:row>15</xdr:row>
      <xdr:rowOff>396875</xdr:rowOff>
    </xdr:from>
    <xdr:ext cx="1080000" cy="1080000"/>
    <xdr:pic>
      <xdr:nvPicPr>
        <xdr:cNvPr id="44" name="Resim 43">
          <a:extLst>
            <a:ext uri="{FF2B5EF4-FFF2-40B4-BE49-F238E27FC236}">
              <a16:creationId xmlns:a16="http://schemas.microsoft.com/office/drawing/2014/main" id="{F1CF0561-5FF5-9448-A75E-2804F87EE7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8125" y="74818875"/>
          <a:ext cx="1080000" cy="1080000"/>
        </a:xfrm>
        <a:prstGeom prst="rect">
          <a:avLst/>
        </a:prstGeom>
      </xdr:spPr>
    </xdr:pic>
    <xdr:clientData/>
  </xdr:oneCellAnchor>
  <xdr:oneCellAnchor>
    <xdr:from>
      <xdr:col>16</xdr:col>
      <xdr:colOff>156509</xdr:colOff>
      <xdr:row>15</xdr:row>
      <xdr:rowOff>2250141</xdr:rowOff>
    </xdr:from>
    <xdr:ext cx="1080000" cy="1080000"/>
    <xdr:pic>
      <xdr:nvPicPr>
        <xdr:cNvPr id="45" name="Resim 44">
          <a:extLst>
            <a:ext uri="{FF2B5EF4-FFF2-40B4-BE49-F238E27FC236}">
              <a16:creationId xmlns:a16="http://schemas.microsoft.com/office/drawing/2014/main" id="{9E2177B0-48B1-F94E-BE99-887B375B0C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13509" y="76672141"/>
          <a:ext cx="1080000" cy="1080000"/>
        </a:xfrm>
        <a:prstGeom prst="rect">
          <a:avLst/>
        </a:prstGeom>
      </xdr:spPr>
    </xdr:pic>
    <xdr:clientData/>
  </xdr:oneCellAnchor>
  <xdr:oneCellAnchor>
    <xdr:from>
      <xdr:col>16</xdr:col>
      <xdr:colOff>201506</xdr:colOff>
      <xdr:row>27</xdr:row>
      <xdr:rowOff>2400300</xdr:rowOff>
    </xdr:from>
    <xdr:ext cx="1080000" cy="1080000"/>
    <xdr:pic>
      <xdr:nvPicPr>
        <xdr:cNvPr id="46" name="Resim 45">
          <a:extLst>
            <a:ext uri="{FF2B5EF4-FFF2-40B4-BE49-F238E27FC236}">
              <a16:creationId xmlns:a16="http://schemas.microsoft.com/office/drawing/2014/main" id="{6B713443-E991-C843-A058-7FDBDF6764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8506" y="139319000"/>
          <a:ext cx="1080000" cy="1080000"/>
        </a:xfrm>
        <a:prstGeom prst="rect">
          <a:avLst/>
        </a:prstGeom>
      </xdr:spPr>
    </xdr:pic>
    <xdr:clientData/>
  </xdr:oneCellAnchor>
  <xdr:oneCellAnchor>
    <xdr:from>
      <xdr:col>16</xdr:col>
      <xdr:colOff>94826</xdr:colOff>
      <xdr:row>43</xdr:row>
      <xdr:rowOff>824654</xdr:rowOff>
    </xdr:from>
    <xdr:ext cx="1080000" cy="1080000"/>
    <xdr:pic>
      <xdr:nvPicPr>
        <xdr:cNvPr id="47" name="Resim 46">
          <a:extLst>
            <a:ext uri="{FF2B5EF4-FFF2-40B4-BE49-F238E27FC236}">
              <a16:creationId xmlns:a16="http://schemas.microsoft.com/office/drawing/2014/main" id="{0EED8248-BC57-1448-A53D-B6B5F0AE36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1826" y="221055354"/>
          <a:ext cx="1080000" cy="1080000"/>
        </a:xfrm>
        <a:prstGeom prst="rect">
          <a:avLst/>
        </a:prstGeom>
      </xdr:spPr>
    </xdr:pic>
    <xdr:clientData/>
  </xdr:oneCellAnchor>
  <xdr:oneCellAnchor>
    <xdr:from>
      <xdr:col>16</xdr:col>
      <xdr:colOff>127000</xdr:colOff>
      <xdr:row>43</xdr:row>
      <xdr:rowOff>2307167</xdr:rowOff>
    </xdr:from>
    <xdr:ext cx="1080000" cy="1056857"/>
    <xdr:pic>
      <xdr:nvPicPr>
        <xdr:cNvPr id="48" name="Resim 47">
          <a:extLst>
            <a:ext uri="{FF2B5EF4-FFF2-40B4-BE49-F238E27FC236}">
              <a16:creationId xmlns:a16="http://schemas.microsoft.com/office/drawing/2014/main" id="{2671F04F-21DF-3749-8C94-6ECF7081084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84000" y="222537867"/>
          <a:ext cx="1080000" cy="1056857"/>
        </a:xfrm>
        <a:prstGeom prst="rect">
          <a:avLst/>
        </a:prstGeom>
      </xdr:spPr>
    </xdr:pic>
    <xdr:clientData/>
  </xdr:oneCellAnchor>
  <xdr:oneCellAnchor>
    <xdr:from>
      <xdr:col>16</xdr:col>
      <xdr:colOff>152400</xdr:colOff>
      <xdr:row>38</xdr:row>
      <xdr:rowOff>548640</xdr:rowOff>
    </xdr:from>
    <xdr:ext cx="1080000" cy="1080000"/>
    <xdr:pic>
      <xdr:nvPicPr>
        <xdr:cNvPr id="49" name="Resim 48">
          <a:extLst>
            <a:ext uri="{FF2B5EF4-FFF2-40B4-BE49-F238E27FC236}">
              <a16:creationId xmlns:a16="http://schemas.microsoft.com/office/drawing/2014/main" id="{9FE522A8-41EC-B946-8B67-2F6F3DF9502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194744340"/>
          <a:ext cx="1080000" cy="1080000"/>
        </a:xfrm>
        <a:prstGeom prst="rect">
          <a:avLst/>
        </a:prstGeom>
      </xdr:spPr>
    </xdr:pic>
    <xdr:clientData/>
  </xdr:oneCellAnchor>
  <xdr:oneCellAnchor>
    <xdr:from>
      <xdr:col>16</xdr:col>
      <xdr:colOff>152400</xdr:colOff>
      <xdr:row>38</xdr:row>
      <xdr:rowOff>1965960</xdr:rowOff>
    </xdr:from>
    <xdr:ext cx="1080000" cy="1080000"/>
    <xdr:pic>
      <xdr:nvPicPr>
        <xdr:cNvPr id="50" name="Resim 49">
          <a:extLst>
            <a:ext uri="{FF2B5EF4-FFF2-40B4-BE49-F238E27FC236}">
              <a16:creationId xmlns:a16="http://schemas.microsoft.com/office/drawing/2014/main" id="{03E58115-7660-E14E-8C0C-E9C60DA49A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196161660"/>
          <a:ext cx="1080000" cy="1080000"/>
        </a:xfrm>
        <a:prstGeom prst="rect">
          <a:avLst/>
        </a:prstGeom>
      </xdr:spPr>
    </xdr:pic>
    <xdr:clientData/>
  </xdr:oneCellAnchor>
  <xdr:twoCellAnchor editAs="oneCell">
    <xdr:from>
      <xdr:col>16</xdr:col>
      <xdr:colOff>0</xdr:colOff>
      <xdr:row>16</xdr:row>
      <xdr:rowOff>0</xdr:rowOff>
    </xdr:from>
    <xdr:to>
      <xdr:col>16</xdr:col>
      <xdr:colOff>304800</xdr:colOff>
      <xdr:row>708</xdr:row>
      <xdr:rowOff>156398</xdr:rowOff>
    </xdr:to>
    <xdr:sp macro="" textlink="">
      <xdr:nvSpPr>
        <xdr:cNvPr id="51" name="AutoShape 1" descr="AŞINDIRICI MADDE HEDEF BASIM KİMYASAL ETİKETLER">
          <a:extLst>
            <a:ext uri="{FF2B5EF4-FFF2-40B4-BE49-F238E27FC236}">
              <a16:creationId xmlns:a16="http://schemas.microsoft.com/office/drawing/2014/main" id="{B45BE7FA-9120-E047-A109-379DEDA3DCB0}"/>
            </a:ext>
          </a:extLst>
        </xdr:cNvPr>
        <xdr:cNvSpPr>
          <a:spLocks noChangeAspect="1" noChangeArrowheads="1"/>
        </xdr:cNvSpPr>
      </xdr:nvSpPr>
      <xdr:spPr bwMode="auto">
        <a:xfrm>
          <a:off x="11557000" y="79629000"/>
          <a:ext cx="304800" cy="140770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16</xdr:row>
      <xdr:rowOff>0</xdr:rowOff>
    </xdr:from>
    <xdr:to>
      <xdr:col>16</xdr:col>
      <xdr:colOff>304800</xdr:colOff>
      <xdr:row>708</xdr:row>
      <xdr:rowOff>156398</xdr:rowOff>
    </xdr:to>
    <xdr:sp macro="" textlink="">
      <xdr:nvSpPr>
        <xdr:cNvPr id="52" name="AutoShape 2" descr="AŞINDIRICI MADDE HEDEF BASIM KİMYASAL ETİKETLER">
          <a:extLst>
            <a:ext uri="{FF2B5EF4-FFF2-40B4-BE49-F238E27FC236}">
              <a16:creationId xmlns:a16="http://schemas.microsoft.com/office/drawing/2014/main" id="{3A7FB605-C776-8F45-9322-8A594945ECF4}"/>
            </a:ext>
          </a:extLst>
        </xdr:cNvPr>
        <xdr:cNvSpPr>
          <a:spLocks noChangeAspect="1" noChangeArrowheads="1"/>
        </xdr:cNvSpPr>
      </xdr:nvSpPr>
      <xdr:spPr bwMode="auto">
        <a:xfrm>
          <a:off x="11557000" y="79629000"/>
          <a:ext cx="304800" cy="140770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152400</xdr:colOff>
      <xdr:row>29</xdr:row>
      <xdr:rowOff>294640</xdr:rowOff>
    </xdr:from>
    <xdr:ext cx="1080000" cy="1080000"/>
    <xdr:pic>
      <xdr:nvPicPr>
        <xdr:cNvPr id="53" name="Resim 52">
          <a:extLst>
            <a:ext uri="{FF2B5EF4-FFF2-40B4-BE49-F238E27FC236}">
              <a16:creationId xmlns:a16="http://schemas.microsoft.com/office/drawing/2014/main" id="{BA986B42-C198-784A-8F45-5E1C2AEFBB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147627340"/>
          <a:ext cx="1080000" cy="1080000"/>
        </a:xfrm>
        <a:prstGeom prst="rect">
          <a:avLst/>
        </a:prstGeom>
      </xdr:spPr>
    </xdr:pic>
    <xdr:clientData/>
  </xdr:oneCellAnchor>
  <xdr:oneCellAnchor>
    <xdr:from>
      <xdr:col>16</xdr:col>
      <xdr:colOff>152400</xdr:colOff>
      <xdr:row>29</xdr:row>
      <xdr:rowOff>1711960</xdr:rowOff>
    </xdr:from>
    <xdr:ext cx="1080000" cy="1080000"/>
    <xdr:pic>
      <xdr:nvPicPr>
        <xdr:cNvPr id="54" name="Resim 53">
          <a:extLst>
            <a:ext uri="{FF2B5EF4-FFF2-40B4-BE49-F238E27FC236}">
              <a16:creationId xmlns:a16="http://schemas.microsoft.com/office/drawing/2014/main" id="{9CA5D456-0F54-A841-A8F1-1526843447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149044660"/>
          <a:ext cx="1080000" cy="1080000"/>
        </a:xfrm>
        <a:prstGeom prst="rect">
          <a:avLst/>
        </a:prstGeom>
      </xdr:spPr>
    </xdr:pic>
    <xdr:clientData/>
  </xdr:oneCellAnchor>
  <xdr:oneCellAnchor>
    <xdr:from>
      <xdr:col>16</xdr:col>
      <xdr:colOff>182880</xdr:colOff>
      <xdr:row>29</xdr:row>
      <xdr:rowOff>3037840</xdr:rowOff>
    </xdr:from>
    <xdr:ext cx="1080000" cy="1080000"/>
    <xdr:pic>
      <xdr:nvPicPr>
        <xdr:cNvPr id="55" name="Resim 54">
          <a:extLst>
            <a:ext uri="{FF2B5EF4-FFF2-40B4-BE49-F238E27FC236}">
              <a16:creationId xmlns:a16="http://schemas.microsoft.com/office/drawing/2014/main" id="{9C5FA16D-BF5C-E945-9831-907B8C8DF98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150370540"/>
          <a:ext cx="1080000" cy="1080000"/>
        </a:xfrm>
        <a:prstGeom prst="rect">
          <a:avLst/>
        </a:prstGeom>
      </xdr:spPr>
    </xdr:pic>
    <xdr:clientData/>
  </xdr:oneCellAnchor>
  <xdr:oneCellAnchor>
    <xdr:from>
      <xdr:col>16</xdr:col>
      <xdr:colOff>223426</xdr:colOff>
      <xdr:row>16</xdr:row>
      <xdr:rowOff>1164167</xdr:rowOff>
    </xdr:from>
    <xdr:ext cx="1080000" cy="1080000"/>
    <xdr:pic>
      <xdr:nvPicPr>
        <xdr:cNvPr id="56" name="Resim 55">
          <a:extLst>
            <a:ext uri="{FF2B5EF4-FFF2-40B4-BE49-F238E27FC236}">
              <a16:creationId xmlns:a16="http://schemas.microsoft.com/office/drawing/2014/main" id="{57221B1D-019B-4C43-91A6-1AD1D89A81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80426" y="80793167"/>
          <a:ext cx="1080000" cy="1080000"/>
        </a:xfrm>
        <a:prstGeom prst="rect">
          <a:avLst/>
        </a:prstGeom>
      </xdr:spPr>
    </xdr:pic>
    <xdr:clientData/>
  </xdr:oneCellAnchor>
  <xdr:oneCellAnchor>
    <xdr:from>
      <xdr:col>16</xdr:col>
      <xdr:colOff>199908</xdr:colOff>
      <xdr:row>16</xdr:row>
      <xdr:rowOff>3231915</xdr:rowOff>
    </xdr:from>
    <xdr:ext cx="1080000" cy="1080000"/>
    <xdr:pic>
      <xdr:nvPicPr>
        <xdr:cNvPr id="57" name="Resim 56">
          <a:extLst>
            <a:ext uri="{FF2B5EF4-FFF2-40B4-BE49-F238E27FC236}">
              <a16:creationId xmlns:a16="http://schemas.microsoft.com/office/drawing/2014/main" id="{6C410F7B-6A31-B547-B691-D702306FAE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6908" y="82860915"/>
          <a:ext cx="1080000" cy="1080000"/>
        </a:xfrm>
        <a:prstGeom prst="rect">
          <a:avLst/>
        </a:prstGeom>
      </xdr:spPr>
    </xdr:pic>
    <xdr:clientData/>
  </xdr:oneCellAnchor>
  <xdr:oneCellAnchor>
    <xdr:from>
      <xdr:col>16</xdr:col>
      <xdr:colOff>121920</xdr:colOff>
      <xdr:row>36</xdr:row>
      <xdr:rowOff>579120</xdr:rowOff>
    </xdr:from>
    <xdr:ext cx="1080000" cy="1080000"/>
    <xdr:pic>
      <xdr:nvPicPr>
        <xdr:cNvPr id="58" name="Resim 57">
          <a:extLst>
            <a:ext uri="{FF2B5EF4-FFF2-40B4-BE49-F238E27FC236}">
              <a16:creationId xmlns:a16="http://schemas.microsoft.com/office/drawing/2014/main" id="{C1F399E7-6628-674D-B7AD-346E3CCC3B0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8920" y="184360820"/>
          <a:ext cx="1080000" cy="1080000"/>
        </a:xfrm>
        <a:prstGeom prst="rect">
          <a:avLst/>
        </a:prstGeom>
      </xdr:spPr>
    </xdr:pic>
    <xdr:clientData/>
  </xdr:oneCellAnchor>
  <xdr:oneCellAnchor>
    <xdr:from>
      <xdr:col>16</xdr:col>
      <xdr:colOff>121920</xdr:colOff>
      <xdr:row>36</xdr:row>
      <xdr:rowOff>1996440</xdr:rowOff>
    </xdr:from>
    <xdr:ext cx="1080000" cy="1080000"/>
    <xdr:pic>
      <xdr:nvPicPr>
        <xdr:cNvPr id="59" name="Resim 58">
          <a:extLst>
            <a:ext uri="{FF2B5EF4-FFF2-40B4-BE49-F238E27FC236}">
              <a16:creationId xmlns:a16="http://schemas.microsoft.com/office/drawing/2014/main" id="{C82BECD1-047E-EE4E-B036-8B348A6DA9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185778140"/>
          <a:ext cx="1080000" cy="1080000"/>
        </a:xfrm>
        <a:prstGeom prst="rect">
          <a:avLst/>
        </a:prstGeom>
      </xdr:spPr>
    </xdr:pic>
    <xdr:clientData/>
  </xdr:oneCellAnchor>
  <xdr:oneCellAnchor>
    <xdr:from>
      <xdr:col>16</xdr:col>
      <xdr:colOff>116454</xdr:colOff>
      <xdr:row>25</xdr:row>
      <xdr:rowOff>95747</xdr:rowOff>
    </xdr:from>
    <xdr:ext cx="1080000" cy="1072847"/>
    <xdr:pic>
      <xdr:nvPicPr>
        <xdr:cNvPr id="60" name="Resim 59">
          <a:extLst>
            <a:ext uri="{FF2B5EF4-FFF2-40B4-BE49-F238E27FC236}">
              <a16:creationId xmlns:a16="http://schemas.microsoft.com/office/drawing/2014/main" id="{122340B5-DEBD-A74D-B63A-9AB6181566E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73454" y="126600447"/>
          <a:ext cx="1080000" cy="1072847"/>
        </a:xfrm>
        <a:prstGeom prst="rect">
          <a:avLst/>
        </a:prstGeom>
      </xdr:spPr>
    </xdr:pic>
    <xdr:clientData/>
  </xdr:oneCellAnchor>
  <xdr:oneCellAnchor>
    <xdr:from>
      <xdr:col>16</xdr:col>
      <xdr:colOff>131694</xdr:colOff>
      <xdr:row>25</xdr:row>
      <xdr:rowOff>1160228</xdr:rowOff>
    </xdr:from>
    <xdr:ext cx="1080000" cy="1080000"/>
    <xdr:pic>
      <xdr:nvPicPr>
        <xdr:cNvPr id="61" name="Resim 60">
          <a:extLst>
            <a:ext uri="{FF2B5EF4-FFF2-40B4-BE49-F238E27FC236}">
              <a16:creationId xmlns:a16="http://schemas.microsoft.com/office/drawing/2014/main" id="{42EAE8C2-7392-0844-85E1-740395F733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8694" y="127664928"/>
          <a:ext cx="1080000" cy="1080000"/>
        </a:xfrm>
        <a:prstGeom prst="rect">
          <a:avLst/>
        </a:prstGeom>
      </xdr:spPr>
    </xdr:pic>
    <xdr:clientData/>
  </xdr:oneCellAnchor>
  <xdr:oneCellAnchor>
    <xdr:from>
      <xdr:col>16</xdr:col>
      <xdr:colOff>173107</xdr:colOff>
      <xdr:row>25</xdr:row>
      <xdr:rowOff>2277055</xdr:rowOff>
    </xdr:from>
    <xdr:ext cx="1080000" cy="1080000"/>
    <xdr:pic>
      <xdr:nvPicPr>
        <xdr:cNvPr id="62" name="Resim 61">
          <a:extLst>
            <a:ext uri="{FF2B5EF4-FFF2-40B4-BE49-F238E27FC236}">
              <a16:creationId xmlns:a16="http://schemas.microsoft.com/office/drawing/2014/main" id="{A4643B03-27F7-3F42-ACEA-C2CDC997842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30107" y="128781755"/>
          <a:ext cx="1080000" cy="1080000"/>
        </a:xfrm>
        <a:prstGeom prst="rect">
          <a:avLst/>
        </a:prstGeom>
      </xdr:spPr>
    </xdr:pic>
    <xdr:clientData/>
  </xdr:oneCellAnchor>
  <xdr:oneCellAnchor>
    <xdr:from>
      <xdr:col>16</xdr:col>
      <xdr:colOff>137160</xdr:colOff>
      <xdr:row>23</xdr:row>
      <xdr:rowOff>289560</xdr:rowOff>
    </xdr:from>
    <xdr:ext cx="1080000" cy="1080000"/>
    <xdr:pic>
      <xdr:nvPicPr>
        <xdr:cNvPr id="63" name="Resim 62">
          <a:extLst>
            <a:ext uri="{FF2B5EF4-FFF2-40B4-BE49-F238E27FC236}">
              <a16:creationId xmlns:a16="http://schemas.microsoft.com/office/drawing/2014/main" id="{6418046C-85F5-FC43-960E-6390364D05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94160" y="116380260"/>
          <a:ext cx="1080000" cy="1080000"/>
        </a:xfrm>
        <a:prstGeom prst="rect">
          <a:avLst/>
        </a:prstGeom>
      </xdr:spPr>
    </xdr:pic>
    <xdr:clientData/>
  </xdr:oneCellAnchor>
  <xdr:oneCellAnchor>
    <xdr:from>
      <xdr:col>16</xdr:col>
      <xdr:colOff>152400</xdr:colOff>
      <xdr:row>23</xdr:row>
      <xdr:rowOff>1859280</xdr:rowOff>
    </xdr:from>
    <xdr:ext cx="1080000" cy="1080000"/>
    <xdr:pic>
      <xdr:nvPicPr>
        <xdr:cNvPr id="64" name="Resim 63">
          <a:extLst>
            <a:ext uri="{FF2B5EF4-FFF2-40B4-BE49-F238E27FC236}">
              <a16:creationId xmlns:a16="http://schemas.microsoft.com/office/drawing/2014/main" id="{F85B1CF9-A19B-F245-A8E0-90A43ACE21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117949980"/>
          <a:ext cx="1080000" cy="1080000"/>
        </a:xfrm>
        <a:prstGeom prst="rect">
          <a:avLst/>
        </a:prstGeom>
      </xdr:spPr>
    </xdr:pic>
    <xdr:clientData/>
  </xdr:oneCellAnchor>
  <xdr:oneCellAnchor>
    <xdr:from>
      <xdr:col>16</xdr:col>
      <xdr:colOff>198120</xdr:colOff>
      <xdr:row>23</xdr:row>
      <xdr:rowOff>3413760</xdr:rowOff>
    </xdr:from>
    <xdr:ext cx="1080000" cy="1080000"/>
    <xdr:pic>
      <xdr:nvPicPr>
        <xdr:cNvPr id="65" name="Resim 64">
          <a:extLst>
            <a:ext uri="{FF2B5EF4-FFF2-40B4-BE49-F238E27FC236}">
              <a16:creationId xmlns:a16="http://schemas.microsoft.com/office/drawing/2014/main" id="{F905EA46-33EC-264B-B67C-8C130C5F30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5120" y="119504460"/>
          <a:ext cx="1080000" cy="1080000"/>
        </a:xfrm>
        <a:prstGeom prst="rect">
          <a:avLst/>
        </a:prstGeom>
      </xdr:spPr>
    </xdr:pic>
    <xdr:clientData/>
  </xdr:oneCellAnchor>
  <xdr:oneCellAnchor>
    <xdr:from>
      <xdr:col>16</xdr:col>
      <xdr:colOff>167640</xdr:colOff>
      <xdr:row>8</xdr:row>
      <xdr:rowOff>3032760</xdr:rowOff>
    </xdr:from>
    <xdr:ext cx="1080000" cy="1080000"/>
    <xdr:pic>
      <xdr:nvPicPr>
        <xdr:cNvPr id="66" name="Resim 65">
          <a:extLst>
            <a:ext uri="{FF2B5EF4-FFF2-40B4-BE49-F238E27FC236}">
              <a16:creationId xmlns:a16="http://schemas.microsoft.com/office/drawing/2014/main" id="{DE17F215-3A37-3647-97D3-EBCC7828D1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41005760"/>
          <a:ext cx="1080000" cy="1080000"/>
        </a:xfrm>
        <a:prstGeom prst="rect">
          <a:avLst/>
        </a:prstGeom>
      </xdr:spPr>
    </xdr:pic>
    <xdr:clientData/>
  </xdr:oneCellAnchor>
  <xdr:oneCellAnchor>
    <xdr:from>
      <xdr:col>16</xdr:col>
      <xdr:colOff>104280</xdr:colOff>
      <xdr:row>8</xdr:row>
      <xdr:rowOff>852945</xdr:rowOff>
    </xdr:from>
    <xdr:ext cx="1080000" cy="1080000"/>
    <xdr:pic>
      <xdr:nvPicPr>
        <xdr:cNvPr id="67" name="Resim 66">
          <a:extLst>
            <a:ext uri="{FF2B5EF4-FFF2-40B4-BE49-F238E27FC236}">
              <a16:creationId xmlns:a16="http://schemas.microsoft.com/office/drawing/2014/main" id="{84F4E8B0-A23A-F940-B3A9-83ED50A32E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1280" y="38825945"/>
          <a:ext cx="1080000" cy="1080000"/>
        </a:xfrm>
        <a:prstGeom prst="rect">
          <a:avLst/>
        </a:prstGeom>
      </xdr:spPr>
    </xdr:pic>
    <xdr:clientData/>
  </xdr:oneCellAnchor>
  <xdr:oneCellAnchor>
    <xdr:from>
      <xdr:col>16</xdr:col>
      <xdr:colOff>119520</xdr:colOff>
      <xdr:row>24</xdr:row>
      <xdr:rowOff>228105</xdr:rowOff>
    </xdr:from>
    <xdr:ext cx="1080000" cy="1080000"/>
    <xdr:pic>
      <xdr:nvPicPr>
        <xdr:cNvPr id="68" name="Resim 67">
          <a:extLst>
            <a:ext uri="{FF2B5EF4-FFF2-40B4-BE49-F238E27FC236}">
              <a16:creationId xmlns:a16="http://schemas.microsoft.com/office/drawing/2014/main" id="{2A5271C7-6D78-7A4F-A73F-C42AB4D54A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6520" y="121525805"/>
          <a:ext cx="1080000" cy="1080000"/>
        </a:xfrm>
        <a:prstGeom prst="rect">
          <a:avLst/>
        </a:prstGeom>
      </xdr:spPr>
    </xdr:pic>
    <xdr:clientData/>
  </xdr:oneCellAnchor>
  <xdr:oneCellAnchor>
    <xdr:from>
      <xdr:col>16</xdr:col>
      <xdr:colOff>182880</xdr:colOff>
      <xdr:row>24</xdr:row>
      <xdr:rowOff>1615440</xdr:rowOff>
    </xdr:from>
    <xdr:ext cx="1080000" cy="1080000"/>
    <xdr:pic>
      <xdr:nvPicPr>
        <xdr:cNvPr id="69" name="Resim 68">
          <a:extLst>
            <a:ext uri="{FF2B5EF4-FFF2-40B4-BE49-F238E27FC236}">
              <a16:creationId xmlns:a16="http://schemas.microsoft.com/office/drawing/2014/main" id="{CF49FB74-9576-A641-8936-65C175A24F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880" y="122913140"/>
          <a:ext cx="1080000" cy="1080000"/>
        </a:xfrm>
        <a:prstGeom prst="rect">
          <a:avLst/>
        </a:prstGeom>
      </xdr:spPr>
    </xdr:pic>
    <xdr:clientData/>
  </xdr:oneCellAnchor>
  <xdr:oneCellAnchor>
    <xdr:from>
      <xdr:col>16</xdr:col>
      <xdr:colOff>182880</xdr:colOff>
      <xdr:row>24</xdr:row>
      <xdr:rowOff>3002280</xdr:rowOff>
    </xdr:from>
    <xdr:ext cx="1080000" cy="1080000"/>
    <xdr:pic>
      <xdr:nvPicPr>
        <xdr:cNvPr id="70" name="Resim 69">
          <a:extLst>
            <a:ext uri="{FF2B5EF4-FFF2-40B4-BE49-F238E27FC236}">
              <a16:creationId xmlns:a16="http://schemas.microsoft.com/office/drawing/2014/main" id="{3498FDF8-A24E-934C-98A5-7C1F851F5D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124299980"/>
          <a:ext cx="1080000" cy="1080000"/>
        </a:xfrm>
        <a:prstGeom prst="rect">
          <a:avLst/>
        </a:prstGeom>
      </xdr:spPr>
    </xdr:pic>
    <xdr:clientData/>
  </xdr:oneCellAnchor>
  <xdr:oneCellAnchor>
    <xdr:from>
      <xdr:col>16</xdr:col>
      <xdr:colOff>69124</xdr:colOff>
      <xdr:row>45</xdr:row>
      <xdr:rowOff>295910</xdr:rowOff>
    </xdr:from>
    <xdr:ext cx="1080000" cy="1080000"/>
    <xdr:pic>
      <xdr:nvPicPr>
        <xdr:cNvPr id="71" name="Resim 70">
          <a:extLst>
            <a:ext uri="{FF2B5EF4-FFF2-40B4-BE49-F238E27FC236}">
              <a16:creationId xmlns:a16="http://schemas.microsoft.com/office/drawing/2014/main" id="{536E71FF-EDD0-1E48-AF32-41DE61393C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124" y="230940610"/>
          <a:ext cx="1080000" cy="1080000"/>
        </a:xfrm>
        <a:prstGeom prst="rect">
          <a:avLst/>
        </a:prstGeom>
      </xdr:spPr>
    </xdr:pic>
    <xdr:clientData/>
  </xdr:oneCellAnchor>
  <xdr:oneCellAnchor>
    <xdr:from>
      <xdr:col>16</xdr:col>
      <xdr:colOff>129721</xdr:colOff>
      <xdr:row>45</xdr:row>
      <xdr:rowOff>1483904</xdr:rowOff>
    </xdr:from>
    <xdr:ext cx="1080000" cy="1080000"/>
    <xdr:pic>
      <xdr:nvPicPr>
        <xdr:cNvPr id="72" name="Resim 71">
          <a:extLst>
            <a:ext uri="{FF2B5EF4-FFF2-40B4-BE49-F238E27FC236}">
              <a16:creationId xmlns:a16="http://schemas.microsoft.com/office/drawing/2014/main" id="{A017B7DD-102A-EF4B-81C5-869494CDB9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6721" y="232128604"/>
          <a:ext cx="1080000" cy="1080000"/>
        </a:xfrm>
        <a:prstGeom prst="rect">
          <a:avLst/>
        </a:prstGeom>
      </xdr:spPr>
    </xdr:pic>
    <xdr:clientData/>
  </xdr:oneCellAnchor>
  <xdr:oneCellAnchor>
    <xdr:from>
      <xdr:col>16</xdr:col>
      <xdr:colOff>107043</xdr:colOff>
      <xdr:row>45</xdr:row>
      <xdr:rowOff>2680063</xdr:rowOff>
    </xdr:from>
    <xdr:ext cx="1080000" cy="1080000"/>
    <xdr:pic>
      <xdr:nvPicPr>
        <xdr:cNvPr id="73" name="Resim 72">
          <a:extLst>
            <a:ext uri="{FF2B5EF4-FFF2-40B4-BE49-F238E27FC236}">
              <a16:creationId xmlns:a16="http://schemas.microsoft.com/office/drawing/2014/main" id="{29585187-FFE6-2344-8642-C4C52433F7E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64043" y="233324763"/>
          <a:ext cx="1080000" cy="1080000"/>
        </a:xfrm>
        <a:prstGeom prst="rect">
          <a:avLst/>
        </a:prstGeom>
      </xdr:spPr>
    </xdr:pic>
    <xdr:clientData/>
  </xdr:oneCellAnchor>
  <xdr:oneCellAnchor>
    <xdr:from>
      <xdr:col>16</xdr:col>
      <xdr:colOff>136797</xdr:colOff>
      <xdr:row>35</xdr:row>
      <xdr:rowOff>1497240</xdr:rowOff>
    </xdr:from>
    <xdr:ext cx="1080000" cy="1080000"/>
    <xdr:pic>
      <xdr:nvPicPr>
        <xdr:cNvPr id="74" name="Resim 73">
          <a:extLst>
            <a:ext uri="{FF2B5EF4-FFF2-40B4-BE49-F238E27FC236}">
              <a16:creationId xmlns:a16="http://schemas.microsoft.com/office/drawing/2014/main" id="{1055A3A7-B81E-FD41-A2B9-CD675D2ABB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3797" y="180071940"/>
          <a:ext cx="1080000" cy="1080000"/>
        </a:xfrm>
        <a:prstGeom prst="rect">
          <a:avLst/>
        </a:prstGeom>
      </xdr:spPr>
    </xdr:pic>
    <xdr:clientData/>
  </xdr:oneCellAnchor>
  <xdr:oneCellAnchor>
    <xdr:from>
      <xdr:col>16</xdr:col>
      <xdr:colOff>160564</xdr:colOff>
      <xdr:row>35</xdr:row>
      <xdr:rowOff>2988673</xdr:rowOff>
    </xdr:from>
    <xdr:ext cx="1080000" cy="1080000"/>
    <xdr:pic>
      <xdr:nvPicPr>
        <xdr:cNvPr id="75" name="Resim 74">
          <a:extLst>
            <a:ext uri="{FF2B5EF4-FFF2-40B4-BE49-F238E27FC236}">
              <a16:creationId xmlns:a16="http://schemas.microsoft.com/office/drawing/2014/main" id="{CA2BF34C-8105-F549-A968-E652FC07BE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17564" y="181563373"/>
          <a:ext cx="1080000" cy="1080000"/>
        </a:xfrm>
        <a:prstGeom prst="rect">
          <a:avLst/>
        </a:prstGeom>
      </xdr:spPr>
    </xdr:pic>
    <xdr:clientData/>
  </xdr:oneCellAnchor>
  <xdr:oneCellAnchor>
    <xdr:from>
      <xdr:col>16</xdr:col>
      <xdr:colOff>171641</xdr:colOff>
      <xdr:row>32</xdr:row>
      <xdr:rowOff>281608</xdr:rowOff>
    </xdr:from>
    <xdr:ext cx="1077300" cy="1080000"/>
    <xdr:pic>
      <xdr:nvPicPr>
        <xdr:cNvPr id="76" name="Resim 75">
          <a:extLst>
            <a:ext uri="{FF2B5EF4-FFF2-40B4-BE49-F238E27FC236}">
              <a16:creationId xmlns:a16="http://schemas.microsoft.com/office/drawing/2014/main" id="{5419B284-C76D-154F-9AD3-6BB89551F5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728641" y="163235308"/>
          <a:ext cx="1077300" cy="1080000"/>
        </a:xfrm>
        <a:prstGeom prst="rect">
          <a:avLst/>
        </a:prstGeom>
      </xdr:spPr>
    </xdr:pic>
    <xdr:clientData/>
  </xdr:oneCellAnchor>
  <xdr:oneCellAnchor>
    <xdr:from>
      <xdr:col>16</xdr:col>
      <xdr:colOff>185531</xdr:colOff>
      <xdr:row>32</xdr:row>
      <xdr:rowOff>1722781</xdr:rowOff>
    </xdr:from>
    <xdr:ext cx="1080000" cy="1080000"/>
    <xdr:pic>
      <xdr:nvPicPr>
        <xdr:cNvPr id="77" name="Resim 76">
          <a:extLst>
            <a:ext uri="{FF2B5EF4-FFF2-40B4-BE49-F238E27FC236}">
              <a16:creationId xmlns:a16="http://schemas.microsoft.com/office/drawing/2014/main" id="{80560745-741E-354A-A10C-5C8EE63D23B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2531" y="164676481"/>
          <a:ext cx="1080000" cy="1080000"/>
        </a:xfrm>
        <a:prstGeom prst="rect">
          <a:avLst/>
        </a:prstGeom>
      </xdr:spPr>
    </xdr:pic>
    <xdr:clientData/>
  </xdr:oneCellAnchor>
  <xdr:oneCellAnchor>
    <xdr:from>
      <xdr:col>16</xdr:col>
      <xdr:colOff>191347</xdr:colOff>
      <xdr:row>11</xdr:row>
      <xdr:rowOff>2020994</xdr:rowOff>
    </xdr:from>
    <xdr:ext cx="1080000" cy="1080000"/>
    <xdr:pic>
      <xdr:nvPicPr>
        <xdr:cNvPr id="78" name="Resim 77">
          <a:extLst>
            <a:ext uri="{FF2B5EF4-FFF2-40B4-BE49-F238E27FC236}">
              <a16:creationId xmlns:a16="http://schemas.microsoft.com/office/drawing/2014/main" id="{A7B7B860-0472-AE46-94B1-FFB5581082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8347" y="55614994"/>
          <a:ext cx="1080000" cy="1080000"/>
        </a:xfrm>
        <a:prstGeom prst="rect">
          <a:avLst/>
        </a:prstGeom>
      </xdr:spPr>
    </xdr:pic>
    <xdr:clientData/>
  </xdr:oneCellAnchor>
  <xdr:oneCellAnchor>
    <xdr:from>
      <xdr:col>16</xdr:col>
      <xdr:colOff>155023</xdr:colOff>
      <xdr:row>35</xdr:row>
      <xdr:rowOff>186772</xdr:rowOff>
    </xdr:from>
    <xdr:ext cx="1080000" cy="1080000"/>
    <xdr:pic>
      <xdr:nvPicPr>
        <xdr:cNvPr id="79" name="Resim 78">
          <a:extLst>
            <a:ext uri="{FF2B5EF4-FFF2-40B4-BE49-F238E27FC236}">
              <a16:creationId xmlns:a16="http://schemas.microsoft.com/office/drawing/2014/main" id="{A3A7665B-1BFB-A64F-AA25-261859AAF9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12023" y="178761472"/>
          <a:ext cx="1080000" cy="1080000"/>
        </a:xfrm>
        <a:prstGeom prst="rect">
          <a:avLst/>
        </a:prstGeom>
      </xdr:spPr>
    </xdr:pic>
    <xdr:clientData/>
  </xdr:oneCellAnchor>
  <xdr:oneCellAnchor>
    <xdr:from>
      <xdr:col>16</xdr:col>
      <xdr:colOff>180480</xdr:colOff>
      <xdr:row>17</xdr:row>
      <xdr:rowOff>1416825</xdr:rowOff>
    </xdr:from>
    <xdr:ext cx="1080000" cy="1080000"/>
    <xdr:pic>
      <xdr:nvPicPr>
        <xdr:cNvPr id="80" name="Resim 79">
          <a:extLst>
            <a:ext uri="{FF2B5EF4-FFF2-40B4-BE49-F238E27FC236}">
              <a16:creationId xmlns:a16="http://schemas.microsoft.com/office/drawing/2014/main" id="{E0EF17D4-1685-8D47-AB62-8011AFE09F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37480" y="86252825"/>
          <a:ext cx="1080000" cy="1080000"/>
        </a:xfrm>
        <a:prstGeom prst="rect">
          <a:avLst/>
        </a:prstGeom>
      </xdr:spPr>
    </xdr:pic>
    <xdr:clientData/>
  </xdr:oneCellAnchor>
  <xdr:oneCellAnchor>
    <xdr:from>
      <xdr:col>16</xdr:col>
      <xdr:colOff>137160</xdr:colOff>
      <xdr:row>17</xdr:row>
      <xdr:rowOff>106680</xdr:rowOff>
    </xdr:from>
    <xdr:ext cx="1080000" cy="1080000"/>
    <xdr:pic>
      <xdr:nvPicPr>
        <xdr:cNvPr id="81" name="Resim 80">
          <a:extLst>
            <a:ext uri="{FF2B5EF4-FFF2-40B4-BE49-F238E27FC236}">
              <a16:creationId xmlns:a16="http://schemas.microsoft.com/office/drawing/2014/main" id="{D0D6099B-5206-174D-B30D-3E23730C18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84942680"/>
          <a:ext cx="1080000" cy="1080000"/>
        </a:xfrm>
        <a:prstGeom prst="rect">
          <a:avLst/>
        </a:prstGeom>
      </xdr:spPr>
    </xdr:pic>
    <xdr:clientData/>
  </xdr:oneCellAnchor>
  <xdr:twoCellAnchor editAs="oneCell">
    <xdr:from>
      <xdr:col>16</xdr:col>
      <xdr:colOff>0</xdr:colOff>
      <xdr:row>21</xdr:row>
      <xdr:rowOff>0</xdr:rowOff>
    </xdr:from>
    <xdr:to>
      <xdr:col>16</xdr:col>
      <xdr:colOff>304800</xdr:colOff>
      <xdr:row>713</xdr:row>
      <xdr:rowOff>57150</xdr:rowOff>
    </xdr:to>
    <xdr:sp macro="" textlink="">
      <xdr:nvSpPr>
        <xdr:cNvPr id="82" name="AutoShape 1" descr="AŞINDIRICI MADDE HEDEF BASIM KİMYASAL ETİKETLER">
          <a:extLst>
            <a:ext uri="{FF2B5EF4-FFF2-40B4-BE49-F238E27FC236}">
              <a16:creationId xmlns:a16="http://schemas.microsoft.com/office/drawing/2014/main" id="{0ECF6056-0614-1243-8D78-1BFB41F9A035}"/>
            </a:ext>
          </a:extLst>
        </xdr:cNvPr>
        <xdr:cNvSpPr>
          <a:spLocks noChangeAspect="1" noChangeArrowheads="1"/>
        </xdr:cNvSpPr>
      </xdr:nvSpPr>
      <xdr:spPr bwMode="auto">
        <a:xfrm>
          <a:off x="11557000" y="105664000"/>
          <a:ext cx="304800" cy="14067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21</xdr:row>
      <xdr:rowOff>0</xdr:rowOff>
    </xdr:from>
    <xdr:to>
      <xdr:col>16</xdr:col>
      <xdr:colOff>304800</xdr:colOff>
      <xdr:row>713</xdr:row>
      <xdr:rowOff>57150</xdr:rowOff>
    </xdr:to>
    <xdr:sp macro="" textlink="">
      <xdr:nvSpPr>
        <xdr:cNvPr id="83" name="AutoShape 2" descr="AŞINDIRICI MADDE HEDEF BASIM KİMYASAL ETİKETLER">
          <a:extLst>
            <a:ext uri="{FF2B5EF4-FFF2-40B4-BE49-F238E27FC236}">
              <a16:creationId xmlns:a16="http://schemas.microsoft.com/office/drawing/2014/main" id="{82E28DC2-75CE-C040-A0C0-F5E18207C6F4}"/>
            </a:ext>
          </a:extLst>
        </xdr:cNvPr>
        <xdr:cNvSpPr>
          <a:spLocks noChangeAspect="1" noChangeArrowheads="1"/>
        </xdr:cNvSpPr>
      </xdr:nvSpPr>
      <xdr:spPr bwMode="auto">
        <a:xfrm>
          <a:off x="11557000" y="105664000"/>
          <a:ext cx="304800" cy="14067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28</xdr:row>
      <xdr:rowOff>0</xdr:rowOff>
    </xdr:from>
    <xdr:ext cx="304800" cy="5218289"/>
    <xdr:sp macro="" textlink="">
      <xdr:nvSpPr>
        <xdr:cNvPr id="84" name="AutoShape 1" descr="AŞINDIRICI MADDE HEDEF BASIM KİMYASAL ETİKETLER">
          <a:extLst>
            <a:ext uri="{FF2B5EF4-FFF2-40B4-BE49-F238E27FC236}">
              <a16:creationId xmlns:a16="http://schemas.microsoft.com/office/drawing/2014/main" id="{00892DF7-428E-E541-AE47-7837348393CD}"/>
            </a:ext>
          </a:extLst>
        </xdr:cNvPr>
        <xdr:cNvSpPr>
          <a:spLocks noChangeAspect="1" noChangeArrowheads="1"/>
        </xdr:cNvSpPr>
      </xdr:nvSpPr>
      <xdr:spPr bwMode="auto">
        <a:xfrm>
          <a:off x="11557000" y="142125700"/>
          <a:ext cx="304800" cy="5218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28</xdr:row>
      <xdr:rowOff>0</xdr:rowOff>
    </xdr:from>
    <xdr:ext cx="304800" cy="5218289"/>
    <xdr:sp macro="" textlink="">
      <xdr:nvSpPr>
        <xdr:cNvPr id="85" name="AutoShape 2" descr="AŞINDIRICI MADDE HEDEF BASIM KİMYASAL ETİKETLER">
          <a:extLst>
            <a:ext uri="{FF2B5EF4-FFF2-40B4-BE49-F238E27FC236}">
              <a16:creationId xmlns:a16="http://schemas.microsoft.com/office/drawing/2014/main" id="{C75D25D8-0E64-4646-B855-3B8B8819B92C}"/>
            </a:ext>
          </a:extLst>
        </xdr:cNvPr>
        <xdr:cNvSpPr>
          <a:spLocks noChangeAspect="1" noChangeArrowheads="1"/>
        </xdr:cNvSpPr>
      </xdr:nvSpPr>
      <xdr:spPr bwMode="auto">
        <a:xfrm>
          <a:off x="11557000" y="142125700"/>
          <a:ext cx="304800" cy="52182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16</xdr:col>
      <xdr:colOff>0</xdr:colOff>
      <xdr:row>21</xdr:row>
      <xdr:rowOff>0</xdr:rowOff>
    </xdr:from>
    <xdr:to>
      <xdr:col>16</xdr:col>
      <xdr:colOff>304800</xdr:colOff>
      <xdr:row>47</xdr:row>
      <xdr:rowOff>50800</xdr:rowOff>
    </xdr:to>
    <xdr:sp macro="" textlink="">
      <xdr:nvSpPr>
        <xdr:cNvPr id="86" name="AutoShape 1" descr="AŞINDIRICI MADDE HEDEF BASIM KİMYASAL ETİKETLER">
          <a:extLst>
            <a:ext uri="{FF2B5EF4-FFF2-40B4-BE49-F238E27FC236}">
              <a16:creationId xmlns:a16="http://schemas.microsoft.com/office/drawing/2014/main" id="{E09167C3-651D-4E46-BD57-8A30E323EEE7}"/>
            </a:ext>
          </a:extLst>
        </xdr:cNvPr>
        <xdr:cNvSpPr>
          <a:spLocks noChangeAspect="1" noChangeArrowheads="1"/>
        </xdr:cNvSpPr>
      </xdr:nvSpPr>
      <xdr:spPr bwMode="auto">
        <a:xfrm>
          <a:off x="11557000" y="105664000"/>
          <a:ext cx="304800" cy="533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21</xdr:row>
      <xdr:rowOff>0</xdr:rowOff>
    </xdr:from>
    <xdr:to>
      <xdr:col>16</xdr:col>
      <xdr:colOff>304800</xdr:colOff>
      <xdr:row>47</xdr:row>
      <xdr:rowOff>50800</xdr:rowOff>
    </xdr:to>
    <xdr:sp macro="" textlink="">
      <xdr:nvSpPr>
        <xdr:cNvPr id="87" name="AutoShape 2" descr="AŞINDIRICI MADDE HEDEF BASIM KİMYASAL ETİKETLER">
          <a:extLst>
            <a:ext uri="{FF2B5EF4-FFF2-40B4-BE49-F238E27FC236}">
              <a16:creationId xmlns:a16="http://schemas.microsoft.com/office/drawing/2014/main" id="{97A2B897-2084-6845-970B-DF3543EE378A}"/>
            </a:ext>
          </a:extLst>
        </xdr:cNvPr>
        <xdr:cNvSpPr>
          <a:spLocks noChangeAspect="1" noChangeArrowheads="1"/>
        </xdr:cNvSpPr>
      </xdr:nvSpPr>
      <xdr:spPr bwMode="auto">
        <a:xfrm>
          <a:off x="11557000" y="105664000"/>
          <a:ext cx="304800" cy="5334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81280</xdr:colOff>
      <xdr:row>21</xdr:row>
      <xdr:rowOff>132080</xdr:rowOff>
    </xdr:from>
    <xdr:ext cx="1080000" cy="1080000"/>
    <xdr:pic>
      <xdr:nvPicPr>
        <xdr:cNvPr id="88" name="Resim 87">
          <a:extLst>
            <a:ext uri="{FF2B5EF4-FFF2-40B4-BE49-F238E27FC236}">
              <a16:creationId xmlns:a16="http://schemas.microsoft.com/office/drawing/2014/main" id="{5DD03A23-44BE-8948-9506-3EBE4831EC3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38280" y="105796080"/>
          <a:ext cx="1080000" cy="1080000"/>
        </a:xfrm>
        <a:prstGeom prst="rect">
          <a:avLst/>
        </a:prstGeom>
      </xdr:spPr>
    </xdr:pic>
    <xdr:clientData/>
  </xdr:oneCellAnchor>
  <xdr:twoCellAnchor editAs="oneCell">
    <xdr:from>
      <xdr:col>16</xdr:col>
      <xdr:colOff>121920</xdr:colOff>
      <xdr:row>21</xdr:row>
      <xdr:rowOff>1341120</xdr:rowOff>
    </xdr:from>
    <xdr:to>
      <xdr:col>16</xdr:col>
      <xdr:colOff>1201920</xdr:colOff>
      <xdr:row>21</xdr:row>
      <xdr:rowOff>2401824</xdr:rowOff>
    </xdr:to>
    <xdr:pic>
      <xdr:nvPicPr>
        <xdr:cNvPr id="89" name="Resim 88">
          <a:extLst>
            <a:ext uri="{FF2B5EF4-FFF2-40B4-BE49-F238E27FC236}">
              <a16:creationId xmlns:a16="http://schemas.microsoft.com/office/drawing/2014/main" id="{EA5F26CD-DA47-AE44-9E4F-D445A1411D86}"/>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329920" y="107005120"/>
          <a:ext cx="1080000" cy="1060704"/>
        </a:xfrm>
        <a:prstGeom prst="rect">
          <a:avLst/>
        </a:prstGeom>
      </xdr:spPr>
    </xdr:pic>
    <xdr:clientData/>
  </xdr:twoCellAnchor>
  <xdr:oneCellAnchor>
    <xdr:from>
      <xdr:col>16</xdr:col>
      <xdr:colOff>106680</xdr:colOff>
      <xdr:row>21</xdr:row>
      <xdr:rowOff>2499360</xdr:rowOff>
    </xdr:from>
    <xdr:ext cx="1080000" cy="1080000"/>
    <xdr:pic>
      <xdr:nvPicPr>
        <xdr:cNvPr id="90" name="Resim 89">
          <a:extLst>
            <a:ext uri="{FF2B5EF4-FFF2-40B4-BE49-F238E27FC236}">
              <a16:creationId xmlns:a16="http://schemas.microsoft.com/office/drawing/2014/main" id="{C62A3A8A-EC94-C649-AE65-BADBE36726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108163360"/>
          <a:ext cx="1080000" cy="1080000"/>
        </a:xfrm>
        <a:prstGeom prst="rect">
          <a:avLst/>
        </a:prstGeom>
      </xdr:spPr>
    </xdr:pic>
    <xdr:clientData/>
  </xdr:oneCellAnchor>
  <xdr:oneCellAnchor>
    <xdr:from>
      <xdr:col>16</xdr:col>
      <xdr:colOff>121920</xdr:colOff>
      <xdr:row>21</xdr:row>
      <xdr:rowOff>3738880</xdr:rowOff>
    </xdr:from>
    <xdr:ext cx="1080000" cy="1080000"/>
    <xdr:pic>
      <xdr:nvPicPr>
        <xdr:cNvPr id="91" name="Resim 90">
          <a:extLst>
            <a:ext uri="{FF2B5EF4-FFF2-40B4-BE49-F238E27FC236}">
              <a16:creationId xmlns:a16="http://schemas.microsoft.com/office/drawing/2014/main" id="{F12EC89E-5DE5-FF4F-860B-64078C8E08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109402880"/>
          <a:ext cx="1080000" cy="1080000"/>
        </a:xfrm>
        <a:prstGeom prst="rect">
          <a:avLst/>
        </a:prstGeom>
      </xdr:spPr>
    </xdr:pic>
    <xdr:clientData/>
  </xdr:oneCellAnchor>
  <xdr:oneCellAnchor>
    <xdr:from>
      <xdr:col>16</xdr:col>
      <xdr:colOff>137160</xdr:colOff>
      <xdr:row>47</xdr:row>
      <xdr:rowOff>152400</xdr:rowOff>
    </xdr:from>
    <xdr:ext cx="1080000" cy="1080000"/>
    <xdr:pic>
      <xdr:nvPicPr>
        <xdr:cNvPr id="92" name="Resim 91">
          <a:extLst>
            <a:ext uri="{FF2B5EF4-FFF2-40B4-BE49-F238E27FC236}">
              <a16:creationId xmlns:a16="http://schemas.microsoft.com/office/drawing/2014/main" id="{40B70780-359D-E24C-84DF-6CD2E3F37A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4160" y="241211100"/>
          <a:ext cx="1080000" cy="1080000"/>
        </a:xfrm>
        <a:prstGeom prst="rect">
          <a:avLst/>
        </a:prstGeom>
      </xdr:spPr>
    </xdr:pic>
    <xdr:clientData/>
  </xdr:oneCellAnchor>
  <xdr:oneCellAnchor>
    <xdr:from>
      <xdr:col>16</xdr:col>
      <xdr:colOff>152400</xdr:colOff>
      <xdr:row>47</xdr:row>
      <xdr:rowOff>1493520</xdr:rowOff>
    </xdr:from>
    <xdr:ext cx="1080000" cy="1080000"/>
    <xdr:pic>
      <xdr:nvPicPr>
        <xdr:cNvPr id="93" name="Resim 92">
          <a:extLst>
            <a:ext uri="{FF2B5EF4-FFF2-40B4-BE49-F238E27FC236}">
              <a16:creationId xmlns:a16="http://schemas.microsoft.com/office/drawing/2014/main" id="{0E76EAF8-DCB1-654D-9DF6-0C3AC6DD7E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9400" y="242552220"/>
          <a:ext cx="1080000" cy="1080000"/>
        </a:xfrm>
        <a:prstGeom prst="rect">
          <a:avLst/>
        </a:prstGeom>
      </xdr:spPr>
    </xdr:pic>
    <xdr:clientData/>
  </xdr:oneCellAnchor>
  <xdr:twoCellAnchor editAs="oneCell">
    <xdr:from>
      <xdr:col>16</xdr:col>
      <xdr:colOff>0</xdr:colOff>
      <xdr:row>22</xdr:row>
      <xdr:rowOff>0</xdr:rowOff>
    </xdr:from>
    <xdr:to>
      <xdr:col>16</xdr:col>
      <xdr:colOff>304800</xdr:colOff>
      <xdr:row>714</xdr:row>
      <xdr:rowOff>53975</xdr:rowOff>
    </xdr:to>
    <xdr:sp macro="" textlink="">
      <xdr:nvSpPr>
        <xdr:cNvPr id="94" name="AutoShape 1" descr="AŞINDIRICI MADDE HEDEF BASIM KİMYASAL ETİKETLER">
          <a:extLst>
            <a:ext uri="{FF2B5EF4-FFF2-40B4-BE49-F238E27FC236}">
              <a16:creationId xmlns:a16="http://schemas.microsoft.com/office/drawing/2014/main" id="{F6389E5A-3072-B048-9760-43C25E2A73E5}"/>
            </a:ext>
          </a:extLst>
        </xdr:cNvPr>
        <xdr:cNvSpPr>
          <a:spLocks noChangeAspect="1" noChangeArrowheads="1"/>
        </xdr:cNvSpPr>
      </xdr:nvSpPr>
      <xdr:spPr bwMode="auto">
        <a:xfrm>
          <a:off x="11557000" y="110883700"/>
          <a:ext cx="304800" cy="140668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22</xdr:row>
      <xdr:rowOff>0</xdr:rowOff>
    </xdr:from>
    <xdr:to>
      <xdr:col>16</xdr:col>
      <xdr:colOff>304800</xdr:colOff>
      <xdr:row>714</xdr:row>
      <xdr:rowOff>53975</xdr:rowOff>
    </xdr:to>
    <xdr:sp macro="" textlink="">
      <xdr:nvSpPr>
        <xdr:cNvPr id="95" name="AutoShape 2" descr="AŞINDIRICI MADDE HEDEF BASIM KİMYASAL ETİKETLER">
          <a:extLst>
            <a:ext uri="{FF2B5EF4-FFF2-40B4-BE49-F238E27FC236}">
              <a16:creationId xmlns:a16="http://schemas.microsoft.com/office/drawing/2014/main" id="{7A363CC3-DECC-7B4F-BE9C-EDBB2A9CC4C8}"/>
            </a:ext>
          </a:extLst>
        </xdr:cNvPr>
        <xdr:cNvSpPr>
          <a:spLocks noChangeAspect="1" noChangeArrowheads="1"/>
        </xdr:cNvSpPr>
      </xdr:nvSpPr>
      <xdr:spPr bwMode="auto">
        <a:xfrm>
          <a:off x="11557000" y="110883700"/>
          <a:ext cx="304800" cy="140668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167640</xdr:colOff>
      <xdr:row>47</xdr:row>
      <xdr:rowOff>2773680</xdr:rowOff>
    </xdr:from>
    <xdr:ext cx="1080000" cy="1080000"/>
    <xdr:pic>
      <xdr:nvPicPr>
        <xdr:cNvPr id="96" name="Resim 95">
          <a:extLst>
            <a:ext uri="{FF2B5EF4-FFF2-40B4-BE49-F238E27FC236}">
              <a16:creationId xmlns:a16="http://schemas.microsoft.com/office/drawing/2014/main" id="{FF39D84C-7E00-B843-922C-2A6DAD1368B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243832380"/>
          <a:ext cx="1080000" cy="1080000"/>
        </a:xfrm>
        <a:prstGeom prst="rect">
          <a:avLst/>
        </a:prstGeom>
      </xdr:spPr>
    </xdr:pic>
    <xdr:clientData/>
  </xdr:oneCellAnchor>
  <xdr:oneCellAnchor>
    <xdr:from>
      <xdr:col>16</xdr:col>
      <xdr:colOff>121920</xdr:colOff>
      <xdr:row>18</xdr:row>
      <xdr:rowOff>2529840</xdr:rowOff>
    </xdr:from>
    <xdr:ext cx="1080000" cy="1080000"/>
    <xdr:pic>
      <xdr:nvPicPr>
        <xdr:cNvPr id="97" name="Resim 96">
          <a:extLst>
            <a:ext uri="{FF2B5EF4-FFF2-40B4-BE49-F238E27FC236}">
              <a16:creationId xmlns:a16="http://schemas.microsoft.com/office/drawing/2014/main" id="{B28CA8FA-62F8-984A-A8BB-324BEB42A5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92572840"/>
          <a:ext cx="1080000" cy="1080000"/>
        </a:xfrm>
        <a:prstGeom prst="rect">
          <a:avLst/>
        </a:prstGeom>
      </xdr:spPr>
    </xdr:pic>
    <xdr:clientData/>
  </xdr:oneCellAnchor>
  <xdr:oneCellAnchor>
    <xdr:from>
      <xdr:col>16</xdr:col>
      <xdr:colOff>121920</xdr:colOff>
      <xdr:row>46</xdr:row>
      <xdr:rowOff>1143000</xdr:rowOff>
    </xdr:from>
    <xdr:ext cx="1080000" cy="1080000"/>
    <xdr:pic>
      <xdr:nvPicPr>
        <xdr:cNvPr id="98" name="Resim 97">
          <a:extLst>
            <a:ext uri="{FF2B5EF4-FFF2-40B4-BE49-F238E27FC236}">
              <a16:creationId xmlns:a16="http://schemas.microsoft.com/office/drawing/2014/main" id="{39C3D4D6-2A9C-B940-9C7B-DAE83F7989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236994700"/>
          <a:ext cx="1080000" cy="1080000"/>
        </a:xfrm>
        <a:prstGeom prst="rect">
          <a:avLst/>
        </a:prstGeom>
      </xdr:spPr>
    </xdr:pic>
    <xdr:clientData/>
  </xdr:oneCellAnchor>
  <xdr:oneCellAnchor>
    <xdr:from>
      <xdr:col>16</xdr:col>
      <xdr:colOff>152400</xdr:colOff>
      <xdr:row>57</xdr:row>
      <xdr:rowOff>1615440</xdr:rowOff>
    </xdr:from>
    <xdr:ext cx="1080000" cy="1080000"/>
    <xdr:pic>
      <xdr:nvPicPr>
        <xdr:cNvPr id="99" name="Resim 98">
          <a:extLst>
            <a:ext uri="{FF2B5EF4-FFF2-40B4-BE49-F238E27FC236}">
              <a16:creationId xmlns:a16="http://schemas.microsoft.com/office/drawing/2014/main" id="{266A9154-2703-B146-93DA-83A1EDFCB8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294744140"/>
          <a:ext cx="1080000" cy="1080000"/>
        </a:xfrm>
        <a:prstGeom prst="rect">
          <a:avLst/>
        </a:prstGeom>
      </xdr:spPr>
    </xdr:pic>
    <xdr:clientData/>
  </xdr:oneCellAnchor>
  <xdr:oneCellAnchor>
    <xdr:from>
      <xdr:col>16</xdr:col>
      <xdr:colOff>106680</xdr:colOff>
      <xdr:row>18</xdr:row>
      <xdr:rowOff>640080</xdr:rowOff>
    </xdr:from>
    <xdr:ext cx="1080000" cy="1080000"/>
    <xdr:pic>
      <xdr:nvPicPr>
        <xdr:cNvPr id="100" name="Resim 99">
          <a:extLst>
            <a:ext uri="{FF2B5EF4-FFF2-40B4-BE49-F238E27FC236}">
              <a16:creationId xmlns:a16="http://schemas.microsoft.com/office/drawing/2014/main" id="{78D1BBDA-E127-BF47-965A-4D532193CC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90683080"/>
          <a:ext cx="1080000" cy="1080000"/>
        </a:xfrm>
        <a:prstGeom prst="rect">
          <a:avLst/>
        </a:prstGeom>
      </xdr:spPr>
    </xdr:pic>
    <xdr:clientData/>
  </xdr:oneCellAnchor>
  <xdr:oneCellAnchor>
    <xdr:from>
      <xdr:col>16</xdr:col>
      <xdr:colOff>121920</xdr:colOff>
      <xdr:row>46</xdr:row>
      <xdr:rowOff>60960</xdr:rowOff>
    </xdr:from>
    <xdr:ext cx="1080000" cy="1080000"/>
    <xdr:pic>
      <xdr:nvPicPr>
        <xdr:cNvPr id="101" name="Resim 100">
          <a:extLst>
            <a:ext uri="{FF2B5EF4-FFF2-40B4-BE49-F238E27FC236}">
              <a16:creationId xmlns:a16="http://schemas.microsoft.com/office/drawing/2014/main" id="{C808F802-635A-E441-9566-6634F6C25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8920" y="235912660"/>
          <a:ext cx="1080000" cy="1080000"/>
        </a:xfrm>
        <a:prstGeom prst="rect">
          <a:avLst/>
        </a:prstGeom>
      </xdr:spPr>
    </xdr:pic>
    <xdr:clientData/>
  </xdr:oneCellAnchor>
  <xdr:oneCellAnchor>
    <xdr:from>
      <xdr:col>16</xdr:col>
      <xdr:colOff>137160</xdr:colOff>
      <xdr:row>46</xdr:row>
      <xdr:rowOff>2240280</xdr:rowOff>
    </xdr:from>
    <xdr:ext cx="1080000" cy="1080000"/>
    <xdr:pic>
      <xdr:nvPicPr>
        <xdr:cNvPr id="102" name="Resim 101">
          <a:extLst>
            <a:ext uri="{FF2B5EF4-FFF2-40B4-BE49-F238E27FC236}">
              <a16:creationId xmlns:a16="http://schemas.microsoft.com/office/drawing/2014/main" id="{06E271A8-AB7E-8B4A-88BB-162293320DD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94160" y="238091980"/>
          <a:ext cx="1080000" cy="1080000"/>
        </a:xfrm>
        <a:prstGeom prst="rect">
          <a:avLst/>
        </a:prstGeom>
      </xdr:spPr>
    </xdr:pic>
    <xdr:clientData/>
  </xdr:oneCellAnchor>
  <xdr:oneCellAnchor>
    <xdr:from>
      <xdr:col>16</xdr:col>
      <xdr:colOff>152400</xdr:colOff>
      <xdr:row>46</xdr:row>
      <xdr:rowOff>3368040</xdr:rowOff>
    </xdr:from>
    <xdr:ext cx="1080000" cy="1080000"/>
    <xdr:pic>
      <xdr:nvPicPr>
        <xdr:cNvPr id="103" name="Resim 102">
          <a:extLst>
            <a:ext uri="{FF2B5EF4-FFF2-40B4-BE49-F238E27FC236}">
              <a16:creationId xmlns:a16="http://schemas.microsoft.com/office/drawing/2014/main" id="{88337C55-6A6F-A141-9463-5C0220EB32E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9400" y="239219740"/>
          <a:ext cx="1080000" cy="1080000"/>
        </a:xfrm>
        <a:prstGeom prst="rect">
          <a:avLst/>
        </a:prstGeom>
      </xdr:spPr>
    </xdr:pic>
    <xdr:clientData/>
  </xdr:oneCellAnchor>
  <xdr:oneCellAnchor>
    <xdr:from>
      <xdr:col>16</xdr:col>
      <xdr:colOff>167640</xdr:colOff>
      <xdr:row>22</xdr:row>
      <xdr:rowOff>1722120</xdr:rowOff>
    </xdr:from>
    <xdr:ext cx="1080000" cy="1080000"/>
    <xdr:pic>
      <xdr:nvPicPr>
        <xdr:cNvPr id="104" name="Resim 103">
          <a:extLst>
            <a:ext uri="{FF2B5EF4-FFF2-40B4-BE49-F238E27FC236}">
              <a16:creationId xmlns:a16="http://schemas.microsoft.com/office/drawing/2014/main" id="{1FDF5711-E939-D447-8D40-68B3AB2E2DD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112605820"/>
          <a:ext cx="1080000" cy="1080000"/>
        </a:xfrm>
        <a:prstGeom prst="rect">
          <a:avLst/>
        </a:prstGeom>
      </xdr:spPr>
    </xdr:pic>
    <xdr:clientData/>
  </xdr:oneCellAnchor>
  <xdr:oneCellAnchor>
    <xdr:from>
      <xdr:col>16</xdr:col>
      <xdr:colOff>182880</xdr:colOff>
      <xdr:row>22</xdr:row>
      <xdr:rowOff>3124200</xdr:rowOff>
    </xdr:from>
    <xdr:ext cx="1080000" cy="1080000"/>
    <xdr:pic>
      <xdr:nvPicPr>
        <xdr:cNvPr id="105" name="Resim 104">
          <a:extLst>
            <a:ext uri="{FF2B5EF4-FFF2-40B4-BE49-F238E27FC236}">
              <a16:creationId xmlns:a16="http://schemas.microsoft.com/office/drawing/2014/main" id="{F603C4BA-D038-4842-986A-7CF8D4DE6C6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39880" y="114007900"/>
          <a:ext cx="1080000" cy="1080000"/>
        </a:xfrm>
        <a:prstGeom prst="rect">
          <a:avLst/>
        </a:prstGeom>
      </xdr:spPr>
    </xdr:pic>
    <xdr:clientData/>
  </xdr:oneCellAnchor>
  <xdr:twoCellAnchor editAs="oneCell">
    <xdr:from>
      <xdr:col>6</xdr:col>
      <xdr:colOff>0</xdr:colOff>
      <xdr:row>9</xdr:row>
      <xdr:rowOff>0</xdr:rowOff>
    </xdr:from>
    <xdr:to>
      <xdr:col>6</xdr:col>
      <xdr:colOff>304800</xdr:colOff>
      <xdr:row>701</xdr:row>
      <xdr:rowOff>165100</xdr:rowOff>
    </xdr:to>
    <xdr:sp macro="" textlink="">
      <xdr:nvSpPr>
        <xdr:cNvPr id="106" name="AutoShape 1" descr="bottle">
          <a:extLst>
            <a:ext uri="{FF2B5EF4-FFF2-40B4-BE49-F238E27FC236}">
              <a16:creationId xmlns:a16="http://schemas.microsoft.com/office/drawing/2014/main" id="{D5AC11D0-B9C7-7943-89F5-1C9AFF2C93FA}"/>
            </a:ext>
          </a:extLst>
        </xdr:cNvPr>
        <xdr:cNvSpPr>
          <a:spLocks noChangeAspect="1" noChangeArrowheads="1"/>
        </xdr:cNvSpPr>
      </xdr:nvSpPr>
      <xdr:spPr bwMode="auto">
        <a:xfrm>
          <a:off x="3302000" y="43180000"/>
          <a:ext cx="304800" cy="140779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168087</xdr:colOff>
      <xdr:row>34</xdr:row>
      <xdr:rowOff>504264</xdr:rowOff>
    </xdr:from>
    <xdr:ext cx="1080000" cy="1080000"/>
    <xdr:pic>
      <xdr:nvPicPr>
        <xdr:cNvPr id="107" name="Resim 106">
          <a:extLst>
            <a:ext uri="{FF2B5EF4-FFF2-40B4-BE49-F238E27FC236}">
              <a16:creationId xmlns:a16="http://schemas.microsoft.com/office/drawing/2014/main" id="{9FE7BF7D-D989-1B41-90F4-A474A2213D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5087" y="173871964"/>
          <a:ext cx="1080000" cy="1080000"/>
        </a:xfrm>
        <a:prstGeom prst="rect">
          <a:avLst/>
        </a:prstGeom>
      </xdr:spPr>
    </xdr:pic>
    <xdr:clientData/>
  </xdr:oneCellAnchor>
  <xdr:oneCellAnchor>
    <xdr:from>
      <xdr:col>16</xdr:col>
      <xdr:colOff>143809</xdr:colOff>
      <xdr:row>34</xdr:row>
      <xdr:rowOff>1709831</xdr:rowOff>
    </xdr:from>
    <xdr:ext cx="1080000" cy="1080000"/>
    <xdr:pic>
      <xdr:nvPicPr>
        <xdr:cNvPr id="108" name="Resim 107">
          <a:extLst>
            <a:ext uri="{FF2B5EF4-FFF2-40B4-BE49-F238E27FC236}">
              <a16:creationId xmlns:a16="http://schemas.microsoft.com/office/drawing/2014/main" id="{D2D7C372-D6DB-6C47-B5B1-E1266BBFF4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0809" y="175077531"/>
          <a:ext cx="1080000" cy="1080000"/>
        </a:xfrm>
        <a:prstGeom prst="rect">
          <a:avLst/>
        </a:prstGeom>
      </xdr:spPr>
    </xdr:pic>
    <xdr:clientData/>
  </xdr:oneCellAnchor>
  <xdr:oneCellAnchor>
    <xdr:from>
      <xdr:col>16</xdr:col>
      <xdr:colOff>151848</xdr:colOff>
      <xdr:row>44</xdr:row>
      <xdr:rowOff>1366630</xdr:rowOff>
    </xdr:from>
    <xdr:ext cx="1080000" cy="1080000"/>
    <xdr:pic>
      <xdr:nvPicPr>
        <xdr:cNvPr id="109" name="Resim 108">
          <a:extLst>
            <a:ext uri="{FF2B5EF4-FFF2-40B4-BE49-F238E27FC236}">
              <a16:creationId xmlns:a16="http://schemas.microsoft.com/office/drawing/2014/main" id="{B1BBB770-485A-0A45-B02A-2857455EB6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8848" y="226804330"/>
          <a:ext cx="1080000" cy="1080000"/>
        </a:xfrm>
        <a:prstGeom prst="rect">
          <a:avLst/>
        </a:prstGeom>
      </xdr:spPr>
    </xdr:pic>
    <xdr:clientData/>
  </xdr:oneCellAnchor>
  <xdr:oneCellAnchor>
    <xdr:from>
      <xdr:col>16</xdr:col>
      <xdr:colOff>207065</xdr:colOff>
      <xdr:row>60</xdr:row>
      <xdr:rowOff>473686</xdr:rowOff>
    </xdr:from>
    <xdr:ext cx="1080000" cy="1080000"/>
    <xdr:pic>
      <xdr:nvPicPr>
        <xdr:cNvPr id="110" name="Resim 109">
          <a:extLst>
            <a:ext uri="{FF2B5EF4-FFF2-40B4-BE49-F238E27FC236}">
              <a16:creationId xmlns:a16="http://schemas.microsoft.com/office/drawing/2014/main" id="{AEC0A343-05D2-2B47-BF31-5F1D6BAF75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4065" y="309223386"/>
          <a:ext cx="1080000" cy="1080000"/>
        </a:xfrm>
        <a:prstGeom prst="rect">
          <a:avLst/>
        </a:prstGeom>
      </xdr:spPr>
    </xdr:pic>
    <xdr:clientData/>
  </xdr:oneCellAnchor>
  <xdr:oneCellAnchor>
    <xdr:from>
      <xdr:col>16</xdr:col>
      <xdr:colOff>207065</xdr:colOff>
      <xdr:row>60</xdr:row>
      <xdr:rowOff>2098261</xdr:rowOff>
    </xdr:from>
    <xdr:ext cx="1080000" cy="1080000"/>
    <xdr:pic>
      <xdr:nvPicPr>
        <xdr:cNvPr id="111" name="Resim 110">
          <a:extLst>
            <a:ext uri="{FF2B5EF4-FFF2-40B4-BE49-F238E27FC236}">
              <a16:creationId xmlns:a16="http://schemas.microsoft.com/office/drawing/2014/main" id="{878BA518-2073-9C44-8BC5-8EAB6D1142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64065" y="310847961"/>
          <a:ext cx="1080000" cy="1080000"/>
        </a:xfrm>
        <a:prstGeom prst="rect">
          <a:avLst/>
        </a:prstGeom>
      </xdr:spPr>
    </xdr:pic>
    <xdr:clientData/>
  </xdr:oneCellAnchor>
  <xdr:oneCellAnchor>
    <xdr:from>
      <xdr:col>16</xdr:col>
      <xdr:colOff>127000</xdr:colOff>
      <xdr:row>48</xdr:row>
      <xdr:rowOff>381000</xdr:rowOff>
    </xdr:from>
    <xdr:ext cx="1080000" cy="1080000"/>
    <xdr:pic>
      <xdr:nvPicPr>
        <xdr:cNvPr id="112" name="Resim 111">
          <a:extLst>
            <a:ext uri="{FF2B5EF4-FFF2-40B4-BE49-F238E27FC236}">
              <a16:creationId xmlns:a16="http://schemas.microsoft.com/office/drawing/2014/main" id="{5867C856-FBDA-0445-9C86-8982CE8B5B4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46646700"/>
          <a:ext cx="1080000" cy="1080000"/>
        </a:xfrm>
        <a:prstGeom prst="rect">
          <a:avLst/>
        </a:prstGeom>
      </xdr:spPr>
    </xdr:pic>
    <xdr:clientData/>
  </xdr:oneCellAnchor>
  <xdr:oneCellAnchor>
    <xdr:from>
      <xdr:col>16</xdr:col>
      <xdr:colOff>181429</xdr:colOff>
      <xdr:row>48</xdr:row>
      <xdr:rowOff>2104571</xdr:rowOff>
    </xdr:from>
    <xdr:ext cx="1080000" cy="1080000"/>
    <xdr:pic>
      <xdr:nvPicPr>
        <xdr:cNvPr id="113" name="Resim 112">
          <a:extLst>
            <a:ext uri="{FF2B5EF4-FFF2-40B4-BE49-F238E27FC236}">
              <a16:creationId xmlns:a16="http://schemas.microsoft.com/office/drawing/2014/main" id="{D41B96F3-4B62-C843-921E-30F4CE1F7F1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8429" y="248370271"/>
          <a:ext cx="1080000" cy="1080000"/>
        </a:xfrm>
        <a:prstGeom prst="rect">
          <a:avLst/>
        </a:prstGeom>
      </xdr:spPr>
    </xdr:pic>
    <xdr:clientData/>
  </xdr:oneCellAnchor>
  <xdr:oneCellAnchor>
    <xdr:from>
      <xdr:col>16</xdr:col>
      <xdr:colOff>127000</xdr:colOff>
      <xdr:row>12</xdr:row>
      <xdr:rowOff>381000</xdr:rowOff>
    </xdr:from>
    <xdr:ext cx="1080000" cy="1080000"/>
    <xdr:pic>
      <xdr:nvPicPr>
        <xdr:cNvPr id="114" name="Resim 113">
          <a:extLst>
            <a:ext uri="{FF2B5EF4-FFF2-40B4-BE49-F238E27FC236}">
              <a16:creationId xmlns:a16="http://schemas.microsoft.com/office/drawing/2014/main" id="{8EE060A8-29EB-FB47-9284-8179CA02691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59182000"/>
          <a:ext cx="1080000" cy="1080000"/>
        </a:xfrm>
        <a:prstGeom prst="rect">
          <a:avLst/>
        </a:prstGeom>
      </xdr:spPr>
    </xdr:pic>
    <xdr:clientData/>
  </xdr:oneCellAnchor>
  <xdr:oneCellAnchor>
    <xdr:from>
      <xdr:col>16</xdr:col>
      <xdr:colOff>181429</xdr:colOff>
      <xdr:row>12</xdr:row>
      <xdr:rowOff>2104571</xdr:rowOff>
    </xdr:from>
    <xdr:ext cx="1080000" cy="1080000"/>
    <xdr:pic>
      <xdr:nvPicPr>
        <xdr:cNvPr id="115" name="Resim 114">
          <a:extLst>
            <a:ext uri="{FF2B5EF4-FFF2-40B4-BE49-F238E27FC236}">
              <a16:creationId xmlns:a16="http://schemas.microsoft.com/office/drawing/2014/main" id="{1A2CA0D3-20BB-044F-B6BC-7D8D2F835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8429" y="60905571"/>
          <a:ext cx="1080000" cy="1080000"/>
        </a:xfrm>
        <a:prstGeom prst="rect">
          <a:avLst/>
        </a:prstGeom>
      </xdr:spPr>
    </xdr:pic>
    <xdr:clientData/>
  </xdr:oneCellAnchor>
  <xdr:oneCellAnchor>
    <xdr:from>
      <xdr:col>16</xdr:col>
      <xdr:colOff>170815</xdr:colOff>
      <xdr:row>62</xdr:row>
      <xdr:rowOff>2057400</xdr:rowOff>
    </xdr:from>
    <xdr:ext cx="1080000" cy="1080000"/>
    <xdr:pic>
      <xdr:nvPicPr>
        <xdr:cNvPr id="116" name="Resim 115">
          <a:extLst>
            <a:ext uri="{FF2B5EF4-FFF2-40B4-BE49-F238E27FC236}">
              <a16:creationId xmlns:a16="http://schemas.microsoft.com/office/drawing/2014/main" id="{ED5823E8-3427-2D4D-8EA7-AD3C3E14B5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7815" y="321221100"/>
          <a:ext cx="1080000" cy="1080000"/>
        </a:xfrm>
        <a:prstGeom prst="rect">
          <a:avLst/>
        </a:prstGeom>
      </xdr:spPr>
    </xdr:pic>
    <xdr:clientData/>
  </xdr:oneCellAnchor>
  <xdr:oneCellAnchor>
    <xdr:from>
      <xdr:col>16</xdr:col>
      <xdr:colOff>186055</xdr:colOff>
      <xdr:row>62</xdr:row>
      <xdr:rowOff>858520</xdr:rowOff>
    </xdr:from>
    <xdr:ext cx="1080000" cy="1080000"/>
    <xdr:pic>
      <xdr:nvPicPr>
        <xdr:cNvPr id="117" name="Resim 116">
          <a:extLst>
            <a:ext uri="{FF2B5EF4-FFF2-40B4-BE49-F238E27FC236}">
              <a16:creationId xmlns:a16="http://schemas.microsoft.com/office/drawing/2014/main" id="{AEBE063D-A1D0-DE48-8CD2-069488BD2F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43055" y="320022220"/>
          <a:ext cx="1080000" cy="1080000"/>
        </a:xfrm>
        <a:prstGeom prst="rect">
          <a:avLst/>
        </a:prstGeom>
      </xdr:spPr>
    </xdr:pic>
    <xdr:clientData/>
  </xdr:oneCellAnchor>
  <xdr:oneCellAnchor>
    <xdr:from>
      <xdr:col>16</xdr:col>
      <xdr:colOff>174625</xdr:colOff>
      <xdr:row>63</xdr:row>
      <xdr:rowOff>746125</xdr:rowOff>
    </xdr:from>
    <xdr:ext cx="1080000" cy="1080000"/>
    <xdr:pic>
      <xdr:nvPicPr>
        <xdr:cNvPr id="118" name="Resim 117">
          <a:extLst>
            <a:ext uri="{FF2B5EF4-FFF2-40B4-BE49-F238E27FC236}">
              <a16:creationId xmlns:a16="http://schemas.microsoft.com/office/drawing/2014/main" id="{D078E775-E6AC-3A4C-BC1A-C9F3E4BF36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1625" y="325116825"/>
          <a:ext cx="1080000" cy="1080000"/>
        </a:xfrm>
        <a:prstGeom prst="rect">
          <a:avLst/>
        </a:prstGeom>
      </xdr:spPr>
    </xdr:pic>
    <xdr:clientData/>
  </xdr:oneCellAnchor>
  <xdr:oneCellAnchor>
    <xdr:from>
      <xdr:col>16</xdr:col>
      <xdr:colOff>189865</xdr:colOff>
      <xdr:row>63</xdr:row>
      <xdr:rowOff>2197501</xdr:rowOff>
    </xdr:from>
    <xdr:ext cx="1080000" cy="1072847"/>
    <xdr:pic>
      <xdr:nvPicPr>
        <xdr:cNvPr id="119" name="Resim 118">
          <a:extLst>
            <a:ext uri="{FF2B5EF4-FFF2-40B4-BE49-F238E27FC236}">
              <a16:creationId xmlns:a16="http://schemas.microsoft.com/office/drawing/2014/main" id="{7ED1620C-1820-A546-8865-FC2DE2D1C3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6865" y="326568201"/>
          <a:ext cx="1080000" cy="1072847"/>
        </a:xfrm>
        <a:prstGeom prst="rect">
          <a:avLst/>
        </a:prstGeom>
      </xdr:spPr>
    </xdr:pic>
    <xdr:clientData/>
  </xdr:oneCellAnchor>
  <xdr:oneCellAnchor>
    <xdr:from>
      <xdr:col>16</xdr:col>
      <xdr:colOff>158750</xdr:colOff>
      <xdr:row>64</xdr:row>
      <xdr:rowOff>2000250</xdr:rowOff>
    </xdr:from>
    <xdr:ext cx="1080000" cy="1080000"/>
    <xdr:pic>
      <xdr:nvPicPr>
        <xdr:cNvPr id="120" name="Resim 119">
          <a:extLst>
            <a:ext uri="{FF2B5EF4-FFF2-40B4-BE49-F238E27FC236}">
              <a16:creationId xmlns:a16="http://schemas.microsoft.com/office/drawing/2014/main" id="{E3F63925-00F1-2A48-B043-DC01E605A5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5750" y="331577950"/>
          <a:ext cx="1080000" cy="1080000"/>
        </a:xfrm>
        <a:prstGeom prst="rect">
          <a:avLst/>
        </a:prstGeom>
      </xdr:spPr>
    </xdr:pic>
    <xdr:clientData/>
  </xdr:oneCellAnchor>
  <xdr:oneCellAnchor>
    <xdr:from>
      <xdr:col>16</xdr:col>
      <xdr:colOff>206375</xdr:colOff>
      <xdr:row>65</xdr:row>
      <xdr:rowOff>1762125</xdr:rowOff>
    </xdr:from>
    <xdr:ext cx="1080000" cy="1080000"/>
    <xdr:pic>
      <xdr:nvPicPr>
        <xdr:cNvPr id="121" name="Resim 120">
          <a:extLst>
            <a:ext uri="{FF2B5EF4-FFF2-40B4-BE49-F238E27FC236}">
              <a16:creationId xmlns:a16="http://schemas.microsoft.com/office/drawing/2014/main" id="{931F0AC8-8C66-0B4C-885F-24940EB37D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63375" y="336546825"/>
          <a:ext cx="1080000" cy="1080000"/>
        </a:xfrm>
        <a:prstGeom prst="rect">
          <a:avLst/>
        </a:prstGeom>
      </xdr:spPr>
    </xdr:pic>
    <xdr:clientData/>
  </xdr:oneCellAnchor>
  <xdr:oneCellAnchor>
    <xdr:from>
      <xdr:col>16</xdr:col>
      <xdr:colOff>170815</xdr:colOff>
      <xdr:row>66</xdr:row>
      <xdr:rowOff>2057400</xdr:rowOff>
    </xdr:from>
    <xdr:ext cx="1080000" cy="1080000"/>
    <xdr:pic>
      <xdr:nvPicPr>
        <xdr:cNvPr id="122" name="Resim 121">
          <a:extLst>
            <a:ext uri="{FF2B5EF4-FFF2-40B4-BE49-F238E27FC236}">
              <a16:creationId xmlns:a16="http://schemas.microsoft.com/office/drawing/2014/main" id="{47468C8D-19FE-9448-A35B-605BFE5FF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7815" y="342049100"/>
          <a:ext cx="1080000" cy="1080000"/>
        </a:xfrm>
        <a:prstGeom prst="rect">
          <a:avLst/>
        </a:prstGeom>
      </xdr:spPr>
    </xdr:pic>
    <xdr:clientData/>
  </xdr:oneCellAnchor>
  <xdr:oneCellAnchor>
    <xdr:from>
      <xdr:col>16</xdr:col>
      <xdr:colOff>186055</xdr:colOff>
      <xdr:row>66</xdr:row>
      <xdr:rowOff>858520</xdr:rowOff>
    </xdr:from>
    <xdr:ext cx="1080000" cy="1080000"/>
    <xdr:pic>
      <xdr:nvPicPr>
        <xdr:cNvPr id="123" name="Resim 122">
          <a:extLst>
            <a:ext uri="{FF2B5EF4-FFF2-40B4-BE49-F238E27FC236}">
              <a16:creationId xmlns:a16="http://schemas.microsoft.com/office/drawing/2014/main" id="{ED6A7B6B-B4FD-504C-8FAD-ABC09EC881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43055" y="340850220"/>
          <a:ext cx="1080000" cy="1080000"/>
        </a:xfrm>
        <a:prstGeom prst="rect">
          <a:avLst/>
        </a:prstGeom>
      </xdr:spPr>
    </xdr:pic>
    <xdr:clientData/>
  </xdr:oneCellAnchor>
  <xdr:oneCellAnchor>
    <xdr:from>
      <xdr:col>16</xdr:col>
      <xdr:colOff>206375</xdr:colOff>
      <xdr:row>67</xdr:row>
      <xdr:rowOff>1444625</xdr:rowOff>
    </xdr:from>
    <xdr:ext cx="1080000" cy="1080000"/>
    <xdr:pic>
      <xdr:nvPicPr>
        <xdr:cNvPr id="124" name="Resim 123">
          <a:extLst>
            <a:ext uri="{FF2B5EF4-FFF2-40B4-BE49-F238E27FC236}">
              <a16:creationId xmlns:a16="http://schemas.microsoft.com/office/drawing/2014/main" id="{D3B7D63D-B662-884A-A0B3-BBDFEB3A3F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3375" y="346643325"/>
          <a:ext cx="1080000" cy="1080000"/>
        </a:xfrm>
        <a:prstGeom prst="rect">
          <a:avLst/>
        </a:prstGeom>
      </xdr:spPr>
    </xdr:pic>
    <xdr:clientData/>
  </xdr:oneCellAnchor>
  <xdr:oneCellAnchor>
    <xdr:from>
      <xdr:col>16</xdr:col>
      <xdr:colOff>151848</xdr:colOff>
      <xdr:row>68</xdr:row>
      <xdr:rowOff>1366630</xdr:rowOff>
    </xdr:from>
    <xdr:ext cx="1080000" cy="1080000"/>
    <xdr:pic>
      <xdr:nvPicPr>
        <xdr:cNvPr id="125" name="Resim 124">
          <a:extLst>
            <a:ext uri="{FF2B5EF4-FFF2-40B4-BE49-F238E27FC236}">
              <a16:creationId xmlns:a16="http://schemas.microsoft.com/office/drawing/2014/main" id="{CD761A28-16EA-484D-BFA9-2397A6AA36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8848" y="351772330"/>
          <a:ext cx="1080000" cy="1080000"/>
        </a:xfrm>
        <a:prstGeom prst="rect">
          <a:avLst/>
        </a:prstGeom>
      </xdr:spPr>
    </xdr:pic>
    <xdr:clientData/>
  </xdr:oneCellAnchor>
  <xdr:oneCellAnchor>
    <xdr:from>
      <xdr:col>16</xdr:col>
      <xdr:colOff>110067</xdr:colOff>
      <xdr:row>69</xdr:row>
      <xdr:rowOff>844973</xdr:rowOff>
    </xdr:from>
    <xdr:ext cx="1080000" cy="1080000"/>
    <xdr:pic>
      <xdr:nvPicPr>
        <xdr:cNvPr id="126" name="Resim 125">
          <a:extLst>
            <a:ext uri="{FF2B5EF4-FFF2-40B4-BE49-F238E27FC236}">
              <a16:creationId xmlns:a16="http://schemas.microsoft.com/office/drawing/2014/main" id="{C113AE5D-E6C1-C14C-8A67-7DF164D2C9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7067" y="356457673"/>
          <a:ext cx="1080000" cy="1080000"/>
        </a:xfrm>
        <a:prstGeom prst="rect">
          <a:avLst/>
        </a:prstGeom>
      </xdr:spPr>
    </xdr:pic>
    <xdr:clientData/>
  </xdr:oneCellAnchor>
  <xdr:oneCellAnchor>
    <xdr:from>
      <xdr:col>16</xdr:col>
      <xdr:colOff>204047</xdr:colOff>
      <xdr:row>69</xdr:row>
      <xdr:rowOff>2572173</xdr:rowOff>
    </xdr:from>
    <xdr:ext cx="1080000" cy="1080000"/>
    <xdr:pic>
      <xdr:nvPicPr>
        <xdr:cNvPr id="127" name="Resim 126">
          <a:extLst>
            <a:ext uri="{FF2B5EF4-FFF2-40B4-BE49-F238E27FC236}">
              <a16:creationId xmlns:a16="http://schemas.microsoft.com/office/drawing/2014/main" id="{0AB36F7C-D738-734F-850A-303A185326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61047" y="358184873"/>
          <a:ext cx="1080000" cy="1080000"/>
        </a:xfrm>
        <a:prstGeom prst="rect">
          <a:avLst/>
        </a:prstGeom>
      </xdr:spPr>
    </xdr:pic>
    <xdr:clientData/>
  </xdr:oneCellAnchor>
  <xdr:oneCellAnchor>
    <xdr:from>
      <xdr:col>16</xdr:col>
      <xdr:colOff>137160</xdr:colOff>
      <xdr:row>71</xdr:row>
      <xdr:rowOff>444500</xdr:rowOff>
    </xdr:from>
    <xdr:ext cx="1080000" cy="1080000"/>
    <xdr:pic>
      <xdr:nvPicPr>
        <xdr:cNvPr id="128" name="Resim 127">
          <a:extLst>
            <a:ext uri="{FF2B5EF4-FFF2-40B4-BE49-F238E27FC236}">
              <a16:creationId xmlns:a16="http://schemas.microsoft.com/office/drawing/2014/main" id="{CF601067-107D-E548-A296-3D4924FDCB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4160" y="366471200"/>
          <a:ext cx="1080000" cy="1080000"/>
        </a:xfrm>
        <a:prstGeom prst="rect">
          <a:avLst/>
        </a:prstGeom>
      </xdr:spPr>
    </xdr:pic>
    <xdr:clientData/>
  </xdr:oneCellAnchor>
  <xdr:twoCellAnchor editAs="oneCell">
    <xdr:from>
      <xdr:col>16</xdr:col>
      <xdr:colOff>0</xdr:colOff>
      <xdr:row>73</xdr:row>
      <xdr:rowOff>0</xdr:rowOff>
    </xdr:from>
    <xdr:to>
      <xdr:col>16</xdr:col>
      <xdr:colOff>304800</xdr:colOff>
      <xdr:row>99</xdr:row>
      <xdr:rowOff>38100</xdr:rowOff>
    </xdr:to>
    <xdr:sp macro="" textlink="">
      <xdr:nvSpPr>
        <xdr:cNvPr id="129" name="AutoShape 1" descr="AŞINDIRICI MADDE HEDEF BASIM KİMYASAL ETİKETLER">
          <a:extLst>
            <a:ext uri="{FF2B5EF4-FFF2-40B4-BE49-F238E27FC236}">
              <a16:creationId xmlns:a16="http://schemas.microsoft.com/office/drawing/2014/main" id="{C1A11BE1-5C17-904E-8639-C96F144E8DB5}"/>
            </a:ext>
          </a:extLst>
        </xdr:cNvPr>
        <xdr:cNvSpPr>
          <a:spLocks noChangeAspect="1" noChangeArrowheads="1"/>
        </xdr:cNvSpPr>
      </xdr:nvSpPr>
      <xdr:spPr bwMode="auto">
        <a:xfrm>
          <a:off x="11557000" y="376440700"/>
          <a:ext cx="304800" cy="532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73</xdr:row>
      <xdr:rowOff>0</xdr:rowOff>
    </xdr:from>
    <xdr:to>
      <xdr:col>16</xdr:col>
      <xdr:colOff>304800</xdr:colOff>
      <xdr:row>99</xdr:row>
      <xdr:rowOff>38100</xdr:rowOff>
    </xdr:to>
    <xdr:sp macro="" textlink="">
      <xdr:nvSpPr>
        <xdr:cNvPr id="130" name="AutoShape 2" descr="AŞINDIRICI MADDE HEDEF BASIM KİMYASAL ETİKETLER">
          <a:extLst>
            <a:ext uri="{FF2B5EF4-FFF2-40B4-BE49-F238E27FC236}">
              <a16:creationId xmlns:a16="http://schemas.microsoft.com/office/drawing/2014/main" id="{5129764B-2708-2B4F-968B-2E248AD3AF5E}"/>
            </a:ext>
          </a:extLst>
        </xdr:cNvPr>
        <xdr:cNvSpPr>
          <a:spLocks noChangeAspect="1" noChangeArrowheads="1"/>
        </xdr:cNvSpPr>
      </xdr:nvSpPr>
      <xdr:spPr bwMode="auto">
        <a:xfrm>
          <a:off x="11557000" y="376440700"/>
          <a:ext cx="304800" cy="532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131234</xdr:colOff>
      <xdr:row>71</xdr:row>
      <xdr:rowOff>1838960</xdr:rowOff>
    </xdr:from>
    <xdr:ext cx="1080000" cy="1080000"/>
    <xdr:pic>
      <xdr:nvPicPr>
        <xdr:cNvPr id="131" name="Resim 130">
          <a:extLst>
            <a:ext uri="{FF2B5EF4-FFF2-40B4-BE49-F238E27FC236}">
              <a16:creationId xmlns:a16="http://schemas.microsoft.com/office/drawing/2014/main" id="{72AEE947-E0CC-4E4B-A762-8EB89454F0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8234" y="367865660"/>
          <a:ext cx="1080000" cy="1080000"/>
        </a:xfrm>
        <a:prstGeom prst="rect">
          <a:avLst/>
        </a:prstGeom>
      </xdr:spPr>
    </xdr:pic>
    <xdr:clientData/>
  </xdr:oneCellAnchor>
  <xdr:oneCellAnchor>
    <xdr:from>
      <xdr:col>16</xdr:col>
      <xdr:colOff>191346</xdr:colOff>
      <xdr:row>73</xdr:row>
      <xdr:rowOff>119380</xdr:rowOff>
    </xdr:from>
    <xdr:ext cx="1080000" cy="1080000"/>
    <xdr:pic>
      <xdr:nvPicPr>
        <xdr:cNvPr id="132" name="Resim 131">
          <a:extLst>
            <a:ext uri="{FF2B5EF4-FFF2-40B4-BE49-F238E27FC236}">
              <a16:creationId xmlns:a16="http://schemas.microsoft.com/office/drawing/2014/main" id="{B1E8C097-D4FC-CD41-B0BC-8D4A298E8A5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48346" y="376560080"/>
          <a:ext cx="1080000" cy="1080000"/>
        </a:xfrm>
        <a:prstGeom prst="rect">
          <a:avLst/>
        </a:prstGeom>
      </xdr:spPr>
    </xdr:pic>
    <xdr:clientData/>
  </xdr:oneCellAnchor>
  <xdr:twoCellAnchor editAs="oneCell">
    <xdr:from>
      <xdr:col>16</xdr:col>
      <xdr:colOff>58420</xdr:colOff>
      <xdr:row>73</xdr:row>
      <xdr:rowOff>1277620</xdr:rowOff>
    </xdr:from>
    <xdr:to>
      <xdr:col>16</xdr:col>
      <xdr:colOff>1138420</xdr:colOff>
      <xdr:row>73</xdr:row>
      <xdr:rowOff>2338324</xdr:rowOff>
    </xdr:to>
    <xdr:pic>
      <xdr:nvPicPr>
        <xdr:cNvPr id="133" name="Resim 132">
          <a:extLst>
            <a:ext uri="{FF2B5EF4-FFF2-40B4-BE49-F238E27FC236}">
              <a16:creationId xmlns:a16="http://schemas.microsoft.com/office/drawing/2014/main" id="{DB154C98-D7FC-A747-ADBF-074780310C97}"/>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266420" y="377718320"/>
          <a:ext cx="1080000" cy="1060704"/>
        </a:xfrm>
        <a:prstGeom prst="rect">
          <a:avLst/>
        </a:prstGeom>
      </xdr:spPr>
    </xdr:pic>
    <xdr:clientData/>
  </xdr:twoCellAnchor>
  <xdr:oneCellAnchor>
    <xdr:from>
      <xdr:col>16</xdr:col>
      <xdr:colOff>106680</xdr:colOff>
      <xdr:row>73</xdr:row>
      <xdr:rowOff>2435860</xdr:rowOff>
    </xdr:from>
    <xdr:ext cx="1080000" cy="1080000"/>
    <xdr:pic>
      <xdr:nvPicPr>
        <xdr:cNvPr id="134" name="Resim 133">
          <a:extLst>
            <a:ext uri="{FF2B5EF4-FFF2-40B4-BE49-F238E27FC236}">
              <a16:creationId xmlns:a16="http://schemas.microsoft.com/office/drawing/2014/main" id="{39B304D1-F063-E343-9248-4F60243FE2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378876560"/>
          <a:ext cx="1080000" cy="1080000"/>
        </a:xfrm>
        <a:prstGeom prst="rect">
          <a:avLst/>
        </a:prstGeom>
      </xdr:spPr>
    </xdr:pic>
    <xdr:clientData/>
  </xdr:oneCellAnchor>
  <xdr:oneCellAnchor>
    <xdr:from>
      <xdr:col>16</xdr:col>
      <xdr:colOff>121920</xdr:colOff>
      <xdr:row>73</xdr:row>
      <xdr:rowOff>3611880</xdr:rowOff>
    </xdr:from>
    <xdr:ext cx="1080000" cy="1080000"/>
    <xdr:pic>
      <xdr:nvPicPr>
        <xdr:cNvPr id="135" name="Resim 134">
          <a:extLst>
            <a:ext uri="{FF2B5EF4-FFF2-40B4-BE49-F238E27FC236}">
              <a16:creationId xmlns:a16="http://schemas.microsoft.com/office/drawing/2014/main" id="{841F8A09-0FC5-3547-8DFE-A94B906E02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380052580"/>
          <a:ext cx="1080000" cy="1080000"/>
        </a:xfrm>
        <a:prstGeom prst="rect">
          <a:avLst/>
        </a:prstGeom>
      </xdr:spPr>
    </xdr:pic>
    <xdr:clientData/>
  </xdr:oneCellAnchor>
  <xdr:oneCellAnchor>
    <xdr:from>
      <xdr:col>16</xdr:col>
      <xdr:colOff>161925</xdr:colOff>
      <xdr:row>74</xdr:row>
      <xdr:rowOff>338667</xdr:rowOff>
    </xdr:from>
    <xdr:ext cx="1080000" cy="1080000"/>
    <xdr:pic>
      <xdr:nvPicPr>
        <xdr:cNvPr id="136" name="Resim 135">
          <a:extLst>
            <a:ext uri="{FF2B5EF4-FFF2-40B4-BE49-F238E27FC236}">
              <a16:creationId xmlns:a16="http://schemas.microsoft.com/office/drawing/2014/main" id="{C463B4C7-F664-434C-A1F0-A7DD1B40804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718925" y="381986367"/>
          <a:ext cx="1080000" cy="1080000"/>
        </a:xfrm>
        <a:prstGeom prst="rect">
          <a:avLst/>
        </a:prstGeom>
      </xdr:spPr>
    </xdr:pic>
    <xdr:clientData/>
  </xdr:oneCellAnchor>
  <xdr:oneCellAnchor>
    <xdr:from>
      <xdr:col>16</xdr:col>
      <xdr:colOff>152400</xdr:colOff>
      <xdr:row>74</xdr:row>
      <xdr:rowOff>1859280</xdr:rowOff>
    </xdr:from>
    <xdr:ext cx="1080000" cy="1080000"/>
    <xdr:pic>
      <xdr:nvPicPr>
        <xdr:cNvPr id="137" name="Resim 136">
          <a:extLst>
            <a:ext uri="{FF2B5EF4-FFF2-40B4-BE49-F238E27FC236}">
              <a16:creationId xmlns:a16="http://schemas.microsoft.com/office/drawing/2014/main" id="{7414078A-18CB-0041-83E6-DD56508A3C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383506980"/>
          <a:ext cx="1080000" cy="1080000"/>
        </a:xfrm>
        <a:prstGeom prst="rect">
          <a:avLst/>
        </a:prstGeom>
      </xdr:spPr>
    </xdr:pic>
    <xdr:clientData/>
  </xdr:oneCellAnchor>
  <xdr:oneCellAnchor>
    <xdr:from>
      <xdr:col>16</xdr:col>
      <xdr:colOff>198120</xdr:colOff>
      <xdr:row>74</xdr:row>
      <xdr:rowOff>3413760</xdr:rowOff>
    </xdr:from>
    <xdr:ext cx="1080000" cy="1080000"/>
    <xdr:pic>
      <xdr:nvPicPr>
        <xdr:cNvPr id="138" name="Resim 137">
          <a:extLst>
            <a:ext uri="{FF2B5EF4-FFF2-40B4-BE49-F238E27FC236}">
              <a16:creationId xmlns:a16="http://schemas.microsoft.com/office/drawing/2014/main" id="{B19A977A-D4EA-7649-8D3C-AEAEA817757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5120" y="385061460"/>
          <a:ext cx="1080000" cy="1080000"/>
        </a:xfrm>
        <a:prstGeom prst="rect">
          <a:avLst/>
        </a:prstGeom>
      </xdr:spPr>
    </xdr:pic>
    <xdr:clientData/>
  </xdr:oneCellAnchor>
  <xdr:oneCellAnchor>
    <xdr:from>
      <xdr:col>16</xdr:col>
      <xdr:colOff>91440</xdr:colOff>
      <xdr:row>75</xdr:row>
      <xdr:rowOff>914400</xdr:rowOff>
    </xdr:from>
    <xdr:ext cx="1080000" cy="1080000"/>
    <xdr:pic>
      <xdr:nvPicPr>
        <xdr:cNvPr id="139" name="Resim 138">
          <a:extLst>
            <a:ext uri="{FF2B5EF4-FFF2-40B4-BE49-F238E27FC236}">
              <a16:creationId xmlns:a16="http://schemas.microsoft.com/office/drawing/2014/main" id="{12789D64-6A26-A14B-9683-BAA957D4CA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387769100"/>
          <a:ext cx="1080000" cy="1080000"/>
        </a:xfrm>
        <a:prstGeom prst="rect">
          <a:avLst/>
        </a:prstGeom>
      </xdr:spPr>
    </xdr:pic>
    <xdr:clientData/>
  </xdr:oneCellAnchor>
  <xdr:oneCellAnchor>
    <xdr:from>
      <xdr:col>16</xdr:col>
      <xdr:colOff>106680</xdr:colOff>
      <xdr:row>75</xdr:row>
      <xdr:rowOff>2255520</xdr:rowOff>
    </xdr:from>
    <xdr:ext cx="1080000" cy="1080000"/>
    <xdr:pic>
      <xdr:nvPicPr>
        <xdr:cNvPr id="140" name="Resim 139">
          <a:extLst>
            <a:ext uri="{FF2B5EF4-FFF2-40B4-BE49-F238E27FC236}">
              <a16:creationId xmlns:a16="http://schemas.microsoft.com/office/drawing/2014/main" id="{71FFA992-C4C6-0547-A554-A08822B701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389110220"/>
          <a:ext cx="1080000" cy="1080000"/>
        </a:xfrm>
        <a:prstGeom prst="rect">
          <a:avLst/>
        </a:prstGeom>
      </xdr:spPr>
    </xdr:pic>
    <xdr:clientData/>
  </xdr:oneCellAnchor>
  <xdr:oneCellAnchor>
    <xdr:from>
      <xdr:col>16</xdr:col>
      <xdr:colOff>182880</xdr:colOff>
      <xdr:row>71</xdr:row>
      <xdr:rowOff>3291840</xdr:rowOff>
    </xdr:from>
    <xdr:ext cx="1080000" cy="1080000"/>
    <xdr:pic>
      <xdr:nvPicPr>
        <xdr:cNvPr id="141" name="Resim 140">
          <a:extLst>
            <a:ext uri="{FF2B5EF4-FFF2-40B4-BE49-F238E27FC236}">
              <a16:creationId xmlns:a16="http://schemas.microsoft.com/office/drawing/2014/main" id="{2A2452D1-72A3-1541-B4AC-34C937F933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369318540"/>
          <a:ext cx="1080000" cy="1080000"/>
        </a:xfrm>
        <a:prstGeom prst="rect">
          <a:avLst/>
        </a:prstGeom>
      </xdr:spPr>
    </xdr:pic>
    <xdr:clientData/>
  </xdr:oneCellAnchor>
  <xdr:oneCellAnchor>
    <xdr:from>
      <xdr:col>16</xdr:col>
      <xdr:colOff>152400</xdr:colOff>
      <xdr:row>72</xdr:row>
      <xdr:rowOff>1615440</xdr:rowOff>
    </xdr:from>
    <xdr:ext cx="1080000" cy="1080000"/>
    <xdr:pic>
      <xdr:nvPicPr>
        <xdr:cNvPr id="142" name="Resim 141">
          <a:extLst>
            <a:ext uri="{FF2B5EF4-FFF2-40B4-BE49-F238E27FC236}">
              <a16:creationId xmlns:a16="http://schemas.microsoft.com/office/drawing/2014/main" id="{64D78313-9172-214C-9FFA-68C933F1AF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372849140"/>
          <a:ext cx="1080000" cy="1080000"/>
        </a:xfrm>
        <a:prstGeom prst="rect">
          <a:avLst/>
        </a:prstGeom>
      </xdr:spPr>
    </xdr:pic>
    <xdr:clientData/>
  </xdr:oneCellAnchor>
  <xdr:twoCellAnchor editAs="oneCell">
    <xdr:from>
      <xdr:col>16</xdr:col>
      <xdr:colOff>167640</xdr:colOff>
      <xdr:row>77</xdr:row>
      <xdr:rowOff>186266</xdr:rowOff>
    </xdr:from>
    <xdr:to>
      <xdr:col>16</xdr:col>
      <xdr:colOff>1228344</xdr:colOff>
      <xdr:row>78</xdr:row>
      <xdr:rowOff>624670</xdr:rowOff>
    </xdr:to>
    <xdr:pic>
      <xdr:nvPicPr>
        <xdr:cNvPr id="143" name="Resim 142">
          <a:extLst>
            <a:ext uri="{FF2B5EF4-FFF2-40B4-BE49-F238E27FC236}">
              <a16:creationId xmlns:a16="http://schemas.microsoft.com/office/drawing/2014/main" id="{272B079A-AA1D-1647-9486-B0FBC416889E}"/>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375640" y="397454966"/>
          <a:ext cx="1060704" cy="1060704"/>
        </a:xfrm>
        <a:prstGeom prst="rect">
          <a:avLst/>
        </a:prstGeom>
      </xdr:spPr>
    </xdr:pic>
    <xdr:clientData/>
  </xdr:twoCellAnchor>
  <xdr:twoCellAnchor editAs="oneCell">
    <xdr:from>
      <xdr:col>6</xdr:col>
      <xdr:colOff>0</xdr:colOff>
      <xdr:row>77</xdr:row>
      <xdr:rowOff>0</xdr:rowOff>
    </xdr:from>
    <xdr:to>
      <xdr:col>6</xdr:col>
      <xdr:colOff>304800</xdr:colOff>
      <xdr:row>78</xdr:row>
      <xdr:rowOff>101600</xdr:rowOff>
    </xdr:to>
    <xdr:sp macro="" textlink="">
      <xdr:nvSpPr>
        <xdr:cNvPr id="144" name="AutoShape 1" descr="bottle">
          <a:extLst>
            <a:ext uri="{FF2B5EF4-FFF2-40B4-BE49-F238E27FC236}">
              <a16:creationId xmlns:a16="http://schemas.microsoft.com/office/drawing/2014/main" id="{D42BE0D7-8135-A142-A467-A432D7388799}"/>
            </a:ext>
          </a:extLst>
        </xdr:cNvPr>
        <xdr:cNvSpPr>
          <a:spLocks noChangeAspect="1" noChangeArrowheads="1"/>
        </xdr:cNvSpPr>
      </xdr:nvSpPr>
      <xdr:spPr bwMode="auto">
        <a:xfrm>
          <a:off x="3302000" y="39726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132108</xdr:colOff>
      <xdr:row>78</xdr:row>
      <xdr:rowOff>522817</xdr:rowOff>
    </xdr:from>
    <xdr:ext cx="1080000" cy="1080000"/>
    <xdr:pic>
      <xdr:nvPicPr>
        <xdr:cNvPr id="145" name="Resim 144">
          <a:extLst>
            <a:ext uri="{FF2B5EF4-FFF2-40B4-BE49-F238E27FC236}">
              <a16:creationId xmlns:a16="http://schemas.microsoft.com/office/drawing/2014/main" id="{E56E8D2F-4575-384B-BE8B-CA31C852EA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9108" y="398413817"/>
          <a:ext cx="1080000" cy="1080000"/>
        </a:xfrm>
        <a:prstGeom prst="rect">
          <a:avLst/>
        </a:prstGeom>
      </xdr:spPr>
    </xdr:pic>
    <xdr:clientData/>
  </xdr:oneCellAnchor>
  <xdr:oneCellAnchor>
    <xdr:from>
      <xdr:col>16</xdr:col>
      <xdr:colOff>84666</xdr:colOff>
      <xdr:row>78</xdr:row>
      <xdr:rowOff>1849967</xdr:rowOff>
    </xdr:from>
    <xdr:ext cx="1080000" cy="1080000"/>
    <xdr:pic>
      <xdr:nvPicPr>
        <xdr:cNvPr id="146" name="Resim 145">
          <a:extLst>
            <a:ext uri="{FF2B5EF4-FFF2-40B4-BE49-F238E27FC236}">
              <a16:creationId xmlns:a16="http://schemas.microsoft.com/office/drawing/2014/main" id="{F75DD223-1FC5-9242-9D9C-311BE718E8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1666" y="399740967"/>
          <a:ext cx="1080000" cy="1080000"/>
        </a:xfrm>
        <a:prstGeom prst="rect">
          <a:avLst/>
        </a:prstGeom>
      </xdr:spPr>
    </xdr:pic>
    <xdr:clientData/>
  </xdr:oneCellAnchor>
  <xdr:oneCellAnchor>
    <xdr:from>
      <xdr:col>16</xdr:col>
      <xdr:colOff>128246</xdr:colOff>
      <xdr:row>80</xdr:row>
      <xdr:rowOff>392206</xdr:rowOff>
    </xdr:from>
    <xdr:ext cx="1080000" cy="1080000"/>
    <xdr:pic>
      <xdr:nvPicPr>
        <xdr:cNvPr id="147" name="Resim 146">
          <a:extLst>
            <a:ext uri="{FF2B5EF4-FFF2-40B4-BE49-F238E27FC236}">
              <a16:creationId xmlns:a16="http://schemas.microsoft.com/office/drawing/2014/main" id="{776F51D9-6E76-204E-AD6B-97AF856CD4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5246" y="406677906"/>
          <a:ext cx="1080000" cy="1080000"/>
        </a:xfrm>
        <a:prstGeom prst="rect">
          <a:avLst/>
        </a:prstGeom>
      </xdr:spPr>
    </xdr:pic>
    <xdr:clientData/>
  </xdr:oneCellAnchor>
  <xdr:oneCellAnchor>
    <xdr:from>
      <xdr:col>16</xdr:col>
      <xdr:colOff>112059</xdr:colOff>
      <xdr:row>80</xdr:row>
      <xdr:rowOff>2110441</xdr:rowOff>
    </xdr:from>
    <xdr:ext cx="1080000" cy="1080000"/>
    <xdr:pic>
      <xdr:nvPicPr>
        <xdr:cNvPr id="148" name="Resim 147">
          <a:extLst>
            <a:ext uri="{FF2B5EF4-FFF2-40B4-BE49-F238E27FC236}">
              <a16:creationId xmlns:a16="http://schemas.microsoft.com/office/drawing/2014/main" id="{880A7DDA-2C9C-964A-A455-02D1EBAED3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9059" y="408396141"/>
          <a:ext cx="1080000" cy="1080000"/>
        </a:xfrm>
        <a:prstGeom prst="rect">
          <a:avLst/>
        </a:prstGeom>
      </xdr:spPr>
    </xdr:pic>
    <xdr:clientData/>
  </xdr:oneCellAnchor>
  <xdr:oneCellAnchor>
    <xdr:from>
      <xdr:col>16</xdr:col>
      <xdr:colOff>215348</xdr:colOff>
      <xdr:row>82</xdr:row>
      <xdr:rowOff>1408963</xdr:rowOff>
    </xdr:from>
    <xdr:ext cx="1080000" cy="1080000"/>
    <xdr:pic>
      <xdr:nvPicPr>
        <xdr:cNvPr id="149" name="Resim 148">
          <a:extLst>
            <a:ext uri="{FF2B5EF4-FFF2-40B4-BE49-F238E27FC236}">
              <a16:creationId xmlns:a16="http://schemas.microsoft.com/office/drawing/2014/main" id="{787B2174-0EB0-2744-A2F1-F65E378949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72348" y="418108663"/>
          <a:ext cx="1080000" cy="1080000"/>
        </a:xfrm>
        <a:prstGeom prst="rect">
          <a:avLst/>
        </a:prstGeom>
      </xdr:spPr>
    </xdr:pic>
    <xdr:clientData/>
  </xdr:oneCellAnchor>
  <xdr:oneCellAnchor>
    <xdr:from>
      <xdr:col>16</xdr:col>
      <xdr:colOff>206375</xdr:colOff>
      <xdr:row>83</xdr:row>
      <xdr:rowOff>1444625</xdr:rowOff>
    </xdr:from>
    <xdr:ext cx="1080000" cy="1080000"/>
    <xdr:pic>
      <xdr:nvPicPr>
        <xdr:cNvPr id="150" name="Resim 149">
          <a:extLst>
            <a:ext uri="{FF2B5EF4-FFF2-40B4-BE49-F238E27FC236}">
              <a16:creationId xmlns:a16="http://schemas.microsoft.com/office/drawing/2014/main" id="{4ED284E5-CAAE-C944-B8CF-81CDBCA005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3375" y="423351325"/>
          <a:ext cx="1080000" cy="1080000"/>
        </a:xfrm>
        <a:prstGeom prst="rect">
          <a:avLst/>
        </a:prstGeom>
      </xdr:spPr>
    </xdr:pic>
    <xdr:clientData/>
  </xdr:oneCellAnchor>
  <xdr:oneCellAnchor>
    <xdr:from>
      <xdr:col>16</xdr:col>
      <xdr:colOff>151848</xdr:colOff>
      <xdr:row>84</xdr:row>
      <xdr:rowOff>1514796</xdr:rowOff>
    </xdr:from>
    <xdr:ext cx="1080000" cy="1080000"/>
    <xdr:pic>
      <xdr:nvPicPr>
        <xdr:cNvPr id="151" name="Resim 150">
          <a:extLst>
            <a:ext uri="{FF2B5EF4-FFF2-40B4-BE49-F238E27FC236}">
              <a16:creationId xmlns:a16="http://schemas.microsoft.com/office/drawing/2014/main" id="{CE1A81E0-CD28-054F-B1B1-055B4AC37B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8848" y="428628496"/>
          <a:ext cx="1080000" cy="1080000"/>
        </a:xfrm>
        <a:prstGeom prst="rect">
          <a:avLst/>
        </a:prstGeom>
      </xdr:spPr>
    </xdr:pic>
    <xdr:clientData/>
  </xdr:oneCellAnchor>
  <xdr:oneCellAnchor>
    <xdr:from>
      <xdr:col>16</xdr:col>
      <xdr:colOff>148166</xdr:colOff>
      <xdr:row>85</xdr:row>
      <xdr:rowOff>211667</xdr:rowOff>
    </xdr:from>
    <xdr:ext cx="1080000" cy="1080000"/>
    <xdr:pic>
      <xdr:nvPicPr>
        <xdr:cNvPr id="152" name="Resim 151">
          <a:extLst>
            <a:ext uri="{FF2B5EF4-FFF2-40B4-BE49-F238E27FC236}">
              <a16:creationId xmlns:a16="http://schemas.microsoft.com/office/drawing/2014/main" id="{8A720BB3-FD05-4E4A-BFCF-922B9B02D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6" y="432532367"/>
          <a:ext cx="1080000" cy="1080000"/>
        </a:xfrm>
        <a:prstGeom prst="rect">
          <a:avLst/>
        </a:prstGeom>
      </xdr:spPr>
    </xdr:pic>
    <xdr:clientData/>
  </xdr:oneCellAnchor>
  <xdr:oneCellAnchor>
    <xdr:from>
      <xdr:col>16</xdr:col>
      <xdr:colOff>148167</xdr:colOff>
      <xdr:row>85</xdr:row>
      <xdr:rowOff>1502834</xdr:rowOff>
    </xdr:from>
    <xdr:ext cx="1080000" cy="1080000"/>
    <xdr:pic>
      <xdr:nvPicPr>
        <xdr:cNvPr id="153" name="Resim 152">
          <a:extLst>
            <a:ext uri="{FF2B5EF4-FFF2-40B4-BE49-F238E27FC236}">
              <a16:creationId xmlns:a16="http://schemas.microsoft.com/office/drawing/2014/main" id="{FC10B622-3A71-CC46-83F7-649986963A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433823534"/>
          <a:ext cx="1080000" cy="1080000"/>
        </a:xfrm>
        <a:prstGeom prst="rect">
          <a:avLst/>
        </a:prstGeom>
      </xdr:spPr>
    </xdr:pic>
    <xdr:clientData/>
  </xdr:oneCellAnchor>
  <xdr:oneCellAnchor>
    <xdr:from>
      <xdr:col>16</xdr:col>
      <xdr:colOff>127000</xdr:colOff>
      <xdr:row>86</xdr:row>
      <xdr:rowOff>465667</xdr:rowOff>
    </xdr:from>
    <xdr:ext cx="1080000" cy="1080000"/>
    <xdr:pic>
      <xdr:nvPicPr>
        <xdr:cNvPr id="154" name="Resim 153">
          <a:extLst>
            <a:ext uri="{FF2B5EF4-FFF2-40B4-BE49-F238E27FC236}">
              <a16:creationId xmlns:a16="http://schemas.microsoft.com/office/drawing/2014/main" id="{499F3ADA-A651-9A43-9550-408B361969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437993367"/>
          <a:ext cx="1080000" cy="1080000"/>
        </a:xfrm>
        <a:prstGeom prst="rect">
          <a:avLst/>
        </a:prstGeom>
      </xdr:spPr>
    </xdr:pic>
    <xdr:clientData/>
  </xdr:oneCellAnchor>
  <xdr:oneCellAnchor>
    <xdr:from>
      <xdr:col>16</xdr:col>
      <xdr:colOff>148167</xdr:colOff>
      <xdr:row>87</xdr:row>
      <xdr:rowOff>317500</xdr:rowOff>
    </xdr:from>
    <xdr:ext cx="1080000" cy="1080000"/>
    <xdr:pic>
      <xdr:nvPicPr>
        <xdr:cNvPr id="155" name="Resim 154">
          <a:extLst>
            <a:ext uri="{FF2B5EF4-FFF2-40B4-BE49-F238E27FC236}">
              <a16:creationId xmlns:a16="http://schemas.microsoft.com/office/drawing/2014/main" id="{C37CB0A9-CCF2-DD47-9E64-A6BB786276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7" y="443052200"/>
          <a:ext cx="1080000" cy="1080000"/>
        </a:xfrm>
        <a:prstGeom prst="rect">
          <a:avLst/>
        </a:prstGeom>
      </xdr:spPr>
    </xdr:pic>
    <xdr:clientData/>
  </xdr:oneCellAnchor>
  <xdr:oneCellAnchor>
    <xdr:from>
      <xdr:col>16</xdr:col>
      <xdr:colOff>190500</xdr:colOff>
      <xdr:row>87</xdr:row>
      <xdr:rowOff>1545167</xdr:rowOff>
    </xdr:from>
    <xdr:ext cx="1080000" cy="1080000"/>
    <xdr:pic>
      <xdr:nvPicPr>
        <xdr:cNvPr id="156" name="Resim 155">
          <a:extLst>
            <a:ext uri="{FF2B5EF4-FFF2-40B4-BE49-F238E27FC236}">
              <a16:creationId xmlns:a16="http://schemas.microsoft.com/office/drawing/2014/main" id="{0CC2C060-2492-F948-B299-55C93FBA43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444279867"/>
          <a:ext cx="1080000" cy="1080000"/>
        </a:xfrm>
        <a:prstGeom prst="rect">
          <a:avLst/>
        </a:prstGeom>
      </xdr:spPr>
    </xdr:pic>
    <xdr:clientData/>
  </xdr:oneCellAnchor>
  <xdr:oneCellAnchor>
    <xdr:from>
      <xdr:col>16</xdr:col>
      <xdr:colOff>148167</xdr:colOff>
      <xdr:row>87</xdr:row>
      <xdr:rowOff>2772833</xdr:rowOff>
    </xdr:from>
    <xdr:ext cx="1080000" cy="1080000"/>
    <xdr:pic>
      <xdr:nvPicPr>
        <xdr:cNvPr id="157" name="Resim 156">
          <a:extLst>
            <a:ext uri="{FF2B5EF4-FFF2-40B4-BE49-F238E27FC236}">
              <a16:creationId xmlns:a16="http://schemas.microsoft.com/office/drawing/2014/main" id="{1C6C1806-E10C-6245-8C81-6978EA4C95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5167" y="445507533"/>
          <a:ext cx="1080000" cy="1080000"/>
        </a:xfrm>
        <a:prstGeom prst="rect">
          <a:avLst/>
        </a:prstGeom>
      </xdr:spPr>
    </xdr:pic>
    <xdr:clientData/>
  </xdr:oneCellAnchor>
  <xdr:oneCellAnchor>
    <xdr:from>
      <xdr:col>16</xdr:col>
      <xdr:colOff>127000</xdr:colOff>
      <xdr:row>88</xdr:row>
      <xdr:rowOff>423333</xdr:rowOff>
    </xdr:from>
    <xdr:ext cx="1080000" cy="1080000"/>
    <xdr:pic>
      <xdr:nvPicPr>
        <xdr:cNvPr id="158" name="Resim 157">
          <a:extLst>
            <a:ext uri="{FF2B5EF4-FFF2-40B4-BE49-F238E27FC236}">
              <a16:creationId xmlns:a16="http://schemas.microsoft.com/office/drawing/2014/main" id="{4B6E9ECA-3CF3-6B4B-B898-891C4114A4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448174533"/>
          <a:ext cx="1080000" cy="1080000"/>
        </a:xfrm>
        <a:prstGeom prst="rect">
          <a:avLst/>
        </a:prstGeom>
      </xdr:spPr>
    </xdr:pic>
    <xdr:clientData/>
  </xdr:oneCellAnchor>
  <xdr:oneCellAnchor>
    <xdr:from>
      <xdr:col>16</xdr:col>
      <xdr:colOff>127000</xdr:colOff>
      <xdr:row>88</xdr:row>
      <xdr:rowOff>1566333</xdr:rowOff>
    </xdr:from>
    <xdr:ext cx="1080000" cy="1080000"/>
    <xdr:pic>
      <xdr:nvPicPr>
        <xdr:cNvPr id="159" name="Resim 158">
          <a:extLst>
            <a:ext uri="{FF2B5EF4-FFF2-40B4-BE49-F238E27FC236}">
              <a16:creationId xmlns:a16="http://schemas.microsoft.com/office/drawing/2014/main" id="{2B46D39A-EF85-234E-82DC-EB9EF7C285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84000" y="449317533"/>
          <a:ext cx="1080000" cy="1080000"/>
        </a:xfrm>
        <a:prstGeom prst="rect">
          <a:avLst/>
        </a:prstGeom>
      </xdr:spPr>
    </xdr:pic>
    <xdr:clientData/>
  </xdr:oneCellAnchor>
  <xdr:oneCellAnchor>
    <xdr:from>
      <xdr:col>16</xdr:col>
      <xdr:colOff>127000</xdr:colOff>
      <xdr:row>88</xdr:row>
      <xdr:rowOff>2751666</xdr:rowOff>
    </xdr:from>
    <xdr:ext cx="1080000" cy="1080000"/>
    <xdr:pic>
      <xdr:nvPicPr>
        <xdr:cNvPr id="160" name="Resim 159">
          <a:extLst>
            <a:ext uri="{FF2B5EF4-FFF2-40B4-BE49-F238E27FC236}">
              <a16:creationId xmlns:a16="http://schemas.microsoft.com/office/drawing/2014/main" id="{FF1D0324-1FF4-F643-8098-DDB100A80A5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84000" y="450502866"/>
          <a:ext cx="1080000" cy="1080000"/>
        </a:xfrm>
        <a:prstGeom prst="rect">
          <a:avLst/>
        </a:prstGeom>
      </xdr:spPr>
    </xdr:pic>
    <xdr:clientData/>
  </xdr:oneCellAnchor>
  <xdr:oneCellAnchor>
    <xdr:from>
      <xdr:col>16</xdr:col>
      <xdr:colOff>127000</xdr:colOff>
      <xdr:row>89</xdr:row>
      <xdr:rowOff>423333</xdr:rowOff>
    </xdr:from>
    <xdr:ext cx="1080000" cy="1080000"/>
    <xdr:pic>
      <xdr:nvPicPr>
        <xdr:cNvPr id="161" name="Resim 160">
          <a:extLst>
            <a:ext uri="{FF2B5EF4-FFF2-40B4-BE49-F238E27FC236}">
              <a16:creationId xmlns:a16="http://schemas.microsoft.com/office/drawing/2014/main" id="{47F4C832-7D8E-D142-9E61-91D2A345B3E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453381533"/>
          <a:ext cx="1080000" cy="1080000"/>
        </a:xfrm>
        <a:prstGeom prst="rect">
          <a:avLst/>
        </a:prstGeom>
      </xdr:spPr>
    </xdr:pic>
    <xdr:clientData/>
  </xdr:oneCellAnchor>
  <xdr:oneCellAnchor>
    <xdr:from>
      <xdr:col>16</xdr:col>
      <xdr:colOff>127000</xdr:colOff>
      <xdr:row>89</xdr:row>
      <xdr:rowOff>1566333</xdr:rowOff>
    </xdr:from>
    <xdr:ext cx="1080000" cy="1080000"/>
    <xdr:pic>
      <xdr:nvPicPr>
        <xdr:cNvPr id="162" name="Resim 161">
          <a:extLst>
            <a:ext uri="{FF2B5EF4-FFF2-40B4-BE49-F238E27FC236}">
              <a16:creationId xmlns:a16="http://schemas.microsoft.com/office/drawing/2014/main" id="{7F2D7F54-44B1-EA40-B65F-3F31EC77F1F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684000" y="454524533"/>
          <a:ext cx="1080000" cy="1080000"/>
        </a:xfrm>
        <a:prstGeom prst="rect">
          <a:avLst/>
        </a:prstGeom>
      </xdr:spPr>
    </xdr:pic>
    <xdr:clientData/>
  </xdr:oneCellAnchor>
  <xdr:oneCellAnchor>
    <xdr:from>
      <xdr:col>16</xdr:col>
      <xdr:colOff>127000</xdr:colOff>
      <xdr:row>89</xdr:row>
      <xdr:rowOff>2751666</xdr:rowOff>
    </xdr:from>
    <xdr:ext cx="1080000" cy="1080000"/>
    <xdr:pic>
      <xdr:nvPicPr>
        <xdr:cNvPr id="163" name="Resim 162">
          <a:extLst>
            <a:ext uri="{FF2B5EF4-FFF2-40B4-BE49-F238E27FC236}">
              <a16:creationId xmlns:a16="http://schemas.microsoft.com/office/drawing/2014/main" id="{5AE8571A-D835-BE44-9187-C3AADB17122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84000" y="455709866"/>
          <a:ext cx="1080000" cy="1080000"/>
        </a:xfrm>
        <a:prstGeom prst="rect">
          <a:avLst/>
        </a:prstGeom>
      </xdr:spPr>
    </xdr:pic>
    <xdr:clientData/>
  </xdr:oneCellAnchor>
  <xdr:oneCellAnchor>
    <xdr:from>
      <xdr:col>16</xdr:col>
      <xdr:colOff>127000</xdr:colOff>
      <xdr:row>90</xdr:row>
      <xdr:rowOff>296333</xdr:rowOff>
    </xdr:from>
    <xdr:ext cx="1080000" cy="1080000"/>
    <xdr:pic>
      <xdr:nvPicPr>
        <xdr:cNvPr id="164" name="Resim 163">
          <a:extLst>
            <a:ext uri="{FF2B5EF4-FFF2-40B4-BE49-F238E27FC236}">
              <a16:creationId xmlns:a16="http://schemas.microsoft.com/office/drawing/2014/main" id="{D8EBF2EF-B9D3-1E41-A037-630EFE7F46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458461533"/>
          <a:ext cx="1080000" cy="1080000"/>
        </a:xfrm>
        <a:prstGeom prst="rect">
          <a:avLst/>
        </a:prstGeom>
      </xdr:spPr>
    </xdr:pic>
    <xdr:clientData/>
  </xdr:oneCellAnchor>
  <xdr:oneCellAnchor>
    <xdr:from>
      <xdr:col>16</xdr:col>
      <xdr:colOff>127000</xdr:colOff>
      <xdr:row>90</xdr:row>
      <xdr:rowOff>1524000</xdr:rowOff>
    </xdr:from>
    <xdr:ext cx="1080000" cy="1080000"/>
    <xdr:pic>
      <xdr:nvPicPr>
        <xdr:cNvPr id="165" name="Resim 164">
          <a:extLst>
            <a:ext uri="{FF2B5EF4-FFF2-40B4-BE49-F238E27FC236}">
              <a16:creationId xmlns:a16="http://schemas.microsoft.com/office/drawing/2014/main" id="{8B9D0CC7-5181-9D42-9AEE-29F101186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459689200"/>
          <a:ext cx="1080000" cy="1080000"/>
        </a:xfrm>
        <a:prstGeom prst="rect">
          <a:avLst/>
        </a:prstGeom>
      </xdr:spPr>
    </xdr:pic>
    <xdr:clientData/>
  </xdr:oneCellAnchor>
  <xdr:oneCellAnchor>
    <xdr:from>
      <xdr:col>16</xdr:col>
      <xdr:colOff>190500</xdr:colOff>
      <xdr:row>90</xdr:row>
      <xdr:rowOff>2645833</xdr:rowOff>
    </xdr:from>
    <xdr:ext cx="1080000" cy="1080000"/>
    <xdr:pic>
      <xdr:nvPicPr>
        <xdr:cNvPr id="166" name="Resim 165">
          <a:extLst>
            <a:ext uri="{FF2B5EF4-FFF2-40B4-BE49-F238E27FC236}">
              <a16:creationId xmlns:a16="http://schemas.microsoft.com/office/drawing/2014/main" id="{4F336228-5E77-0343-AC90-12906382F8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47500" y="460811033"/>
          <a:ext cx="1080000" cy="1080000"/>
        </a:xfrm>
        <a:prstGeom prst="rect">
          <a:avLst/>
        </a:prstGeom>
      </xdr:spPr>
    </xdr:pic>
    <xdr:clientData/>
  </xdr:oneCellAnchor>
  <xdr:oneCellAnchor>
    <xdr:from>
      <xdr:col>16</xdr:col>
      <xdr:colOff>127000</xdr:colOff>
      <xdr:row>91</xdr:row>
      <xdr:rowOff>127000</xdr:rowOff>
    </xdr:from>
    <xdr:ext cx="1080000" cy="1080000"/>
    <xdr:pic>
      <xdr:nvPicPr>
        <xdr:cNvPr id="167" name="Resim 166">
          <a:extLst>
            <a:ext uri="{FF2B5EF4-FFF2-40B4-BE49-F238E27FC236}">
              <a16:creationId xmlns:a16="http://schemas.microsoft.com/office/drawing/2014/main" id="{E5A69506-3BBE-0442-A713-327058D290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463499200"/>
          <a:ext cx="1080000" cy="1080000"/>
        </a:xfrm>
        <a:prstGeom prst="rect">
          <a:avLst/>
        </a:prstGeom>
      </xdr:spPr>
    </xdr:pic>
    <xdr:clientData/>
  </xdr:oneCellAnchor>
  <xdr:oneCellAnchor>
    <xdr:from>
      <xdr:col>16</xdr:col>
      <xdr:colOff>169334</xdr:colOff>
      <xdr:row>91</xdr:row>
      <xdr:rowOff>1227666</xdr:rowOff>
    </xdr:from>
    <xdr:ext cx="1080000" cy="1080000"/>
    <xdr:pic>
      <xdr:nvPicPr>
        <xdr:cNvPr id="168" name="Resim 167">
          <a:extLst>
            <a:ext uri="{FF2B5EF4-FFF2-40B4-BE49-F238E27FC236}">
              <a16:creationId xmlns:a16="http://schemas.microsoft.com/office/drawing/2014/main" id="{02BED263-9863-0649-AA0B-F400EA49C1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464599866"/>
          <a:ext cx="1080000" cy="1080000"/>
        </a:xfrm>
        <a:prstGeom prst="rect">
          <a:avLst/>
        </a:prstGeom>
      </xdr:spPr>
    </xdr:pic>
    <xdr:clientData/>
  </xdr:oneCellAnchor>
  <xdr:oneCellAnchor>
    <xdr:from>
      <xdr:col>16</xdr:col>
      <xdr:colOff>169333</xdr:colOff>
      <xdr:row>91</xdr:row>
      <xdr:rowOff>2518833</xdr:rowOff>
    </xdr:from>
    <xdr:ext cx="1080000" cy="1056857"/>
    <xdr:pic>
      <xdr:nvPicPr>
        <xdr:cNvPr id="169" name="Resim 168">
          <a:extLst>
            <a:ext uri="{FF2B5EF4-FFF2-40B4-BE49-F238E27FC236}">
              <a16:creationId xmlns:a16="http://schemas.microsoft.com/office/drawing/2014/main" id="{EDC3A841-D034-DC42-A9A0-347EA31DD8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26333" y="465891033"/>
          <a:ext cx="1080000" cy="1056857"/>
        </a:xfrm>
        <a:prstGeom prst="rect">
          <a:avLst/>
        </a:prstGeom>
      </xdr:spPr>
    </xdr:pic>
    <xdr:clientData/>
  </xdr:oneCellAnchor>
  <xdr:oneCellAnchor>
    <xdr:from>
      <xdr:col>16</xdr:col>
      <xdr:colOff>190500</xdr:colOff>
      <xdr:row>92</xdr:row>
      <xdr:rowOff>84667</xdr:rowOff>
    </xdr:from>
    <xdr:ext cx="1080000" cy="1080000"/>
    <xdr:pic>
      <xdr:nvPicPr>
        <xdr:cNvPr id="170" name="Resim 169">
          <a:extLst>
            <a:ext uri="{FF2B5EF4-FFF2-40B4-BE49-F238E27FC236}">
              <a16:creationId xmlns:a16="http://schemas.microsoft.com/office/drawing/2014/main" id="{11E52194-57B1-1843-8840-F330090623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468663867"/>
          <a:ext cx="1080000" cy="1080000"/>
        </a:xfrm>
        <a:prstGeom prst="rect">
          <a:avLst/>
        </a:prstGeom>
      </xdr:spPr>
    </xdr:pic>
    <xdr:clientData/>
  </xdr:oneCellAnchor>
  <xdr:oneCellAnchor>
    <xdr:from>
      <xdr:col>16</xdr:col>
      <xdr:colOff>169333</xdr:colOff>
      <xdr:row>92</xdr:row>
      <xdr:rowOff>1185333</xdr:rowOff>
    </xdr:from>
    <xdr:ext cx="1080000" cy="1080000"/>
    <xdr:pic>
      <xdr:nvPicPr>
        <xdr:cNvPr id="171" name="Resim 170">
          <a:extLst>
            <a:ext uri="{FF2B5EF4-FFF2-40B4-BE49-F238E27FC236}">
              <a16:creationId xmlns:a16="http://schemas.microsoft.com/office/drawing/2014/main" id="{D07C7BB4-063E-8E4F-8AC3-8C2599E270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6333" y="469764533"/>
          <a:ext cx="1080000" cy="1080000"/>
        </a:xfrm>
        <a:prstGeom prst="rect">
          <a:avLst/>
        </a:prstGeom>
      </xdr:spPr>
    </xdr:pic>
    <xdr:clientData/>
  </xdr:oneCellAnchor>
  <xdr:oneCellAnchor>
    <xdr:from>
      <xdr:col>16</xdr:col>
      <xdr:colOff>169333</xdr:colOff>
      <xdr:row>92</xdr:row>
      <xdr:rowOff>2349500</xdr:rowOff>
    </xdr:from>
    <xdr:ext cx="1080000" cy="1080000"/>
    <xdr:pic>
      <xdr:nvPicPr>
        <xdr:cNvPr id="172" name="Resim 171">
          <a:extLst>
            <a:ext uri="{FF2B5EF4-FFF2-40B4-BE49-F238E27FC236}">
              <a16:creationId xmlns:a16="http://schemas.microsoft.com/office/drawing/2014/main" id="{4C10E10F-AB15-7D47-A2AA-D440C5E0E5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26333" y="470928700"/>
          <a:ext cx="1080000" cy="1080000"/>
        </a:xfrm>
        <a:prstGeom prst="rect">
          <a:avLst/>
        </a:prstGeom>
      </xdr:spPr>
    </xdr:pic>
    <xdr:clientData/>
  </xdr:oneCellAnchor>
  <xdr:oneCellAnchor>
    <xdr:from>
      <xdr:col>16</xdr:col>
      <xdr:colOff>148167</xdr:colOff>
      <xdr:row>93</xdr:row>
      <xdr:rowOff>63500</xdr:rowOff>
    </xdr:from>
    <xdr:ext cx="1080000" cy="1080000"/>
    <xdr:pic>
      <xdr:nvPicPr>
        <xdr:cNvPr id="173" name="Resim 172">
          <a:extLst>
            <a:ext uri="{FF2B5EF4-FFF2-40B4-BE49-F238E27FC236}">
              <a16:creationId xmlns:a16="http://schemas.microsoft.com/office/drawing/2014/main" id="{191BC146-D582-984E-831E-4195BE1DC2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473849700"/>
          <a:ext cx="1080000" cy="1080000"/>
        </a:xfrm>
        <a:prstGeom prst="rect">
          <a:avLst/>
        </a:prstGeom>
      </xdr:spPr>
    </xdr:pic>
    <xdr:clientData/>
  </xdr:oneCellAnchor>
  <xdr:oneCellAnchor>
    <xdr:from>
      <xdr:col>16</xdr:col>
      <xdr:colOff>148167</xdr:colOff>
      <xdr:row>93</xdr:row>
      <xdr:rowOff>1185333</xdr:rowOff>
    </xdr:from>
    <xdr:ext cx="1080000" cy="1080000"/>
    <xdr:pic>
      <xdr:nvPicPr>
        <xdr:cNvPr id="174" name="Resim 173">
          <a:extLst>
            <a:ext uri="{FF2B5EF4-FFF2-40B4-BE49-F238E27FC236}">
              <a16:creationId xmlns:a16="http://schemas.microsoft.com/office/drawing/2014/main" id="{CFDF8422-59BA-8F4A-A854-2FCA0EC41B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7" y="474971533"/>
          <a:ext cx="1080000" cy="1080000"/>
        </a:xfrm>
        <a:prstGeom prst="rect">
          <a:avLst/>
        </a:prstGeom>
      </xdr:spPr>
    </xdr:pic>
    <xdr:clientData/>
  </xdr:oneCellAnchor>
  <xdr:oneCellAnchor>
    <xdr:from>
      <xdr:col>16</xdr:col>
      <xdr:colOff>169333</xdr:colOff>
      <xdr:row>93</xdr:row>
      <xdr:rowOff>2286000</xdr:rowOff>
    </xdr:from>
    <xdr:ext cx="1080000" cy="1080000"/>
    <xdr:pic>
      <xdr:nvPicPr>
        <xdr:cNvPr id="175" name="Resim 174">
          <a:extLst>
            <a:ext uri="{FF2B5EF4-FFF2-40B4-BE49-F238E27FC236}">
              <a16:creationId xmlns:a16="http://schemas.microsoft.com/office/drawing/2014/main" id="{9E08F2EC-BEC3-9D48-826D-726E2F6D7C2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26333" y="476072200"/>
          <a:ext cx="1080000" cy="1080000"/>
        </a:xfrm>
        <a:prstGeom prst="rect">
          <a:avLst/>
        </a:prstGeom>
      </xdr:spPr>
    </xdr:pic>
    <xdr:clientData/>
  </xdr:oneCellAnchor>
  <xdr:oneCellAnchor>
    <xdr:from>
      <xdr:col>16</xdr:col>
      <xdr:colOff>190500</xdr:colOff>
      <xdr:row>93</xdr:row>
      <xdr:rowOff>3534833</xdr:rowOff>
    </xdr:from>
    <xdr:ext cx="1080000" cy="1080000"/>
    <xdr:pic>
      <xdr:nvPicPr>
        <xdr:cNvPr id="176" name="Resim 175">
          <a:extLst>
            <a:ext uri="{FF2B5EF4-FFF2-40B4-BE49-F238E27FC236}">
              <a16:creationId xmlns:a16="http://schemas.microsoft.com/office/drawing/2014/main" id="{1EBFC932-7A23-9B4A-8B7B-3ACC10D2DC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477321033"/>
          <a:ext cx="1080000" cy="1080000"/>
        </a:xfrm>
        <a:prstGeom prst="rect">
          <a:avLst/>
        </a:prstGeom>
      </xdr:spPr>
    </xdr:pic>
    <xdr:clientData/>
  </xdr:oneCellAnchor>
  <xdr:oneCellAnchor>
    <xdr:from>
      <xdr:col>16</xdr:col>
      <xdr:colOff>148167</xdr:colOff>
      <xdr:row>94</xdr:row>
      <xdr:rowOff>1185333</xdr:rowOff>
    </xdr:from>
    <xdr:ext cx="1080000" cy="1080000"/>
    <xdr:pic>
      <xdr:nvPicPr>
        <xdr:cNvPr id="177" name="Resim 176">
          <a:extLst>
            <a:ext uri="{FF2B5EF4-FFF2-40B4-BE49-F238E27FC236}">
              <a16:creationId xmlns:a16="http://schemas.microsoft.com/office/drawing/2014/main" id="{6883C59B-A0A0-AD4B-84EC-860ABA81DF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7" y="480178533"/>
          <a:ext cx="1080000" cy="1080000"/>
        </a:xfrm>
        <a:prstGeom prst="rect">
          <a:avLst/>
        </a:prstGeom>
      </xdr:spPr>
    </xdr:pic>
    <xdr:clientData/>
  </xdr:oneCellAnchor>
  <xdr:oneCellAnchor>
    <xdr:from>
      <xdr:col>16</xdr:col>
      <xdr:colOff>169333</xdr:colOff>
      <xdr:row>94</xdr:row>
      <xdr:rowOff>2286000</xdr:rowOff>
    </xdr:from>
    <xdr:ext cx="1080000" cy="1080000"/>
    <xdr:pic>
      <xdr:nvPicPr>
        <xdr:cNvPr id="178" name="Resim 177">
          <a:extLst>
            <a:ext uri="{FF2B5EF4-FFF2-40B4-BE49-F238E27FC236}">
              <a16:creationId xmlns:a16="http://schemas.microsoft.com/office/drawing/2014/main" id="{04FDB3C1-A515-194C-B8C6-ED00936B311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26333" y="481279200"/>
          <a:ext cx="1080000" cy="1080000"/>
        </a:xfrm>
        <a:prstGeom prst="rect">
          <a:avLst/>
        </a:prstGeom>
      </xdr:spPr>
    </xdr:pic>
    <xdr:clientData/>
  </xdr:oneCellAnchor>
  <xdr:oneCellAnchor>
    <xdr:from>
      <xdr:col>16</xdr:col>
      <xdr:colOff>190500</xdr:colOff>
      <xdr:row>94</xdr:row>
      <xdr:rowOff>3534833</xdr:rowOff>
    </xdr:from>
    <xdr:ext cx="1080000" cy="1080000"/>
    <xdr:pic>
      <xdr:nvPicPr>
        <xdr:cNvPr id="179" name="Resim 178">
          <a:extLst>
            <a:ext uri="{FF2B5EF4-FFF2-40B4-BE49-F238E27FC236}">
              <a16:creationId xmlns:a16="http://schemas.microsoft.com/office/drawing/2014/main" id="{1E519950-EA6F-5F42-8107-B4E39DF6DB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482528033"/>
          <a:ext cx="1080000" cy="1080000"/>
        </a:xfrm>
        <a:prstGeom prst="rect">
          <a:avLst/>
        </a:prstGeom>
      </xdr:spPr>
    </xdr:pic>
    <xdr:clientData/>
  </xdr:oneCellAnchor>
  <xdr:oneCellAnchor>
    <xdr:from>
      <xdr:col>16</xdr:col>
      <xdr:colOff>91440</xdr:colOff>
      <xdr:row>95</xdr:row>
      <xdr:rowOff>914400</xdr:rowOff>
    </xdr:from>
    <xdr:ext cx="1080000" cy="1080000"/>
    <xdr:pic>
      <xdr:nvPicPr>
        <xdr:cNvPr id="180" name="Resim 179">
          <a:extLst>
            <a:ext uri="{FF2B5EF4-FFF2-40B4-BE49-F238E27FC236}">
              <a16:creationId xmlns:a16="http://schemas.microsoft.com/office/drawing/2014/main" id="{269B46BC-7C78-BA4E-8B14-754E46E6DC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485114600"/>
          <a:ext cx="1080000" cy="1080000"/>
        </a:xfrm>
        <a:prstGeom prst="rect">
          <a:avLst/>
        </a:prstGeom>
      </xdr:spPr>
    </xdr:pic>
    <xdr:clientData/>
  </xdr:oneCellAnchor>
  <xdr:oneCellAnchor>
    <xdr:from>
      <xdr:col>16</xdr:col>
      <xdr:colOff>106680</xdr:colOff>
      <xdr:row>95</xdr:row>
      <xdr:rowOff>2255520</xdr:rowOff>
    </xdr:from>
    <xdr:ext cx="1080000" cy="1080000"/>
    <xdr:pic>
      <xdr:nvPicPr>
        <xdr:cNvPr id="181" name="Resim 180">
          <a:extLst>
            <a:ext uri="{FF2B5EF4-FFF2-40B4-BE49-F238E27FC236}">
              <a16:creationId xmlns:a16="http://schemas.microsoft.com/office/drawing/2014/main" id="{87B9E38E-518C-CA4B-8456-AABDCD182C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486455720"/>
          <a:ext cx="1080000" cy="1080000"/>
        </a:xfrm>
        <a:prstGeom prst="rect">
          <a:avLst/>
        </a:prstGeom>
      </xdr:spPr>
    </xdr:pic>
    <xdr:clientData/>
  </xdr:oneCellAnchor>
  <xdr:oneCellAnchor>
    <xdr:from>
      <xdr:col>16</xdr:col>
      <xdr:colOff>173566</xdr:colOff>
      <xdr:row>97</xdr:row>
      <xdr:rowOff>338666</xdr:rowOff>
    </xdr:from>
    <xdr:ext cx="1080000" cy="1080000"/>
    <xdr:pic>
      <xdr:nvPicPr>
        <xdr:cNvPr id="182" name="Resim 181">
          <a:extLst>
            <a:ext uri="{FF2B5EF4-FFF2-40B4-BE49-F238E27FC236}">
              <a16:creationId xmlns:a16="http://schemas.microsoft.com/office/drawing/2014/main" id="{8E4A39E5-97D2-E44F-87DB-6E510EA163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0566" y="494952866"/>
          <a:ext cx="1080000" cy="1080000"/>
        </a:xfrm>
        <a:prstGeom prst="rect">
          <a:avLst/>
        </a:prstGeom>
      </xdr:spPr>
    </xdr:pic>
    <xdr:clientData/>
  </xdr:oneCellAnchor>
  <xdr:oneCellAnchor>
    <xdr:from>
      <xdr:col>16</xdr:col>
      <xdr:colOff>176953</xdr:colOff>
      <xdr:row>97</xdr:row>
      <xdr:rowOff>3090332</xdr:rowOff>
    </xdr:from>
    <xdr:ext cx="1080000" cy="1080000"/>
    <xdr:pic>
      <xdr:nvPicPr>
        <xdr:cNvPr id="183" name="Resim 182">
          <a:extLst>
            <a:ext uri="{FF2B5EF4-FFF2-40B4-BE49-F238E27FC236}">
              <a16:creationId xmlns:a16="http://schemas.microsoft.com/office/drawing/2014/main" id="{DC91CB33-B054-BE4B-AE17-967E30A7C52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3953" y="497704532"/>
          <a:ext cx="1080000" cy="1080000"/>
        </a:xfrm>
        <a:prstGeom prst="rect">
          <a:avLst/>
        </a:prstGeom>
      </xdr:spPr>
    </xdr:pic>
    <xdr:clientData/>
  </xdr:oneCellAnchor>
  <xdr:oneCellAnchor>
    <xdr:from>
      <xdr:col>16</xdr:col>
      <xdr:colOff>176106</xdr:colOff>
      <xdr:row>97</xdr:row>
      <xdr:rowOff>1714500</xdr:rowOff>
    </xdr:from>
    <xdr:ext cx="1080000" cy="1080000"/>
    <xdr:pic>
      <xdr:nvPicPr>
        <xdr:cNvPr id="184" name="Resim 183">
          <a:extLst>
            <a:ext uri="{FF2B5EF4-FFF2-40B4-BE49-F238E27FC236}">
              <a16:creationId xmlns:a16="http://schemas.microsoft.com/office/drawing/2014/main" id="{7C4DF2FD-CD91-A048-87B8-B0BF3C9B11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3106" y="496328700"/>
          <a:ext cx="1080000" cy="1080000"/>
        </a:xfrm>
        <a:prstGeom prst="rect">
          <a:avLst/>
        </a:prstGeom>
      </xdr:spPr>
    </xdr:pic>
    <xdr:clientData/>
  </xdr:oneCellAnchor>
  <xdr:oneCellAnchor>
    <xdr:from>
      <xdr:col>16</xdr:col>
      <xdr:colOff>94826</xdr:colOff>
      <xdr:row>99</xdr:row>
      <xdr:rowOff>824654</xdr:rowOff>
    </xdr:from>
    <xdr:ext cx="1080000" cy="1080000"/>
    <xdr:pic>
      <xdr:nvPicPr>
        <xdr:cNvPr id="185" name="Resim 184">
          <a:extLst>
            <a:ext uri="{FF2B5EF4-FFF2-40B4-BE49-F238E27FC236}">
              <a16:creationId xmlns:a16="http://schemas.microsoft.com/office/drawing/2014/main" id="{58FBA9B5-AE49-E54C-B0BB-934B772138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1826" y="505852854"/>
          <a:ext cx="1080000" cy="1080000"/>
        </a:xfrm>
        <a:prstGeom prst="rect">
          <a:avLst/>
        </a:prstGeom>
      </xdr:spPr>
    </xdr:pic>
    <xdr:clientData/>
  </xdr:oneCellAnchor>
  <xdr:oneCellAnchor>
    <xdr:from>
      <xdr:col>16</xdr:col>
      <xdr:colOff>127000</xdr:colOff>
      <xdr:row>99</xdr:row>
      <xdr:rowOff>2307167</xdr:rowOff>
    </xdr:from>
    <xdr:ext cx="1080000" cy="1056857"/>
    <xdr:pic>
      <xdr:nvPicPr>
        <xdr:cNvPr id="186" name="Resim 185">
          <a:extLst>
            <a:ext uri="{FF2B5EF4-FFF2-40B4-BE49-F238E27FC236}">
              <a16:creationId xmlns:a16="http://schemas.microsoft.com/office/drawing/2014/main" id="{C35D877B-CF9F-2E46-8530-EA06F93FEB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84000" y="507335367"/>
          <a:ext cx="1080000" cy="1056857"/>
        </a:xfrm>
        <a:prstGeom prst="rect">
          <a:avLst/>
        </a:prstGeom>
      </xdr:spPr>
    </xdr:pic>
    <xdr:clientData/>
  </xdr:oneCellAnchor>
  <xdr:oneCellAnchor>
    <xdr:from>
      <xdr:col>16</xdr:col>
      <xdr:colOff>91440</xdr:colOff>
      <xdr:row>100</xdr:row>
      <xdr:rowOff>914400</xdr:rowOff>
    </xdr:from>
    <xdr:ext cx="1080000" cy="1080000"/>
    <xdr:pic>
      <xdr:nvPicPr>
        <xdr:cNvPr id="187" name="Resim 186">
          <a:extLst>
            <a:ext uri="{FF2B5EF4-FFF2-40B4-BE49-F238E27FC236}">
              <a16:creationId xmlns:a16="http://schemas.microsoft.com/office/drawing/2014/main" id="{39E31B8E-66C3-084B-ACA1-D4C16BFBE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511162300"/>
          <a:ext cx="1080000" cy="1080000"/>
        </a:xfrm>
        <a:prstGeom prst="rect">
          <a:avLst/>
        </a:prstGeom>
      </xdr:spPr>
    </xdr:pic>
    <xdr:clientData/>
  </xdr:oneCellAnchor>
  <xdr:oneCellAnchor>
    <xdr:from>
      <xdr:col>16</xdr:col>
      <xdr:colOff>106680</xdr:colOff>
      <xdr:row>100</xdr:row>
      <xdr:rowOff>2255520</xdr:rowOff>
    </xdr:from>
    <xdr:ext cx="1080000" cy="1080000"/>
    <xdr:pic>
      <xdr:nvPicPr>
        <xdr:cNvPr id="188" name="Resim 187">
          <a:extLst>
            <a:ext uri="{FF2B5EF4-FFF2-40B4-BE49-F238E27FC236}">
              <a16:creationId xmlns:a16="http://schemas.microsoft.com/office/drawing/2014/main" id="{0876FA88-C605-B74E-82EA-7289044DF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512503420"/>
          <a:ext cx="1080000" cy="1080000"/>
        </a:xfrm>
        <a:prstGeom prst="rect">
          <a:avLst/>
        </a:prstGeom>
      </xdr:spPr>
    </xdr:pic>
    <xdr:clientData/>
  </xdr:oneCellAnchor>
  <xdr:oneCellAnchor>
    <xdr:from>
      <xdr:col>16</xdr:col>
      <xdr:colOff>168800</xdr:colOff>
      <xdr:row>102</xdr:row>
      <xdr:rowOff>2339837</xdr:rowOff>
    </xdr:from>
    <xdr:ext cx="1080000" cy="1080000"/>
    <xdr:pic>
      <xdr:nvPicPr>
        <xdr:cNvPr id="189" name="Resim 188">
          <a:extLst>
            <a:ext uri="{FF2B5EF4-FFF2-40B4-BE49-F238E27FC236}">
              <a16:creationId xmlns:a16="http://schemas.microsoft.com/office/drawing/2014/main" id="{27D98869-9D62-5749-9DCD-FDD6895F9B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5800" y="523001737"/>
          <a:ext cx="1080000" cy="1080000"/>
        </a:xfrm>
        <a:prstGeom prst="rect">
          <a:avLst/>
        </a:prstGeom>
      </xdr:spPr>
    </xdr:pic>
    <xdr:clientData/>
  </xdr:oneCellAnchor>
  <xdr:oneCellAnchor>
    <xdr:from>
      <xdr:col>16</xdr:col>
      <xdr:colOff>84134</xdr:colOff>
      <xdr:row>102</xdr:row>
      <xdr:rowOff>615674</xdr:rowOff>
    </xdr:from>
    <xdr:ext cx="1080000" cy="1080000"/>
    <xdr:pic>
      <xdr:nvPicPr>
        <xdr:cNvPr id="190" name="Resim 189">
          <a:extLst>
            <a:ext uri="{FF2B5EF4-FFF2-40B4-BE49-F238E27FC236}">
              <a16:creationId xmlns:a16="http://schemas.microsoft.com/office/drawing/2014/main" id="{939DA547-6DF3-E746-9B5D-42F0EAFE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1134" y="521277574"/>
          <a:ext cx="1080000" cy="1080000"/>
        </a:xfrm>
        <a:prstGeom prst="rect">
          <a:avLst/>
        </a:prstGeom>
      </xdr:spPr>
    </xdr:pic>
    <xdr:clientData/>
  </xdr:oneCellAnchor>
  <xdr:oneCellAnchor>
    <xdr:from>
      <xdr:col>16</xdr:col>
      <xdr:colOff>200520</xdr:colOff>
      <xdr:row>103</xdr:row>
      <xdr:rowOff>3093720</xdr:rowOff>
    </xdr:from>
    <xdr:ext cx="1080000" cy="1080000"/>
    <xdr:pic>
      <xdr:nvPicPr>
        <xdr:cNvPr id="191" name="Resim 190">
          <a:extLst>
            <a:ext uri="{FF2B5EF4-FFF2-40B4-BE49-F238E27FC236}">
              <a16:creationId xmlns:a16="http://schemas.microsoft.com/office/drawing/2014/main" id="{D8A1EAF2-1E82-8042-B46E-CA9D9D6CF1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7520" y="528962620"/>
          <a:ext cx="1080000" cy="1080000"/>
        </a:xfrm>
        <a:prstGeom prst="rect">
          <a:avLst/>
        </a:prstGeom>
      </xdr:spPr>
    </xdr:pic>
    <xdr:clientData/>
  </xdr:oneCellAnchor>
  <xdr:oneCellAnchor>
    <xdr:from>
      <xdr:col>16</xdr:col>
      <xdr:colOff>167640</xdr:colOff>
      <xdr:row>103</xdr:row>
      <xdr:rowOff>1704480</xdr:rowOff>
    </xdr:from>
    <xdr:ext cx="1080000" cy="1080000"/>
    <xdr:pic>
      <xdr:nvPicPr>
        <xdr:cNvPr id="192" name="Resim 191">
          <a:extLst>
            <a:ext uri="{FF2B5EF4-FFF2-40B4-BE49-F238E27FC236}">
              <a16:creationId xmlns:a16="http://schemas.microsoft.com/office/drawing/2014/main" id="{01A8A643-7FEA-474C-95D6-F52E695A8C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4640" y="527573380"/>
          <a:ext cx="1080000" cy="1080000"/>
        </a:xfrm>
        <a:prstGeom prst="rect">
          <a:avLst/>
        </a:prstGeom>
      </xdr:spPr>
    </xdr:pic>
    <xdr:clientData/>
  </xdr:oneCellAnchor>
  <xdr:oneCellAnchor>
    <xdr:from>
      <xdr:col>16</xdr:col>
      <xdr:colOff>137160</xdr:colOff>
      <xdr:row>103</xdr:row>
      <xdr:rowOff>335280</xdr:rowOff>
    </xdr:from>
    <xdr:ext cx="1080000" cy="1080000"/>
    <xdr:pic>
      <xdr:nvPicPr>
        <xdr:cNvPr id="193" name="Resim 192">
          <a:extLst>
            <a:ext uri="{FF2B5EF4-FFF2-40B4-BE49-F238E27FC236}">
              <a16:creationId xmlns:a16="http://schemas.microsoft.com/office/drawing/2014/main" id="{D80A6749-1D8A-4641-ACAB-DA76EFF4C7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526204180"/>
          <a:ext cx="1080000" cy="1080000"/>
        </a:xfrm>
        <a:prstGeom prst="rect">
          <a:avLst/>
        </a:prstGeom>
      </xdr:spPr>
    </xdr:pic>
    <xdr:clientData/>
  </xdr:oneCellAnchor>
  <xdr:oneCellAnchor>
    <xdr:from>
      <xdr:col>16</xdr:col>
      <xdr:colOff>121920</xdr:colOff>
      <xdr:row>104</xdr:row>
      <xdr:rowOff>579120</xdr:rowOff>
    </xdr:from>
    <xdr:ext cx="1080000" cy="1080000"/>
    <xdr:pic>
      <xdr:nvPicPr>
        <xdr:cNvPr id="194" name="Resim 193">
          <a:extLst>
            <a:ext uri="{FF2B5EF4-FFF2-40B4-BE49-F238E27FC236}">
              <a16:creationId xmlns:a16="http://schemas.microsoft.com/office/drawing/2014/main" id="{AFDBE0A1-883B-B744-A17C-4D1A9F10D2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8920" y="531655020"/>
          <a:ext cx="1080000" cy="1080000"/>
        </a:xfrm>
        <a:prstGeom prst="rect">
          <a:avLst/>
        </a:prstGeom>
      </xdr:spPr>
    </xdr:pic>
    <xdr:clientData/>
  </xdr:oneCellAnchor>
  <xdr:oneCellAnchor>
    <xdr:from>
      <xdr:col>16</xdr:col>
      <xdr:colOff>121920</xdr:colOff>
      <xdr:row>104</xdr:row>
      <xdr:rowOff>1996440</xdr:rowOff>
    </xdr:from>
    <xdr:ext cx="1080000" cy="1080000"/>
    <xdr:pic>
      <xdr:nvPicPr>
        <xdr:cNvPr id="195" name="Resim 194">
          <a:extLst>
            <a:ext uri="{FF2B5EF4-FFF2-40B4-BE49-F238E27FC236}">
              <a16:creationId xmlns:a16="http://schemas.microsoft.com/office/drawing/2014/main" id="{19584DF0-0566-9F42-A972-6289EA8240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533072340"/>
          <a:ext cx="1080000" cy="1080000"/>
        </a:xfrm>
        <a:prstGeom prst="rect">
          <a:avLst/>
        </a:prstGeom>
      </xdr:spPr>
    </xdr:pic>
    <xdr:clientData/>
  </xdr:oneCellAnchor>
  <xdr:oneCellAnchor>
    <xdr:from>
      <xdr:col>16</xdr:col>
      <xdr:colOff>137160</xdr:colOff>
      <xdr:row>106</xdr:row>
      <xdr:rowOff>1036320</xdr:rowOff>
    </xdr:from>
    <xdr:ext cx="1080000" cy="1080000"/>
    <xdr:pic>
      <xdr:nvPicPr>
        <xdr:cNvPr id="196" name="Resim 195">
          <a:extLst>
            <a:ext uri="{FF2B5EF4-FFF2-40B4-BE49-F238E27FC236}">
              <a16:creationId xmlns:a16="http://schemas.microsoft.com/office/drawing/2014/main" id="{F9B36E54-64CA-1B48-8DFD-54A730EB9F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94160" y="542526220"/>
          <a:ext cx="1080000" cy="1080000"/>
        </a:xfrm>
        <a:prstGeom prst="rect">
          <a:avLst/>
        </a:prstGeom>
      </xdr:spPr>
    </xdr:pic>
    <xdr:clientData/>
  </xdr:oneCellAnchor>
  <xdr:oneCellAnchor>
    <xdr:from>
      <xdr:col>16</xdr:col>
      <xdr:colOff>106680</xdr:colOff>
      <xdr:row>107</xdr:row>
      <xdr:rowOff>1350562</xdr:rowOff>
    </xdr:from>
    <xdr:ext cx="1080000" cy="1080000"/>
    <xdr:pic>
      <xdr:nvPicPr>
        <xdr:cNvPr id="197" name="Resim 196">
          <a:extLst>
            <a:ext uri="{FF2B5EF4-FFF2-40B4-BE49-F238E27FC236}">
              <a16:creationId xmlns:a16="http://schemas.microsoft.com/office/drawing/2014/main" id="{5F7E6E7B-210A-B445-9207-AF13BF5AEB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3680" y="548047462"/>
          <a:ext cx="1080000" cy="1080000"/>
        </a:xfrm>
        <a:prstGeom prst="rect">
          <a:avLst/>
        </a:prstGeom>
      </xdr:spPr>
    </xdr:pic>
    <xdr:clientData/>
  </xdr:oneCellAnchor>
  <xdr:oneCellAnchor>
    <xdr:from>
      <xdr:col>16</xdr:col>
      <xdr:colOff>116454</xdr:colOff>
      <xdr:row>107</xdr:row>
      <xdr:rowOff>2511950</xdr:rowOff>
    </xdr:from>
    <xdr:ext cx="1080000" cy="1080000"/>
    <xdr:pic>
      <xdr:nvPicPr>
        <xdr:cNvPr id="198" name="Resim 197">
          <a:extLst>
            <a:ext uri="{FF2B5EF4-FFF2-40B4-BE49-F238E27FC236}">
              <a16:creationId xmlns:a16="http://schemas.microsoft.com/office/drawing/2014/main" id="{78FA9975-5D1F-3042-B81A-146236CED4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3454" y="549208850"/>
          <a:ext cx="1080000" cy="1080000"/>
        </a:xfrm>
        <a:prstGeom prst="rect">
          <a:avLst/>
        </a:prstGeom>
      </xdr:spPr>
    </xdr:pic>
    <xdr:clientData/>
  </xdr:oneCellAnchor>
  <xdr:oneCellAnchor>
    <xdr:from>
      <xdr:col>16</xdr:col>
      <xdr:colOff>146368</xdr:colOff>
      <xdr:row>108</xdr:row>
      <xdr:rowOff>454660</xdr:rowOff>
    </xdr:from>
    <xdr:ext cx="1080000" cy="1080000"/>
    <xdr:pic>
      <xdr:nvPicPr>
        <xdr:cNvPr id="199" name="Resim 198">
          <a:extLst>
            <a:ext uri="{FF2B5EF4-FFF2-40B4-BE49-F238E27FC236}">
              <a16:creationId xmlns:a16="http://schemas.microsoft.com/office/drawing/2014/main" id="{5E25A251-A23B-A744-830E-B2970EECE5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3368" y="552358560"/>
          <a:ext cx="1080000" cy="1080000"/>
        </a:xfrm>
        <a:prstGeom prst="rect">
          <a:avLst/>
        </a:prstGeom>
      </xdr:spPr>
    </xdr:pic>
    <xdr:clientData/>
  </xdr:oneCellAnchor>
  <xdr:oneCellAnchor>
    <xdr:from>
      <xdr:col>16</xdr:col>
      <xdr:colOff>182880</xdr:colOff>
      <xdr:row>108</xdr:row>
      <xdr:rowOff>1752600</xdr:rowOff>
    </xdr:from>
    <xdr:ext cx="1080000" cy="1080000"/>
    <xdr:pic>
      <xdr:nvPicPr>
        <xdr:cNvPr id="200" name="Resim 199">
          <a:extLst>
            <a:ext uri="{FF2B5EF4-FFF2-40B4-BE49-F238E27FC236}">
              <a16:creationId xmlns:a16="http://schemas.microsoft.com/office/drawing/2014/main" id="{0FE61172-EFA3-B24D-9DA4-FD66C91011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9880" y="553656500"/>
          <a:ext cx="1080000" cy="1080000"/>
        </a:xfrm>
        <a:prstGeom prst="rect">
          <a:avLst/>
        </a:prstGeom>
      </xdr:spPr>
    </xdr:pic>
    <xdr:clientData/>
  </xdr:oneCellAnchor>
  <xdr:oneCellAnchor>
    <xdr:from>
      <xdr:col>16</xdr:col>
      <xdr:colOff>198120</xdr:colOff>
      <xdr:row>108</xdr:row>
      <xdr:rowOff>3203976</xdr:rowOff>
    </xdr:from>
    <xdr:ext cx="1080000" cy="1072847"/>
    <xdr:pic>
      <xdr:nvPicPr>
        <xdr:cNvPr id="201" name="Resim 200">
          <a:extLst>
            <a:ext uri="{FF2B5EF4-FFF2-40B4-BE49-F238E27FC236}">
              <a16:creationId xmlns:a16="http://schemas.microsoft.com/office/drawing/2014/main" id="{D24280CE-A69F-1642-86DD-F10C0BF73EF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55120" y="555107876"/>
          <a:ext cx="1080000" cy="1072847"/>
        </a:xfrm>
        <a:prstGeom prst="rect">
          <a:avLst/>
        </a:prstGeom>
      </xdr:spPr>
    </xdr:pic>
    <xdr:clientData/>
  </xdr:oneCellAnchor>
  <xdr:oneCellAnchor>
    <xdr:from>
      <xdr:col>16</xdr:col>
      <xdr:colOff>116454</xdr:colOff>
      <xdr:row>109</xdr:row>
      <xdr:rowOff>95747</xdr:rowOff>
    </xdr:from>
    <xdr:ext cx="1080000" cy="1072847"/>
    <xdr:pic>
      <xdr:nvPicPr>
        <xdr:cNvPr id="202" name="Resim 201">
          <a:extLst>
            <a:ext uri="{FF2B5EF4-FFF2-40B4-BE49-F238E27FC236}">
              <a16:creationId xmlns:a16="http://schemas.microsoft.com/office/drawing/2014/main" id="{66EDACD0-89B6-FE40-886A-96E6F6CE90A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73454" y="557206647"/>
          <a:ext cx="1080000" cy="1072847"/>
        </a:xfrm>
        <a:prstGeom prst="rect">
          <a:avLst/>
        </a:prstGeom>
      </xdr:spPr>
    </xdr:pic>
    <xdr:clientData/>
  </xdr:oneCellAnchor>
  <xdr:oneCellAnchor>
    <xdr:from>
      <xdr:col>16</xdr:col>
      <xdr:colOff>131694</xdr:colOff>
      <xdr:row>109</xdr:row>
      <xdr:rowOff>1160228</xdr:rowOff>
    </xdr:from>
    <xdr:ext cx="1080000" cy="1080000"/>
    <xdr:pic>
      <xdr:nvPicPr>
        <xdr:cNvPr id="203" name="Resim 202">
          <a:extLst>
            <a:ext uri="{FF2B5EF4-FFF2-40B4-BE49-F238E27FC236}">
              <a16:creationId xmlns:a16="http://schemas.microsoft.com/office/drawing/2014/main" id="{E11FCE0D-0502-AD4A-ACEF-CC64EB4EDF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8694" y="558271128"/>
          <a:ext cx="1080000" cy="1080000"/>
        </a:xfrm>
        <a:prstGeom prst="rect">
          <a:avLst/>
        </a:prstGeom>
      </xdr:spPr>
    </xdr:pic>
    <xdr:clientData/>
  </xdr:oneCellAnchor>
  <xdr:oneCellAnchor>
    <xdr:from>
      <xdr:col>16</xdr:col>
      <xdr:colOff>173107</xdr:colOff>
      <xdr:row>109</xdr:row>
      <xdr:rowOff>2277055</xdr:rowOff>
    </xdr:from>
    <xdr:ext cx="1080000" cy="1080000"/>
    <xdr:pic>
      <xdr:nvPicPr>
        <xdr:cNvPr id="204" name="Resim 203">
          <a:extLst>
            <a:ext uri="{FF2B5EF4-FFF2-40B4-BE49-F238E27FC236}">
              <a16:creationId xmlns:a16="http://schemas.microsoft.com/office/drawing/2014/main" id="{2DD2187D-DCD4-0941-A2CD-2A365012913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30107" y="559387955"/>
          <a:ext cx="1080000" cy="1080000"/>
        </a:xfrm>
        <a:prstGeom prst="rect">
          <a:avLst/>
        </a:prstGeom>
      </xdr:spPr>
    </xdr:pic>
    <xdr:clientData/>
  </xdr:oneCellAnchor>
  <xdr:oneCellAnchor>
    <xdr:from>
      <xdr:col>16</xdr:col>
      <xdr:colOff>137160</xdr:colOff>
      <xdr:row>110</xdr:row>
      <xdr:rowOff>289560</xdr:rowOff>
    </xdr:from>
    <xdr:ext cx="1080000" cy="1080000"/>
    <xdr:pic>
      <xdr:nvPicPr>
        <xdr:cNvPr id="205" name="Resim 204">
          <a:extLst>
            <a:ext uri="{FF2B5EF4-FFF2-40B4-BE49-F238E27FC236}">
              <a16:creationId xmlns:a16="http://schemas.microsoft.com/office/drawing/2014/main" id="{C5C1E6E1-981F-2E4A-BCAC-651FC753B88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94160" y="562607460"/>
          <a:ext cx="1080000" cy="1080000"/>
        </a:xfrm>
        <a:prstGeom prst="rect">
          <a:avLst/>
        </a:prstGeom>
      </xdr:spPr>
    </xdr:pic>
    <xdr:clientData/>
  </xdr:oneCellAnchor>
  <xdr:oneCellAnchor>
    <xdr:from>
      <xdr:col>16</xdr:col>
      <xdr:colOff>152400</xdr:colOff>
      <xdr:row>110</xdr:row>
      <xdr:rowOff>1859280</xdr:rowOff>
    </xdr:from>
    <xdr:ext cx="1080000" cy="1080000"/>
    <xdr:pic>
      <xdr:nvPicPr>
        <xdr:cNvPr id="206" name="Resim 205">
          <a:extLst>
            <a:ext uri="{FF2B5EF4-FFF2-40B4-BE49-F238E27FC236}">
              <a16:creationId xmlns:a16="http://schemas.microsoft.com/office/drawing/2014/main" id="{80E8C6E8-B8CC-074E-94D4-3A6641B5901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564177180"/>
          <a:ext cx="1080000" cy="1080000"/>
        </a:xfrm>
        <a:prstGeom prst="rect">
          <a:avLst/>
        </a:prstGeom>
      </xdr:spPr>
    </xdr:pic>
    <xdr:clientData/>
  </xdr:oneCellAnchor>
  <xdr:oneCellAnchor>
    <xdr:from>
      <xdr:col>16</xdr:col>
      <xdr:colOff>198120</xdr:colOff>
      <xdr:row>110</xdr:row>
      <xdr:rowOff>3413760</xdr:rowOff>
    </xdr:from>
    <xdr:ext cx="1080000" cy="1080000"/>
    <xdr:pic>
      <xdr:nvPicPr>
        <xdr:cNvPr id="207" name="Resim 206">
          <a:extLst>
            <a:ext uri="{FF2B5EF4-FFF2-40B4-BE49-F238E27FC236}">
              <a16:creationId xmlns:a16="http://schemas.microsoft.com/office/drawing/2014/main" id="{8834AEF6-75C9-B549-AA32-FE4A0B2A981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5120" y="565731660"/>
          <a:ext cx="1080000" cy="1080000"/>
        </a:xfrm>
        <a:prstGeom prst="rect">
          <a:avLst/>
        </a:prstGeom>
      </xdr:spPr>
    </xdr:pic>
    <xdr:clientData/>
  </xdr:oneCellAnchor>
  <xdr:oneCellAnchor>
    <xdr:from>
      <xdr:col>16</xdr:col>
      <xdr:colOff>167640</xdr:colOff>
      <xdr:row>111</xdr:row>
      <xdr:rowOff>3032760</xdr:rowOff>
    </xdr:from>
    <xdr:ext cx="1080000" cy="1080000"/>
    <xdr:pic>
      <xdr:nvPicPr>
        <xdr:cNvPr id="208" name="Resim 207">
          <a:extLst>
            <a:ext uri="{FF2B5EF4-FFF2-40B4-BE49-F238E27FC236}">
              <a16:creationId xmlns:a16="http://schemas.microsoft.com/office/drawing/2014/main" id="{9E3700C4-0DFB-E042-B95B-3EE0B9100FC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570557660"/>
          <a:ext cx="1080000" cy="1080000"/>
        </a:xfrm>
        <a:prstGeom prst="rect">
          <a:avLst/>
        </a:prstGeom>
      </xdr:spPr>
    </xdr:pic>
    <xdr:clientData/>
  </xdr:oneCellAnchor>
  <xdr:oneCellAnchor>
    <xdr:from>
      <xdr:col>16</xdr:col>
      <xdr:colOff>104280</xdr:colOff>
      <xdr:row>111</xdr:row>
      <xdr:rowOff>852945</xdr:rowOff>
    </xdr:from>
    <xdr:ext cx="1080000" cy="1080000"/>
    <xdr:pic>
      <xdr:nvPicPr>
        <xdr:cNvPr id="209" name="Resim 208">
          <a:extLst>
            <a:ext uri="{FF2B5EF4-FFF2-40B4-BE49-F238E27FC236}">
              <a16:creationId xmlns:a16="http://schemas.microsoft.com/office/drawing/2014/main" id="{7BD4F44E-D00A-834D-9981-AB3FDA71BD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1280" y="568377845"/>
          <a:ext cx="1080000" cy="1080000"/>
        </a:xfrm>
        <a:prstGeom prst="rect">
          <a:avLst/>
        </a:prstGeom>
      </xdr:spPr>
    </xdr:pic>
    <xdr:clientData/>
  </xdr:oneCellAnchor>
  <xdr:oneCellAnchor>
    <xdr:from>
      <xdr:col>16</xdr:col>
      <xdr:colOff>119520</xdr:colOff>
      <xdr:row>113</xdr:row>
      <xdr:rowOff>228105</xdr:rowOff>
    </xdr:from>
    <xdr:ext cx="1080000" cy="1080000"/>
    <xdr:pic>
      <xdr:nvPicPr>
        <xdr:cNvPr id="210" name="Resim 209">
          <a:extLst>
            <a:ext uri="{FF2B5EF4-FFF2-40B4-BE49-F238E27FC236}">
              <a16:creationId xmlns:a16="http://schemas.microsoft.com/office/drawing/2014/main" id="{4C0C219B-8946-934A-A539-94F4CEE972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6520" y="578167005"/>
          <a:ext cx="1080000" cy="1080000"/>
        </a:xfrm>
        <a:prstGeom prst="rect">
          <a:avLst/>
        </a:prstGeom>
      </xdr:spPr>
    </xdr:pic>
    <xdr:clientData/>
  </xdr:oneCellAnchor>
  <xdr:oneCellAnchor>
    <xdr:from>
      <xdr:col>16</xdr:col>
      <xdr:colOff>182880</xdr:colOff>
      <xdr:row>113</xdr:row>
      <xdr:rowOff>1615440</xdr:rowOff>
    </xdr:from>
    <xdr:ext cx="1080000" cy="1080000"/>
    <xdr:pic>
      <xdr:nvPicPr>
        <xdr:cNvPr id="211" name="Resim 210">
          <a:extLst>
            <a:ext uri="{FF2B5EF4-FFF2-40B4-BE49-F238E27FC236}">
              <a16:creationId xmlns:a16="http://schemas.microsoft.com/office/drawing/2014/main" id="{23305B98-F93D-4B46-B72B-604EC0A237A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880" y="579554340"/>
          <a:ext cx="1080000" cy="1080000"/>
        </a:xfrm>
        <a:prstGeom prst="rect">
          <a:avLst/>
        </a:prstGeom>
      </xdr:spPr>
    </xdr:pic>
    <xdr:clientData/>
  </xdr:oneCellAnchor>
  <xdr:oneCellAnchor>
    <xdr:from>
      <xdr:col>16</xdr:col>
      <xdr:colOff>182880</xdr:colOff>
      <xdr:row>113</xdr:row>
      <xdr:rowOff>3002280</xdr:rowOff>
    </xdr:from>
    <xdr:ext cx="1080000" cy="1080000"/>
    <xdr:pic>
      <xdr:nvPicPr>
        <xdr:cNvPr id="212" name="Resim 211">
          <a:extLst>
            <a:ext uri="{FF2B5EF4-FFF2-40B4-BE49-F238E27FC236}">
              <a16:creationId xmlns:a16="http://schemas.microsoft.com/office/drawing/2014/main" id="{BC0752F2-15BF-9749-BC88-14E2C17DB4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580941180"/>
          <a:ext cx="1080000" cy="1080000"/>
        </a:xfrm>
        <a:prstGeom prst="rect">
          <a:avLst/>
        </a:prstGeom>
      </xdr:spPr>
    </xdr:pic>
    <xdr:clientData/>
  </xdr:oneCellAnchor>
  <xdr:oneCellAnchor>
    <xdr:from>
      <xdr:col>16</xdr:col>
      <xdr:colOff>152400</xdr:colOff>
      <xdr:row>115</xdr:row>
      <xdr:rowOff>548640</xdr:rowOff>
    </xdr:from>
    <xdr:ext cx="1080000" cy="1080000"/>
    <xdr:pic>
      <xdr:nvPicPr>
        <xdr:cNvPr id="213" name="Resim 212">
          <a:extLst>
            <a:ext uri="{FF2B5EF4-FFF2-40B4-BE49-F238E27FC236}">
              <a16:creationId xmlns:a16="http://schemas.microsoft.com/office/drawing/2014/main" id="{95EF3575-A187-5D47-903D-ADC94676AC2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588901540"/>
          <a:ext cx="1080000" cy="1080000"/>
        </a:xfrm>
        <a:prstGeom prst="rect">
          <a:avLst/>
        </a:prstGeom>
      </xdr:spPr>
    </xdr:pic>
    <xdr:clientData/>
  </xdr:oneCellAnchor>
  <xdr:oneCellAnchor>
    <xdr:from>
      <xdr:col>16</xdr:col>
      <xdr:colOff>152400</xdr:colOff>
      <xdr:row>115</xdr:row>
      <xdr:rowOff>1965960</xdr:rowOff>
    </xdr:from>
    <xdr:ext cx="1080000" cy="1080000"/>
    <xdr:pic>
      <xdr:nvPicPr>
        <xdr:cNvPr id="214" name="Resim 213">
          <a:extLst>
            <a:ext uri="{FF2B5EF4-FFF2-40B4-BE49-F238E27FC236}">
              <a16:creationId xmlns:a16="http://schemas.microsoft.com/office/drawing/2014/main" id="{F7980A5E-DCBD-FD46-8625-78DC5AED16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590318860"/>
          <a:ext cx="1080000" cy="1080000"/>
        </a:xfrm>
        <a:prstGeom prst="rect">
          <a:avLst/>
        </a:prstGeom>
      </xdr:spPr>
    </xdr:pic>
    <xdr:clientData/>
  </xdr:oneCellAnchor>
  <xdr:oneCellAnchor>
    <xdr:from>
      <xdr:col>16</xdr:col>
      <xdr:colOff>174625</xdr:colOff>
      <xdr:row>118</xdr:row>
      <xdr:rowOff>365125</xdr:rowOff>
    </xdr:from>
    <xdr:ext cx="1080000" cy="1080000"/>
    <xdr:pic>
      <xdr:nvPicPr>
        <xdr:cNvPr id="215" name="Resim 214">
          <a:extLst>
            <a:ext uri="{FF2B5EF4-FFF2-40B4-BE49-F238E27FC236}">
              <a16:creationId xmlns:a16="http://schemas.microsoft.com/office/drawing/2014/main" id="{11A56467-F3C4-8F43-993B-275045641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604339025"/>
          <a:ext cx="1080000" cy="1080000"/>
        </a:xfrm>
        <a:prstGeom prst="rect">
          <a:avLst/>
        </a:prstGeom>
      </xdr:spPr>
    </xdr:pic>
    <xdr:clientData/>
  </xdr:oneCellAnchor>
  <xdr:oneCellAnchor>
    <xdr:from>
      <xdr:col>16</xdr:col>
      <xdr:colOff>79375</xdr:colOff>
      <xdr:row>119</xdr:row>
      <xdr:rowOff>357187</xdr:rowOff>
    </xdr:from>
    <xdr:ext cx="1080000" cy="1080000"/>
    <xdr:pic>
      <xdr:nvPicPr>
        <xdr:cNvPr id="216" name="Resim 215">
          <a:extLst>
            <a:ext uri="{FF2B5EF4-FFF2-40B4-BE49-F238E27FC236}">
              <a16:creationId xmlns:a16="http://schemas.microsoft.com/office/drawing/2014/main" id="{F799D9B3-5BE3-834C-AACE-DFF2D3CDDC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6375" y="609538087"/>
          <a:ext cx="1080000" cy="1080000"/>
        </a:xfrm>
        <a:prstGeom prst="rect">
          <a:avLst/>
        </a:prstGeom>
      </xdr:spPr>
    </xdr:pic>
    <xdr:clientData/>
  </xdr:oneCellAnchor>
  <xdr:oneCellAnchor>
    <xdr:from>
      <xdr:col>16</xdr:col>
      <xdr:colOff>152400</xdr:colOff>
      <xdr:row>121</xdr:row>
      <xdr:rowOff>548640</xdr:rowOff>
    </xdr:from>
    <xdr:ext cx="1080000" cy="1080000"/>
    <xdr:pic>
      <xdr:nvPicPr>
        <xdr:cNvPr id="217" name="Resim 216">
          <a:extLst>
            <a:ext uri="{FF2B5EF4-FFF2-40B4-BE49-F238E27FC236}">
              <a16:creationId xmlns:a16="http://schemas.microsoft.com/office/drawing/2014/main" id="{CD512425-E215-304E-BC26-4AF9BD2EFC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619978440"/>
          <a:ext cx="1080000" cy="1080000"/>
        </a:xfrm>
        <a:prstGeom prst="rect">
          <a:avLst/>
        </a:prstGeom>
      </xdr:spPr>
    </xdr:pic>
    <xdr:clientData/>
  </xdr:oneCellAnchor>
  <xdr:oneCellAnchor>
    <xdr:from>
      <xdr:col>16</xdr:col>
      <xdr:colOff>152400</xdr:colOff>
      <xdr:row>121</xdr:row>
      <xdr:rowOff>1965960</xdr:rowOff>
    </xdr:from>
    <xdr:ext cx="1080000" cy="1080000"/>
    <xdr:pic>
      <xdr:nvPicPr>
        <xdr:cNvPr id="218" name="Resim 217">
          <a:extLst>
            <a:ext uri="{FF2B5EF4-FFF2-40B4-BE49-F238E27FC236}">
              <a16:creationId xmlns:a16="http://schemas.microsoft.com/office/drawing/2014/main" id="{B7F58D32-D602-A54E-9E84-DC385A1F2B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621395760"/>
          <a:ext cx="1080000" cy="1080000"/>
        </a:xfrm>
        <a:prstGeom prst="rect">
          <a:avLst/>
        </a:prstGeom>
      </xdr:spPr>
    </xdr:pic>
    <xdr:clientData/>
  </xdr:oneCellAnchor>
  <xdr:oneCellAnchor>
    <xdr:from>
      <xdr:col>16</xdr:col>
      <xdr:colOff>91440</xdr:colOff>
      <xdr:row>122</xdr:row>
      <xdr:rowOff>914400</xdr:rowOff>
    </xdr:from>
    <xdr:ext cx="1080000" cy="1080000"/>
    <xdr:pic>
      <xdr:nvPicPr>
        <xdr:cNvPr id="219" name="Resim 218">
          <a:extLst>
            <a:ext uri="{FF2B5EF4-FFF2-40B4-BE49-F238E27FC236}">
              <a16:creationId xmlns:a16="http://schemas.microsoft.com/office/drawing/2014/main" id="{BA79D662-28FB-D249-A90A-5361B8792C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625551200"/>
          <a:ext cx="1080000" cy="1080000"/>
        </a:xfrm>
        <a:prstGeom prst="rect">
          <a:avLst/>
        </a:prstGeom>
      </xdr:spPr>
    </xdr:pic>
    <xdr:clientData/>
  </xdr:oneCellAnchor>
  <xdr:oneCellAnchor>
    <xdr:from>
      <xdr:col>16</xdr:col>
      <xdr:colOff>106680</xdr:colOff>
      <xdr:row>122</xdr:row>
      <xdr:rowOff>2255520</xdr:rowOff>
    </xdr:from>
    <xdr:ext cx="1080000" cy="1080000"/>
    <xdr:pic>
      <xdr:nvPicPr>
        <xdr:cNvPr id="220" name="Resim 219">
          <a:extLst>
            <a:ext uri="{FF2B5EF4-FFF2-40B4-BE49-F238E27FC236}">
              <a16:creationId xmlns:a16="http://schemas.microsoft.com/office/drawing/2014/main" id="{E785486F-CCFC-CB40-AE7E-CC7F5E567B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626892320"/>
          <a:ext cx="1080000" cy="1080000"/>
        </a:xfrm>
        <a:prstGeom prst="rect">
          <a:avLst/>
        </a:prstGeom>
      </xdr:spPr>
    </xdr:pic>
    <xdr:clientData/>
  </xdr:oneCellAnchor>
  <xdr:oneCellAnchor>
    <xdr:from>
      <xdr:col>16</xdr:col>
      <xdr:colOff>180480</xdr:colOff>
      <xdr:row>123</xdr:row>
      <xdr:rowOff>1416825</xdr:rowOff>
    </xdr:from>
    <xdr:ext cx="1080000" cy="1080000"/>
    <xdr:pic>
      <xdr:nvPicPr>
        <xdr:cNvPr id="221" name="Resim 220">
          <a:extLst>
            <a:ext uri="{FF2B5EF4-FFF2-40B4-BE49-F238E27FC236}">
              <a16:creationId xmlns:a16="http://schemas.microsoft.com/office/drawing/2014/main" id="{5753571F-B1EC-3D4C-9B8A-EACE7F625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37480" y="631260625"/>
          <a:ext cx="1080000" cy="1080000"/>
        </a:xfrm>
        <a:prstGeom prst="rect">
          <a:avLst/>
        </a:prstGeom>
      </xdr:spPr>
    </xdr:pic>
    <xdr:clientData/>
  </xdr:oneCellAnchor>
  <xdr:oneCellAnchor>
    <xdr:from>
      <xdr:col>16</xdr:col>
      <xdr:colOff>137160</xdr:colOff>
      <xdr:row>123</xdr:row>
      <xdr:rowOff>106680</xdr:rowOff>
    </xdr:from>
    <xdr:ext cx="1080000" cy="1080000"/>
    <xdr:pic>
      <xdr:nvPicPr>
        <xdr:cNvPr id="222" name="Resim 221">
          <a:extLst>
            <a:ext uri="{FF2B5EF4-FFF2-40B4-BE49-F238E27FC236}">
              <a16:creationId xmlns:a16="http://schemas.microsoft.com/office/drawing/2014/main" id="{C553E0E7-F567-FD49-BD97-16B91C12F0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629950480"/>
          <a:ext cx="1080000" cy="1080000"/>
        </a:xfrm>
        <a:prstGeom prst="rect">
          <a:avLst/>
        </a:prstGeom>
      </xdr:spPr>
    </xdr:pic>
    <xdr:clientData/>
  </xdr:oneCellAnchor>
  <xdr:oneCellAnchor>
    <xdr:from>
      <xdr:col>16</xdr:col>
      <xdr:colOff>127000</xdr:colOff>
      <xdr:row>124</xdr:row>
      <xdr:rowOff>402166</xdr:rowOff>
    </xdr:from>
    <xdr:ext cx="1080000" cy="1080000"/>
    <xdr:pic>
      <xdr:nvPicPr>
        <xdr:cNvPr id="223" name="Resim 222">
          <a:extLst>
            <a:ext uri="{FF2B5EF4-FFF2-40B4-BE49-F238E27FC236}">
              <a16:creationId xmlns:a16="http://schemas.microsoft.com/office/drawing/2014/main" id="{6777E959-2C3B-2746-8CB5-2E388750B1B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635452966"/>
          <a:ext cx="1080000" cy="1080000"/>
        </a:xfrm>
        <a:prstGeom prst="rect">
          <a:avLst/>
        </a:prstGeom>
      </xdr:spPr>
    </xdr:pic>
    <xdr:clientData/>
  </xdr:oneCellAnchor>
  <xdr:oneCellAnchor>
    <xdr:from>
      <xdr:col>16</xdr:col>
      <xdr:colOff>169333</xdr:colOff>
      <xdr:row>124</xdr:row>
      <xdr:rowOff>1756834</xdr:rowOff>
    </xdr:from>
    <xdr:ext cx="1121834" cy="1114404"/>
    <xdr:pic>
      <xdr:nvPicPr>
        <xdr:cNvPr id="224" name="Resim 223">
          <a:extLst>
            <a:ext uri="{FF2B5EF4-FFF2-40B4-BE49-F238E27FC236}">
              <a16:creationId xmlns:a16="http://schemas.microsoft.com/office/drawing/2014/main" id="{D01C6C80-7BBA-4F46-A2E0-5469B36AF0A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636807634"/>
          <a:ext cx="1121834" cy="1114404"/>
        </a:xfrm>
        <a:prstGeom prst="rect">
          <a:avLst/>
        </a:prstGeom>
      </xdr:spPr>
    </xdr:pic>
    <xdr:clientData/>
  </xdr:oneCellAnchor>
  <xdr:oneCellAnchor>
    <xdr:from>
      <xdr:col>16</xdr:col>
      <xdr:colOff>127000</xdr:colOff>
      <xdr:row>126</xdr:row>
      <xdr:rowOff>402166</xdr:rowOff>
    </xdr:from>
    <xdr:ext cx="1080000" cy="1080000"/>
    <xdr:pic>
      <xdr:nvPicPr>
        <xdr:cNvPr id="225" name="Resim 224">
          <a:extLst>
            <a:ext uri="{FF2B5EF4-FFF2-40B4-BE49-F238E27FC236}">
              <a16:creationId xmlns:a16="http://schemas.microsoft.com/office/drawing/2014/main" id="{5077A419-DA76-304A-8BD6-A2F89D9560D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645866966"/>
          <a:ext cx="1080000" cy="1080000"/>
        </a:xfrm>
        <a:prstGeom prst="rect">
          <a:avLst/>
        </a:prstGeom>
      </xdr:spPr>
    </xdr:pic>
    <xdr:clientData/>
  </xdr:oneCellAnchor>
  <xdr:oneCellAnchor>
    <xdr:from>
      <xdr:col>16</xdr:col>
      <xdr:colOff>169333</xdr:colOff>
      <xdr:row>126</xdr:row>
      <xdr:rowOff>1756834</xdr:rowOff>
    </xdr:from>
    <xdr:ext cx="1121834" cy="1114404"/>
    <xdr:pic>
      <xdr:nvPicPr>
        <xdr:cNvPr id="226" name="Resim 225">
          <a:extLst>
            <a:ext uri="{FF2B5EF4-FFF2-40B4-BE49-F238E27FC236}">
              <a16:creationId xmlns:a16="http://schemas.microsoft.com/office/drawing/2014/main" id="{6CD4592B-B586-5F46-A559-4D418DB3950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647221634"/>
          <a:ext cx="1121834" cy="1114404"/>
        </a:xfrm>
        <a:prstGeom prst="rect">
          <a:avLst/>
        </a:prstGeom>
      </xdr:spPr>
    </xdr:pic>
    <xdr:clientData/>
  </xdr:oneCellAnchor>
  <xdr:oneCellAnchor>
    <xdr:from>
      <xdr:col>16</xdr:col>
      <xdr:colOff>190500</xdr:colOff>
      <xdr:row>126</xdr:row>
      <xdr:rowOff>3048000</xdr:rowOff>
    </xdr:from>
    <xdr:ext cx="1080000" cy="1080000"/>
    <xdr:pic>
      <xdr:nvPicPr>
        <xdr:cNvPr id="227" name="Resim 226">
          <a:extLst>
            <a:ext uri="{FF2B5EF4-FFF2-40B4-BE49-F238E27FC236}">
              <a16:creationId xmlns:a16="http://schemas.microsoft.com/office/drawing/2014/main" id="{1D1F5A93-84AF-6546-A496-E5F223DA68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648512800"/>
          <a:ext cx="1080000" cy="1080000"/>
        </a:xfrm>
        <a:prstGeom prst="rect">
          <a:avLst/>
        </a:prstGeom>
      </xdr:spPr>
    </xdr:pic>
    <xdr:clientData/>
  </xdr:oneCellAnchor>
  <xdr:twoCellAnchor editAs="oneCell">
    <xdr:from>
      <xdr:col>16</xdr:col>
      <xdr:colOff>0</xdr:colOff>
      <xdr:row>130</xdr:row>
      <xdr:rowOff>0</xdr:rowOff>
    </xdr:from>
    <xdr:to>
      <xdr:col>16</xdr:col>
      <xdr:colOff>304800</xdr:colOff>
      <xdr:row>156</xdr:row>
      <xdr:rowOff>35748</xdr:rowOff>
    </xdr:to>
    <xdr:sp macro="" textlink="">
      <xdr:nvSpPr>
        <xdr:cNvPr id="228" name="AutoShape 1" descr="AŞINDIRICI MADDE HEDEF BASIM KİMYASAL ETİKETLER">
          <a:extLst>
            <a:ext uri="{FF2B5EF4-FFF2-40B4-BE49-F238E27FC236}">
              <a16:creationId xmlns:a16="http://schemas.microsoft.com/office/drawing/2014/main" id="{2710BE23-F2A0-C24D-BA06-A696C7E6A26F}"/>
            </a:ext>
          </a:extLst>
        </xdr:cNvPr>
        <xdr:cNvSpPr>
          <a:spLocks noChangeAspect="1" noChangeArrowheads="1"/>
        </xdr:cNvSpPr>
      </xdr:nvSpPr>
      <xdr:spPr bwMode="auto">
        <a:xfrm>
          <a:off x="11557000" y="666292800"/>
          <a:ext cx="304800" cy="53189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130</xdr:row>
      <xdr:rowOff>0</xdr:rowOff>
    </xdr:from>
    <xdr:to>
      <xdr:col>16</xdr:col>
      <xdr:colOff>304800</xdr:colOff>
      <xdr:row>156</xdr:row>
      <xdr:rowOff>35748</xdr:rowOff>
    </xdr:to>
    <xdr:sp macro="" textlink="">
      <xdr:nvSpPr>
        <xdr:cNvPr id="229" name="AutoShape 2" descr="AŞINDIRICI MADDE HEDEF BASIM KİMYASAL ETİKETLER">
          <a:extLst>
            <a:ext uri="{FF2B5EF4-FFF2-40B4-BE49-F238E27FC236}">
              <a16:creationId xmlns:a16="http://schemas.microsoft.com/office/drawing/2014/main" id="{F7CE1E23-8DBA-6042-9084-FBEDD17EA551}"/>
            </a:ext>
          </a:extLst>
        </xdr:cNvPr>
        <xdr:cNvSpPr>
          <a:spLocks noChangeAspect="1" noChangeArrowheads="1"/>
        </xdr:cNvSpPr>
      </xdr:nvSpPr>
      <xdr:spPr bwMode="auto">
        <a:xfrm>
          <a:off x="11557000" y="666292800"/>
          <a:ext cx="304800" cy="531894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0</xdr:colOff>
      <xdr:row>131</xdr:row>
      <xdr:rowOff>0</xdr:rowOff>
    </xdr:from>
    <xdr:ext cx="304800" cy="302448"/>
    <xdr:sp macro="" textlink="">
      <xdr:nvSpPr>
        <xdr:cNvPr id="230" name="AutoShape 1" descr="AŞINDIRICI MADDE HEDEF BASIM KİMYASAL ETİKETLER">
          <a:extLst>
            <a:ext uri="{FF2B5EF4-FFF2-40B4-BE49-F238E27FC236}">
              <a16:creationId xmlns:a16="http://schemas.microsoft.com/office/drawing/2014/main" id="{D34E877C-A5B3-514E-A386-CF921489228E}"/>
            </a:ext>
          </a:extLst>
        </xdr:cNvPr>
        <xdr:cNvSpPr>
          <a:spLocks noChangeAspect="1" noChangeArrowheads="1"/>
        </xdr:cNvSpPr>
      </xdr:nvSpPr>
      <xdr:spPr bwMode="auto">
        <a:xfrm>
          <a:off x="11557000" y="671499800"/>
          <a:ext cx="304800" cy="3024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0</xdr:colOff>
      <xdr:row>131</xdr:row>
      <xdr:rowOff>0</xdr:rowOff>
    </xdr:from>
    <xdr:ext cx="304800" cy="302448"/>
    <xdr:sp macro="" textlink="">
      <xdr:nvSpPr>
        <xdr:cNvPr id="231" name="AutoShape 2" descr="AŞINDIRICI MADDE HEDEF BASIM KİMYASAL ETİKETLER">
          <a:extLst>
            <a:ext uri="{FF2B5EF4-FFF2-40B4-BE49-F238E27FC236}">
              <a16:creationId xmlns:a16="http://schemas.microsoft.com/office/drawing/2014/main" id="{4DEDA5E9-65B0-2449-B9A8-BE97A0CC4C4A}"/>
            </a:ext>
          </a:extLst>
        </xdr:cNvPr>
        <xdr:cNvSpPr>
          <a:spLocks noChangeAspect="1" noChangeArrowheads="1"/>
        </xdr:cNvSpPr>
      </xdr:nvSpPr>
      <xdr:spPr bwMode="auto">
        <a:xfrm>
          <a:off x="11557000" y="671499800"/>
          <a:ext cx="304800" cy="3024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16</xdr:col>
      <xdr:colOff>84667</xdr:colOff>
      <xdr:row>135</xdr:row>
      <xdr:rowOff>444500</xdr:rowOff>
    </xdr:from>
    <xdr:ext cx="1080000" cy="1080000"/>
    <xdr:pic>
      <xdr:nvPicPr>
        <xdr:cNvPr id="232" name="Resim 231">
          <a:extLst>
            <a:ext uri="{FF2B5EF4-FFF2-40B4-BE49-F238E27FC236}">
              <a16:creationId xmlns:a16="http://schemas.microsoft.com/office/drawing/2014/main" id="{17F8CC03-8BB9-A54C-A7B1-3A13676A74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692772300"/>
          <a:ext cx="1080000" cy="1080000"/>
        </a:xfrm>
        <a:prstGeom prst="rect">
          <a:avLst/>
        </a:prstGeom>
      </xdr:spPr>
    </xdr:pic>
    <xdr:clientData/>
  </xdr:oneCellAnchor>
  <xdr:oneCellAnchor>
    <xdr:from>
      <xdr:col>16</xdr:col>
      <xdr:colOff>148167</xdr:colOff>
      <xdr:row>129</xdr:row>
      <xdr:rowOff>444500</xdr:rowOff>
    </xdr:from>
    <xdr:ext cx="1080000" cy="1080000"/>
    <xdr:pic>
      <xdr:nvPicPr>
        <xdr:cNvPr id="233" name="Resim 232">
          <a:extLst>
            <a:ext uri="{FF2B5EF4-FFF2-40B4-BE49-F238E27FC236}">
              <a16:creationId xmlns:a16="http://schemas.microsoft.com/office/drawing/2014/main" id="{AB54D0E3-42FD-8A47-86F8-8BC9EF72B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661530300"/>
          <a:ext cx="1080000" cy="1080000"/>
        </a:xfrm>
        <a:prstGeom prst="rect">
          <a:avLst/>
        </a:prstGeom>
      </xdr:spPr>
    </xdr:pic>
    <xdr:clientData/>
  </xdr:oneCellAnchor>
  <xdr:oneCellAnchor>
    <xdr:from>
      <xdr:col>16</xdr:col>
      <xdr:colOff>127000</xdr:colOff>
      <xdr:row>133</xdr:row>
      <xdr:rowOff>254000</xdr:rowOff>
    </xdr:from>
    <xdr:ext cx="1080000" cy="1080000"/>
    <xdr:pic>
      <xdr:nvPicPr>
        <xdr:cNvPr id="234" name="Resim 233">
          <a:extLst>
            <a:ext uri="{FF2B5EF4-FFF2-40B4-BE49-F238E27FC236}">
              <a16:creationId xmlns:a16="http://schemas.microsoft.com/office/drawing/2014/main" id="{DCFD2FC2-F71D-2340-8DDB-90EF1E4DDC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682167800"/>
          <a:ext cx="1080000" cy="1080000"/>
        </a:xfrm>
        <a:prstGeom prst="rect">
          <a:avLst/>
        </a:prstGeom>
      </xdr:spPr>
    </xdr:pic>
    <xdr:clientData/>
  </xdr:oneCellAnchor>
  <xdr:oneCellAnchor>
    <xdr:from>
      <xdr:col>16</xdr:col>
      <xdr:colOff>122031</xdr:colOff>
      <xdr:row>134</xdr:row>
      <xdr:rowOff>92949</xdr:rowOff>
    </xdr:from>
    <xdr:ext cx="1080000" cy="1080000"/>
    <xdr:pic>
      <xdr:nvPicPr>
        <xdr:cNvPr id="235" name="Resim 234">
          <a:extLst>
            <a:ext uri="{FF2B5EF4-FFF2-40B4-BE49-F238E27FC236}">
              <a16:creationId xmlns:a16="http://schemas.microsoft.com/office/drawing/2014/main" id="{F569A783-2888-5B4D-BF1C-7B6D4EBB9E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687213749"/>
          <a:ext cx="1080000" cy="1080000"/>
        </a:xfrm>
        <a:prstGeom prst="rect">
          <a:avLst/>
        </a:prstGeom>
      </xdr:spPr>
    </xdr:pic>
    <xdr:clientData/>
  </xdr:oneCellAnchor>
  <xdr:oneCellAnchor>
    <xdr:from>
      <xdr:col>16</xdr:col>
      <xdr:colOff>122031</xdr:colOff>
      <xdr:row>136</xdr:row>
      <xdr:rowOff>92949</xdr:rowOff>
    </xdr:from>
    <xdr:ext cx="1080000" cy="1080000"/>
    <xdr:pic>
      <xdr:nvPicPr>
        <xdr:cNvPr id="236" name="Resim 235">
          <a:extLst>
            <a:ext uri="{FF2B5EF4-FFF2-40B4-BE49-F238E27FC236}">
              <a16:creationId xmlns:a16="http://schemas.microsoft.com/office/drawing/2014/main" id="{89C91D43-4DDF-B446-9070-0B296382D9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697627749"/>
          <a:ext cx="1080000" cy="1080000"/>
        </a:xfrm>
        <a:prstGeom prst="rect">
          <a:avLst/>
        </a:prstGeom>
      </xdr:spPr>
    </xdr:pic>
    <xdr:clientData/>
  </xdr:oneCellAnchor>
  <xdr:oneCellAnchor>
    <xdr:from>
      <xdr:col>16</xdr:col>
      <xdr:colOff>122031</xdr:colOff>
      <xdr:row>139</xdr:row>
      <xdr:rowOff>92949</xdr:rowOff>
    </xdr:from>
    <xdr:ext cx="1080000" cy="1080000"/>
    <xdr:pic>
      <xdr:nvPicPr>
        <xdr:cNvPr id="237" name="Resim 236">
          <a:extLst>
            <a:ext uri="{FF2B5EF4-FFF2-40B4-BE49-F238E27FC236}">
              <a16:creationId xmlns:a16="http://schemas.microsoft.com/office/drawing/2014/main" id="{1A48EF19-21D7-2441-8686-0CA7850CD9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713248749"/>
          <a:ext cx="1080000" cy="1080000"/>
        </a:xfrm>
        <a:prstGeom prst="rect">
          <a:avLst/>
        </a:prstGeom>
      </xdr:spPr>
    </xdr:pic>
    <xdr:clientData/>
  </xdr:oneCellAnchor>
  <xdr:oneCellAnchor>
    <xdr:from>
      <xdr:col>16</xdr:col>
      <xdr:colOff>127000</xdr:colOff>
      <xdr:row>139</xdr:row>
      <xdr:rowOff>2794000</xdr:rowOff>
    </xdr:from>
    <xdr:ext cx="1121834" cy="1114404"/>
    <xdr:pic>
      <xdr:nvPicPr>
        <xdr:cNvPr id="238" name="Resim 237">
          <a:extLst>
            <a:ext uri="{FF2B5EF4-FFF2-40B4-BE49-F238E27FC236}">
              <a16:creationId xmlns:a16="http://schemas.microsoft.com/office/drawing/2014/main" id="{D98089D2-19D7-224E-BB86-43648A1F58C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4000" y="715949800"/>
          <a:ext cx="1121834" cy="1114404"/>
        </a:xfrm>
        <a:prstGeom prst="rect">
          <a:avLst/>
        </a:prstGeom>
      </xdr:spPr>
    </xdr:pic>
    <xdr:clientData/>
  </xdr:oneCellAnchor>
  <xdr:oneCellAnchor>
    <xdr:from>
      <xdr:col>16</xdr:col>
      <xdr:colOff>122031</xdr:colOff>
      <xdr:row>140</xdr:row>
      <xdr:rowOff>92949</xdr:rowOff>
    </xdr:from>
    <xdr:ext cx="1080000" cy="1080000"/>
    <xdr:pic>
      <xdr:nvPicPr>
        <xdr:cNvPr id="239" name="Resim 238">
          <a:extLst>
            <a:ext uri="{FF2B5EF4-FFF2-40B4-BE49-F238E27FC236}">
              <a16:creationId xmlns:a16="http://schemas.microsoft.com/office/drawing/2014/main" id="{2F36D9D5-C982-624E-8950-6BC539C7AF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718455749"/>
          <a:ext cx="1080000" cy="1080000"/>
        </a:xfrm>
        <a:prstGeom prst="rect">
          <a:avLst/>
        </a:prstGeom>
      </xdr:spPr>
    </xdr:pic>
    <xdr:clientData/>
  </xdr:oneCellAnchor>
  <xdr:oneCellAnchor>
    <xdr:from>
      <xdr:col>16</xdr:col>
      <xdr:colOff>148167</xdr:colOff>
      <xdr:row>140</xdr:row>
      <xdr:rowOff>1397001</xdr:rowOff>
    </xdr:from>
    <xdr:ext cx="1076737" cy="1080000"/>
    <xdr:pic>
      <xdr:nvPicPr>
        <xdr:cNvPr id="240" name="Resim 239">
          <a:extLst>
            <a:ext uri="{FF2B5EF4-FFF2-40B4-BE49-F238E27FC236}">
              <a16:creationId xmlns:a16="http://schemas.microsoft.com/office/drawing/2014/main" id="{B8C89F38-EB05-5549-8290-D65387FDD31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719759801"/>
          <a:ext cx="1076737" cy="1080000"/>
        </a:xfrm>
        <a:prstGeom prst="rect">
          <a:avLst/>
        </a:prstGeom>
      </xdr:spPr>
    </xdr:pic>
    <xdr:clientData/>
  </xdr:oneCellAnchor>
  <xdr:oneCellAnchor>
    <xdr:from>
      <xdr:col>16</xdr:col>
      <xdr:colOff>84667</xdr:colOff>
      <xdr:row>140</xdr:row>
      <xdr:rowOff>2751667</xdr:rowOff>
    </xdr:from>
    <xdr:ext cx="1123950" cy="1123950"/>
    <xdr:pic>
      <xdr:nvPicPr>
        <xdr:cNvPr id="241" name="Resim 240">
          <a:extLst>
            <a:ext uri="{FF2B5EF4-FFF2-40B4-BE49-F238E27FC236}">
              <a16:creationId xmlns:a16="http://schemas.microsoft.com/office/drawing/2014/main" id="{7F71AF6A-EFE5-6344-9CC8-7679E264E0F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41667" y="721114467"/>
          <a:ext cx="1123950" cy="1123950"/>
        </a:xfrm>
        <a:prstGeom prst="rect">
          <a:avLst/>
        </a:prstGeom>
      </xdr:spPr>
    </xdr:pic>
    <xdr:clientData/>
  </xdr:oneCellAnchor>
  <xdr:oneCellAnchor>
    <xdr:from>
      <xdr:col>16</xdr:col>
      <xdr:colOff>105834</xdr:colOff>
      <xdr:row>132</xdr:row>
      <xdr:rowOff>317500</xdr:rowOff>
    </xdr:from>
    <xdr:ext cx="1080000" cy="1080000"/>
    <xdr:pic>
      <xdr:nvPicPr>
        <xdr:cNvPr id="242" name="Resim 241">
          <a:extLst>
            <a:ext uri="{FF2B5EF4-FFF2-40B4-BE49-F238E27FC236}">
              <a16:creationId xmlns:a16="http://schemas.microsoft.com/office/drawing/2014/main" id="{25920103-B219-FE43-A38C-0EE10B559A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677024300"/>
          <a:ext cx="1080000" cy="1080000"/>
        </a:xfrm>
        <a:prstGeom prst="rect">
          <a:avLst/>
        </a:prstGeom>
      </xdr:spPr>
    </xdr:pic>
    <xdr:clientData/>
  </xdr:oneCellAnchor>
  <xdr:oneCellAnchor>
    <xdr:from>
      <xdr:col>16</xdr:col>
      <xdr:colOff>105834</xdr:colOff>
      <xdr:row>132</xdr:row>
      <xdr:rowOff>1481667</xdr:rowOff>
    </xdr:from>
    <xdr:ext cx="1121834" cy="1114404"/>
    <xdr:pic>
      <xdr:nvPicPr>
        <xdr:cNvPr id="243" name="Resim 242">
          <a:extLst>
            <a:ext uri="{FF2B5EF4-FFF2-40B4-BE49-F238E27FC236}">
              <a16:creationId xmlns:a16="http://schemas.microsoft.com/office/drawing/2014/main" id="{771C58CE-7E28-B74E-B500-A5BF5946326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4" y="678188467"/>
          <a:ext cx="1121834" cy="1114404"/>
        </a:xfrm>
        <a:prstGeom prst="rect">
          <a:avLst/>
        </a:prstGeom>
      </xdr:spPr>
    </xdr:pic>
    <xdr:clientData/>
  </xdr:oneCellAnchor>
  <xdr:oneCellAnchor>
    <xdr:from>
      <xdr:col>16</xdr:col>
      <xdr:colOff>190500</xdr:colOff>
      <xdr:row>133</xdr:row>
      <xdr:rowOff>1651000</xdr:rowOff>
    </xdr:from>
    <xdr:ext cx="1123950" cy="1123950"/>
    <xdr:pic>
      <xdr:nvPicPr>
        <xdr:cNvPr id="244" name="Resim 243">
          <a:extLst>
            <a:ext uri="{FF2B5EF4-FFF2-40B4-BE49-F238E27FC236}">
              <a16:creationId xmlns:a16="http://schemas.microsoft.com/office/drawing/2014/main" id="{6A2560B5-AC3F-0240-AC6C-17CD212BF5D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747500" y="683564800"/>
          <a:ext cx="1123950" cy="1123950"/>
        </a:xfrm>
        <a:prstGeom prst="rect">
          <a:avLst/>
        </a:prstGeom>
      </xdr:spPr>
    </xdr:pic>
    <xdr:clientData/>
  </xdr:oneCellAnchor>
  <xdr:oneCellAnchor>
    <xdr:from>
      <xdr:col>16</xdr:col>
      <xdr:colOff>190500</xdr:colOff>
      <xdr:row>137</xdr:row>
      <xdr:rowOff>381000</xdr:rowOff>
    </xdr:from>
    <xdr:ext cx="1080000" cy="1080000"/>
    <xdr:pic>
      <xdr:nvPicPr>
        <xdr:cNvPr id="245" name="Resim 244">
          <a:extLst>
            <a:ext uri="{FF2B5EF4-FFF2-40B4-BE49-F238E27FC236}">
              <a16:creationId xmlns:a16="http://schemas.microsoft.com/office/drawing/2014/main" id="{42566921-6AA8-AB40-89E8-F65CC37C8A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703122800"/>
          <a:ext cx="1080000" cy="1080000"/>
        </a:xfrm>
        <a:prstGeom prst="rect">
          <a:avLst/>
        </a:prstGeom>
      </xdr:spPr>
    </xdr:pic>
    <xdr:clientData/>
  </xdr:oneCellAnchor>
  <xdr:oneCellAnchor>
    <xdr:from>
      <xdr:col>16</xdr:col>
      <xdr:colOff>105834</xdr:colOff>
      <xdr:row>138</xdr:row>
      <xdr:rowOff>465667</xdr:rowOff>
    </xdr:from>
    <xdr:ext cx="1080000" cy="1080000"/>
    <xdr:pic>
      <xdr:nvPicPr>
        <xdr:cNvPr id="246" name="Resim 245">
          <a:extLst>
            <a:ext uri="{FF2B5EF4-FFF2-40B4-BE49-F238E27FC236}">
              <a16:creationId xmlns:a16="http://schemas.microsoft.com/office/drawing/2014/main" id="{582B0E86-E4AF-C14C-8261-66661F6074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708414467"/>
          <a:ext cx="1080000" cy="1080000"/>
        </a:xfrm>
        <a:prstGeom prst="rect">
          <a:avLst/>
        </a:prstGeom>
      </xdr:spPr>
    </xdr:pic>
    <xdr:clientData/>
  </xdr:oneCellAnchor>
  <xdr:oneCellAnchor>
    <xdr:from>
      <xdr:col>16</xdr:col>
      <xdr:colOff>148166</xdr:colOff>
      <xdr:row>139</xdr:row>
      <xdr:rowOff>1397000</xdr:rowOff>
    </xdr:from>
    <xdr:ext cx="1080000" cy="1080000"/>
    <xdr:pic>
      <xdr:nvPicPr>
        <xdr:cNvPr id="247" name="Resim 246">
          <a:extLst>
            <a:ext uri="{FF2B5EF4-FFF2-40B4-BE49-F238E27FC236}">
              <a16:creationId xmlns:a16="http://schemas.microsoft.com/office/drawing/2014/main" id="{02315A7D-18AD-4E41-A16A-65A06046FD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714552800"/>
          <a:ext cx="1080000" cy="1080000"/>
        </a:xfrm>
        <a:prstGeom prst="rect">
          <a:avLst/>
        </a:prstGeom>
      </xdr:spPr>
    </xdr:pic>
    <xdr:clientData/>
  </xdr:oneCellAnchor>
  <xdr:oneCellAnchor>
    <xdr:from>
      <xdr:col>16</xdr:col>
      <xdr:colOff>148167</xdr:colOff>
      <xdr:row>141</xdr:row>
      <xdr:rowOff>359833</xdr:rowOff>
    </xdr:from>
    <xdr:ext cx="1080000" cy="1080000"/>
    <xdr:pic>
      <xdr:nvPicPr>
        <xdr:cNvPr id="248" name="Resim 247">
          <a:extLst>
            <a:ext uri="{FF2B5EF4-FFF2-40B4-BE49-F238E27FC236}">
              <a16:creationId xmlns:a16="http://schemas.microsoft.com/office/drawing/2014/main" id="{48EDBB97-54CF-0542-AFBA-4B87D3FA11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723929633"/>
          <a:ext cx="1080000" cy="1080000"/>
        </a:xfrm>
        <a:prstGeom prst="rect">
          <a:avLst/>
        </a:prstGeom>
      </xdr:spPr>
    </xdr:pic>
    <xdr:clientData/>
  </xdr:oneCellAnchor>
  <xdr:oneCellAnchor>
    <xdr:from>
      <xdr:col>16</xdr:col>
      <xdr:colOff>127000</xdr:colOff>
      <xdr:row>142</xdr:row>
      <xdr:rowOff>423333</xdr:rowOff>
    </xdr:from>
    <xdr:ext cx="1080000" cy="1080000"/>
    <xdr:pic>
      <xdr:nvPicPr>
        <xdr:cNvPr id="249" name="Resim 248">
          <a:extLst>
            <a:ext uri="{FF2B5EF4-FFF2-40B4-BE49-F238E27FC236}">
              <a16:creationId xmlns:a16="http://schemas.microsoft.com/office/drawing/2014/main" id="{DDA735CC-EBE1-0B4F-8A4A-87679F1B7B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729200133"/>
          <a:ext cx="1080000" cy="1080000"/>
        </a:xfrm>
        <a:prstGeom prst="rect">
          <a:avLst/>
        </a:prstGeom>
      </xdr:spPr>
    </xdr:pic>
    <xdr:clientData/>
  </xdr:oneCellAnchor>
  <xdr:oneCellAnchor>
    <xdr:from>
      <xdr:col>16</xdr:col>
      <xdr:colOff>148167</xdr:colOff>
      <xdr:row>142</xdr:row>
      <xdr:rowOff>1714500</xdr:rowOff>
    </xdr:from>
    <xdr:ext cx="1121834" cy="1114404"/>
    <xdr:pic>
      <xdr:nvPicPr>
        <xdr:cNvPr id="250" name="Resim 249">
          <a:extLst>
            <a:ext uri="{FF2B5EF4-FFF2-40B4-BE49-F238E27FC236}">
              <a16:creationId xmlns:a16="http://schemas.microsoft.com/office/drawing/2014/main" id="{B9A17DC1-8043-D54D-A64F-00568DFEAD1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730491300"/>
          <a:ext cx="1121834" cy="1114404"/>
        </a:xfrm>
        <a:prstGeom prst="rect">
          <a:avLst/>
        </a:prstGeom>
      </xdr:spPr>
    </xdr:pic>
    <xdr:clientData/>
  </xdr:oneCellAnchor>
  <xdr:oneCellAnchor>
    <xdr:from>
      <xdr:col>16</xdr:col>
      <xdr:colOff>127000</xdr:colOff>
      <xdr:row>143</xdr:row>
      <xdr:rowOff>423333</xdr:rowOff>
    </xdr:from>
    <xdr:ext cx="1080000" cy="1080000"/>
    <xdr:pic>
      <xdr:nvPicPr>
        <xdr:cNvPr id="251" name="Resim 250">
          <a:extLst>
            <a:ext uri="{FF2B5EF4-FFF2-40B4-BE49-F238E27FC236}">
              <a16:creationId xmlns:a16="http://schemas.microsoft.com/office/drawing/2014/main" id="{1E7A13CE-C8EF-7E4F-BCD1-0D814812B56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734407133"/>
          <a:ext cx="1080000" cy="1080000"/>
        </a:xfrm>
        <a:prstGeom prst="rect">
          <a:avLst/>
        </a:prstGeom>
      </xdr:spPr>
    </xdr:pic>
    <xdr:clientData/>
  </xdr:oneCellAnchor>
  <xdr:oneCellAnchor>
    <xdr:from>
      <xdr:col>16</xdr:col>
      <xdr:colOff>148167</xdr:colOff>
      <xdr:row>143</xdr:row>
      <xdr:rowOff>1714500</xdr:rowOff>
    </xdr:from>
    <xdr:ext cx="1121834" cy="1114404"/>
    <xdr:pic>
      <xdr:nvPicPr>
        <xdr:cNvPr id="252" name="Resim 251">
          <a:extLst>
            <a:ext uri="{FF2B5EF4-FFF2-40B4-BE49-F238E27FC236}">
              <a16:creationId xmlns:a16="http://schemas.microsoft.com/office/drawing/2014/main" id="{09E40727-46D3-8B4F-86E0-101A06C2BD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735698300"/>
          <a:ext cx="1121834" cy="1114404"/>
        </a:xfrm>
        <a:prstGeom prst="rect">
          <a:avLst/>
        </a:prstGeom>
      </xdr:spPr>
    </xdr:pic>
    <xdr:clientData/>
  </xdr:oneCellAnchor>
  <xdr:oneCellAnchor>
    <xdr:from>
      <xdr:col>16</xdr:col>
      <xdr:colOff>105833</xdr:colOff>
      <xdr:row>144</xdr:row>
      <xdr:rowOff>381000</xdr:rowOff>
    </xdr:from>
    <xdr:ext cx="1121834" cy="1114404"/>
    <xdr:pic>
      <xdr:nvPicPr>
        <xdr:cNvPr id="253" name="Resim 252">
          <a:extLst>
            <a:ext uri="{FF2B5EF4-FFF2-40B4-BE49-F238E27FC236}">
              <a16:creationId xmlns:a16="http://schemas.microsoft.com/office/drawing/2014/main" id="{49D8BA8D-079D-B84F-861C-BD90CE78A6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3" y="739571800"/>
          <a:ext cx="1121834" cy="1114404"/>
        </a:xfrm>
        <a:prstGeom prst="rect">
          <a:avLst/>
        </a:prstGeom>
      </xdr:spPr>
    </xdr:pic>
    <xdr:clientData/>
  </xdr:oneCellAnchor>
  <xdr:oneCellAnchor>
    <xdr:from>
      <xdr:col>16</xdr:col>
      <xdr:colOff>42334</xdr:colOff>
      <xdr:row>145</xdr:row>
      <xdr:rowOff>359833</xdr:rowOff>
    </xdr:from>
    <xdr:ext cx="1121834" cy="1114404"/>
    <xdr:pic>
      <xdr:nvPicPr>
        <xdr:cNvPr id="254" name="Resim 253">
          <a:extLst>
            <a:ext uri="{FF2B5EF4-FFF2-40B4-BE49-F238E27FC236}">
              <a16:creationId xmlns:a16="http://schemas.microsoft.com/office/drawing/2014/main" id="{8C3B3295-7987-774C-8D26-90EFE48E105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99334" y="744757633"/>
          <a:ext cx="1121834" cy="1114404"/>
        </a:xfrm>
        <a:prstGeom prst="rect">
          <a:avLst/>
        </a:prstGeom>
      </xdr:spPr>
    </xdr:pic>
    <xdr:clientData/>
  </xdr:oneCellAnchor>
  <xdr:oneCellAnchor>
    <xdr:from>
      <xdr:col>16</xdr:col>
      <xdr:colOff>63500</xdr:colOff>
      <xdr:row>145</xdr:row>
      <xdr:rowOff>1778000</xdr:rowOff>
    </xdr:from>
    <xdr:ext cx="1080000" cy="1080000"/>
    <xdr:pic>
      <xdr:nvPicPr>
        <xdr:cNvPr id="255" name="Resim 254">
          <a:extLst>
            <a:ext uri="{FF2B5EF4-FFF2-40B4-BE49-F238E27FC236}">
              <a16:creationId xmlns:a16="http://schemas.microsoft.com/office/drawing/2014/main" id="{D0F362CC-EB1E-0F4C-BB11-8317435F64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746175800"/>
          <a:ext cx="1080000" cy="1080000"/>
        </a:xfrm>
        <a:prstGeom prst="rect">
          <a:avLst/>
        </a:prstGeom>
      </xdr:spPr>
    </xdr:pic>
    <xdr:clientData/>
  </xdr:oneCellAnchor>
  <xdr:oneCellAnchor>
    <xdr:from>
      <xdr:col>16</xdr:col>
      <xdr:colOff>63500</xdr:colOff>
      <xdr:row>145</xdr:row>
      <xdr:rowOff>3048000</xdr:rowOff>
    </xdr:from>
    <xdr:ext cx="1080000" cy="1080000"/>
    <xdr:pic>
      <xdr:nvPicPr>
        <xdr:cNvPr id="256" name="Resim 255">
          <a:extLst>
            <a:ext uri="{FF2B5EF4-FFF2-40B4-BE49-F238E27FC236}">
              <a16:creationId xmlns:a16="http://schemas.microsoft.com/office/drawing/2014/main" id="{627C6697-13AA-8040-94D4-E62835A9C2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20500" y="747445800"/>
          <a:ext cx="1080000" cy="1080000"/>
        </a:xfrm>
        <a:prstGeom prst="rect">
          <a:avLst/>
        </a:prstGeom>
      </xdr:spPr>
    </xdr:pic>
    <xdr:clientData/>
  </xdr:oneCellAnchor>
  <xdr:oneCellAnchor>
    <xdr:from>
      <xdr:col>16</xdr:col>
      <xdr:colOff>42334</xdr:colOff>
      <xdr:row>146</xdr:row>
      <xdr:rowOff>359833</xdr:rowOff>
    </xdr:from>
    <xdr:ext cx="1121834" cy="1114404"/>
    <xdr:pic>
      <xdr:nvPicPr>
        <xdr:cNvPr id="257" name="Resim 256">
          <a:extLst>
            <a:ext uri="{FF2B5EF4-FFF2-40B4-BE49-F238E27FC236}">
              <a16:creationId xmlns:a16="http://schemas.microsoft.com/office/drawing/2014/main" id="{8F581F2A-DC7C-CF46-9EF3-6DA5EE36A09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99334" y="749964633"/>
          <a:ext cx="1121834" cy="1114404"/>
        </a:xfrm>
        <a:prstGeom prst="rect">
          <a:avLst/>
        </a:prstGeom>
      </xdr:spPr>
    </xdr:pic>
    <xdr:clientData/>
  </xdr:oneCellAnchor>
  <xdr:oneCellAnchor>
    <xdr:from>
      <xdr:col>16</xdr:col>
      <xdr:colOff>63500</xdr:colOff>
      <xdr:row>146</xdr:row>
      <xdr:rowOff>1778000</xdr:rowOff>
    </xdr:from>
    <xdr:ext cx="1080000" cy="1080000"/>
    <xdr:pic>
      <xdr:nvPicPr>
        <xdr:cNvPr id="258" name="Resim 257">
          <a:extLst>
            <a:ext uri="{FF2B5EF4-FFF2-40B4-BE49-F238E27FC236}">
              <a16:creationId xmlns:a16="http://schemas.microsoft.com/office/drawing/2014/main" id="{A5632EC1-5CB3-B843-BFD4-469E9865F8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751382800"/>
          <a:ext cx="1080000" cy="1080000"/>
        </a:xfrm>
        <a:prstGeom prst="rect">
          <a:avLst/>
        </a:prstGeom>
      </xdr:spPr>
    </xdr:pic>
    <xdr:clientData/>
  </xdr:oneCellAnchor>
  <xdr:oneCellAnchor>
    <xdr:from>
      <xdr:col>16</xdr:col>
      <xdr:colOff>63500</xdr:colOff>
      <xdr:row>147</xdr:row>
      <xdr:rowOff>1778000</xdr:rowOff>
    </xdr:from>
    <xdr:ext cx="1080000" cy="1080000"/>
    <xdr:pic>
      <xdr:nvPicPr>
        <xdr:cNvPr id="259" name="Resim 258">
          <a:extLst>
            <a:ext uri="{FF2B5EF4-FFF2-40B4-BE49-F238E27FC236}">
              <a16:creationId xmlns:a16="http://schemas.microsoft.com/office/drawing/2014/main" id="{83A6CDC7-0AFE-F443-A3E7-9232E6E66A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756589800"/>
          <a:ext cx="1080000" cy="1080000"/>
        </a:xfrm>
        <a:prstGeom prst="rect">
          <a:avLst/>
        </a:prstGeom>
      </xdr:spPr>
    </xdr:pic>
    <xdr:clientData/>
  </xdr:oneCellAnchor>
  <xdr:oneCellAnchor>
    <xdr:from>
      <xdr:col>16</xdr:col>
      <xdr:colOff>148166</xdr:colOff>
      <xdr:row>148</xdr:row>
      <xdr:rowOff>317500</xdr:rowOff>
    </xdr:from>
    <xdr:ext cx="1080000" cy="1080000"/>
    <xdr:pic>
      <xdr:nvPicPr>
        <xdr:cNvPr id="260" name="Resim 259">
          <a:extLst>
            <a:ext uri="{FF2B5EF4-FFF2-40B4-BE49-F238E27FC236}">
              <a16:creationId xmlns:a16="http://schemas.microsoft.com/office/drawing/2014/main" id="{09EAFDE1-2BAE-3C4E-9F1C-994AEC7077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760336300"/>
          <a:ext cx="1080000" cy="1080000"/>
        </a:xfrm>
        <a:prstGeom prst="rect">
          <a:avLst/>
        </a:prstGeom>
      </xdr:spPr>
    </xdr:pic>
    <xdr:clientData/>
  </xdr:oneCellAnchor>
  <xdr:oneCellAnchor>
    <xdr:from>
      <xdr:col>16</xdr:col>
      <xdr:colOff>190500</xdr:colOff>
      <xdr:row>148</xdr:row>
      <xdr:rowOff>1587500</xdr:rowOff>
    </xdr:from>
    <xdr:ext cx="1080000" cy="1080000"/>
    <xdr:pic>
      <xdr:nvPicPr>
        <xdr:cNvPr id="261" name="Resim 260">
          <a:extLst>
            <a:ext uri="{FF2B5EF4-FFF2-40B4-BE49-F238E27FC236}">
              <a16:creationId xmlns:a16="http://schemas.microsoft.com/office/drawing/2014/main" id="{EE9A28A8-3ECA-3241-BE63-780D33AB9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761606300"/>
          <a:ext cx="1080000" cy="1080000"/>
        </a:xfrm>
        <a:prstGeom prst="rect">
          <a:avLst/>
        </a:prstGeom>
      </xdr:spPr>
    </xdr:pic>
    <xdr:clientData/>
  </xdr:oneCellAnchor>
  <xdr:oneCellAnchor>
    <xdr:from>
      <xdr:col>16</xdr:col>
      <xdr:colOff>105834</xdr:colOff>
      <xdr:row>150</xdr:row>
      <xdr:rowOff>254000</xdr:rowOff>
    </xdr:from>
    <xdr:ext cx="1080000" cy="1080000"/>
    <xdr:pic>
      <xdr:nvPicPr>
        <xdr:cNvPr id="262" name="Resim 261">
          <a:extLst>
            <a:ext uri="{FF2B5EF4-FFF2-40B4-BE49-F238E27FC236}">
              <a16:creationId xmlns:a16="http://schemas.microsoft.com/office/drawing/2014/main" id="{EC5DAF7F-9B02-8F4E-BA15-742A2A7C70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770686800"/>
          <a:ext cx="1080000" cy="1080000"/>
        </a:xfrm>
        <a:prstGeom prst="rect">
          <a:avLst/>
        </a:prstGeom>
      </xdr:spPr>
    </xdr:pic>
    <xdr:clientData/>
  </xdr:oneCellAnchor>
  <xdr:oneCellAnchor>
    <xdr:from>
      <xdr:col>16</xdr:col>
      <xdr:colOff>190500</xdr:colOff>
      <xdr:row>151</xdr:row>
      <xdr:rowOff>508000</xdr:rowOff>
    </xdr:from>
    <xdr:ext cx="1080000" cy="1080000"/>
    <xdr:pic>
      <xdr:nvPicPr>
        <xdr:cNvPr id="263" name="Resim 262">
          <a:extLst>
            <a:ext uri="{FF2B5EF4-FFF2-40B4-BE49-F238E27FC236}">
              <a16:creationId xmlns:a16="http://schemas.microsoft.com/office/drawing/2014/main" id="{AE99FDD3-2A41-DC4D-85C5-465283566C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776147800"/>
          <a:ext cx="1080000" cy="1080000"/>
        </a:xfrm>
        <a:prstGeom prst="rect">
          <a:avLst/>
        </a:prstGeom>
      </xdr:spPr>
    </xdr:pic>
    <xdr:clientData/>
  </xdr:oneCellAnchor>
  <xdr:oneCellAnchor>
    <xdr:from>
      <xdr:col>16</xdr:col>
      <xdr:colOff>148166</xdr:colOff>
      <xdr:row>151</xdr:row>
      <xdr:rowOff>2074333</xdr:rowOff>
    </xdr:from>
    <xdr:ext cx="1121834" cy="1114404"/>
    <xdr:pic>
      <xdr:nvPicPr>
        <xdr:cNvPr id="264" name="Resim 263">
          <a:extLst>
            <a:ext uri="{FF2B5EF4-FFF2-40B4-BE49-F238E27FC236}">
              <a16:creationId xmlns:a16="http://schemas.microsoft.com/office/drawing/2014/main" id="{8C133C0C-60AF-D644-8993-90534C5BFD7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6" y="777714133"/>
          <a:ext cx="1121834" cy="1114404"/>
        </a:xfrm>
        <a:prstGeom prst="rect">
          <a:avLst/>
        </a:prstGeom>
      </xdr:spPr>
    </xdr:pic>
    <xdr:clientData/>
  </xdr:oneCellAnchor>
  <xdr:oneCellAnchor>
    <xdr:from>
      <xdr:col>16</xdr:col>
      <xdr:colOff>169334</xdr:colOff>
      <xdr:row>152</xdr:row>
      <xdr:rowOff>486833</xdr:rowOff>
    </xdr:from>
    <xdr:ext cx="1080000" cy="1080000"/>
    <xdr:pic>
      <xdr:nvPicPr>
        <xdr:cNvPr id="265" name="Resim 264">
          <a:extLst>
            <a:ext uri="{FF2B5EF4-FFF2-40B4-BE49-F238E27FC236}">
              <a16:creationId xmlns:a16="http://schemas.microsoft.com/office/drawing/2014/main" id="{5B0FAE1A-7405-4B43-BC8B-E7CE5C2085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781333633"/>
          <a:ext cx="1080000" cy="1080000"/>
        </a:xfrm>
        <a:prstGeom prst="rect">
          <a:avLst/>
        </a:prstGeom>
      </xdr:spPr>
    </xdr:pic>
    <xdr:clientData/>
  </xdr:oneCellAnchor>
  <xdr:oneCellAnchor>
    <xdr:from>
      <xdr:col>16</xdr:col>
      <xdr:colOff>190500</xdr:colOff>
      <xdr:row>152</xdr:row>
      <xdr:rowOff>1947333</xdr:rowOff>
    </xdr:from>
    <xdr:ext cx="1121834" cy="1114404"/>
    <xdr:pic>
      <xdr:nvPicPr>
        <xdr:cNvPr id="266" name="Resim 265">
          <a:extLst>
            <a:ext uri="{FF2B5EF4-FFF2-40B4-BE49-F238E27FC236}">
              <a16:creationId xmlns:a16="http://schemas.microsoft.com/office/drawing/2014/main" id="{462747D4-A51F-314C-8FEA-94345C7C3A1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782794133"/>
          <a:ext cx="1121834" cy="1114404"/>
        </a:xfrm>
        <a:prstGeom prst="rect">
          <a:avLst/>
        </a:prstGeom>
      </xdr:spPr>
    </xdr:pic>
    <xdr:clientData/>
  </xdr:oneCellAnchor>
  <xdr:oneCellAnchor>
    <xdr:from>
      <xdr:col>16</xdr:col>
      <xdr:colOff>169334</xdr:colOff>
      <xdr:row>153</xdr:row>
      <xdr:rowOff>486833</xdr:rowOff>
    </xdr:from>
    <xdr:ext cx="1080000" cy="1080000"/>
    <xdr:pic>
      <xdr:nvPicPr>
        <xdr:cNvPr id="267" name="Resim 266">
          <a:extLst>
            <a:ext uri="{FF2B5EF4-FFF2-40B4-BE49-F238E27FC236}">
              <a16:creationId xmlns:a16="http://schemas.microsoft.com/office/drawing/2014/main" id="{09DD9FD1-4B41-934B-B92D-A78B875A7D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786540633"/>
          <a:ext cx="1080000" cy="1080000"/>
        </a:xfrm>
        <a:prstGeom prst="rect">
          <a:avLst/>
        </a:prstGeom>
      </xdr:spPr>
    </xdr:pic>
    <xdr:clientData/>
  </xdr:oneCellAnchor>
  <xdr:oneCellAnchor>
    <xdr:from>
      <xdr:col>16</xdr:col>
      <xdr:colOff>190500</xdr:colOff>
      <xdr:row>153</xdr:row>
      <xdr:rowOff>1947333</xdr:rowOff>
    </xdr:from>
    <xdr:ext cx="1121834" cy="1114404"/>
    <xdr:pic>
      <xdr:nvPicPr>
        <xdr:cNvPr id="268" name="Resim 267">
          <a:extLst>
            <a:ext uri="{FF2B5EF4-FFF2-40B4-BE49-F238E27FC236}">
              <a16:creationId xmlns:a16="http://schemas.microsoft.com/office/drawing/2014/main" id="{8D7819DC-E16C-964F-BE4F-7ADD615EF5F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788001133"/>
          <a:ext cx="1121834" cy="1114404"/>
        </a:xfrm>
        <a:prstGeom prst="rect">
          <a:avLst/>
        </a:prstGeom>
      </xdr:spPr>
    </xdr:pic>
    <xdr:clientData/>
  </xdr:oneCellAnchor>
  <xdr:oneCellAnchor>
    <xdr:from>
      <xdr:col>16</xdr:col>
      <xdr:colOff>148167</xdr:colOff>
      <xdr:row>153</xdr:row>
      <xdr:rowOff>3429000</xdr:rowOff>
    </xdr:from>
    <xdr:ext cx="1080000" cy="1080000"/>
    <xdr:pic>
      <xdr:nvPicPr>
        <xdr:cNvPr id="269" name="Resim 268">
          <a:extLst>
            <a:ext uri="{FF2B5EF4-FFF2-40B4-BE49-F238E27FC236}">
              <a16:creationId xmlns:a16="http://schemas.microsoft.com/office/drawing/2014/main" id="{A6D8EF00-11A5-DA41-B12F-3AD51EB3A6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789482800"/>
          <a:ext cx="1080000" cy="1080000"/>
        </a:xfrm>
        <a:prstGeom prst="rect">
          <a:avLst/>
        </a:prstGeom>
      </xdr:spPr>
    </xdr:pic>
    <xdr:clientData/>
  </xdr:oneCellAnchor>
  <xdr:oneCellAnchor>
    <xdr:from>
      <xdr:col>16</xdr:col>
      <xdr:colOff>169334</xdr:colOff>
      <xdr:row>154</xdr:row>
      <xdr:rowOff>486833</xdr:rowOff>
    </xdr:from>
    <xdr:ext cx="1080000" cy="1080000"/>
    <xdr:pic>
      <xdr:nvPicPr>
        <xdr:cNvPr id="270" name="Resim 269">
          <a:extLst>
            <a:ext uri="{FF2B5EF4-FFF2-40B4-BE49-F238E27FC236}">
              <a16:creationId xmlns:a16="http://schemas.microsoft.com/office/drawing/2014/main" id="{30CF3FD8-A72C-8B40-8FB0-8DF9D05FD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791747633"/>
          <a:ext cx="1080000" cy="1080000"/>
        </a:xfrm>
        <a:prstGeom prst="rect">
          <a:avLst/>
        </a:prstGeom>
      </xdr:spPr>
    </xdr:pic>
    <xdr:clientData/>
  </xdr:oneCellAnchor>
  <xdr:oneCellAnchor>
    <xdr:from>
      <xdr:col>16</xdr:col>
      <xdr:colOff>190500</xdr:colOff>
      <xdr:row>154</xdr:row>
      <xdr:rowOff>1947333</xdr:rowOff>
    </xdr:from>
    <xdr:ext cx="1121834" cy="1114404"/>
    <xdr:pic>
      <xdr:nvPicPr>
        <xdr:cNvPr id="271" name="Resim 270">
          <a:extLst>
            <a:ext uri="{FF2B5EF4-FFF2-40B4-BE49-F238E27FC236}">
              <a16:creationId xmlns:a16="http://schemas.microsoft.com/office/drawing/2014/main" id="{42739C21-0794-F443-9F6C-023EA178CBD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793208133"/>
          <a:ext cx="1121834" cy="1114404"/>
        </a:xfrm>
        <a:prstGeom prst="rect">
          <a:avLst/>
        </a:prstGeom>
      </xdr:spPr>
    </xdr:pic>
    <xdr:clientData/>
  </xdr:oneCellAnchor>
  <xdr:oneCellAnchor>
    <xdr:from>
      <xdr:col>16</xdr:col>
      <xdr:colOff>148167</xdr:colOff>
      <xdr:row>154</xdr:row>
      <xdr:rowOff>3429000</xdr:rowOff>
    </xdr:from>
    <xdr:ext cx="1080000" cy="1080000"/>
    <xdr:pic>
      <xdr:nvPicPr>
        <xdr:cNvPr id="272" name="Resim 271">
          <a:extLst>
            <a:ext uri="{FF2B5EF4-FFF2-40B4-BE49-F238E27FC236}">
              <a16:creationId xmlns:a16="http://schemas.microsoft.com/office/drawing/2014/main" id="{7CC17B8E-4EC8-4742-BF25-C6C4A17D2C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794689800"/>
          <a:ext cx="1080000" cy="1080000"/>
        </a:xfrm>
        <a:prstGeom prst="rect">
          <a:avLst/>
        </a:prstGeom>
      </xdr:spPr>
    </xdr:pic>
    <xdr:clientData/>
  </xdr:oneCellAnchor>
  <xdr:oneCellAnchor>
    <xdr:from>
      <xdr:col>16</xdr:col>
      <xdr:colOff>190500</xdr:colOff>
      <xdr:row>155</xdr:row>
      <xdr:rowOff>1947333</xdr:rowOff>
    </xdr:from>
    <xdr:ext cx="1121834" cy="1114404"/>
    <xdr:pic>
      <xdr:nvPicPr>
        <xdr:cNvPr id="273" name="Resim 272">
          <a:extLst>
            <a:ext uri="{FF2B5EF4-FFF2-40B4-BE49-F238E27FC236}">
              <a16:creationId xmlns:a16="http://schemas.microsoft.com/office/drawing/2014/main" id="{31C95460-79BE-8B49-92DA-FFDB2927C48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798415133"/>
          <a:ext cx="1121834" cy="1114404"/>
        </a:xfrm>
        <a:prstGeom prst="rect">
          <a:avLst/>
        </a:prstGeom>
      </xdr:spPr>
    </xdr:pic>
    <xdr:clientData/>
  </xdr:oneCellAnchor>
  <xdr:oneCellAnchor>
    <xdr:from>
      <xdr:col>16</xdr:col>
      <xdr:colOff>148167</xdr:colOff>
      <xdr:row>155</xdr:row>
      <xdr:rowOff>3429000</xdr:rowOff>
    </xdr:from>
    <xdr:ext cx="1080000" cy="1080000"/>
    <xdr:pic>
      <xdr:nvPicPr>
        <xdr:cNvPr id="274" name="Resim 273">
          <a:extLst>
            <a:ext uri="{FF2B5EF4-FFF2-40B4-BE49-F238E27FC236}">
              <a16:creationId xmlns:a16="http://schemas.microsoft.com/office/drawing/2014/main" id="{4E510D36-7592-184B-BE57-5046ABFEEB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799896800"/>
          <a:ext cx="1080000" cy="1080000"/>
        </a:xfrm>
        <a:prstGeom prst="rect">
          <a:avLst/>
        </a:prstGeom>
      </xdr:spPr>
    </xdr:pic>
    <xdr:clientData/>
  </xdr:oneCellAnchor>
  <xdr:oneCellAnchor>
    <xdr:from>
      <xdr:col>16</xdr:col>
      <xdr:colOff>169333</xdr:colOff>
      <xdr:row>156</xdr:row>
      <xdr:rowOff>592667</xdr:rowOff>
    </xdr:from>
    <xdr:ext cx="1080000" cy="1080000"/>
    <xdr:pic>
      <xdr:nvPicPr>
        <xdr:cNvPr id="275" name="Resim 274">
          <a:extLst>
            <a:ext uri="{FF2B5EF4-FFF2-40B4-BE49-F238E27FC236}">
              <a16:creationId xmlns:a16="http://schemas.microsoft.com/office/drawing/2014/main" id="{ACD3D068-C079-BA4C-BA0B-BE34D17709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3" y="802267467"/>
          <a:ext cx="1080000" cy="1080000"/>
        </a:xfrm>
        <a:prstGeom prst="rect">
          <a:avLst/>
        </a:prstGeom>
      </xdr:spPr>
    </xdr:pic>
    <xdr:clientData/>
  </xdr:oneCellAnchor>
  <xdr:oneCellAnchor>
    <xdr:from>
      <xdr:col>16</xdr:col>
      <xdr:colOff>190500</xdr:colOff>
      <xdr:row>157</xdr:row>
      <xdr:rowOff>381000</xdr:rowOff>
    </xdr:from>
    <xdr:ext cx="1080000" cy="1080000"/>
    <xdr:pic>
      <xdr:nvPicPr>
        <xdr:cNvPr id="276" name="Resim 275">
          <a:extLst>
            <a:ext uri="{FF2B5EF4-FFF2-40B4-BE49-F238E27FC236}">
              <a16:creationId xmlns:a16="http://schemas.microsoft.com/office/drawing/2014/main" id="{63E3C5AB-1027-4746-8289-1B28C446CD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807262800"/>
          <a:ext cx="1080000" cy="1080000"/>
        </a:xfrm>
        <a:prstGeom prst="rect">
          <a:avLst/>
        </a:prstGeom>
      </xdr:spPr>
    </xdr:pic>
    <xdr:clientData/>
  </xdr:oneCellAnchor>
  <xdr:oneCellAnchor>
    <xdr:from>
      <xdr:col>16</xdr:col>
      <xdr:colOff>169334</xdr:colOff>
      <xdr:row>158</xdr:row>
      <xdr:rowOff>486833</xdr:rowOff>
    </xdr:from>
    <xdr:ext cx="1080000" cy="1080000"/>
    <xdr:pic>
      <xdr:nvPicPr>
        <xdr:cNvPr id="277" name="Resim 276">
          <a:extLst>
            <a:ext uri="{FF2B5EF4-FFF2-40B4-BE49-F238E27FC236}">
              <a16:creationId xmlns:a16="http://schemas.microsoft.com/office/drawing/2014/main" id="{3286160E-DA44-9C43-9FE5-0504A140AB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812575633"/>
          <a:ext cx="1080000" cy="1080000"/>
        </a:xfrm>
        <a:prstGeom prst="rect">
          <a:avLst/>
        </a:prstGeom>
      </xdr:spPr>
    </xdr:pic>
    <xdr:clientData/>
  </xdr:oneCellAnchor>
  <xdr:oneCellAnchor>
    <xdr:from>
      <xdr:col>16</xdr:col>
      <xdr:colOff>190500</xdr:colOff>
      <xdr:row>158</xdr:row>
      <xdr:rowOff>1947333</xdr:rowOff>
    </xdr:from>
    <xdr:ext cx="1121834" cy="1114404"/>
    <xdr:pic>
      <xdr:nvPicPr>
        <xdr:cNvPr id="278" name="Resim 277">
          <a:extLst>
            <a:ext uri="{FF2B5EF4-FFF2-40B4-BE49-F238E27FC236}">
              <a16:creationId xmlns:a16="http://schemas.microsoft.com/office/drawing/2014/main" id="{8ED6BA9C-1B56-B349-9B2F-A11DD621BA5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14036133"/>
          <a:ext cx="1121834" cy="1114404"/>
        </a:xfrm>
        <a:prstGeom prst="rect">
          <a:avLst/>
        </a:prstGeom>
      </xdr:spPr>
    </xdr:pic>
    <xdr:clientData/>
  </xdr:oneCellAnchor>
  <xdr:oneCellAnchor>
    <xdr:from>
      <xdr:col>16</xdr:col>
      <xdr:colOff>148167</xdr:colOff>
      <xdr:row>158</xdr:row>
      <xdr:rowOff>3429000</xdr:rowOff>
    </xdr:from>
    <xdr:ext cx="1080000" cy="1080000"/>
    <xdr:pic>
      <xdr:nvPicPr>
        <xdr:cNvPr id="279" name="Resim 278">
          <a:extLst>
            <a:ext uri="{FF2B5EF4-FFF2-40B4-BE49-F238E27FC236}">
              <a16:creationId xmlns:a16="http://schemas.microsoft.com/office/drawing/2014/main" id="{B27C1D1A-A63E-4D4F-AE1E-12CD9A572D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815517800"/>
          <a:ext cx="1080000" cy="1080000"/>
        </a:xfrm>
        <a:prstGeom prst="rect">
          <a:avLst/>
        </a:prstGeom>
      </xdr:spPr>
    </xdr:pic>
    <xdr:clientData/>
  </xdr:oneCellAnchor>
  <xdr:oneCellAnchor>
    <xdr:from>
      <xdr:col>16</xdr:col>
      <xdr:colOff>127000</xdr:colOff>
      <xdr:row>159</xdr:row>
      <xdr:rowOff>402167</xdr:rowOff>
    </xdr:from>
    <xdr:ext cx="1080000" cy="1080000"/>
    <xdr:pic>
      <xdr:nvPicPr>
        <xdr:cNvPr id="280" name="Resim 279">
          <a:extLst>
            <a:ext uri="{FF2B5EF4-FFF2-40B4-BE49-F238E27FC236}">
              <a16:creationId xmlns:a16="http://schemas.microsoft.com/office/drawing/2014/main" id="{806E95A0-741F-8B45-8860-3FB723C60E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817697967"/>
          <a:ext cx="1080000" cy="1080000"/>
        </a:xfrm>
        <a:prstGeom prst="rect">
          <a:avLst/>
        </a:prstGeom>
      </xdr:spPr>
    </xdr:pic>
    <xdr:clientData/>
  </xdr:oneCellAnchor>
  <xdr:oneCellAnchor>
    <xdr:from>
      <xdr:col>16</xdr:col>
      <xdr:colOff>169333</xdr:colOff>
      <xdr:row>159</xdr:row>
      <xdr:rowOff>1693333</xdr:rowOff>
    </xdr:from>
    <xdr:ext cx="1076737" cy="1080000"/>
    <xdr:pic>
      <xdr:nvPicPr>
        <xdr:cNvPr id="281" name="Resim 280">
          <a:extLst>
            <a:ext uri="{FF2B5EF4-FFF2-40B4-BE49-F238E27FC236}">
              <a16:creationId xmlns:a16="http://schemas.microsoft.com/office/drawing/2014/main" id="{BA76C5C9-CCD5-FE41-8BEA-7BBACD792F1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3" y="818989133"/>
          <a:ext cx="1076737" cy="1080000"/>
        </a:xfrm>
        <a:prstGeom prst="rect">
          <a:avLst/>
        </a:prstGeom>
      </xdr:spPr>
    </xdr:pic>
    <xdr:clientData/>
  </xdr:oneCellAnchor>
  <xdr:oneCellAnchor>
    <xdr:from>
      <xdr:col>16</xdr:col>
      <xdr:colOff>127000</xdr:colOff>
      <xdr:row>160</xdr:row>
      <xdr:rowOff>402167</xdr:rowOff>
    </xdr:from>
    <xdr:ext cx="1080000" cy="1080000"/>
    <xdr:pic>
      <xdr:nvPicPr>
        <xdr:cNvPr id="282" name="Resim 281">
          <a:extLst>
            <a:ext uri="{FF2B5EF4-FFF2-40B4-BE49-F238E27FC236}">
              <a16:creationId xmlns:a16="http://schemas.microsoft.com/office/drawing/2014/main" id="{BD946062-2DC8-7140-AD51-487A2AB6DE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822904967"/>
          <a:ext cx="1080000" cy="1080000"/>
        </a:xfrm>
        <a:prstGeom prst="rect">
          <a:avLst/>
        </a:prstGeom>
      </xdr:spPr>
    </xdr:pic>
    <xdr:clientData/>
  </xdr:oneCellAnchor>
  <xdr:oneCellAnchor>
    <xdr:from>
      <xdr:col>16</xdr:col>
      <xdr:colOff>169333</xdr:colOff>
      <xdr:row>160</xdr:row>
      <xdr:rowOff>1693333</xdr:rowOff>
    </xdr:from>
    <xdr:ext cx="1076737" cy="1080000"/>
    <xdr:pic>
      <xdr:nvPicPr>
        <xdr:cNvPr id="283" name="Resim 282">
          <a:extLst>
            <a:ext uri="{FF2B5EF4-FFF2-40B4-BE49-F238E27FC236}">
              <a16:creationId xmlns:a16="http://schemas.microsoft.com/office/drawing/2014/main" id="{DE0F599B-C42D-184D-86CC-25BC7750C66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3" y="824196133"/>
          <a:ext cx="1076737" cy="1080000"/>
        </a:xfrm>
        <a:prstGeom prst="rect">
          <a:avLst/>
        </a:prstGeom>
      </xdr:spPr>
    </xdr:pic>
    <xdr:clientData/>
  </xdr:oneCellAnchor>
  <xdr:oneCellAnchor>
    <xdr:from>
      <xdr:col>16</xdr:col>
      <xdr:colOff>127000</xdr:colOff>
      <xdr:row>161</xdr:row>
      <xdr:rowOff>381000</xdr:rowOff>
    </xdr:from>
    <xdr:ext cx="1080000" cy="1080000"/>
    <xdr:pic>
      <xdr:nvPicPr>
        <xdr:cNvPr id="284" name="Resim 283">
          <a:extLst>
            <a:ext uri="{FF2B5EF4-FFF2-40B4-BE49-F238E27FC236}">
              <a16:creationId xmlns:a16="http://schemas.microsoft.com/office/drawing/2014/main" id="{F10C44FF-97E9-1D48-9C23-6FBF8C69C7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828090800"/>
          <a:ext cx="1080000" cy="1080000"/>
        </a:xfrm>
        <a:prstGeom prst="rect">
          <a:avLst/>
        </a:prstGeom>
      </xdr:spPr>
    </xdr:pic>
    <xdr:clientData/>
  </xdr:oneCellAnchor>
  <xdr:oneCellAnchor>
    <xdr:from>
      <xdr:col>16</xdr:col>
      <xdr:colOff>169334</xdr:colOff>
      <xdr:row>164</xdr:row>
      <xdr:rowOff>486833</xdr:rowOff>
    </xdr:from>
    <xdr:ext cx="1080000" cy="1080000"/>
    <xdr:pic>
      <xdr:nvPicPr>
        <xdr:cNvPr id="285" name="Resim 284">
          <a:extLst>
            <a:ext uri="{FF2B5EF4-FFF2-40B4-BE49-F238E27FC236}">
              <a16:creationId xmlns:a16="http://schemas.microsoft.com/office/drawing/2014/main" id="{82B2FEA1-2333-8D4C-AB01-95B1145C52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843817633"/>
          <a:ext cx="1080000" cy="1080000"/>
        </a:xfrm>
        <a:prstGeom prst="rect">
          <a:avLst/>
        </a:prstGeom>
      </xdr:spPr>
    </xdr:pic>
    <xdr:clientData/>
  </xdr:oneCellAnchor>
  <xdr:oneCellAnchor>
    <xdr:from>
      <xdr:col>16</xdr:col>
      <xdr:colOff>190500</xdr:colOff>
      <xdr:row>164</xdr:row>
      <xdr:rowOff>1947333</xdr:rowOff>
    </xdr:from>
    <xdr:ext cx="1121834" cy="1114404"/>
    <xdr:pic>
      <xdr:nvPicPr>
        <xdr:cNvPr id="286" name="Resim 285">
          <a:extLst>
            <a:ext uri="{FF2B5EF4-FFF2-40B4-BE49-F238E27FC236}">
              <a16:creationId xmlns:a16="http://schemas.microsoft.com/office/drawing/2014/main" id="{E18B3693-599D-7E4F-9A05-93340EDD53C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45278133"/>
          <a:ext cx="1121834" cy="1114404"/>
        </a:xfrm>
        <a:prstGeom prst="rect">
          <a:avLst/>
        </a:prstGeom>
      </xdr:spPr>
    </xdr:pic>
    <xdr:clientData/>
  </xdr:oneCellAnchor>
  <xdr:oneCellAnchor>
    <xdr:from>
      <xdr:col>16</xdr:col>
      <xdr:colOff>148167</xdr:colOff>
      <xdr:row>164</xdr:row>
      <xdr:rowOff>3386667</xdr:rowOff>
    </xdr:from>
    <xdr:ext cx="1076737" cy="1080000"/>
    <xdr:pic>
      <xdr:nvPicPr>
        <xdr:cNvPr id="287" name="Resim 286">
          <a:extLst>
            <a:ext uri="{FF2B5EF4-FFF2-40B4-BE49-F238E27FC236}">
              <a16:creationId xmlns:a16="http://schemas.microsoft.com/office/drawing/2014/main" id="{01F18CE0-7D16-6D46-8134-6D49E7E45AA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846717467"/>
          <a:ext cx="1076737" cy="1080000"/>
        </a:xfrm>
        <a:prstGeom prst="rect">
          <a:avLst/>
        </a:prstGeom>
      </xdr:spPr>
    </xdr:pic>
    <xdr:clientData/>
  </xdr:oneCellAnchor>
  <xdr:oneCellAnchor>
    <xdr:from>
      <xdr:col>16</xdr:col>
      <xdr:colOff>127000</xdr:colOff>
      <xdr:row>165</xdr:row>
      <xdr:rowOff>296334</xdr:rowOff>
    </xdr:from>
    <xdr:ext cx="1080000" cy="1080000"/>
    <xdr:pic>
      <xdr:nvPicPr>
        <xdr:cNvPr id="288" name="Resim 287">
          <a:extLst>
            <a:ext uri="{FF2B5EF4-FFF2-40B4-BE49-F238E27FC236}">
              <a16:creationId xmlns:a16="http://schemas.microsoft.com/office/drawing/2014/main" id="{00F84BB7-221E-AF47-AB93-AD2A29AB14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848834134"/>
          <a:ext cx="1080000" cy="1080000"/>
        </a:xfrm>
        <a:prstGeom prst="rect">
          <a:avLst/>
        </a:prstGeom>
      </xdr:spPr>
    </xdr:pic>
    <xdr:clientData/>
  </xdr:oneCellAnchor>
  <xdr:oneCellAnchor>
    <xdr:from>
      <xdr:col>16</xdr:col>
      <xdr:colOff>148167</xdr:colOff>
      <xdr:row>165</xdr:row>
      <xdr:rowOff>1566333</xdr:rowOff>
    </xdr:from>
    <xdr:ext cx="1080000" cy="1080000"/>
    <xdr:pic>
      <xdr:nvPicPr>
        <xdr:cNvPr id="289" name="Resim 288">
          <a:extLst>
            <a:ext uri="{FF2B5EF4-FFF2-40B4-BE49-F238E27FC236}">
              <a16:creationId xmlns:a16="http://schemas.microsoft.com/office/drawing/2014/main" id="{67730F75-EF29-2441-A828-919C8CA4C3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850104133"/>
          <a:ext cx="1080000" cy="1080000"/>
        </a:xfrm>
        <a:prstGeom prst="rect">
          <a:avLst/>
        </a:prstGeom>
      </xdr:spPr>
    </xdr:pic>
    <xdr:clientData/>
  </xdr:oneCellAnchor>
  <xdr:oneCellAnchor>
    <xdr:from>
      <xdr:col>16</xdr:col>
      <xdr:colOff>169334</xdr:colOff>
      <xdr:row>167</xdr:row>
      <xdr:rowOff>486833</xdr:rowOff>
    </xdr:from>
    <xdr:ext cx="1080000" cy="1080000"/>
    <xdr:pic>
      <xdr:nvPicPr>
        <xdr:cNvPr id="290" name="Resim 289">
          <a:extLst>
            <a:ext uri="{FF2B5EF4-FFF2-40B4-BE49-F238E27FC236}">
              <a16:creationId xmlns:a16="http://schemas.microsoft.com/office/drawing/2014/main" id="{4B040360-A0EA-4B43-A882-A8627EBD54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859438633"/>
          <a:ext cx="1080000" cy="1080000"/>
        </a:xfrm>
        <a:prstGeom prst="rect">
          <a:avLst/>
        </a:prstGeom>
      </xdr:spPr>
    </xdr:pic>
    <xdr:clientData/>
  </xdr:oneCellAnchor>
  <xdr:oneCellAnchor>
    <xdr:from>
      <xdr:col>16</xdr:col>
      <xdr:colOff>190500</xdr:colOff>
      <xdr:row>167</xdr:row>
      <xdr:rowOff>1947333</xdr:rowOff>
    </xdr:from>
    <xdr:ext cx="1121834" cy="1114404"/>
    <xdr:pic>
      <xdr:nvPicPr>
        <xdr:cNvPr id="291" name="Resim 290">
          <a:extLst>
            <a:ext uri="{FF2B5EF4-FFF2-40B4-BE49-F238E27FC236}">
              <a16:creationId xmlns:a16="http://schemas.microsoft.com/office/drawing/2014/main" id="{6366F098-240E-8745-AD68-373CD6B76F3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60899133"/>
          <a:ext cx="1121834" cy="1114404"/>
        </a:xfrm>
        <a:prstGeom prst="rect">
          <a:avLst/>
        </a:prstGeom>
      </xdr:spPr>
    </xdr:pic>
    <xdr:clientData/>
  </xdr:oneCellAnchor>
  <xdr:oneCellAnchor>
    <xdr:from>
      <xdr:col>16</xdr:col>
      <xdr:colOff>148167</xdr:colOff>
      <xdr:row>167</xdr:row>
      <xdr:rowOff>3429000</xdr:rowOff>
    </xdr:from>
    <xdr:ext cx="1080000" cy="1080000"/>
    <xdr:pic>
      <xdr:nvPicPr>
        <xdr:cNvPr id="292" name="Resim 291">
          <a:extLst>
            <a:ext uri="{FF2B5EF4-FFF2-40B4-BE49-F238E27FC236}">
              <a16:creationId xmlns:a16="http://schemas.microsoft.com/office/drawing/2014/main" id="{FA958582-819B-FD42-B24F-54DA5C233F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862380800"/>
          <a:ext cx="1080000" cy="1080000"/>
        </a:xfrm>
        <a:prstGeom prst="rect">
          <a:avLst/>
        </a:prstGeom>
      </xdr:spPr>
    </xdr:pic>
    <xdr:clientData/>
  </xdr:oneCellAnchor>
  <xdr:oneCellAnchor>
    <xdr:from>
      <xdr:col>16</xdr:col>
      <xdr:colOff>190500</xdr:colOff>
      <xdr:row>168</xdr:row>
      <xdr:rowOff>1947333</xdr:rowOff>
    </xdr:from>
    <xdr:ext cx="1121834" cy="1114404"/>
    <xdr:pic>
      <xdr:nvPicPr>
        <xdr:cNvPr id="293" name="Resim 292">
          <a:extLst>
            <a:ext uri="{FF2B5EF4-FFF2-40B4-BE49-F238E27FC236}">
              <a16:creationId xmlns:a16="http://schemas.microsoft.com/office/drawing/2014/main" id="{1D734B36-21F7-9342-B4D5-25993A899CE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66106133"/>
          <a:ext cx="1121834" cy="1114404"/>
        </a:xfrm>
        <a:prstGeom prst="rect">
          <a:avLst/>
        </a:prstGeom>
      </xdr:spPr>
    </xdr:pic>
    <xdr:clientData/>
  </xdr:oneCellAnchor>
  <xdr:oneCellAnchor>
    <xdr:from>
      <xdr:col>16</xdr:col>
      <xdr:colOff>148167</xdr:colOff>
      <xdr:row>168</xdr:row>
      <xdr:rowOff>3429000</xdr:rowOff>
    </xdr:from>
    <xdr:ext cx="1080000" cy="1080000"/>
    <xdr:pic>
      <xdr:nvPicPr>
        <xdr:cNvPr id="294" name="Resim 293">
          <a:extLst>
            <a:ext uri="{FF2B5EF4-FFF2-40B4-BE49-F238E27FC236}">
              <a16:creationId xmlns:a16="http://schemas.microsoft.com/office/drawing/2014/main" id="{38D6866E-8189-B740-AF7F-11439050E7D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867587800"/>
          <a:ext cx="1080000" cy="1080000"/>
        </a:xfrm>
        <a:prstGeom prst="rect">
          <a:avLst/>
        </a:prstGeom>
      </xdr:spPr>
    </xdr:pic>
    <xdr:clientData/>
  </xdr:oneCellAnchor>
  <xdr:oneCellAnchor>
    <xdr:from>
      <xdr:col>16</xdr:col>
      <xdr:colOff>190500</xdr:colOff>
      <xdr:row>169</xdr:row>
      <xdr:rowOff>1947333</xdr:rowOff>
    </xdr:from>
    <xdr:ext cx="1121834" cy="1114404"/>
    <xdr:pic>
      <xdr:nvPicPr>
        <xdr:cNvPr id="295" name="Resim 294">
          <a:extLst>
            <a:ext uri="{FF2B5EF4-FFF2-40B4-BE49-F238E27FC236}">
              <a16:creationId xmlns:a16="http://schemas.microsoft.com/office/drawing/2014/main" id="{47D7918A-CE2A-6F4A-9DE1-CFE26B4CB10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71313133"/>
          <a:ext cx="1121834" cy="1114404"/>
        </a:xfrm>
        <a:prstGeom prst="rect">
          <a:avLst/>
        </a:prstGeom>
      </xdr:spPr>
    </xdr:pic>
    <xdr:clientData/>
  </xdr:oneCellAnchor>
  <xdr:oneCellAnchor>
    <xdr:from>
      <xdr:col>16</xdr:col>
      <xdr:colOff>148167</xdr:colOff>
      <xdr:row>169</xdr:row>
      <xdr:rowOff>3429000</xdr:rowOff>
    </xdr:from>
    <xdr:ext cx="1080000" cy="1080000"/>
    <xdr:pic>
      <xdr:nvPicPr>
        <xdr:cNvPr id="296" name="Resim 295">
          <a:extLst>
            <a:ext uri="{FF2B5EF4-FFF2-40B4-BE49-F238E27FC236}">
              <a16:creationId xmlns:a16="http://schemas.microsoft.com/office/drawing/2014/main" id="{F02A6774-7BA7-A241-B962-C0217D8A13E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872794800"/>
          <a:ext cx="1080000" cy="1080000"/>
        </a:xfrm>
        <a:prstGeom prst="rect">
          <a:avLst/>
        </a:prstGeom>
      </xdr:spPr>
    </xdr:pic>
    <xdr:clientData/>
  </xdr:oneCellAnchor>
  <xdr:oneCellAnchor>
    <xdr:from>
      <xdr:col>16</xdr:col>
      <xdr:colOff>169334</xdr:colOff>
      <xdr:row>170</xdr:row>
      <xdr:rowOff>486833</xdr:rowOff>
    </xdr:from>
    <xdr:ext cx="1080000" cy="1080000"/>
    <xdr:pic>
      <xdr:nvPicPr>
        <xdr:cNvPr id="297" name="Resim 296">
          <a:extLst>
            <a:ext uri="{FF2B5EF4-FFF2-40B4-BE49-F238E27FC236}">
              <a16:creationId xmlns:a16="http://schemas.microsoft.com/office/drawing/2014/main" id="{C139D7D4-95B2-A540-98DE-6FB3C57111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875059633"/>
          <a:ext cx="1080000" cy="1080000"/>
        </a:xfrm>
        <a:prstGeom prst="rect">
          <a:avLst/>
        </a:prstGeom>
      </xdr:spPr>
    </xdr:pic>
    <xdr:clientData/>
  </xdr:oneCellAnchor>
  <xdr:oneCellAnchor>
    <xdr:from>
      <xdr:col>16</xdr:col>
      <xdr:colOff>190500</xdr:colOff>
      <xdr:row>170</xdr:row>
      <xdr:rowOff>1947333</xdr:rowOff>
    </xdr:from>
    <xdr:ext cx="1121834" cy="1114404"/>
    <xdr:pic>
      <xdr:nvPicPr>
        <xdr:cNvPr id="298" name="Resim 297">
          <a:extLst>
            <a:ext uri="{FF2B5EF4-FFF2-40B4-BE49-F238E27FC236}">
              <a16:creationId xmlns:a16="http://schemas.microsoft.com/office/drawing/2014/main" id="{989D5ACB-967C-A24D-9F01-A9984CEE3EB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876520133"/>
          <a:ext cx="1121834" cy="1114404"/>
        </a:xfrm>
        <a:prstGeom prst="rect">
          <a:avLst/>
        </a:prstGeom>
      </xdr:spPr>
    </xdr:pic>
    <xdr:clientData/>
  </xdr:oneCellAnchor>
  <xdr:oneCellAnchor>
    <xdr:from>
      <xdr:col>16</xdr:col>
      <xdr:colOff>148167</xdr:colOff>
      <xdr:row>170</xdr:row>
      <xdr:rowOff>3513667</xdr:rowOff>
    </xdr:from>
    <xdr:ext cx="1076737" cy="1080000"/>
    <xdr:pic>
      <xdr:nvPicPr>
        <xdr:cNvPr id="299" name="Resim 298">
          <a:extLst>
            <a:ext uri="{FF2B5EF4-FFF2-40B4-BE49-F238E27FC236}">
              <a16:creationId xmlns:a16="http://schemas.microsoft.com/office/drawing/2014/main" id="{E2EFF6DA-F61D-624F-A394-CB3676CF19C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878086467"/>
          <a:ext cx="1076737" cy="1080000"/>
        </a:xfrm>
        <a:prstGeom prst="rect">
          <a:avLst/>
        </a:prstGeom>
      </xdr:spPr>
    </xdr:pic>
    <xdr:clientData/>
  </xdr:oneCellAnchor>
  <xdr:oneCellAnchor>
    <xdr:from>
      <xdr:col>16</xdr:col>
      <xdr:colOff>152400</xdr:colOff>
      <xdr:row>171</xdr:row>
      <xdr:rowOff>579120</xdr:rowOff>
    </xdr:from>
    <xdr:ext cx="1080000" cy="1080000"/>
    <xdr:pic>
      <xdr:nvPicPr>
        <xdr:cNvPr id="300" name="Resim 299">
          <a:extLst>
            <a:ext uri="{FF2B5EF4-FFF2-40B4-BE49-F238E27FC236}">
              <a16:creationId xmlns:a16="http://schemas.microsoft.com/office/drawing/2014/main" id="{8D7663E4-6E84-6444-B3F9-5F65478628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880358920"/>
          <a:ext cx="1080000" cy="1080000"/>
        </a:xfrm>
        <a:prstGeom prst="rect">
          <a:avLst/>
        </a:prstGeom>
      </xdr:spPr>
    </xdr:pic>
    <xdr:clientData/>
  </xdr:oneCellAnchor>
  <xdr:oneCellAnchor>
    <xdr:from>
      <xdr:col>16</xdr:col>
      <xdr:colOff>137160</xdr:colOff>
      <xdr:row>171</xdr:row>
      <xdr:rowOff>2606040</xdr:rowOff>
    </xdr:from>
    <xdr:ext cx="1080000" cy="1080000"/>
    <xdr:pic>
      <xdr:nvPicPr>
        <xdr:cNvPr id="301" name="Resim 300">
          <a:extLst>
            <a:ext uri="{FF2B5EF4-FFF2-40B4-BE49-F238E27FC236}">
              <a16:creationId xmlns:a16="http://schemas.microsoft.com/office/drawing/2014/main" id="{A24BD76B-5FA2-3343-8E2C-1234C3A2B4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882385840"/>
          <a:ext cx="1080000" cy="1080000"/>
        </a:xfrm>
        <a:prstGeom prst="rect">
          <a:avLst/>
        </a:prstGeom>
      </xdr:spPr>
    </xdr:pic>
    <xdr:clientData/>
  </xdr:oneCellAnchor>
  <xdr:twoCellAnchor editAs="oneCell">
    <xdr:from>
      <xdr:col>16</xdr:col>
      <xdr:colOff>0</xdr:colOff>
      <xdr:row>173</xdr:row>
      <xdr:rowOff>0</xdr:rowOff>
    </xdr:from>
    <xdr:to>
      <xdr:col>16</xdr:col>
      <xdr:colOff>304800</xdr:colOff>
      <xdr:row>199</xdr:row>
      <xdr:rowOff>38100</xdr:rowOff>
    </xdr:to>
    <xdr:sp macro="" textlink="">
      <xdr:nvSpPr>
        <xdr:cNvPr id="302" name="AutoShape 1" descr="AŞINDIRICI MADDE HEDEF BASIM KİMYASAL ETİKETLER">
          <a:extLst>
            <a:ext uri="{FF2B5EF4-FFF2-40B4-BE49-F238E27FC236}">
              <a16:creationId xmlns:a16="http://schemas.microsoft.com/office/drawing/2014/main" id="{115E3FCE-E57A-6745-87E6-305264C97721}"/>
            </a:ext>
          </a:extLst>
        </xdr:cNvPr>
        <xdr:cNvSpPr>
          <a:spLocks noChangeAspect="1" noChangeArrowheads="1"/>
        </xdr:cNvSpPr>
      </xdr:nvSpPr>
      <xdr:spPr bwMode="auto">
        <a:xfrm>
          <a:off x="11557000" y="890193800"/>
          <a:ext cx="304800" cy="532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173</xdr:row>
      <xdr:rowOff>0</xdr:rowOff>
    </xdr:from>
    <xdr:to>
      <xdr:col>16</xdr:col>
      <xdr:colOff>304800</xdr:colOff>
      <xdr:row>199</xdr:row>
      <xdr:rowOff>38100</xdr:rowOff>
    </xdr:to>
    <xdr:sp macro="" textlink="">
      <xdr:nvSpPr>
        <xdr:cNvPr id="303" name="AutoShape 2" descr="AŞINDIRICI MADDE HEDEF BASIM KİMYASAL ETİKETLER">
          <a:extLst>
            <a:ext uri="{FF2B5EF4-FFF2-40B4-BE49-F238E27FC236}">
              <a16:creationId xmlns:a16="http://schemas.microsoft.com/office/drawing/2014/main" id="{0045D1B9-EA8F-6644-9AA5-D57123795DCD}"/>
            </a:ext>
          </a:extLst>
        </xdr:cNvPr>
        <xdr:cNvSpPr>
          <a:spLocks noChangeAspect="1" noChangeArrowheads="1"/>
        </xdr:cNvSpPr>
      </xdr:nvSpPr>
      <xdr:spPr bwMode="auto">
        <a:xfrm>
          <a:off x="11557000" y="890193800"/>
          <a:ext cx="304800" cy="5321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16</xdr:col>
      <xdr:colOff>84667</xdr:colOff>
      <xdr:row>173</xdr:row>
      <xdr:rowOff>142875</xdr:rowOff>
    </xdr:from>
    <xdr:ext cx="1080000" cy="1080000"/>
    <xdr:pic>
      <xdr:nvPicPr>
        <xdr:cNvPr id="304" name="Resim 303">
          <a:extLst>
            <a:ext uri="{FF2B5EF4-FFF2-40B4-BE49-F238E27FC236}">
              <a16:creationId xmlns:a16="http://schemas.microsoft.com/office/drawing/2014/main" id="{83E4A61F-E0A5-784C-BEE7-9D44D0E095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890336675"/>
          <a:ext cx="1080000" cy="1080000"/>
        </a:xfrm>
        <a:prstGeom prst="rect">
          <a:avLst/>
        </a:prstGeom>
      </xdr:spPr>
    </xdr:pic>
    <xdr:clientData/>
  </xdr:oneCellAnchor>
  <xdr:oneCellAnchor>
    <xdr:from>
      <xdr:col>16</xdr:col>
      <xdr:colOff>127000</xdr:colOff>
      <xdr:row>173</xdr:row>
      <xdr:rowOff>1349375</xdr:rowOff>
    </xdr:from>
    <xdr:ext cx="1080000" cy="1080000"/>
    <xdr:pic>
      <xdr:nvPicPr>
        <xdr:cNvPr id="305" name="Resim 304">
          <a:extLst>
            <a:ext uri="{FF2B5EF4-FFF2-40B4-BE49-F238E27FC236}">
              <a16:creationId xmlns:a16="http://schemas.microsoft.com/office/drawing/2014/main" id="{1D2F29C9-0CA4-6540-9306-E60017B1C1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891543175"/>
          <a:ext cx="1080000" cy="1080000"/>
        </a:xfrm>
        <a:prstGeom prst="rect">
          <a:avLst/>
        </a:prstGeom>
      </xdr:spPr>
    </xdr:pic>
    <xdr:clientData/>
  </xdr:oneCellAnchor>
  <xdr:oneCellAnchor>
    <xdr:from>
      <xdr:col>16</xdr:col>
      <xdr:colOff>142875</xdr:colOff>
      <xdr:row>173</xdr:row>
      <xdr:rowOff>2476500</xdr:rowOff>
    </xdr:from>
    <xdr:ext cx="1080000" cy="1072847"/>
    <xdr:pic>
      <xdr:nvPicPr>
        <xdr:cNvPr id="306" name="Resim 305">
          <a:extLst>
            <a:ext uri="{FF2B5EF4-FFF2-40B4-BE49-F238E27FC236}">
              <a16:creationId xmlns:a16="http://schemas.microsoft.com/office/drawing/2014/main" id="{B086515B-5118-BA4E-9C4E-AD85609B90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99875" y="892670300"/>
          <a:ext cx="1080000" cy="1072847"/>
        </a:xfrm>
        <a:prstGeom prst="rect">
          <a:avLst/>
        </a:prstGeom>
      </xdr:spPr>
    </xdr:pic>
    <xdr:clientData/>
  </xdr:oneCellAnchor>
  <xdr:oneCellAnchor>
    <xdr:from>
      <xdr:col>16</xdr:col>
      <xdr:colOff>127000</xdr:colOff>
      <xdr:row>173</xdr:row>
      <xdr:rowOff>3746500</xdr:rowOff>
    </xdr:from>
    <xdr:ext cx="1080000" cy="1080000"/>
    <xdr:pic>
      <xdr:nvPicPr>
        <xdr:cNvPr id="307" name="Resim 306">
          <a:extLst>
            <a:ext uri="{FF2B5EF4-FFF2-40B4-BE49-F238E27FC236}">
              <a16:creationId xmlns:a16="http://schemas.microsoft.com/office/drawing/2014/main" id="{C5C5BEA1-CB5C-534F-8BF7-F5A59FF4A28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84000" y="893940300"/>
          <a:ext cx="1080000" cy="1080000"/>
        </a:xfrm>
        <a:prstGeom prst="rect">
          <a:avLst/>
        </a:prstGeom>
      </xdr:spPr>
    </xdr:pic>
    <xdr:clientData/>
  </xdr:oneCellAnchor>
  <xdr:oneCellAnchor>
    <xdr:from>
      <xdr:col>16</xdr:col>
      <xdr:colOff>152400</xdr:colOff>
      <xdr:row>175</xdr:row>
      <xdr:rowOff>548640</xdr:rowOff>
    </xdr:from>
    <xdr:ext cx="1080000" cy="1080000"/>
    <xdr:pic>
      <xdr:nvPicPr>
        <xdr:cNvPr id="308" name="Resim 307">
          <a:extLst>
            <a:ext uri="{FF2B5EF4-FFF2-40B4-BE49-F238E27FC236}">
              <a16:creationId xmlns:a16="http://schemas.microsoft.com/office/drawing/2014/main" id="{CF684AF3-4450-0B48-A567-DA30AFDF4D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901156440"/>
          <a:ext cx="1080000" cy="1080000"/>
        </a:xfrm>
        <a:prstGeom prst="rect">
          <a:avLst/>
        </a:prstGeom>
      </xdr:spPr>
    </xdr:pic>
    <xdr:clientData/>
  </xdr:oneCellAnchor>
  <xdr:oneCellAnchor>
    <xdr:from>
      <xdr:col>16</xdr:col>
      <xdr:colOff>152400</xdr:colOff>
      <xdr:row>175</xdr:row>
      <xdr:rowOff>1965960</xdr:rowOff>
    </xdr:from>
    <xdr:ext cx="1080000" cy="1080000"/>
    <xdr:pic>
      <xdr:nvPicPr>
        <xdr:cNvPr id="309" name="Resim 308">
          <a:extLst>
            <a:ext uri="{FF2B5EF4-FFF2-40B4-BE49-F238E27FC236}">
              <a16:creationId xmlns:a16="http://schemas.microsoft.com/office/drawing/2014/main" id="{5126D49D-7B87-C447-BA3B-F019047F52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902573760"/>
          <a:ext cx="1080000" cy="1080000"/>
        </a:xfrm>
        <a:prstGeom prst="rect">
          <a:avLst/>
        </a:prstGeom>
      </xdr:spPr>
    </xdr:pic>
    <xdr:clientData/>
  </xdr:oneCellAnchor>
  <xdr:oneCellAnchor>
    <xdr:from>
      <xdr:col>16</xdr:col>
      <xdr:colOff>91440</xdr:colOff>
      <xdr:row>178</xdr:row>
      <xdr:rowOff>914400</xdr:rowOff>
    </xdr:from>
    <xdr:ext cx="1080000" cy="1080000"/>
    <xdr:pic>
      <xdr:nvPicPr>
        <xdr:cNvPr id="310" name="Resim 309">
          <a:extLst>
            <a:ext uri="{FF2B5EF4-FFF2-40B4-BE49-F238E27FC236}">
              <a16:creationId xmlns:a16="http://schemas.microsoft.com/office/drawing/2014/main" id="{8610C479-37EB-D540-B146-D0A6050A6E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917143200"/>
          <a:ext cx="1080000" cy="1080000"/>
        </a:xfrm>
        <a:prstGeom prst="rect">
          <a:avLst/>
        </a:prstGeom>
      </xdr:spPr>
    </xdr:pic>
    <xdr:clientData/>
  </xdr:oneCellAnchor>
  <xdr:oneCellAnchor>
    <xdr:from>
      <xdr:col>16</xdr:col>
      <xdr:colOff>106680</xdr:colOff>
      <xdr:row>178</xdr:row>
      <xdr:rowOff>2255520</xdr:rowOff>
    </xdr:from>
    <xdr:ext cx="1080000" cy="1080000"/>
    <xdr:pic>
      <xdr:nvPicPr>
        <xdr:cNvPr id="311" name="Resim 310">
          <a:extLst>
            <a:ext uri="{FF2B5EF4-FFF2-40B4-BE49-F238E27FC236}">
              <a16:creationId xmlns:a16="http://schemas.microsoft.com/office/drawing/2014/main" id="{34AFCC5B-27B2-6C46-A0B2-9BBA7BF454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918484320"/>
          <a:ext cx="1080000" cy="1080000"/>
        </a:xfrm>
        <a:prstGeom prst="rect">
          <a:avLst/>
        </a:prstGeom>
      </xdr:spPr>
    </xdr:pic>
    <xdr:clientData/>
  </xdr:oneCellAnchor>
  <xdr:oneCellAnchor>
    <xdr:from>
      <xdr:col>16</xdr:col>
      <xdr:colOff>168800</xdr:colOff>
      <xdr:row>180</xdr:row>
      <xdr:rowOff>2339837</xdr:rowOff>
    </xdr:from>
    <xdr:ext cx="1080000" cy="1080000"/>
    <xdr:pic>
      <xdr:nvPicPr>
        <xdr:cNvPr id="312" name="Resim 311">
          <a:extLst>
            <a:ext uri="{FF2B5EF4-FFF2-40B4-BE49-F238E27FC236}">
              <a16:creationId xmlns:a16="http://schemas.microsoft.com/office/drawing/2014/main" id="{A1DA822A-A386-9149-8D08-3D9593F58C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5800" y="928982637"/>
          <a:ext cx="1080000" cy="1080000"/>
        </a:xfrm>
        <a:prstGeom prst="rect">
          <a:avLst/>
        </a:prstGeom>
      </xdr:spPr>
    </xdr:pic>
    <xdr:clientData/>
  </xdr:oneCellAnchor>
  <xdr:oneCellAnchor>
    <xdr:from>
      <xdr:col>16</xdr:col>
      <xdr:colOff>168800</xdr:colOff>
      <xdr:row>180</xdr:row>
      <xdr:rowOff>869674</xdr:rowOff>
    </xdr:from>
    <xdr:ext cx="1080000" cy="1080000"/>
    <xdr:pic>
      <xdr:nvPicPr>
        <xdr:cNvPr id="313" name="Resim 312">
          <a:extLst>
            <a:ext uri="{FF2B5EF4-FFF2-40B4-BE49-F238E27FC236}">
              <a16:creationId xmlns:a16="http://schemas.microsoft.com/office/drawing/2014/main" id="{EED19D05-1592-2949-B816-3E4285D0AE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5800" y="927512474"/>
          <a:ext cx="1080000" cy="1080000"/>
        </a:xfrm>
        <a:prstGeom prst="rect">
          <a:avLst/>
        </a:prstGeom>
      </xdr:spPr>
    </xdr:pic>
    <xdr:clientData/>
  </xdr:oneCellAnchor>
  <xdr:oneCellAnchor>
    <xdr:from>
      <xdr:col>16</xdr:col>
      <xdr:colOff>200520</xdr:colOff>
      <xdr:row>181</xdr:row>
      <xdr:rowOff>3093720</xdr:rowOff>
    </xdr:from>
    <xdr:ext cx="1080000" cy="1080000"/>
    <xdr:pic>
      <xdr:nvPicPr>
        <xdr:cNvPr id="314" name="Resim 313">
          <a:extLst>
            <a:ext uri="{FF2B5EF4-FFF2-40B4-BE49-F238E27FC236}">
              <a16:creationId xmlns:a16="http://schemas.microsoft.com/office/drawing/2014/main" id="{5EC279AC-1F6A-7449-976A-EFF430DC71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7520" y="934943520"/>
          <a:ext cx="1080000" cy="1080000"/>
        </a:xfrm>
        <a:prstGeom prst="rect">
          <a:avLst/>
        </a:prstGeom>
      </xdr:spPr>
    </xdr:pic>
    <xdr:clientData/>
  </xdr:oneCellAnchor>
  <xdr:oneCellAnchor>
    <xdr:from>
      <xdr:col>16</xdr:col>
      <xdr:colOff>167640</xdr:colOff>
      <xdr:row>181</xdr:row>
      <xdr:rowOff>1704480</xdr:rowOff>
    </xdr:from>
    <xdr:ext cx="1080000" cy="1080000"/>
    <xdr:pic>
      <xdr:nvPicPr>
        <xdr:cNvPr id="315" name="Resim 314">
          <a:extLst>
            <a:ext uri="{FF2B5EF4-FFF2-40B4-BE49-F238E27FC236}">
              <a16:creationId xmlns:a16="http://schemas.microsoft.com/office/drawing/2014/main" id="{D66E3CD1-1019-4D41-91EB-4F9C715FF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4640" y="933554280"/>
          <a:ext cx="1080000" cy="1080000"/>
        </a:xfrm>
        <a:prstGeom prst="rect">
          <a:avLst/>
        </a:prstGeom>
      </xdr:spPr>
    </xdr:pic>
    <xdr:clientData/>
  </xdr:oneCellAnchor>
  <xdr:oneCellAnchor>
    <xdr:from>
      <xdr:col>16</xdr:col>
      <xdr:colOff>137160</xdr:colOff>
      <xdr:row>181</xdr:row>
      <xdr:rowOff>335280</xdr:rowOff>
    </xdr:from>
    <xdr:ext cx="1080000" cy="1080000"/>
    <xdr:pic>
      <xdr:nvPicPr>
        <xdr:cNvPr id="316" name="Resim 315">
          <a:extLst>
            <a:ext uri="{FF2B5EF4-FFF2-40B4-BE49-F238E27FC236}">
              <a16:creationId xmlns:a16="http://schemas.microsoft.com/office/drawing/2014/main" id="{F4811729-4198-CC47-BF00-4DE3C798D5F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4160" y="932185080"/>
          <a:ext cx="1080000" cy="1080000"/>
        </a:xfrm>
        <a:prstGeom prst="rect">
          <a:avLst/>
        </a:prstGeom>
      </xdr:spPr>
    </xdr:pic>
    <xdr:clientData/>
  </xdr:oneCellAnchor>
  <xdr:oneCellAnchor>
    <xdr:from>
      <xdr:col>16</xdr:col>
      <xdr:colOff>121920</xdr:colOff>
      <xdr:row>182</xdr:row>
      <xdr:rowOff>579120</xdr:rowOff>
    </xdr:from>
    <xdr:ext cx="1080000" cy="1080000"/>
    <xdr:pic>
      <xdr:nvPicPr>
        <xdr:cNvPr id="317" name="Resim 316">
          <a:extLst>
            <a:ext uri="{FF2B5EF4-FFF2-40B4-BE49-F238E27FC236}">
              <a16:creationId xmlns:a16="http://schemas.microsoft.com/office/drawing/2014/main" id="{32DA18BC-E4A4-9D41-AC2E-C8A8B3E69F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8920" y="937635920"/>
          <a:ext cx="1080000" cy="1080000"/>
        </a:xfrm>
        <a:prstGeom prst="rect">
          <a:avLst/>
        </a:prstGeom>
      </xdr:spPr>
    </xdr:pic>
    <xdr:clientData/>
  </xdr:oneCellAnchor>
  <xdr:oneCellAnchor>
    <xdr:from>
      <xdr:col>16</xdr:col>
      <xdr:colOff>121920</xdr:colOff>
      <xdr:row>182</xdr:row>
      <xdr:rowOff>1996440</xdr:rowOff>
    </xdr:from>
    <xdr:ext cx="1080000" cy="1080000"/>
    <xdr:pic>
      <xdr:nvPicPr>
        <xdr:cNvPr id="318" name="Resim 317">
          <a:extLst>
            <a:ext uri="{FF2B5EF4-FFF2-40B4-BE49-F238E27FC236}">
              <a16:creationId xmlns:a16="http://schemas.microsoft.com/office/drawing/2014/main" id="{1FAEE063-FEA6-DB45-91AC-5A0D54D963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8920" y="939053240"/>
          <a:ext cx="1080000" cy="1080000"/>
        </a:xfrm>
        <a:prstGeom prst="rect">
          <a:avLst/>
        </a:prstGeom>
      </xdr:spPr>
    </xdr:pic>
    <xdr:clientData/>
  </xdr:oneCellAnchor>
  <xdr:oneCellAnchor>
    <xdr:from>
      <xdr:col>16</xdr:col>
      <xdr:colOff>137160</xdr:colOff>
      <xdr:row>184</xdr:row>
      <xdr:rowOff>1036320</xdr:rowOff>
    </xdr:from>
    <xdr:ext cx="1080000" cy="1080000"/>
    <xdr:pic>
      <xdr:nvPicPr>
        <xdr:cNvPr id="319" name="Resim 318">
          <a:extLst>
            <a:ext uri="{FF2B5EF4-FFF2-40B4-BE49-F238E27FC236}">
              <a16:creationId xmlns:a16="http://schemas.microsoft.com/office/drawing/2014/main" id="{B64CD63B-7EB4-8344-AE9D-C77B268C15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94160" y="948507120"/>
          <a:ext cx="1080000" cy="1080000"/>
        </a:xfrm>
        <a:prstGeom prst="rect">
          <a:avLst/>
        </a:prstGeom>
      </xdr:spPr>
    </xdr:pic>
    <xdr:clientData/>
  </xdr:oneCellAnchor>
  <xdr:oneCellAnchor>
    <xdr:from>
      <xdr:col>16</xdr:col>
      <xdr:colOff>106680</xdr:colOff>
      <xdr:row>185</xdr:row>
      <xdr:rowOff>1350562</xdr:rowOff>
    </xdr:from>
    <xdr:ext cx="1080000" cy="1080000"/>
    <xdr:pic>
      <xdr:nvPicPr>
        <xdr:cNvPr id="320" name="Resim 319">
          <a:extLst>
            <a:ext uri="{FF2B5EF4-FFF2-40B4-BE49-F238E27FC236}">
              <a16:creationId xmlns:a16="http://schemas.microsoft.com/office/drawing/2014/main" id="{C8F5014B-CA60-CB41-ADD1-03FB5226DD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3680" y="954028362"/>
          <a:ext cx="1080000" cy="1080000"/>
        </a:xfrm>
        <a:prstGeom prst="rect">
          <a:avLst/>
        </a:prstGeom>
      </xdr:spPr>
    </xdr:pic>
    <xdr:clientData/>
  </xdr:oneCellAnchor>
  <xdr:oneCellAnchor>
    <xdr:from>
      <xdr:col>16</xdr:col>
      <xdr:colOff>116454</xdr:colOff>
      <xdr:row>185</xdr:row>
      <xdr:rowOff>2511950</xdr:rowOff>
    </xdr:from>
    <xdr:ext cx="1080000" cy="1080000"/>
    <xdr:pic>
      <xdr:nvPicPr>
        <xdr:cNvPr id="321" name="Resim 320">
          <a:extLst>
            <a:ext uri="{FF2B5EF4-FFF2-40B4-BE49-F238E27FC236}">
              <a16:creationId xmlns:a16="http://schemas.microsoft.com/office/drawing/2014/main" id="{26808415-DD74-FF44-8997-C6C1AB9381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3454" y="955189750"/>
          <a:ext cx="1080000" cy="1080000"/>
        </a:xfrm>
        <a:prstGeom prst="rect">
          <a:avLst/>
        </a:prstGeom>
      </xdr:spPr>
    </xdr:pic>
    <xdr:clientData/>
  </xdr:oneCellAnchor>
  <xdr:twoCellAnchor editAs="oneCell">
    <xdr:from>
      <xdr:col>16</xdr:col>
      <xdr:colOff>76201</xdr:colOff>
      <xdr:row>185</xdr:row>
      <xdr:rowOff>144945</xdr:rowOff>
    </xdr:from>
    <xdr:to>
      <xdr:col>16</xdr:col>
      <xdr:colOff>1203961</xdr:colOff>
      <xdr:row>185</xdr:row>
      <xdr:rowOff>1205649</xdr:rowOff>
    </xdr:to>
    <xdr:pic>
      <xdr:nvPicPr>
        <xdr:cNvPr id="322" name="Resim 321">
          <a:extLst>
            <a:ext uri="{FF2B5EF4-FFF2-40B4-BE49-F238E27FC236}">
              <a16:creationId xmlns:a16="http://schemas.microsoft.com/office/drawing/2014/main" id="{C1D572EF-5EDB-0C48-BB74-A4AED152F4F2}"/>
            </a:ext>
          </a:extLst>
        </xdr:cNvPr>
        <xdr:cNvPicPr>
          <a:picLocks/>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284201" y="952822745"/>
          <a:ext cx="1127760" cy="1060704"/>
        </a:xfrm>
        <a:prstGeom prst="rect">
          <a:avLst/>
        </a:prstGeom>
      </xdr:spPr>
    </xdr:pic>
    <xdr:clientData/>
  </xdr:twoCellAnchor>
  <xdr:oneCellAnchor>
    <xdr:from>
      <xdr:col>16</xdr:col>
      <xdr:colOff>146368</xdr:colOff>
      <xdr:row>186</xdr:row>
      <xdr:rowOff>454660</xdr:rowOff>
    </xdr:from>
    <xdr:ext cx="1080000" cy="1080000"/>
    <xdr:pic>
      <xdr:nvPicPr>
        <xdr:cNvPr id="323" name="Resim 322">
          <a:extLst>
            <a:ext uri="{FF2B5EF4-FFF2-40B4-BE49-F238E27FC236}">
              <a16:creationId xmlns:a16="http://schemas.microsoft.com/office/drawing/2014/main" id="{09CCE1FC-0DFF-1443-A702-59963EC656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3368" y="958339460"/>
          <a:ext cx="1080000" cy="1080000"/>
        </a:xfrm>
        <a:prstGeom prst="rect">
          <a:avLst/>
        </a:prstGeom>
      </xdr:spPr>
    </xdr:pic>
    <xdr:clientData/>
  </xdr:oneCellAnchor>
  <xdr:oneCellAnchor>
    <xdr:from>
      <xdr:col>16</xdr:col>
      <xdr:colOff>182880</xdr:colOff>
      <xdr:row>186</xdr:row>
      <xdr:rowOff>1752600</xdr:rowOff>
    </xdr:from>
    <xdr:ext cx="1080000" cy="1080000"/>
    <xdr:pic>
      <xdr:nvPicPr>
        <xdr:cNvPr id="324" name="Resim 323">
          <a:extLst>
            <a:ext uri="{FF2B5EF4-FFF2-40B4-BE49-F238E27FC236}">
              <a16:creationId xmlns:a16="http://schemas.microsoft.com/office/drawing/2014/main" id="{B1483E3B-289C-FE46-AD86-A47CA3E49F5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9880" y="959637400"/>
          <a:ext cx="1080000" cy="1080000"/>
        </a:xfrm>
        <a:prstGeom prst="rect">
          <a:avLst/>
        </a:prstGeom>
      </xdr:spPr>
    </xdr:pic>
    <xdr:clientData/>
  </xdr:oneCellAnchor>
  <xdr:oneCellAnchor>
    <xdr:from>
      <xdr:col>16</xdr:col>
      <xdr:colOff>198120</xdr:colOff>
      <xdr:row>186</xdr:row>
      <xdr:rowOff>3203976</xdr:rowOff>
    </xdr:from>
    <xdr:ext cx="1080000" cy="1072847"/>
    <xdr:pic>
      <xdr:nvPicPr>
        <xdr:cNvPr id="325" name="Resim 324">
          <a:extLst>
            <a:ext uri="{FF2B5EF4-FFF2-40B4-BE49-F238E27FC236}">
              <a16:creationId xmlns:a16="http://schemas.microsoft.com/office/drawing/2014/main" id="{2274A371-4F58-E84C-8171-C1C674D1537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55120" y="961088776"/>
          <a:ext cx="1080000" cy="1072847"/>
        </a:xfrm>
        <a:prstGeom prst="rect">
          <a:avLst/>
        </a:prstGeom>
      </xdr:spPr>
    </xdr:pic>
    <xdr:clientData/>
  </xdr:oneCellAnchor>
  <xdr:oneCellAnchor>
    <xdr:from>
      <xdr:col>16</xdr:col>
      <xdr:colOff>116454</xdr:colOff>
      <xdr:row>187</xdr:row>
      <xdr:rowOff>95747</xdr:rowOff>
    </xdr:from>
    <xdr:ext cx="1080000" cy="1072847"/>
    <xdr:pic>
      <xdr:nvPicPr>
        <xdr:cNvPr id="326" name="Resim 325">
          <a:extLst>
            <a:ext uri="{FF2B5EF4-FFF2-40B4-BE49-F238E27FC236}">
              <a16:creationId xmlns:a16="http://schemas.microsoft.com/office/drawing/2014/main" id="{EBE36019-5C89-D341-AF3A-02ABF1E11C8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73454" y="963187547"/>
          <a:ext cx="1080000" cy="1072847"/>
        </a:xfrm>
        <a:prstGeom prst="rect">
          <a:avLst/>
        </a:prstGeom>
      </xdr:spPr>
    </xdr:pic>
    <xdr:clientData/>
  </xdr:oneCellAnchor>
  <xdr:oneCellAnchor>
    <xdr:from>
      <xdr:col>16</xdr:col>
      <xdr:colOff>131694</xdr:colOff>
      <xdr:row>187</xdr:row>
      <xdr:rowOff>1160228</xdr:rowOff>
    </xdr:from>
    <xdr:ext cx="1080000" cy="1080000"/>
    <xdr:pic>
      <xdr:nvPicPr>
        <xdr:cNvPr id="327" name="Resim 326">
          <a:extLst>
            <a:ext uri="{FF2B5EF4-FFF2-40B4-BE49-F238E27FC236}">
              <a16:creationId xmlns:a16="http://schemas.microsoft.com/office/drawing/2014/main" id="{B0DA37C9-B57E-B441-8183-A0167DCE04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8694" y="964252028"/>
          <a:ext cx="1080000" cy="1080000"/>
        </a:xfrm>
        <a:prstGeom prst="rect">
          <a:avLst/>
        </a:prstGeom>
      </xdr:spPr>
    </xdr:pic>
    <xdr:clientData/>
  </xdr:oneCellAnchor>
  <xdr:oneCellAnchor>
    <xdr:from>
      <xdr:col>16</xdr:col>
      <xdr:colOff>173107</xdr:colOff>
      <xdr:row>187</xdr:row>
      <xdr:rowOff>2277055</xdr:rowOff>
    </xdr:from>
    <xdr:ext cx="1080000" cy="1080000"/>
    <xdr:pic>
      <xdr:nvPicPr>
        <xdr:cNvPr id="328" name="Resim 327">
          <a:extLst>
            <a:ext uri="{FF2B5EF4-FFF2-40B4-BE49-F238E27FC236}">
              <a16:creationId xmlns:a16="http://schemas.microsoft.com/office/drawing/2014/main" id="{610AD539-873F-B54C-9B60-C683DBC3B76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730107" y="965368855"/>
          <a:ext cx="1080000" cy="1080000"/>
        </a:xfrm>
        <a:prstGeom prst="rect">
          <a:avLst/>
        </a:prstGeom>
      </xdr:spPr>
    </xdr:pic>
    <xdr:clientData/>
  </xdr:oneCellAnchor>
  <xdr:oneCellAnchor>
    <xdr:from>
      <xdr:col>16</xdr:col>
      <xdr:colOff>137160</xdr:colOff>
      <xdr:row>188</xdr:row>
      <xdr:rowOff>289560</xdr:rowOff>
    </xdr:from>
    <xdr:ext cx="1080000" cy="1080000"/>
    <xdr:pic>
      <xdr:nvPicPr>
        <xdr:cNvPr id="329" name="Resim 328">
          <a:extLst>
            <a:ext uri="{FF2B5EF4-FFF2-40B4-BE49-F238E27FC236}">
              <a16:creationId xmlns:a16="http://schemas.microsoft.com/office/drawing/2014/main" id="{52944B81-D27A-E348-913C-F5E9960E213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694160" y="968588360"/>
          <a:ext cx="1080000" cy="1080000"/>
        </a:xfrm>
        <a:prstGeom prst="rect">
          <a:avLst/>
        </a:prstGeom>
      </xdr:spPr>
    </xdr:pic>
    <xdr:clientData/>
  </xdr:oneCellAnchor>
  <xdr:oneCellAnchor>
    <xdr:from>
      <xdr:col>16</xdr:col>
      <xdr:colOff>152400</xdr:colOff>
      <xdr:row>188</xdr:row>
      <xdr:rowOff>1859280</xdr:rowOff>
    </xdr:from>
    <xdr:ext cx="1080000" cy="1080000"/>
    <xdr:pic>
      <xdr:nvPicPr>
        <xdr:cNvPr id="330" name="Resim 329">
          <a:extLst>
            <a:ext uri="{FF2B5EF4-FFF2-40B4-BE49-F238E27FC236}">
              <a16:creationId xmlns:a16="http://schemas.microsoft.com/office/drawing/2014/main" id="{A5893378-E4F4-424F-BE71-7B019ACAD9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970158080"/>
          <a:ext cx="1080000" cy="1080000"/>
        </a:xfrm>
        <a:prstGeom prst="rect">
          <a:avLst/>
        </a:prstGeom>
      </xdr:spPr>
    </xdr:pic>
    <xdr:clientData/>
  </xdr:oneCellAnchor>
  <xdr:oneCellAnchor>
    <xdr:from>
      <xdr:col>16</xdr:col>
      <xdr:colOff>198120</xdr:colOff>
      <xdr:row>188</xdr:row>
      <xdr:rowOff>3413760</xdr:rowOff>
    </xdr:from>
    <xdr:ext cx="1080000" cy="1080000"/>
    <xdr:pic>
      <xdr:nvPicPr>
        <xdr:cNvPr id="331" name="Resim 330">
          <a:extLst>
            <a:ext uri="{FF2B5EF4-FFF2-40B4-BE49-F238E27FC236}">
              <a16:creationId xmlns:a16="http://schemas.microsoft.com/office/drawing/2014/main" id="{E2E73808-1BD1-094B-9276-663761C6CF3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5120" y="971712560"/>
          <a:ext cx="1080000" cy="1080000"/>
        </a:xfrm>
        <a:prstGeom prst="rect">
          <a:avLst/>
        </a:prstGeom>
      </xdr:spPr>
    </xdr:pic>
    <xdr:clientData/>
  </xdr:oneCellAnchor>
  <xdr:oneCellAnchor>
    <xdr:from>
      <xdr:col>16</xdr:col>
      <xdr:colOff>167640</xdr:colOff>
      <xdr:row>189</xdr:row>
      <xdr:rowOff>3032760</xdr:rowOff>
    </xdr:from>
    <xdr:ext cx="1080000" cy="1080000"/>
    <xdr:pic>
      <xdr:nvPicPr>
        <xdr:cNvPr id="332" name="Resim 331">
          <a:extLst>
            <a:ext uri="{FF2B5EF4-FFF2-40B4-BE49-F238E27FC236}">
              <a16:creationId xmlns:a16="http://schemas.microsoft.com/office/drawing/2014/main" id="{2DA871CA-87B9-F046-860B-D6EF16662AB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976538560"/>
          <a:ext cx="1080000" cy="1080000"/>
        </a:xfrm>
        <a:prstGeom prst="rect">
          <a:avLst/>
        </a:prstGeom>
      </xdr:spPr>
    </xdr:pic>
    <xdr:clientData/>
  </xdr:oneCellAnchor>
  <xdr:oneCellAnchor>
    <xdr:from>
      <xdr:col>16</xdr:col>
      <xdr:colOff>104280</xdr:colOff>
      <xdr:row>189</xdr:row>
      <xdr:rowOff>852945</xdr:rowOff>
    </xdr:from>
    <xdr:ext cx="1080000" cy="1080000"/>
    <xdr:pic>
      <xdr:nvPicPr>
        <xdr:cNvPr id="333" name="Resim 332">
          <a:extLst>
            <a:ext uri="{FF2B5EF4-FFF2-40B4-BE49-F238E27FC236}">
              <a16:creationId xmlns:a16="http://schemas.microsoft.com/office/drawing/2014/main" id="{F90EAE71-0D36-8147-83BE-09FB0EC728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1280" y="974358745"/>
          <a:ext cx="1080000" cy="1080000"/>
        </a:xfrm>
        <a:prstGeom prst="rect">
          <a:avLst/>
        </a:prstGeom>
      </xdr:spPr>
    </xdr:pic>
    <xdr:clientData/>
  </xdr:oneCellAnchor>
  <xdr:oneCellAnchor>
    <xdr:from>
      <xdr:col>16</xdr:col>
      <xdr:colOff>119520</xdr:colOff>
      <xdr:row>191</xdr:row>
      <xdr:rowOff>228105</xdr:rowOff>
    </xdr:from>
    <xdr:ext cx="1080000" cy="1080000"/>
    <xdr:pic>
      <xdr:nvPicPr>
        <xdr:cNvPr id="334" name="Resim 333">
          <a:extLst>
            <a:ext uri="{FF2B5EF4-FFF2-40B4-BE49-F238E27FC236}">
              <a16:creationId xmlns:a16="http://schemas.microsoft.com/office/drawing/2014/main" id="{14A92C52-5CA4-274B-8B0D-191EAFE837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6520" y="984147905"/>
          <a:ext cx="1080000" cy="1080000"/>
        </a:xfrm>
        <a:prstGeom prst="rect">
          <a:avLst/>
        </a:prstGeom>
      </xdr:spPr>
    </xdr:pic>
    <xdr:clientData/>
  </xdr:oneCellAnchor>
  <xdr:oneCellAnchor>
    <xdr:from>
      <xdr:col>16</xdr:col>
      <xdr:colOff>182880</xdr:colOff>
      <xdr:row>191</xdr:row>
      <xdr:rowOff>1615440</xdr:rowOff>
    </xdr:from>
    <xdr:ext cx="1080000" cy="1080000"/>
    <xdr:pic>
      <xdr:nvPicPr>
        <xdr:cNvPr id="335" name="Resim 334">
          <a:extLst>
            <a:ext uri="{FF2B5EF4-FFF2-40B4-BE49-F238E27FC236}">
              <a16:creationId xmlns:a16="http://schemas.microsoft.com/office/drawing/2014/main" id="{7B116A51-B63B-5140-94F0-B749574D16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9880" y="985535240"/>
          <a:ext cx="1080000" cy="1080000"/>
        </a:xfrm>
        <a:prstGeom prst="rect">
          <a:avLst/>
        </a:prstGeom>
      </xdr:spPr>
    </xdr:pic>
    <xdr:clientData/>
  </xdr:oneCellAnchor>
  <xdr:oneCellAnchor>
    <xdr:from>
      <xdr:col>16</xdr:col>
      <xdr:colOff>182880</xdr:colOff>
      <xdr:row>191</xdr:row>
      <xdr:rowOff>3002280</xdr:rowOff>
    </xdr:from>
    <xdr:ext cx="1080000" cy="1080000"/>
    <xdr:pic>
      <xdr:nvPicPr>
        <xdr:cNvPr id="336" name="Resim 335">
          <a:extLst>
            <a:ext uri="{FF2B5EF4-FFF2-40B4-BE49-F238E27FC236}">
              <a16:creationId xmlns:a16="http://schemas.microsoft.com/office/drawing/2014/main" id="{50CDEBB3-8E34-AE49-B3A5-A38D898708C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986922080"/>
          <a:ext cx="1080000" cy="1080000"/>
        </a:xfrm>
        <a:prstGeom prst="rect">
          <a:avLst/>
        </a:prstGeom>
      </xdr:spPr>
    </xdr:pic>
    <xdr:clientData/>
  </xdr:oneCellAnchor>
  <xdr:oneCellAnchor>
    <xdr:from>
      <xdr:col>16</xdr:col>
      <xdr:colOff>152400</xdr:colOff>
      <xdr:row>193</xdr:row>
      <xdr:rowOff>548640</xdr:rowOff>
    </xdr:from>
    <xdr:ext cx="1080000" cy="1080000"/>
    <xdr:pic>
      <xdr:nvPicPr>
        <xdr:cNvPr id="337" name="Resim 336">
          <a:extLst>
            <a:ext uri="{FF2B5EF4-FFF2-40B4-BE49-F238E27FC236}">
              <a16:creationId xmlns:a16="http://schemas.microsoft.com/office/drawing/2014/main" id="{D5F82B4E-AB48-DD47-AF3E-6788656B863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994882440"/>
          <a:ext cx="1080000" cy="1080000"/>
        </a:xfrm>
        <a:prstGeom prst="rect">
          <a:avLst/>
        </a:prstGeom>
      </xdr:spPr>
    </xdr:pic>
    <xdr:clientData/>
  </xdr:oneCellAnchor>
  <xdr:oneCellAnchor>
    <xdr:from>
      <xdr:col>16</xdr:col>
      <xdr:colOff>152400</xdr:colOff>
      <xdr:row>193</xdr:row>
      <xdr:rowOff>1965960</xdr:rowOff>
    </xdr:from>
    <xdr:ext cx="1080000" cy="1080000"/>
    <xdr:pic>
      <xdr:nvPicPr>
        <xdr:cNvPr id="338" name="Resim 337">
          <a:extLst>
            <a:ext uri="{FF2B5EF4-FFF2-40B4-BE49-F238E27FC236}">
              <a16:creationId xmlns:a16="http://schemas.microsoft.com/office/drawing/2014/main" id="{A4D6A4B0-B93A-B74D-A0A4-B11668DF1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996299760"/>
          <a:ext cx="1080000" cy="1080000"/>
        </a:xfrm>
        <a:prstGeom prst="rect">
          <a:avLst/>
        </a:prstGeom>
      </xdr:spPr>
    </xdr:pic>
    <xdr:clientData/>
  </xdr:oneCellAnchor>
  <xdr:oneCellAnchor>
    <xdr:from>
      <xdr:col>16</xdr:col>
      <xdr:colOff>174625</xdr:colOff>
      <xdr:row>196</xdr:row>
      <xdr:rowOff>365125</xdr:rowOff>
    </xdr:from>
    <xdr:ext cx="1080000" cy="1080000"/>
    <xdr:pic>
      <xdr:nvPicPr>
        <xdr:cNvPr id="339" name="Resim 338">
          <a:extLst>
            <a:ext uri="{FF2B5EF4-FFF2-40B4-BE49-F238E27FC236}">
              <a16:creationId xmlns:a16="http://schemas.microsoft.com/office/drawing/2014/main" id="{0F78807C-B0C2-8A49-88FB-DABCF1D6616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1010319925"/>
          <a:ext cx="1080000" cy="1080000"/>
        </a:xfrm>
        <a:prstGeom prst="rect">
          <a:avLst/>
        </a:prstGeom>
      </xdr:spPr>
    </xdr:pic>
    <xdr:clientData/>
  </xdr:oneCellAnchor>
  <xdr:oneCellAnchor>
    <xdr:from>
      <xdr:col>16</xdr:col>
      <xdr:colOff>79375</xdr:colOff>
      <xdr:row>197</xdr:row>
      <xdr:rowOff>357187</xdr:rowOff>
    </xdr:from>
    <xdr:ext cx="1080000" cy="1080000"/>
    <xdr:pic>
      <xdr:nvPicPr>
        <xdr:cNvPr id="340" name="Resim 339">
          <a:extLst>
            <a:ext uri="{FF2B5EF4-FFF2-40B4-BE49-F238E27FC236}">
              <a16:creationId xmlns:a16="http://schemas.microsoft.com/office/drawing/2014/main" id="{24AC4323-B91E-024E-890C-855DB2EDC4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6375" y="1015518987"/>
          <a:ext cx="1080000" cy="1080000"/>
        </a:xfrm>
        <a:prstGeom prst="rect">
          <a:avLst/>
        </a:prstGeom>
      </xdr:spPr>
    </xdr:pic>
    <xdr:clientData/>
  </xdr:oneCellAnchor>
  <xdr:twoCellAnchor editAs="oneCell">
    <xdr:from>
      <xdr:col>16</xdr:col>
      <xdr:colOff>100047</xdr:colOff>
      <xdr:row>199</xdr:row>
      <xdr:rowOff>299863</xdr:rowOff>
    </xdr:from>
    <xdr:to>
      <xdr:col>16</xdr:col>
      <xdr:colOff>1223997</xdr:colOff>
      <xdr:row>199</xdr:row>
      <xdr:rowOff>1360567</xdr:rowOff>
    </xdr:to>
    <xdr:pic>
      <xdr:nvPicPr>
        <xdr:cNvPr id="341" name="Resim 340">
          <a:extLst>
            <a:ext uri="{FF2B5EF4-FFF2-40B4-BE49-F238E27FC236}">
              <a16:creationId xmlns:a16="http://schemas.microsoft.com/office/drawing/2014/main" id="{D4252154-4320-EC4A-B7A8-B3BDAE86AF74}"/>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3308047" y="1025710563"/>
          <a:ext cx="1123950" cy="1060704"/>
        </a:xfrm>
        <a:prstGeom prst="rect">
          <a:avLst/>
        </a:prstGeom>
      </xdr:spPr>
    </xdr:pic>
    <xdr:clientData/>
  </xdr:twoCellAnchor>
  <xdr:twoCellAnchor editAs="oneCell">
    <xdr:from>
      <xdr:col>16</xdr:col>
      <xdr:colOff>121920</xdr:colOff>
      <xdr:row>199</xdr:row>
      <xdr:rowOff>2089582</xdr:rowOff>
    </xdr:from>
    <xdr:to>
      <xdr:col>16</xdr:col>
      <xdr:colOff>1245870</xdr:colOff>
      <xdr:row>199</xdr:row>
      <xdr:rowOff>3150286</xdr:rowOff>
    </xdr:to>
    <xdr:pic>
      <xdr:nvPicPr>
        <xdr:cNvPr id="342" name="Resim 341">
          <a:extLst>
            <a:ext uri="{FF2B5EF4-FFF2-40B4-BE49-F238E27FC236}">
              <a16:creationId xmlns:a16="http://schemas.microsoft.com/office/drawing/2014/main" id="{9CCF1F2A-CA6F-8249-B2FE-CFC99810EFE6}"/>
            </a:ext>
          </a:extLst>
        </xdr:cNvPr>
        <xdr:cNvPicPr>
          <a:picLocks/>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flipH="1">
          <a:off x="13329920" y="1027500282"/>
          <a:ext cx="1123950" cy="1060704"/>
        </a:xfrm>
        <a:prstGeom prst="rect">
          <a:avLst/>
        </a:prstGeom>
      </xdr:spPr>
    </xdr:pic>
    <xdr:clientData/>
  </xdr:twoCellAnchor>
  <xdr:twoCellAnchor editAs="oneCell">
    <xdr:from>
      <xdr:col>16</xdr:col>
      <xdr:colOff>167640</xdr:colOff>
      <xdr:row>200</xdr:row>
      <xdr:rowOff>975360</xdr:rowOff>
    </xdr:from>
    <xdr:to>
      <xdr:col>16</xdr:col>
      <xdr:colOff>1291612</xdr:colOff>
      <xdr:row>200</xdr:row>
      <xdr:rowOff>2036064</xdr:rowOff>
    </xdr:to>
    <xdr:pic>
      <xdr:nvPicPr>
        <xdr:cNvPr id="343" name="Resim 342">
          <a:extLst>
            <a:ext uri="{FF2B5EF4-FFF2-40B4-BE49-F238E27FC236}">
              <a16:creationId xmlns:a16="http://schemas.microsoft.com/office/drawing/2014/main" id="{1B8297A8-98F9-A64F-B5B4-D4E9B1C7168B}"/>
            </a:ext>
          </a:extLst>
        </xdr:cNvPr>
        <xdr:cNvPicPr>
          <a:picLocks/>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flipH="1">
          <a:off x="13375640" y="1031593060"/>
          <a:ext cx="1123972" cy="1060704"/>
        </a:xfrm>
        <a:prstGeom prst="rect">
          <a:avLst/>
        </a:prstGeom>
      </xdr:spPr>
    </xdr:pic>
    <xdr:clientData/>
  </xdr:twoCellAnchor>
  <xdr:twoCellAnchor editAs="oneCell">
    <xdr:from>
      <xdr:col>16</xdr:col>
      <xdr:colOff>91440</xdr:colOff>
      <xdr:row>201</xdr:row>
      <xdr:rowOff>335281</xdr:rowOff>
    </xdr:from>
    <xdr:to>
      <xdr:col>16</xdr:col>
      <xdr:colOff>1215390</xdr:colOff>
      <xdr:row>201</xdr:row>
      <xdr:rowOff>1395985</xdr:rowOff>
    </xdr:to>
    <xdr:pic>
      <xdr:nvPicPr>
        <xdr:cNvPr id="344" name="Resim 343">
          <a:extLst>
            <a:ext uri="{FF2B5EF4-FFF2-40B4-BE49-F238E27FC236}">
              <a16:creationId xmlns:a16="http://schemas.microsoft.com/office/drawing/2014/main" id="{128B2995-51AC-B64F-9BC1-CCF426C64BC2}"/>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3299440" y="1036159981"/>
          <a:ext cx="1123950" cy="1060704"/>
        </a:xfrm>
        <a:prstGeom prst="rect">
          <a:avLst/>
        </a:prstGeom>
      </xdr:spPr>
    </xdr:pic>
    <xdr:clientData/>
  </xdr:twoCellAnchor>
  <xdr:twoCellAnchor editAs="oneCell">
    <xdr:from>
      <xdr:col>16</xdr:col>
      <xdr:colOff>137160</xdr:colOff>
      <xdr:row>201</xdr:row>
      <xdr:rowOff>1783374</xdr:rowOff>
    </xdr:from>
    <xdr:to>
      <xdr:col>16</xdr:col>
      <xdr:colOff>1197864</xdr:colOff>
      <xdr:row>201</xdr:row>
      <xdr:rowOff>2844078</xdr:rowOff>
    </xdr:to>
    <xdr:pic>
      <xdr:nvPicPr>
        <xdr:cNvPr id="345" name="Resim 344">
          <a:extLst>
            <a:ext uri="{FF2B5EF4-FFF2-40B4-BE49-F238E27FC236}">
              <a16:creationId xmlns:a16="http://schemas.microsoft.com/office/drawing/2014/main" id="{F0BE626F-5962-CB40-8EF8-83399EB3A617}"/>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345160" y="1037608074"/>
          <a:ext cx="1060704" cy="1060704"/>
        </a:xfrm>
        <a:prstGeom prst="rect">
          <a:avLst/>
        </a:prstGeom>
      </xdr:spPr>
    </xdr:pic>
    <xdr:clientData/>
  </xdr:twoCellAnchor>
  <xdr:twoCellAnchor editAs="oneCell">
    <xdr:from>
      <xdr:col>16</xdr:col>
      <xdr:colOff>137160</xdr:colOff>
      <xdr:row>201</xdr:row>
      <xdr:rowOff>3339262</xdr:rowOff>
    </xdr:from>
    <xdr:to>
      <xdr:col>16</xdr:col>
      <xdr:colOff>1261110</xdr:colOff>
      <xdr:row>201</xdr:row>
      <xdr:rowOff>4399966</xdr:rowOff>
    </xdr:to>
    <xdr:pic>
      <xdr:nvPicPr>
        <xdr:cNvPr id="346" name="Resim 345">
          <a:extLst>
            <a:ext uri="{FF2B5EF4-FFF2-40B4-BE49-F238E27FC236}">
              <a16:creationId xmlns:a16="http://schemas.microsoft.com/office/drawing/2014/main" id="{7EC29759-2630-9241-A967-948F7BB6DDA2}"/>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45160" y="1039163962"/>
          <a:ext cx="1123950" cy="1060704"/>
        </a:xfrm>
        <a:prstGeom prst="rect">
          <a:avLst/>
        </a:prstGeom>
      </xdr:spPr>
    </xdr:pic>
    <xdr:clientData/>
  </xdr:twoCellAnchor>
  <xdr:twoCellAnchor editAs="oneCell">
    <xdr:from>
      <xdr:col>16</xdr:col>
      <xdr:colOff>106680</xdr:colOff>
      <xdr:row>202</xdr:row>
      <xdr:rowOff>388055</xdr:rowOff>
    </xdr:from>
    <xdr:to>
      <xdr:col>16</xdr:col>
      <xdr:colOff>1230630</xdr:colOff>
      <xdr:row>202</xdr:row>
      <xdr:rowOff>1448759</xdr:rowOff>
    </xdr:to>
    <xdr:pic>
      <xdr:nvPicPr>
        <xdr:cNvPr id="347" name="Resim 346">
          <a:extLst>
            <a:ext uri="{FF2B5EF4-FFF2-40B4-BE49-F238E27FC236}">
              <a16:creationId xmlns:a16="http://schemas.microsoft.com/office/drawing/2014/main" id="{E023199C-730E-4544-8BAD-65EF67066969}"/>
            </a:ext>
          </a:extLst>
        </xdr:cNvPr>
        <xdr:cNvPicPr>
          <a:picLocks/>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flipH="1">
          <a:off x="13314680" y="1041419755"/>
          <a:ext cx="1123950" cy="1060704"/>
        </a:xfrm>
        <a:prstGeom prst="rect">
          <a:avLst/>
        </a:prstGeom>
      </xdr:spPr>
    </xdr:pic>
    <xdr:clientData/>
  </xdr:twoCellAnchor>
  <xdr:oneCellAnchor>
    <xdr:from>
      <xdr:col>16</xdr:col>
      <xdr:colOff>167640</xdr:colOff>
      <xdr:row>202</xdr:row>
      <xdr:rowOff>3032760</xdr:rowOff>
    </xdr:from>
    <xdr:ext cx="1080000" cy="1080000"/>
    <xdr:pic>
      <xdr:nvPicPr>
        <xdr:cNvPr id="348" name="Resim 347">
          <a:extLst>
            <a:ext uri="{FF2B5EF4-FFF2-40B4-BE49-F238E27FC236}">
              <a16:creationId xmlns:a16="http://schemas.microsoft.com/office/drawing/2014/main" id="{96CFEC63-54C4-C141-9098-5546A530B97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4640" y="1044064460"/>
          <a:ext cx="1080000" cy="1080000"/>
        </a:xfrm>
        <a:prstGeom prst="rect">
          <a:avLst/>
        </a:prstGeom>
      </xdr:spPr>
    </xdr:pic>
    <xdr:clientData/>
  </xdr:oneCellAnchor>
  <xdr:oneCellAnchor>
    <xdr:from>
      <xdr:col>16</xdr:col>
      <xdr:colOff>103259</xdr:colOff>
      <xdr:row>203</xdr:row>
      <xdr:rowOff>282223</xdr:rowOff>
    </xdr:from>
    <xdr:ext cx="1080000" cy="1080000"/>
    <xdr:pic>
      <xdr:nvPicPr>
        <xdr:cNvPr id="349" name="Resim 348">
          <a:extLst>
            <a:ext uri="{FF2B5EF4-FFF2-40B4-BE49-F238E27FC236}">
              <a16:creationId xmlns:a16="http://schemas.microsoft.com/office/drawing/2014/main" id="{703D5E4A-3DBE-CA42-A195-8FB2DC497E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0259" y="1046520923"/>
          <a:ext cx="1080000" cy="1080000"/>
        </a:xfrm>
        <a:prstGeom prst="rect">
          <a:avLst/>
        </a:prstGeom>
      </xdr:spPr>
    </xdr:pic>
    <xdr:clientData/>
  </xdr:oneCellAnchor>
  <xdr:oneCellAnchor>
    <xdr:from>
      <xdr:col>16</xdr:col>
      <xdr:colOff>155787</xdr:colOff>
      <xdr:row>203</xdr:row>
      <xdr:rowOff>1670296</xdr:rowOff>
    </xdr:from>
    <xdr:ext cx="1080000" cy="1080000"/>
    <xdr:pic>
      <xdr:nvPicPr>
        <xdr:cNvPr id="350" name="Resim 349">
          <a:extLst>
            <a:ext uri="{FF2B5EF4-FFF2-40B4-BE49-F238E27FC236}">
              <a16:creationId xmlns:a16="http://schemas.microsoft.com/office/drawing/2014/main" id="{24213050-E7D7-8B45-A3E1-305EE34B2B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12787" y="1047908996"/>
          <a:ext cx="1080000" cy="1080000"/>
        </a:xfrm>
        <a:prstGeom prst="rect">
          <a:avLst/>
        </a:prstGeom>
      </xdr:spPr>
    </xdr:pic>
    <xdr:clientData/>
  </xdr:oneCellAnchor>
  <xdr:oneCellAnchor>
    <xdr:from>
      <xdr:col>16</xdr:col>
      <xdr:colOff>148591</xdr:colOff>
      <xdr:row>204</xdr:row>
      <xdr:rowOff>246944</xdr:rowOff>
    </xdr:from>
    <xdr:ext cx="1080000" cy="1080000"/>
    <xdr:pic>
      <xdr:nvPicPr>
        <xdr:cNvPr id="351" name="Resim 350">
          <a:extLst>
            <a:ext uri="{FF2B5EF4-FFF2-40B4-BE49-F238E27FC236}">
              <a16:creationId xmlns:a16="http://schemas.microsoft.com/office/drawing/2014/main" id="{1EF65AB9-D3F3-5B45-AE14-F06F358F26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591" y="1051692644"/>
          <a:ext cx="1080000" cy="1080000"/>
        </a:xfrm>
        <a:prstGeom prst="rect">
          <a:avLst/>
        </a:prstGeom>
      </xdr:spPr>
    </xdr:pic>
    <xdr:clientData/>
  </xdr:oneCellAnchor>
  <xdr:oneCellAnchor>
    <xdr:from>
      <xdr:col>16</xdr:col>
      <xdr:colOff>178083</xdr:colOff>
      <xdr:row>204</xdr:row>
      <xdr:rowOff>1875226</xdr:rowOff>
    </xdr:from>
    <xdr:ext cx="1080000" cy="1080000"/>
    <xdr:pic>
      <xdr:nvPicPr>
        <xdr:cNvPr id="352" name="Resim 351">
          <a:extLst>
            <a:ext uri="{FF2B5EF4-FFF2-40B4-BE49-F238E27FC236}">
              <a16:creationId xmlns:a16="http://schemas.microsoft.com/office/drawing/2014/main" id="{583ABF17-7933-FD4F-83DB-8E71593047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35083" y="1053320926"/>
          <a:ext cx="1080000" cy="1080000"/>
        </a:xfrm>
        <a:prstGeom prst="rect">
          <a:avLst/>
        </a:prstGeom>
      </xdr:spPr>
    </xdr:pic>
    <xdr:clientData/>
  </xdr:oneCellAnchor>
  <xdr:oneCellAnchor>
    <xdr:from>
      <xdr:col>16</xdr:col>
      <xdr:colOff>214349</xdr:colOff>
      <xdr:row>205</xdr:row>
      <xdr:rowOff>196250</xdr:rowOff>
    </xdr:from>
    <xdr:ext cx="1080000" cy="1080000"/>
    <xdr:pic>
      <xdr:nvPicPr>
        <xdr:cNvPr id="353" name="Resim 352">
          <a:extLst>
            <a:ext uri="{FF2B5EF4-FFF2-40B4-BE49-F238E27FC236}">
              <a16:creationId xmlns:a16="http://schemas.microsoft.com/office/drawing/2014/main" id="{702005FD-A7DA-B34E-93BF-EEF3752922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71349" y="1056848950"/>
          <a:ext cx="1080000" cy="1080000"/>
        </a:xfrm>
        <a:prstGeom prst="rect">
          <a:avLst/>
        </a:prstGeom>
      </xdr:spPr>
    </xdr:pic>
    <xdr:clientData/>
  </xdr:oneCellAnchor>
  <xdr:oneCellAnchor>
    <xdr:from>
      <xdr:col>16</xdr:col>
      <xdr:colOff>213360</xdr:colOff>
      <xdr:row>205</xdr:row>
      <xdr:rowOff>1386840</xdr:rowOff>
    </xdr:from>
    <xdr:ext cx="1080000" cy="1080000"/>
    <xdr:pic>
      <xdr:nvPicPr>
        <xdr:cNvPr id="354" name="Resim 353">
          <a:extLst>
            <a:ext uri="{FF2B5EF4-FFF2-40B4-BE49-F238E27FC236}">
              <a16:creationId xmlns:a16="http://schemas.microsoft.com/office/drawing/2014/main" id="{B821F733-8FBE-8A4A-98D2-D2A7293108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70360" y="1058039540"/>
          <a:ext cx="1080000" cy="1080000"/>
        </a:xfrm>
        <a:prstGeom prst="rect">
          <a:avLst/>
        </a:prstGeom>
      </xdr:spPr>
    </xdr:pic>
    <xdr:clientData/>
  </xdr:oneCellAnchor>
  <xdr:oneCellAnchor>
    <xdr:from>
      <xdr:col>16</xdr:col>
      <xdr:colOff>230231</xdr:colOff>
      <xdr:row>205</xdr:row>
      <xdr:rowOff>2499360</xdr:rowOff>
    </xdr:from>
    <xdr:ext cx="1076737" cy="1080000"/>
    <xdr:pic>
      <xdr:nvPicPr>
        <xdr:cNvPr id="355" name="Resim 354">
          <a:extLst>
            <a:ext uri="{FF2B5EF4-FFF2-40B4-BE49-F238E27FC236}">
              <a16:creationId xmlns:a16="http://schemas.microsoft.com/office/drawing/2014/main" id="{F988D107-AC8F-B041-82DD-ABC53C9EF1A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87231" y="1059152060"/>
          <a:ext cx="1076737" cy="1080000"/>
        </a:xfrm>
        <a:prstGeom prst="rect">
          <a:avLst/>
        </a:prstGeom>
      </xdr:spPr>
    </xdr:pic>
    <xdr:clientData/>
  </xdr:oneCellAnchor>
  <xdr:oneCellAnchor>
    <xdr:from>
      <xdr:col>16</xdr:col>
      <xdr:colOff>133351</xdr:colOff>
      <xdr:row>206</xdr:row>
      <xdr:rowOff>221932</xdr:rowOff>
    </xdr:from>
    <xdr:ext cx="1080000" cy="1080000"/>
    <xdr:pic>
      <xdr:nvPicPr>
        <xdr:cNvPr id="356" name="Resim 355">
          <a:extLst>
            <a:ext uri="{FF2B5EF4-FFF2-40B4-BE49-F238E27FC236}">
              <a16:creationId xmlns:a16="http://schemas.microsoft.com/office/drawing/2014/main" id="{4ABE3F85-DA97-7A45-B6F0-E8D088BC7E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90351" y="1062081632"/>
          <a:ext cx="1080000" cy="1080000"/>
        </a:xfrm>
        <a:prstGeom prst="rect">
          <a:avLst/>
        </a:prstGeom>
      </xdr:spPr>
    </xdr:pic>
    <xdr:clientData/>
  </xdr:oneCellAnchor>
  <xdr:oneCellAnchor>
    <xdr:from>
      <xdr:col>16</xdr:col>
      <xdr:colOff>118111</xdr:colOff>
      <xdr:row>207</xdr:row>
      <xdr:rowOff>252412</xdr:rowOff>
    </xdr:from>
    <xdr:ext cx="1080000" cy="1080000"/>
    <xdr:pic>
      <xdr:nvPicPr>
        <xdr:cNvPr id="357" name="Resim 356">
          <a:extLst>
            <a:ext uri="{FF2B5EF4-FFF2-40B4-BE49-F238E27FC236}">
              <a16:creationId xmlns:a16="http://schemas.microsoft.com/office/drawing/2014/main" id="{8D0F459F-3AE4-1341-85A8-436C78BBBA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5111" y="1067319112"/>
          <a:ext cx="1080000" cy="1080000"/>
        </a:xfrm>
        <a:prstGeom prst="rect">
          <a:avLst/>
        </a:prstGeom>
      </xdr:spPr>
    </xdr:pic>
    <xdr:clientData/>
  </xdr:oneCellAnchor>
  <xdr:oneCellAnchor>
    <xdr:from>
      <xdr:col>16</xdr:col>
      <xdr:colOff>167640</xdr:colOff>
      <xdr:row>206</xdr:row>
      <xdr:rowOff>1645920</xdr:rowOff>
    </xdr:from>
    <xdr:ext cx="1080000" cy="1080000"/>
    <xdr:pic>
      <xdr:nvPicPr>
        <xdr:cNvPr id="358" name="Resim 357">
          <a:extLst>
            <a:ext uri="{FF2B5EF4-FFF2-40B4-BE49-F238E27FC236}">
              <a16:creationId xmlns:a16="http://schemas.microsoft.com/office/drawing/2014/main" id="{0F4A693B-A4D7-E542-B2BB-A66B3588FD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4640" y="1063505620"/>
          <a:ext cx="1080000" cy="1080000"/>
        </a:xfrm>
        <a:prstGeom prst="rect">
          <a:avLst/>
        </a:prstGeom>
      </xdr:spPr>
    </xdr:pic>
    <xdr:clientData/>
  </xdr:oneCellAnchor>
  <xdr:oneCellAnchor>
    <xdr:from>
      <xdr:col>16</xdr:col>
      <xdr:colOff>137160</xdr:colOff>
      <xdr:row>207</xdr:row>
      <xdr:rowOff>1859280</xdr:rowOff>
    </xdr:from>
    <xdr:ext cx="1080000" cy="1080000"/>
    <xdr:pic>
      <xdr:nvPicPr>
        <xdr:cNvPr id="359" name="Resim 358">
          <a:extLst>
            <a:ext uri="{FF2B5EF4-FFF2-40B4-BE49-F238E27FC236}">
              <a16:creationId xmlns:a16="http://schemas.microsoft.com/office/drawing/2014/main" id="{C1B1EA2E-6B3C-7042-A204-95AF68C5CF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4160" y="1068925980"/>
          <a:ext cx="1080000" cy="1080000"/>
        </a:xfrm>
        <a:prstGeom prst="rect">
          <a:avLst/>
        </a:prstGeom>
      </xdr:spPr>
    </xdr:pic>
    <xdr:clientData/>
  </xdr:oneCellAnchor>
  <xdr:oneCellAnchor>
    <xdr:from>
      <xdr:col>16</xdr:col>
      <xdr:colOff>118111</xdr:colOff>
      <xdr:row>208</xdr:row>
      <xdr:rowOff>267652</xdr:rowOff>
    </xdr:from>
    <xdr:ext cx="1080000" cy="1080000"/>
    <xdr:pic>
      <xdr:nvPicPr>
        <xdr:cNvPr id="360" name="Resim 359">
          <a:extLst>
            <a:ext uri="{FF2B5EF4-FFF2-40B4-BE49-F238E27FC236}">
              <a16:creationId xmlns:a16="http://schemas.microsoft.com/office/drawing/2014/main" id="{3234AD15-89BD-404C-9A60-3789F623F3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5111" y="1072541352"/>
          <a:ext cx="1080000" cy="1080000"/>
        </a:xfrm>
        <a:prstGeom prst="rect">
          <a:avLst/>
        </a:prstGeom>
      </xdr:spPr>
    </xdr:pic>
    <xdr:clientData/>
  </xdr:oneCellAnchor>
  <xdr:oneCellAnchor>
    <xdr:from>
      <xdr:col>16</xdr:col>
      <xdr:colOff>167640</xdr:colOff>
      <xdr:row>208</xdr:row>
      <xdr:rowOff>1539240</xdr:rowOff>
    </xdr:from>
    <xdr:ext cx="1080000" cy="1080000"/>
    <xdr:pic>
      <xdr:nvPicPr>
        <xdr:cNvPr id="361" name="Resim 360">
          <a:extLst>
            <a:ext uri="{FF2B5EF4-FFF2-40B4-BE49-F238E27FC236}">
              <a16:creationId xmlns:a16="http://schemas.microsoft.com/office/drawing/2014/main" id="{EA36C8E6-60C7-FA4A-A5CB-300E289E64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4640" y="1073812940"/>
          <a:ext cx="1080000" cy="1080000"/>
        </a:xfrm>
        <a:prstGeom prst="rect">
          <a:avLst/>
        </a:prstGeom>
      </xdr:spPr>
    </xdr:pic>
    <xdr:clientData/>
  </xdr:oneCellAnchor>
  <xdr:oneCellAnchor>
    <xdr:from>
      <xdr:col>16</xdr:col>
      <xdr:colOff>121920</xdr:colOff>
      <xdr:row>209</xdr:row>
      <xdr:rowOff>2743200</xdr:rowOff>
    </xdr:from>
    <xdr:ext cx="1080000" cy="1080000"/>
    <xdr:pic>
      <xdr:nvPicPr>
        <xdr:cNvPr id="362" name="Resim 361">
          <a:extLst>
            <a:ext uri="{FF2B5EF4-FFF2-40B4-BE49-F238E27FC236}">
              <a16:creationId xmlns:a16="http://schemas.microsoft.com/office/drawing/2014/main" id="{6D6F7BE8-BBEB-AE45-9652-4A3C25C566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78920" y="1080223900"/>
          <a:ext cx="1080000" cy="1080000"/>
        </a:xfrm>
        <a:prstGeom prst="rect">
          <a:avLst/>
        </a:prstGeom>
      </xdr:spPr>
    </xdr:pic>
    <xdr:clientData/>
  </xdr:oneCellAnchor>
  <xdr:oneCellAnchor>
    <xdr:from>
      <xdr:col>16</xdr:col>
      <xdr:colOff>104280</xdr:colOff>
      <xdr:row>209</xdr:row>
      <xdr:rowOff>852945</xdr:rowOff>
    </xdr:from>
    <xdr:ext cx="1080000" cy="1080000"/>
    <xdr:pic>
      <xdr:nvPicPr>
        <xdr:cNvPr id="363" name="Resim 362">
          <a:extLst>
            <a:ext uri="{FF2B5EF4-FFF2-40B4-BE49-F238E27FC236}">
              <a16:creationId xmlns:a16="http://schemas.microsoft.com/office/drawing/2014/main" id="{B95FBA36-580B-DB43-9F9F-8EACA198AD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1280" y="1078333645"/>
          <a:ext cx="1080000" cy="1080000"/>
        </a:xfrm>
        <a:prstGeom prst="rect">
          <a:avLst/>
        </a:prstGeom>
      </xdr:spPr>
    </xdr:pic>
    <xdr:clientData/>
  </xdr:oneCellAnchor>
  <xdr:oneCellAnchor>
    <xdr:from>
      <xdr:col>16</xdr:col>
      <xdr:colOff>157196</xdr:colOff>
      <xdr:row>210</xdr:row>
      <xdr:rowOff>112112</xdr:rowOff>
    </xdr:from>
    <xdr:ext cx="1080000" cy="1080000"/>
    <xdr:pic>
      <xdr:nvPicPr>
        <xdr:cNvPr id="364" name="Resim 363">
          <a:extLst>
            <a:ext uri="{FF2B5EF4-FFF2-40B4-BE49-F238E27FC236}">
              <a16:creationId xmlns:a16="http://schemas.microsoft.com/office/drawing/2014/main" id="{74B8740A-7D30-FD4C-BAEF-ABF9446834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4196" y="1082799812"/>
          <a:ext cx="1080000" cy="1080000"/>
        </a:xfrm>
        <a:prstGeom prst="rect">
          <a:avLst/>
        </a:prstGeom>
      </xdr:spPr>
    </xdr:pic>
    <xdr:clientData/>
  </xdr:oneCellAnchor>
  <xdr:twoCellAnchor editAs="oneCell">
    <xdr:from>
      <xdr:col>16</xdr:col>
      <xdr:colOff>88194</xdr:colOff>
      <xdr:row>210</xdr:row>
      <xdr:rowOff>1375833</xdr:rowOff>
    </xdr:from>
    <xdr:to>
      <xdr:col>16</xdr:col>
      <xdr:colOff>1212144</xdr:colOff>
      <xdr:row>210</xdr:row>
      <xdr:rowOff>2436537</xdr:rowOff>
    </xdr:to>
    <xdr:pic>
      <xdr:nvPicPr>
        <xdr:cNvPr id="365" name="Resim 364">
          <a:extLst>
            <a:ext uri="{FF2B5EF4-FFF2-40B4-BE49-F238E27FC236}">
              <a16:creationId xmlns:a16="http://schemas.microsoft.com/office/drawing/2014/main" id="{3A522DAF-9903-AF4A-B13B-A99E42B6F466}"/>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296194" y="1084063533"/>
          <a:ext cx="1123950" cy="1060704"/>
        </a:xfrm>
        <a:prstGeom prst="rect">
          <a:avLst/>
        </a:prstGeom>
      </xdr:spPr>
    </xdr:pic>
    <xdr:clientData/>
  </xdr:twoCellAnchor>
  <xdr:oneCellAnchor>
    <xdr:from>
      <xdr:col>16</xdr:col>
      <xdr:colOff>157196</xdr:colOff>
      <xdr:row>211</xdr:row>
      <xdr:rowOff>112112</xdr:rowOff>
    </xdr:from>
    <xdr:ext cx="1080000" cy="1080000"/>
    <xdr:pic>
      <xdr:nvPicPr>
        <xdr:cNvPr id="366" name="Resim 365">
          <a:extLst>
            <a:ext uri="{FF2B5EF4-FFF2-40B4-BE49-F238E27FC236}">
              <a16:creationId xmlns:a16="http://schemas.microsoft.com/office/drawing/2014/main" id="{D2CD834C-8DC6-7A44-82C0-D556F9B1B3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4196" y="1088006812"/>
          <a:ext cx="1080000" cy="1080000"/>
        </a:xfrm>
        <a:prstGeom prst="rect">
          <a:avLst/>
        </a:prstGeom>
      </xdr:spPr>
    </xdr:pic>
    <xdr:clientData/>
  </xdr:oneCellAnchor>
  <xdr:oneCellAnchor>
    <xdr:from>
      <xdr:col>16</xdr:col>
      <xdr:colOff>88194</xdr:colOff>
      <xdr:row>211</xdr:row>
      <xdr:rowOff>1375833</xdr:rowOff>
    </xdr:from>
    <xdr:ext cx="1123950" cy="1126766"/>
    <xdr:pic>
      <xdr:nvPicPr>
        <xdr:cNvPr id="367" name="Resim 366">
          <a:extLst>
            <a:ext uri="{FF2B5EF4-FFF2-40B4-BE49-F238E27FC236}">
              <a16:creationId xmlns:a16="http://schemas.microsoft.com/office/drawing/2014/main" id="{312D2CFF-EE3F-144B-9088-B34E7C72A43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1645194" y="1089270533"/>
          <a:ext cx="1123950" cy="1126766"/>
        </a:xfrm>
        <a:prstGeom prst="rect">
          <a:avLst/>
        </a:prstGeom>
      </xdr:spPr>
    </xdr:pic>
    <xdr:clientData/>
  </xdr:oneCellAnchor>
  <xdr:oneCellAnchor>
    <xdr:from>
      <xdr:col>16</xdr:col>
      <xdr:colOff>141111</xdr:colOff>
      <xdr:row>210</xdr:row>
      <xdr:rowOff>2910417</xdr:rowOff>
    </xdr:from>
    <xdr:ext cx="1080000" cy="1080000"/>
    <xdr:pic>
      <xdr:nvPicPr>
        <xdr:cNvPr id="368" name="Resim 367">
          <a:extLst>
            <a:ext uri="{FF2B5EF4-FFF2-40B4-BE49-F238E27FC236}">
              <a16:creationId xmlns:a16="http://schemas.microsoft.com/office/drawing/2014/main" id="{35F6EAF8-D36D-154B-952F-337DBFD00C1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98111" y="1085598117"/>
          <a:ext cx="1080000" cy="1080000"/>
        </a:xfrm>
        <a:prstGeom prst="rect">
          <a:avLst/>
        </a:prstGeom>
      </xdr:spPr>
    </xdr:pic>
    <xdr:clientData/>
  </xdr:oneCellAnchor>
  <xdr:oneCellAnchor>
    <xdr:from>
      <xdr:col>16</xdr:col>
      <xdr:colOff>194028</xdr:colOff>
      <xdr:row>211</xdr:row>
      <xdr:rowOff>2822222</xdr:rowOff>
    </xdr:from>
    <xdr:ext cx="1080000" cy="1080000"/>
    <xdr:pic>
      <xdr:nvPicPr>
        <xdr:cNvPr id="369" name="Resim 368">
          <a:extLst>
            <a:ext uri="{FF2B5EF4-FFF2-40B4-BE49-F238E27FC236}">
              <a16:creationId xmlns:a16="http://schemas.microsoft.com/office/drawing/2014/main" id="{55E8A9BD-9E1C-664B-8927-30391E3740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1028" y="1090716922"/>
          <a:ext cx="1080000" cy="1080000"/>
        </a:xfrm>
        <a:prstGeom prst="rect">
          <a:avLst/>
        </a:prstGeom>
      </xdr:spPr>
    </xdr:pic>
    <xdr:clientData/>
  </xdr:oneCellAnchor>
  <xdr:oneCellAnchor>
    <xdr:from>
      <xdr:col>16</xdr:col>
      <xdr:colOff>157196</xdr:colOff>
      <xdr:row>212</xdr:row>
      <xdr:rowOff>112112</xdr:rowOff>
    </xdr:from>
    <xdr:ext cx="1080000" cy="1080000"/>
    <xdr:pic>
      <xdr:nvPicPr>
        <xdr:cNvPr id="370" name="Resim 369">
          <a:extLst>
            <a:ext uri="{FF2B5EF4-FFF2-40B4-BE49-F238E27FC236}">
              <a16:creationId xmlns:a16="http://schemas.microsoft.com/office/drawing/2014/main" id="{0498A7AB-76BB-8544-8A97-D9EA07BE2E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4196" y="1093213812"/>
          <a:ext cx="1080000" cy="1080000"/>
        </a:xfrm>
        <a:prstGeom prst="rect">
          <a:avLst/>
        </a:prstGeom>
      </xdr:spPr>
    </xdr:pic>
    <xdr:clientData/>
  </xdr:oneCellAnchor>
  <xdr:oneCellAnchor>
    <xdr:from>
      <xdr:col>16</xdr:col>
      <xdr:colOff>88194</xdr:colOff>
      <xdr:row>212</xdr:row>
      <xdr:rowOff>1375833</xdr:rowOff>
    </xdr:from>
    <xdr:ext cx="1123950" cy="1126766"/>
    <xdr:pic>
      <xdr:nvPicPr>
        <xdr:cNvPr id="371" name="Resim 370">
          <a:extLst>
            <a:ext uri="{FF2B5EF4-FFF2-40B4-BE49-F238E27FC236}">
              <a16:creationId xmlns:a16="http://schemas.microsoft.com/office/drawing/2014/main" id="{87977D8E-4806-5640-A339-7BC9D5A7238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1645194" y="1094477533"/>
          <a:ext cx="1123950" cy="1126766"/>
        </a:xfrm>
        <a:prstGeom prst="rect">
          <a:avLst/>
        </a:prstGeom>
      </xdr:spPr>
    </xdr:pic>
    <xdr:clientData/>
  </xdr:oneCellAnchor>
  <xdr:oneCellAnchor>
    <xdr:from>
      <xdr:col>16</xdr:col>
      <xdr:colOff>194028</xdr:colOff>
      <xdr:row>212</xdr:row>
      <xdr:rowOff>2822222</xdr:rowOff>
    </xdr:from>
    <xdr:ext cx="1080000" cy="1080000"/>
    <xdr:pic>
      <xdr:nvPicPr>
        <xdr:cNvPr id="372" name="Resim 371">
          <a:extLst>
            <a:ext uri="{FF2B5EF4-FFF2-40B4-BE49-F238E27FC236}">
              <a16:creationId xmlns:a16="http://schemas.microsoft.com/office/drawing/2014/main" id="{36BE057F-F878-1D4F-8180-7C6C6AFE22E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51028" y="1095923922"/>
          <a:ext cx="1080000" cy="1080000"/>
        </a:xfrm>
        <a:prstGeom prst="rect">
          <a:avLst/>
        </a:prstGeom>
      </xdr:spPr>
    </xdr:pic>
    <xdr:clientData/>
  </xdr:oneCellAnchor>
  <xdr:oneCellAnchor>
    <xdr:from>
      <xdr:col>16</xdr:col>
      <xdr:colOff>194027</xdr:colOff>
      <xdr:row>213</xdr:row>
      <xdr:rowOff>211666</xdr:rowOff>
    </xdr:from>
    <xdr:ext cx="1080000" cy="1080000"/>
    <xdr:pic>
      <xdr:nvPicPr>
        <xdr:cNvPr id="373" name="Resim 372">
          <a:extLst>
            <a:ext uri="{FF2B5EF4-FFF2-40B4-BE49-F238E27FC236}">
              <a16:creationId xmlns:a16="http://schemas.microsoft.com/office/drawing/2014/main" id="{CC37D1D2-A660-DD43-B099-0564418246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1027" y="1098520366"/>
          <a:ext cx="1080000" cy="1080000"/>
        </a:xfrm>
        <a:prstGeom prst="rect">
          <a:avLst/>
        </a:prstGeom>
      </xdr:spPr>
    </xdr:pic>
    <xdr:clientData/>
  </xdr:oneCellAnchor>
  <xdr:oneCellAnchor>
    <xdr:from>
      <xdr:col>16</xdr:col>
      <xdr:colOff>194027</xdr:colOff>
      <xdr:row>214</xdr:row>
      <xdr:rowOff>211666</xdr:rowOff>
    </xdr:from>
    <xdr:ext cx="1080000" cy="1080000"/>
    <xdr:pic>
      <xdr:nvPicPr>
        <xdr:cNvPr id="374" name="Resim 373">
          <a:extLst>
            <a:ext uri="{FF2B5EF4-FFF2-40B4-BE49-F238E27FC236}">
              <a16:creationId xmlns:a16="http://schemas.microsoft.com/office/drawing/2014/main" id="{AA56AAEC-37D2-E94C-B1C8-24BA2F91C6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51027" y="1103727366"/>
          <a:ext cx="1080000" cy="1080000"/>
        </a:xfrm>
        <a:prstGeom prst="rect">
          <a:avLst/>
        </a:prstGeom>
      </xdr:spPr>
    </xdr:pic>
    <xdr:clientData/>
  </xdr:oneCellAnchor>
  <xdr:oneCellAnchor>
    <xdr:from>
      <xdr:col>16</xdr:col>
      <xdr:colOff>211667</xdr:colOff>
      <xdr:row>214</xdr:row>
      <xdr:rowOff>1552222</xdr:rowOff>
    </xdr:from>
    <xdr:ext cx="1080000" cy="1080000"/>
    <xdr:pic>
      <xdr:nvPicPr>
        <xdr:cNvPr id="375" name="Resim 374">
          <a:extLst>
            <a:ext uri="{FF2B5EF4-FFF2-40B4-BE49-F238E27FC236}">
              <a16:creationId xmlns:a16="http://schemas.microsoft.com/office/drawing/2014/main" id="{DEEBAD01-2CF0-EA4D-A9D1-8F08839BC9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68667" y="1105067922"/>
          <a:ext cx="1080000" cy="1080000"/>
        </a:xfrm>
        <a:prstGeom prst="rect">
          <a:avLst/>
        </a:prstGeom>
      </xdr:spPr>
    </xdr:pic>
    <xdr:clientData/>
  </xdr:oneCellAnchor>
  <xdr:oneCellAnchor>
    <xdr:from>
      <xdr:col>16</xdr:col>
      <xdr:colOff>141110</xdr:colOff>
      <xdr:row>215</xdr:row>
      <xdr:rowOff>211666</xdr:rowOff>
    </xdr:from>
    <xdr:ext cx="1080000" cy="1080000"/>
    <xdr:pic>
      <xdr:nvPicPr>
        <xdr:cNvPr id="376" name="Resim 375">
          <a:extLst>
            <a:ext uri="{FF2B5EF4-FFF2-40B4-BE49-F238E27FC236}">
              <a16:creationId xmlns:a16="http://schemas.microsoft.com/office/drawing/2014/main" id="{E6E891C7-F4A1-5244-8ACC-B018C66EF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8110" y="1108934366"/>
          <a:ext cx="1080000" cy="1080000"/>
        </a:xfrm>
        <a:prstGeom prst="rect">
          <a:avLst/>
        </a:prstGeom>
      </xdr:spPr>
    </xdr:pic>
    <xdr:clientData/>
  </xdr:oneCellAnchor>
  <xdr:oneCellAnchor>
    <xdr:from>
      <xdr:col>16</xdr:col>
      <xdr:colOff>211667</xdr:colOff>
      <xdr:row>215</xdr:row>
      <xdr:rowOff>1552222</xdr:rowOff>
    </xdr:from>
    <xdr:ext cx="1080000" cy="1080000"/>
    <xdr:pic>
      <xdr:nvPicPr>
        <xdr:cNvPr id="377" name="Resim 376">
          <a:extLst>
            <a:ext uri="{FF2B5EF4-FFF2-40B4-BE49-F238E27FC236}">
              <a16:creationId xmlns:a16="http://schemas.microsoft.com/office/drawing/2014/main" id="{5EBFC0F1-CD1A-F34E-AE53-67AECB9C7D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68667" y="1110274922"/>
          <a:ext cx="1080000" cy="1080000"/>
        </a:xfrm>
        <a:prstGeom prst="rect">
          <a:avLst/>
        </a:prstGeom>
      </xdr:spPr>
    </xdr:pic>
    <xdr:clientData/>
  </xdr:oneCellAnchor>
  <xdr:oneCellAnchor>
    <xdr:from>
      <xdr:col>16</xdr:col>
      <xdr:colOff>110067</xdr:colOff>
      <xdr:row>216</xdr:row>
      <xdr:rowOff>844973</xdr:rowOff>
    </xdr:from>
    <xdr:ext cx="1080000" cy="1080000"/>
    <xdr:pic>
      <xdr:nvPicPr>
        <xdr:cNvPr id="378" name="Resim 377">
          <a:extLst>
            <a:ext uri="{FF2B5EF4-FFF2-40B4-BE49-F238E27FC236}">
              <a16:creationId xmlns:a16="http://schemas.microsoft.com/office/drawing/2014/main" id="{A49FB3E6-AFEC-3849-981C-7D6C055FDF1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7067" y="1114774673"/>
          <a:ext cx="1080000" cy="1080000"/>
        </a:xfrm>
        <a:prstGeom prst="rect">
          <a:avLst/>
        </a:prstGeom>
      </xdr:spPr>
    </xdr:pic>
    <xdr:clientData/>
  </xdr:oneCellAnchor>
  <xdr:oneCellAnchor>
    <xdr:from>
      <xdr:col>16</xdr:col>
      <xdr:colOff>204047</xdr:colOff>
      <xdr:row>216</xdr:row>
      <xdr:rowOff>2572173</xdr:rowOff>
    </xdr:from>
    <xdr:ext cx="1080000" cy="1080000"/>
    <xdr:pic>
      <xdr:nvPicPr>
        <xdr:cNvPr id="379" name="Resim 378">
          <a:extLst>
            <a:ext uri="{FF2B5EF4-FFF2-40B4-BE49-F238E27FC236}">
              <a16:creationId xmlns:a16="http://schemas.microsoft.com/office/drawing/2014/main" id="{45A45860-A178-F340-9583-AA63294790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61047" y="1116501873"/>
          <a:ext cx="1080000" cy="1080000"/>
        </a:xfrm>
        <a:prstGeom prst="rect">
          <a:avLst/>
        </a:prstGeom>
      </xdr:spPr>
    </xdr:pic>
    <xdr:clientData/>
  </xdr:oneCellAnchor>
  <xdr:oneCellAnchor>
    <xdr:from>
      <xdr:col>16</xdr:col>
      <xdr:colOff>95250</xdr:colOff>
      <xdr:row>218</xdr:row>
      <xdr:rowOff>142875</xdr:rowOff>
    </xdr:from>
    <xdr:ext cx="1080000" cy="1080000"/>
    <xdr:pic>
      <xdr:nvPicPr>
        <xdr:cNvPr id="380" name="Resim 379">
          <a:extLst>
            <a:ext uri="{FF2B5EF4-FFF2-40B4-BE49-F238E27FC236}">
              <a16:creationId xmlns:a16="http://schemas.microsoft.com/office/drawing/2014/main" id="{D4CF0BEA-9494-F24A-AE24-6100B8CB53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0" y="1124486575"/>
          <a:ext cx="1080000" cy="1080000"/>
        </a:xfrm>
        <a:prstGeom prst="rect">
          <a:avLst/>
        </a:prstGeom>
      </xdr:spPr>
    </xdr:pic>
    <xdr:clientData/>
  </xdr:oneCellAnchor>
  <xdr:oneCellAnchor>
    <xdr:from>
      <xdr:col>16</xdr:col>
      <xdr:colOff>95250</xdr:colOff>
      <xdr:row>219</xdr:row>
      <xdr:rowOff>142875</xdr:rowOff>
    </xdr:from>
    <xdr:ext cx="1080000" cy="1080000"/>
    <xdr:pic>
      <xdr:nvPicPr>
        <xdr:cNvPr id="381" name="Resim 380">
          <a:extLst>
            <a:ext uri="{FF2B5EF4-FFF2-40B4-BE49-F238E27FC236}">
              <a16:creationId xmlns:a16="http://schemas.microsoft.com/office/drawing/2014/main" id="{1B066F1A-6206-AA49-BD60-191D5E9396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0" y="1129693575"/>
          <a:ext cx="1080000" cy="1080000"/>
        </a:xfrm>
        <a:prstGeom prst="rect">
          <a:avLst/>
        </a:prstGeom>
      </xdr:spPr>
    </xdr:pic>
    <xdr:clientData/>
  </xdr:oneCellAnchor>
  <xdr:twoCellAnchor editAs="oneCell">
    <xdr:from>
      <xdr:col>16</xdr:col>
      <xdr:colOff>95250</xdr:colOff>
      <xdr:row>219</xdr:row>
      <xdr:rowOff>1428750</xdr:rowOff>
    </xdr:from>
    <xdr:to>
      <xdr:col>16</xdr:col>
      <xdr:colOff>1219200</xdr:colOff>
      <xdr:row>219</xdr:row>
      <xdr:rowOff>2489454</xdr:rowOff>
    </xdr:to>
    <xdr:pic>
      <xdr:nvPicPr>
        <xdr:cNvPr id="382" name="Resim 381">
          <a:extLst>
            <a:ext uri="{FF2B5EF4-FFF2-40B4-BE49-F238E27FC236}">
              <a16:creationId xmlns:a16="http://schemas.microsoft.com/office/drawing/2014/main" id="{9FC65A37-A6CE-304C-95FB-E6289B95A4CF}"/>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303250" y="1130979450"/>
          <a:ext cx="1123950" cy="1060704"/>
        </a:xfrm>
        <a:prstGeom prst="rect">
          <a:avLst/>
        </a:prstGeom>
      </xdr:spPr>
    </xdr:pic>
    <xdr:clientData/>
  </xdr:twoCellAnchor>
  <xdr:oneCellAnchor>
    <xdr:from>
      <xdr:col>16</xdr:col>
      <xdr:colOff>95250</xdr:colOff>
      <xdr:row>220</xdr:row>
      <xdr:rowOff>142875</xdr:rowOff>
    </xdr:from>
    <xdr:ext cx="1080000" cy="1080000"/>
    <xdr:pic>
      <xdr:nvPicPr>
        <xdr:cNvPr id="383" name="Resim 382">
          <a:extLst>
            <a:ext uri="{FF2B5EF4-FFF2-40B4-BE49-F238E27FC236}">
              <a16:creationId xmlns:a16="http://schemas.microsoft.com/office/drawing/2014/main" id="{3E0F4C40-77C5-1540-BB6B-8128205FCA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0" y="1134900575"/>
          <a:ext cx="1080000" cy="1080000"/>
        </a:xfrm>
        <a:prstGeom prst="rect">
          <a:avLst/>
        </a:prstGeom>
      </xdr:spPr>
    </xdr:pic>
    <xdr:clientData/>
  </xdr:oneCellAnchor>
  <xdr:oneCellAnchor>
    <xdr:from>
      <xdr:col>16</xdr:col>
      <xdr:colOff>111125</xdr:colOff>
      <xdr:row>220</xdr:row>
      <xdr:rowOff>1365250</xdr:rowOff>
    </xdr:from>
    <xdr:ext cx="1080000" cy="1080000"/>
    <xdr:pic>
      <xdr:nvPicPr>
        <xdr:cNvPr id="384" name="Resim 383">
          <a:extLst>
            <a:ext uri="{FF2B5EF4-FFF2-40B4-BE49-F238E27FC236}">
              <a16:creationId xmlns:a16="http://schemas.microsoft.com/office/drawing/2014/main" id="{CD0DF9C0-A740-D347-A153-AA608414EA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68125" y="1136122950"/>
          <a:ext cx="1080000" cy="1080000"/>
        </a:xfrm>
        <a:prstGeom prst="rect">
          <a:avLst/>
        </a:prstGeom>
      </xdr:spPr>
    </xdr:pic>
    <xdr:clientData/>
  </xdr:oneCellAnchor>
  <xdr:oneCellAnchor>
    <xdr:from>
      <xdr:col>16</xdr:col>
      <xdr:colOff>79375</xdr:colOff>
      <xdr:row>221</xdr:row>
      <xdr:rowOff>1603375</xdr:rowOff>
    </xdr:from>
    <xdr:ext cx="1080000" cy="1080000"/>
    <xdr:pic>
      <xdr:nvPicPr>
        <xdr:cNvPr id="385" name="Resim 384">
          <a:extLst>
            <a:ext uri="{FF2B5EF4-FFF2-40B4-BE49-F238E27FC236}">
              <a16:creationId xmlns:a16="http://schemas.microsoft.com/office/drawing/2014/main" id="{1603989E-F2D4-D74D-AFA8-53FC420CDB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636375" y="1141568075"/>
          <a:ext cx="1080000" cy="1080000"/>
        </a:xfrm>
        <a:prstGeom prst="rect">
          <a:avLst/>
        </a:prstGeom>
      </xdr:spPr>
    </xdr:pic>
    <xdr:clientData/>
  </xdr:oneCellAnchor>
  <xdr:oneCellAnchor>
    <xdr:from>
      <xdr:col>16</xdr:col>
      <xdr:colOff>79375</xdr:colOff>
      <xdr:row>221</xdr:row>
      <xdr:rowOff>238125</xdr:rowOff>
    </xdr:from>
    <xdr:ext cx="1080000" cy="1080000"/>
    <xdr:pic>
      <xdr:nvPicPr>
        <xdr:cNvPr id="386" name="Resim 385">
          <a:extLst>
            <a:ext uri="{FF2B5EF4-FFF2-40B4-BE49-F238E27FC236}">
              <a16:creationId xmlns:a16="http://schemas.microsoft.com/office/drawing/2014/main" id="{0BCD19D1-8B66-4241-93E3-02AA9A856D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36375" y="1140202825"/>
          <a:ext cx="1080000" cy="1080000"/>
        </a:xfrm>
        <a:prstGeom prst="rect">
          <a:avLst/>
        </a:prstGeom>
      </xdr:spPr>
    </xdr:pic>
    <xdr:clientData/>
  </xdr:oneCellAnchor>
  <xdr:oneCellAnchor>
    <xdr:from>
      <xdr:col>16</xdr:col>
      <xdr:colOff>95250</xdr:colOff>
      <xdr:row>222</xdr:row>
      <xdr:rowOff>238125</xdr:rowOff>
    </xdr:from>
    <xdr:ext cx="1080000" cy="1080000"/>
    <xdr:pic>
      <xdr:nvPicPr>
        <xdr:cNvPr id="387" name="Resim 386">
          <a:extLst>
            <a:ext uri="{FF2B5EF4-FFF2-40B4-BE49-F238E27FC236}">
              <a16:creationId xmlns:a16="http://schemas.microsoft.com/office/drawing/2014/main" id="{D8DC3B1D-8C5C-F44A-B18F-5995506A5C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0" y="1145409825"/>
          <a:ext cx="1080000" cy="1080000"/>
        </a:xfrm>
        <a:prstGeom prst="rect">
          <a:avLst/>
        </a:prstGeom>
      </xdr:spPr>
    </xdr:pic>
    <xdr:clientData/>
  </xdr:oneCellAnchor>
  <xdr:oneCellAnchor>
    <xdr:from>
      <xdr:col>16</xdr:col>
      <xdr:colOff>111125</xdr:colOff>
      <xdr:row>222</xdr:row>
      <xdr:rowOff>1508125</xdr:rowOff>
    </xdr:from>
    <xdr:ext cx="1080000" cy="1080000"/>
    <xdr:pic>
      <xdr:nvPicPr>
        <xdr:cNvPr id="388" name="Resim 387">
          <a:extLst>
            <a:ext uri="{FF2B5EF4-FFF2-40B4-BE49-F238E27FC236}">
              <a16:creationId xmlns:a16="http://schemas.microsoft.com/office/drawing/2014/main" id="{DA1ED26B-D717-E945-BE59-FADA1466A8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8125" y="1146679825"/>
          <a:ext cx="1080000" cy="1080000"/>
        </a:xfrm>
        <a:prstGeom prst="rect">
          <a:avLst/>
        </a:prstGeom>
      </xdr:spPr>
    </xdr:pic>
    <xdr:clientData/>
  </xdr:oneCellAnchor>
  <xdr:oneCellAnchor>
    <xdr:from>
      <xdr:col>16</xdr:col>
      <xdr:colOff>158750</xdr:colOff>
      <xdr:row>223</xdr:row>
      <xdr:rowOff>381000</xdr:rowOff>
    </xdr:from>
    <xdr:ext cx="1080000" cy="1080000"/>
    <xdr:pic>
      <xdr:nvPicPr>
        <xdr:cNvPr id="389" name="Resim 388">
          <a:extLst>
            <a:ext uri="{FF2B5EF4-FFF2-40B4-BE49-F238E27FC236}">
              <a16:creationId xmlns:a16="http://schemas.microsoft.com/office/drawing/2014/main" id="{21443458-34AC-AF4A-A98A-69B026D8C2F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15750" y="1150759700"/>
          <a:ext cx="1080000" cy="1080000"/>
        </a:xfrm>
        <a:prstGeom prst="rect">
          <a:avLst/>
        </a:prstGeom>
      </xdr:spPr>
    </xdr:pic>
    <xdr:clientData/>
  </xdr:oneCellAnchor>
  <xdr:oneCellAnchor>
    <xdr:from>
      <xdr:col>16</xdr:col>
      <xdr:colOff>158750</xdr:colOff>
      <xdr:row>224</xdr:row>
      <xdr:rowOff>381000</xdr:rowOff>
    </xdr:from>
    <xdr:ext cx="1080000" cy="1080000"/>
    <xdr:pic>
      <xdr:nvPicPr>
        <xdr:cNvPr id="390" name="Resim 389">
          <a:extLst>
            <a:ext uri="{FF2B5EF4-FFF2-40B4-BE49-F238E27FC236}">
              <a16:creationId xmlns:a16="http://schemas.microsoft.com/office/drawing/2014/main" id="{76AD5AB7-E3D8-414D-B52E-574C89CA511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15750" y="1155966700"/>
          <a:ext cx="1080000" cy="1080000"/>
        </a:xfrm>
        <a:prstGeom prst="rect">
          <a:avLst/>
        </a:prstGeom>
      </xdr:spPr>
    </xdr:pic>
    <xdr:clientData/>
  </xdr:oneCellAnchor>
  <xdr:oneCellAnchor>
    <xdr:from>
      <xdr:col>16</xdr:col>
      <xdr:colOff>158750</xdr:colOff>
      <xdr:row>224</xdr:row>
      <xdr:rowOff>1666875</xdr:rowOff>
    </xdr:from>
    <xdr:ext cx="1080000" cy="1080000"/>
    <xdr:pic>
      <xdr:nvPicPr>
        <xdr:cNvPr id="391" name="Resim 390">
          <a:extLst>
            <a:ext uri="{FF2B5EF4-FFF2-40B4-BE49-F238E27FC236}">
              <a16:creationId xmlns:a16="http://schemas.microsoft.com/office/drawing/2014/main" id="{A2178644-18EB-FD41-A6D8-8EFD4F9F41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15750" y="1157252575"/>
          <a:ext cx="1080000" cy="1080000"/>
        </a:xfrm>
        <a:prstGeom prst="rect">
          <a:avLst/>
        </a:prstGeom>
      </xdr:spPr>
    </xdr:pic>
    <xdr:clientData/>
  </xdr:oneCellAnchor>
  <xdr:twoCellAnchor editAs="oneCell">
    <xdr:from>
      <xdr:col>16</xdr:col>
      <xdr:colOff>142875</xdr:colOff>
      <xdr:row>224</xdr:row>
      <xdr:rowOff>3000375</xdr:rowOff>
    </xdr:from>
    <xdr:to>
      <xdr:col>16</xdr:col>
      <xdr:colOff>1266825</xdr:colOff>
      <xdr:row>224</xdr:row>
      <xdr:rowOff>4061079</xdr:rowOff>
    </xdr:to>
    <xdr:pic>
      <xdr:nvPicPr>
        <xdr:cNvPr id="392" name="Resim 391">
          <a:extLst>
            <a:ext uri="{FF2B5EF4-FFF2-40B4-BE49-F238E27FC236}">
              <a16:creationId xmlns:a16="http://schemas.microsoft.com/office/drawing/2014/main" id="{B925A957-8FB5-E846-AEBB-0CFAE3109A45}"/>
            </a:ext>
          </a:extLst>
        </xdr:cNvPr>
        <xdr:cNvPicPr>
          <a:picLocks/>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350875" y="1158586075"/>
          <a:ext cx="1123950" cy="1060704"/>
        </a:xfrm>
        <a:prstGeom prst="rect">
          <a:avLst/>
        </a:prstGeom>
      </xdr:spPr>
    </xdr:pic>
    <xdr:clientData/>
  </xdr:twoCellAnchor>
  <xdr:oneCellAnchor>
    <xdr:from>
      <xdr:col>16</xdr:col>
      <xdr:colOff>95250</xdr:colOff>
      <xdr:row>225</xdr:row>
      <xdr:rowOff>460375</xdr:rowOff>
    </xdr:from>
    <xdr:ext cx="1080000" cy="1080000"/>
    <xdr:pic>
      <xdr:nvPicPr>
        <xdr:cNvPr id="393" name="Resim 392">
          <a:extLst>
            <a:ext uri="{FF2B5EF4-FFF2-40B4-BE49-F238E27FC236}">
              <a16:creationId xmlns:a16="http://schemas.microsoft.com/office/drawing/2014/main" id="{E5BAEBD3-D6AB-AB41-B4B2-BB2B259257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2250" y="1161253075"/>
          <a:ext cx="1080000" cy="1080000"/>
        </a:xfrm>
        <a:prstGeom prst="rect">
          <a:avLst/>
        </a:prstGeom>
      </xdr:spPr>
    </xdr:pic>
    <xdr:clientData/>
  </xdr:oneCellAnchor>
  <xdr:twoCellAnchor editAs="oneCell">
    <xdr:from>
      <xdr:col>16</xdr:col>
      <xdr:colOff>111125</xdr:colOff>
      <xdr:row>226</xdr:row>
      <xdr:rowOff>222250</xdr:rowOff>
    </xdr:from>
    <xdr:to>
      <xdr:col>16</xdr:col>
      <xdr:colOff>1235075</xdr:colOff>
      <xdr:row>226</xdr:row>
      <xdr:rowOff>1282954</xdr:rowOff>
    </xdr:to>
    <xdr:pic>
      <xdr:nvPicPr>
        <xdr:cNvPr id="394" name="Resim 393">
          <a:extLst>
            <a:ext uri="{FF2B5EF4-FFF2-40B4-BE49-F238E27FC236}">
              <a16:creationId xmlns:a16="http://schemas.microsoft.com/office/drawing/2014/main" id="{8F13C3F9-96B7-3A4A-A377-5A783CDA2CFA}"/>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19125" y="1166221950"/>
          <a:ext cx="1123950" cy="1060704"/>
        </a:xfrm>
        <a:prstGeom prst="rect">
          <a:avLst/>
        </a:prstGeom>
      </xdr:spPr>
    </xdr:pic>
    <xdr:clientData/>
  </xdr:twoCellAnchor>
  <xdr:oneCellAnchor>
    <xdr:from>
      <xdr:col>16</xdr:col>
      <xdr:colOff>174625</xdr:colOff>
      <xdr:row>227</xdr:row>
      <xdr:rowOff>365125</xdr:rowOff>
    </xdr:from>
    <xdr:ext cx="1080000" cy="1080000"/>
    <xdr:pic>
      <xdr:nvPicPr>
        <xdr:cNvPr id="395" name="Resim 394">
          <a:extLst>
            <a:ext uri="{FF2B5EF4-FFF2-40B4-BE49-F238E27FC236}">
              <a16:creationId xmlns:a16="http://schemas.microsoft.com/office/drawing/2014/main" id="{1A16CBB9-F7CC-C342-B39D-51DDF376F5E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1171571825"/>
          <a:ext cx="1080000" cy="1080000"/>
        </a:xfrm>
        <a:prstGeom prst="rect">
          <a:avLst/>
        </a:prstGeom>
      </xdr:spPr>
    </xdr:pic>
    <xdr:clientData/>
  </xdr:oneCellAnchor>
  <xdr:oneCellAnchor>
    <xdr:from>
      <xdr:col>16</xdr:col>
      <xdr:colOff>174625</xdr:colOff>
      <xdr:row>228</xdr:row>
      <xdr:rowOff>365125</xdr:rowOff>
    </xdr:from>
    <xdr:ext cx="1080000" cy="1080000"/>
    <xdr:pic>
      <xdr:nvPicPr>
        <xdr:cNvPr id="396" name="Resim 395">
          <a:extLst>
            <a:ext uri="{FF2B5EF4-FFF2-40B4-BE49-F238E27FC236}">
              <a16:creationId xmlns:a16="http://schemas.microsoft.com/office/drawing/2014/main" id="{FC66BDCA-6A4A-AA42-AA1B-50CE5B9E54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1176778825"/>
          <a:ext cx="1080000" cy="1080000"/>
        </a:xfrm>
        <a:prstGeom prst="rect">
          <a:avLst/>
        </a:prstGeom>
      </xdr:spPr>
    </xdr:pic>
    <xdr:clientData/>
  </xdr:oneCellAnchor>
  <xdr:oneCellAnchor>
    <xdr:from>
      <xdr:col>16</xdr:col>
      <xdr:colOff>174625</xdr:colOff>
      <xdr:row>229</xdr:row>
      <xdr:rowOff>365125</xdr:rowOff>
    </xdr:from>
    <xdr:ext cx="1080000" cy="1080000"/>
    <xdr:pic>
      <xdr:nvPicPr>
        <xdr:cNvPr id="397" name="Resim 396">
          <a:extLst>
            <a:ext uri="{FF2B5EF4-FFF2-40B4-BE49-F238E27FC236}">
              <a16:creationId xmlns:a16="http://schemas.microsoft.com/office/drawing/2014/main" id="{35CD912C-8EAB-9B42-AA4A-CAEE0379CC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1181985825"/>
          <a:ext cx="1080000" cy="1080000"/>
        </a:xfrm>
        <a:prstGeom prst="rect">
          <a:avLst/>
        </a:prstGeom>
      </xdr:spPr>
    </xdr:pic>
    <xdr:clientData/>
  </xdr:oneCellAnchor>
  <xdr:oneCellAnchor>
    <xdr:from>
      <xdr:col>16</xdr:col>
      <xdr:colOff>174625</xdr:colOff>
      <xdr:row>230</xdr:row>
      <xdr:rowOff>365125</xdr:rowOff>
    </xdr:from>
    <xdr:ext cx="1080000" cy="1080000"/>
    <xdr:pic>
      <xdr:nvPicPr>
        <xdr:cNvPr id="398" name="Resim 397">
          <a:extLst>
            <a:ext uri="{FF2B5EF4-FFF2-40B4-BE49-F238E27FC236}">
              <a16:creationId xmlns:a16="http://schemas.microsoft.com/office/drawing/2014/main" id="{9F54DF97-2891-C04F-B264-4D280236F2E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31625" y="1187192825"/>
          <a:ext cx="1080000" cy="1080000"/>
        </a:xfrm>
        <a:prstGeom prst="rect">
          <a:avLst/>
        </a:prstGeom>
      </xdr:spPr>
    </xdr:pic>
    <xdr:clientData/>
  </xdr:oneCellAnchor>
  <xdr:oneCellAnchor>
    <xdr:from>
      <xdr:col>16</xdr:col>
      <xdr:colOff>142875</xdr:colOff>
      <xdr:row>232</xdr:row>
      <xdr:rowOff>365125</xdr:rowOff>
    </xdr:from>
    <xdr:ext cx="1080000" cy="1080000"/>
    <xdr:pic>
      <xdr:nvPicPr>
        <xdr:cNvPr id="399" name="Resim 398">
          <a:extLst>
            <a:ext uri="{FF2B5EF4-FFF2-40B4-BE49-F238E27FC236}">
              <a16:creationId xmlns:a16="http://schemas.microsoft.com/office/drawing/2014/main" id="{C20048AF-09B4-324F-B7DB-82ADA4BDF1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9875" y="1197606825"/>
          <a:ext cx="1080000" cy="1080000"/>
        </a:xfrm>
        <a:prstGeom prst="rect">
          <a:avLst/>
        </a:prstGeom>
      </xdr:spPr>
    </xdr:pic>
    <xdr:clientData/>
  </xdr:oneCellAnchor>
  <xdr:oneCellAnchor>
    <xdr:from>
      <xdr:col>16</xdr:col>
      <xdr:colOff>142875</xdr:colOff>
      <xdr:row>233</xdr:row>
      <xdr:rowOff>365125</xdr:rowOff>
    </xdr:from>
    <xdr:ext cx="1080000" cy="1080000"/>
    <xdr:pic>
      <xdr:nvPicPr>
        <xdr:cNvPr id="400" name="Resim 399">
          <a:extLst>
            <a:ext uri="{FF2B5EF4-FFF2-40B4-BE49-F238E27FC236}">
              <a16:creationId xmlns:a16="http://schemas.microsoft.com/office/drawing/2014/main" id="{A8468491-959C-6C4D-BF0C-28822AD17E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99875" y="1202813825"/>
          <a:ext cx="1080000" cy="1080000"/>
        </a:xfrm>
        <a:prstGeom prst="rect">
          <a:avLst/>
        </a:prstGeom>
      </xdr:spPr>
    </xdr:pic>
    <xdr:clientData/>
  </xdr:oneCellAnchor>
  <xdr:oneCellAnchor>
    <xdr:from>
      <xdr:col>16</xdr:col>
      <xdr:colOff>142875</xdr:colOff>
      <xdr:row>233</xdr:row>
      <xdr:rowOff>1730375</xdr:rowOff>
    </xdr:from>
    <xdr:ext cx="1080000" cy="1080000"/>
    <xdr:pic>
      <xdr:nvPicPr>
        <xdr:cNvPr id="401" name="Resim 400">
          <a:extLst>
            <a:ext uri="{FF2B5EF4-FFF2-40B4-BE49-F238E27FC236}">
              <a16:creationId xmlns:a16="http://schemas.microsoft.com/office/drawing/2014/main" id="{C248717B-F440-504B-8459-68D907741D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99875" y="1204179075"/>
          <a:ext cx="1080000" cy="1080000"/>
        </a:xfrm>
        <a:prstGeom prst="rect">
          <a:avLst/>
        </a:prstGeom>
      </xdr:spPr>
    </xdr:pic>
    <xdr:clientData/>
  </xdr:oneCellAnchor>
  <xdr:oneCellAnchor>
    <xdr:from>
      <xdr:col>16</xdr:col>
      <xdr:colOff>131234</xdr:colOff>
      <xdr:row>234</xdr:row>
      <xdr:rowOff>442806</xdr:rowOff>
    </xdr:from>
    <xdr:ext cx="1080000" cy="1080000"/>
    <xdr:pic>
      <xdr:nvPicPr>
        <xdr:cNvPr id="402" name="Resim 401">
          <a:extLst>
            <a:ext uri="{FF2B5EF4-FFF2-40B4-BE49-F238E27FC236}">
              <a16:creationId xmlns:a16="http://schemas.microsoft.com/office/drawing/2014/main" id="{A0F6E63E-72E4-3B4A-96C1-98B645E4DE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8234" y="1208098506"/>
          <a:ext cx="1080000" cy="1080000"/>
        </a:xfrm>
        <a:prstGeom prst="rect">
          <a:avLst/>
        </a:prstGeom>
      </xdr:spPr>
    </xdr:pic>
    <xdr:clientData/>
  </xdr:oneCellAnchor>
  <xdr:oneCellAnchor>
    <xdr:from>
      <xdr:col>16</xdr:col>
      <xdr:colOff>152400</xdr:colOff>
      <xdr:row>234</xdr:row>
      <xdr:rowOff>1965960</xdr:rowOff>
    </xdr:from>
    <xdr:ext cx="1080000" cy="1080000"/>
    <xdr:pic>
      <xdr:nvPicPr>
        <xdr:cNvPr id="403" name="Resim 402">
          <a:extLst>
            <a:ext uri="{FF2B5EF4-FFF2-40B4-BE49-F238E27FC236}">
              <a16:creationId xmlns:a16="http://schemas.microsoft.com/office/drawing/2014/main" id="{B32EB757-F39E-F343-9519-14107023AA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1209621660"/>
          <a:ext cx="1080000" cy="1080000"/>
        </a:xfrm>
        <a:prstGeom prst="rect">
          <a:avLst/>
        </a:prstGeom>
      </xdr:spPr>
    </xdr:pic>
    <xdr:clientData/>
  </xdr:oneCellAnchor>
  <xdr:oneCellAnchor>
    <xdr:from>
      <xdr:col>16</xdr:col>
      <xdr:colOff>182880</xdr:colOff>
      <xdr:row>234</xdr:row>
      <xdr:rowOff>3291840</xdr:rowOff>
    </xdr:from>
    <xdr:ext cx="1080000" cy="1080000"/>
    <xdr:pic>
      <xdr:nvPicPr>
        <xdr:cNvPr id="404" name="Resim 403">
          <a:extLst>
            <a:ext uri="{FF2B5EF4-FFF2-40B4-BE49-F238E27FC236}">
              <a16:creationId xmlns:a16="http://schemas.microsoft.com/office/drawing/2014/main" id="{3020C5EC-6235-BB41-B335-C373485796F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1210947540"/>
          <a:ext cx="1080000" cy="1080000"/>
        </a:xfrm>
        <a:prstGeom prst="rect">
          <a:avLst/>
        </a:prstGeom>
      </xdr:spPr>
    </xdr:pic>
    <xdr:clientData/>
  </xdr:oneCellAnchor>
  <xdr:oneCellAnchor>
    <xdr:from>
      <xdr:col>16</xdr:col>
      <xdr:colOff>131234</xdr:colOff>
      <xdr:row>235</xdr:row>
      <xdr:rowOff>442806</xdr:rowOff>
    </xdr:from>
    <xdr:ext cx="1080000" cy="1080000"/>
    <xdr:pic>
      <xdr:nvPicPr>
        <xdr:cNvPr id="405" name="Resim 404">
          <a:extLst>
            <a:ext uri="{FF2B5EF4-FFF2-40B4-BE49-F238E27FC236}">
              <a16:creationId xmlns:a16="http://schemas.microsoft.com/office/drawing/2014/main" id="{3CCABF95-9722-A04E-9EA3-A4BB5AF57A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8234" y="1213305506"/>
          <a:ext cx="1080000" cy="1080000"/>
        </a:xfrm>
        <a:prstGeom prst="rect">
          <a:avLst/>
        </a:prstGeom>
      </xdr:spPr>
    </xdr:pic>
    <xdr:clientData/>
  </xdr:oneCellAnchor>
  <xdr:oneCellAnchor>
    <xdr:from>
      <xdr:col>16</xdr:col>
      <xdr:colOff>152400</xdr:colOff>
      <xdr:row>235</xdr:row>
      <xdr:rowOff>1965960</xdr:rowOff>
    </xdr:from>
    <xdr:ext cx="1080000" cy="1080000"/>
    <xdr:pic>
      <xdr:nvPicPr>
        <xdr:cNvPr id="406" name="Resim 405">
          <a:extLst>
            <a:ext uri="{FF2B5EF4-FFF2-40B4-BE49-F238E27FC236}">
              <a16:creationId xmlns:a16="http://schemas.microsoft.com/office/drawing/2014/main" id="{568FA0A0-19A0-8249-B662-CDF0BFA678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1214828660"/>
          <a:ext cx="1080000" cy="1080000"/>
        </a:xfrm>
        <a:prstGeom prst="rect">
          <a:avLst/>
        </a:prstGeom>
      </xdr:spPr>
    </xdr:pic>
    <xdr:clientData/>
  </xdr:oneCellAnchor>
  <xdr:oneCellAnchor>
    <xdr:from>
      <xdr:col>16</xdr:col>
      <xdr:colOff>182880</xdr:colOff>
      <xdr:row>235</xdr:row>
      <xdr:rowOff>3291840</xdr:rowOff>
    </xdr:from>
    <xdr:ext cx="1080000" cy="1080000"/>
    <xdr:pic>
      <xdr:nvPicPr>
        <xdr:cNvPr id="407" name="Resim 406">
          <a:extLst>
            <a:ext uri="{FF2B5EF4-FFF2-40B4-BE49-F238E27FC236}">
              <a16:creationId xmlns:a16="http://schemas.microsoft.com/office/drawing/2014/main" id="{A7E0F27B-399F-2C41-AD99-71D9144825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39880" y="1216154540"/>
          <a:ext cx="1080000" cy="1080000"/>
        </a:xfrm>
        <a:prstGeom prst="rect">
          <a:avLst/>
        </a:prstGeom>
      </xdr:spPr>
    </xdr:pic>
    <xdr:clientData/>
  </xdr:oneCellAnchor>
  <xdr:twoCellAnchor editAs="oneCell">
    <xdr:from>
      <xdr:col>16</xdr:col>
      <xdr:colOff>211662</xdr:colOff>
      <xdr:row>236</xdr:row>
      <xdr:rowOff>296333</xdr:rowOff>
    </xdr:from>
    <xdr:to>
      <xdr:col>16</xdr:col>
      <xdr:colOff>1185329</xdr:colOff>
      <xdr:row>236</xdr:row>
      <xdr:rowOff>1357037</xdr:rowOff>
    </xdr:to>
    <xdr:pic>
      <xdr:nvPicPr>
        <xdr:cNvPr id="408" name="Resim 407">
          <a:extLst>
            <a:ext uri="{FF2B5EF4-FFF2-40B4-BE49-F238E27FC236}">
              <a16:creationId xmlns:a16="http://schemas.microsoft.com/office/drawing/2014/main" id="{2AF925B6-A96E-D540-847B-21C59E7CE359}"/>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19662" y="1218366033"/>
          <a:ext cx="973667" cy="1060704"/>
        </a:xfrm>
        <a:prstGeom prst="rect">
          <a:avLst/>
        </a:prstGeom>
      </xdr:spPr>
    </xdr:pic>
    <xdr:clientData/>
  </xdr:twoCellAnchor>
  <xdr:twoCellAnchor editAs="oneCell">
    <xdr:from>
      <xdr:col>16</xdr:col>
      <xdr:colOff>169329</xdr:colOff>
      <xdr:row>237</xdr:row>
      <xdr:rowOff>423333</xdr:rowOff>
    </xdr:from>
    <xdr:to>
      <xdr:col>16</xdr:col>
      <xdr:colOff>1142996</xdr:colOff>
      <xdr:row>237</xdr:row>
      <xdr:rowOff>1484037</xdr:rowOff>
    </xdr:to>
    <xdr:pic>
      <xdr:nvPicPr>
        <xdr:cNvPr id="409" name="Resim 408">
          <a:extLst>
            <a:ext uri="{FF2B5EF4-FFF2-40B4-BE49-F238E27FC236}">
              <a16:creationId xmlns:a16="http://schemas.microsoft.com/office/drawing/2014/main" id="{41E4B708-BD54-6E41-B241-25A2051BD83F}"/>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77329" y="1223700033"/>
          <a:ext cx="973667" cy="1060704"/>
        </a:xfrm>
        <a:prstGeom prst="rect">
          <a:avLst/>
        </a:prstGeom>
      </xdr:spPr>
    </xdr:pic>
    <xdr:clientData/>
  </xdr:twoCellAnchor>
  <xdr:oneCellAnchor>
    <xdr:from>
      <xdr:col>16</xdr:col>
      <xdr:colOff>169333</xdr:colOff>
      <xdr:row>237</xdr:row>
      <xdr:rowOff>1566333</xdr:rowOff>
    </xdr:from>
    <xdr:ext cx="1080000" cy="1080000"/>
    <xdr:pic>
      <xdr:nvPicPr>
        <xdr:cNvPr id="410" name="Resim 409">
          <a:extLst>
            <a:ext uri="{FF2B5EF4-FFF2-40B4-BE49-F238E27FC236}">
              <a16:creationId xmlns:a16="http://schemas.microsoft.com/office/drawing/2014/main" id="{FFE49A03-82DC-B341-8DB8-9A30ED10A0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6333" y="1224843033"/>
          <a:ext cx="1080000" cy="1080000"/>
        </a:xfrm>
        <a:prstGeom prst="rect">
          <a:avLst/>
        </a:prstGeom>
      </xdr:spPr>
    </xdr:pic>
    <xdr:clientData/>
  </xdr:oneCellAnchor>
  <xdr:oneCellAnchor>
    <xdr:from>
      <xdr:col>16</xdr:col>
      <xdr:colOff>169334</xdr:colOff>
      <xdr:row>238</xdr:row>
      <xdr:rowOff>275167</xdr:rowOff>
    </xdr:from>
    <xdr:ext cx="1080000" cy="1080000"/>
    <xdr:pic>
      <xdr:nvPicPr>
        <xdr:cNvPr id="411" name="Resim 410">
          <a:extLst>
            <a:ext uri="{FF2B5EF4-FFF2-40B4-BE49-F238E27FC236}">
              <a16:creationId xmlns:a16="http://schemas.microsoft.com/office/drawing/2014/main" id="{9AFD04AD-4413-3E46-99A6-56EBCCDE6D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4" y="1228758867"/>
          <a:ext cx="1080000" cy="1080000"/>
        </a:xfrm>
        <a:prstGeom prst="rect">
          <a:avLst/>
        </a:prstGeom>
      </xdr:spPr>
    </xdr:pic>
    <xdr:clientData/>
  </xdr:oneCellAnchor>
  <xdr:oneCellAnchor>
    <xdr:from>
      <xdr:col>16</xdr:col>
      <xdr:colOff>190500</xdr:colOff>
      <xdr:row>239</xdr:row>
      <xdr:rowOff>254000</xdr:rowOff>
    </xdr:from>
    <xdr:ext cx="1080000" cy="1080000"/>
    <xdr:pic>
      <xdr:nvPicPr>
        <xdr:cNvPr id="412" name="Resim 411">
          <a:extLst>
            <a:ext uri="{FF2B5EF4-FFF2-40B4-BE49-F238E27FC236}">
              <a16:creationId xmlns:a16="http://schemas.microsoft.com/office/drawing/2014/main" id="{F46B7B17-9DB9-564F-8A9A-EEDF2924E4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47500" y="1233944700"/>
          <a:ext cx="1080000" cy="1080000"/>
        </a:xfrm>
        <a:prstGeom prst="rect">
          <a:avLst/>
        </a:prstGeom>
      </xdr:spPr>
    </xdr:pic>
    <xdr:clientData/>
  </xdr:oneCellAnchor>
  <xdr:oneCellAnchor>
    <xdr:from>
      <xdr:col>16</xdr:col>
      <xdr:colOff>232834</xdr:colOff>
      <xdr:row>239</xdr:row>
      <xdr:rowOff>1481667</xdr:rowOff>
    </xdr:from>
    <xdr:ext cx="1080000" cy="1056857"/>
    <xdr:pic>
      <xdr:nvPicPr>
        <xdr:cNvPr id="413" name="Resim 412">
          <a:extLst>
            <a:ext uri="{FF2B5EF4-FFF2-40B4-BE49-F238E27FC236}">
              <a16:creationId xmlns:a16="http://schemas.microsoft.com/office/drawing/2014/main" id="{58999E5A-A4A1-4040-9C11-C3CE573468D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789834" y="1235172367"/>
          <a:ext cx="1080000" cy="1056857"/>
        </a:xfrm>
        <a:prstGeom prst="rect">
          <a:avLst/>
        </a:prstGeom>
      </xdr:spPr>
    </xdr:pic>
    <xdr:clientData/>
  </xdr:oneCellAnchor>
  <xdr:oneCellAnchor>
    <xdr:from>
      <xdr:col>16</xdr:col>
      <xdr:colOff>171641</xdr:colOff>
      <xdr:row>240</xdr:row>
      <xdr:rowOff>281608</xdr:rowOff>
    </xdr:from>
    <xdr:ext cx="1077300" cy="1080000"/>
    <xdr:pic>
      <xdr:nvPicPr>
        <xdr:cNvPr id="414" name="Resim 413">
          <a:extLst>
            <a:ext uri="{FF2B5EF4-FFF2-40B4-BE49-F238E27FC236}">
              <a16:creationId xmlns:a16="http://schemas.microsoft.com/office/drawing/2014/main" id="{24F96A85-1446-AC4D-9BAC-7B88D0B37BB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728641" y="1239179308"/>
          <a:ext cx="1077300" cy="1080000"/>
        </a:xfrm>
        <a:prstGeom prst="rect">
          <a:avLst/>
        </a:prstGeom>
      </xdr:spPr>
    </xdr:pic>
    <xdr:clientData/>
  </xdr:oneCellAnchor>
  <xdr:oneCellAnchor>
    <xdr:from>
      <xdr:col>16</xdr:col>
      <xdr:colOff>185531</xdr:colOff>
      <xdr:row>240</xdr:row>
      <xdr:rowOff>1722781</xdr:rowOff>
    </xdr:from>
    <xdr:ext cx="1080000" cy="1080000"/>
    <xdr:pic>
      <xdr:nvPicPr>
        <xdr:cNvPr id="415" name="Resim 414">
          <a:extLst>
            <a:ext uri="{FF2B5EF4-FFF2-40B4-BE49-F238E27FC236}">
              <a16:creationId xmlns:a16="http://schemas.microsoft.com/office/drawing/2014/main" id="{FFB46415-70F0-F441-A60F-CCC43896F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2531" y="1240620481"/>
          <a:ext cx="1080000" cy="1080000"/>
        </a:xfrm>
        <a:prstGeom prst="rect">
          <a:avLst/>
        </a:prstGeom>
      </xdr:spPr>
    </xdr:pic>
    <xdr:clientData/>
  </xdr:oneCellAnchor>
  <xdr:oneCellAnchor>
    <xdr:from>
      <xdr:col>16</xdr:col>
      <xdr:colOff>108140</xdr:colOff>
      <xdr:row>244</xdr:row>
      <xdr:rowOff>133441</xdr:rowOff>
    </xdr:from>
    <xdr:ext cx="1077300" cy="1080000"/>
    <xdr:pic>
      <xdr:nvPicPr>
        <xdr:cNvPr id="416" name="Resim 415">
          <a:extLst>
            <a:ext uri="{FF2B5EF4-FFF2-40B4-BE49-F238E27FC236}">
              <a16:creationId xmlns:a16="http://schemas.microsoft.com/office/drawing/2014/main" id="{157C26BF-9C0F-1A40-8189-085CC5E3694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665140" y="1259859141"/>
          <a:ext cx="1077300" cy="1080000"/>
        </a:xfrm>
        <a:prstGeom prst="rect">
          <a:avLst/>
        </a:prstGeom>
      </xdr:spPr>
    </xdr:pic>
    <xdr:clientData/>
  </xdr:oneCellAnchor>
  <xdr:oneCellAnchor>
    <xdr:from>
      <xdr:col>16</xdr:col>
      <xdr:colOff>149014</xdr:colOff>
      <xdr:row>245</xdr:row>
      <xdr:rowOff>666327</xdr:rowOff>
    </xdr:from>
    <xdr:ext cx="1080000" cy="1080000"/>
    <xdr:pic>
      <xdr:nvPicPr>
        <xdr:cNvPr id="417" name="Resim 416">
          <a:extLst>
            <a:ext uri="{FF2B5EF4-FFF2-40B4-BE49-F238E27FC236}">
              <a16:creationId xmlns:a16="http://schemas.microsoft.com/office/drawing/2014/main" id="{401D78E3-8471-A44D-88BB-15D5A313A4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6014" y="1265599027"/>
          <a:ext cx="1080000" cy="1080000"/>
        </a:xfrm>
        <a:prstGeom prst="rect">
          <a:avLst/>
        </a:prstGeom>
      </xdr:spPr>
    </xdr:pic>
    <xdr:clientData/>
  </xdr:oneCellAnchor>
  <xdr:oneCellAnchor>
    <xdr:from>
      <xdr:col>16</xdr:col>
      <xdr:colOff>143198</xdr:colOff>
      <xdr:row>244</xdr:row>
      <xdr:rowOff>1108948</xdr:rowOff>
    </xdr:from>
    <xdr:ext cx="1080000" cy="1080000"/>
    <xdr:pic>
      <xdr:nvPicPr>
        <xdr:cNvPr id="418" name="Resim 417">
          <a:extLst>
            <a:ext uri="{FF2B5EF4-FFF2-40B4-BE49-F238E27FC236}">
              <a16:creationId xmlns:a16="http://schemas.microsoft.com/office/drawing/2014/main" id="{32652EA1-F15B-154F-A8CE-3AE6A80045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0198" y="1260834648"/>
          <a:ext cx="1080000" cy="1080000"/>
        </a:xfrm>
        <a:prstGeom prst="rect">
          <a:avLst/>
        </a:prstGeom>
      </xdr:spPr>
    </xdr:pic>
    <xdr:clientData/>
  </xdr:oneCellAnchor>
  <xdr:oneCellAnchor>
    <xdr:from>
      <xdr:col>16</xdr:col>
      <xdr:colOff>185531</xdr:colOff>
      <xdr:row>249</xdr:row>
      <xdr:rowOff>1743948</xdr:rowOff>
    </xdr:from>
    <xdr:ext cx="1080000" cy="1080000"/>
    <xdr:pic>
      <xdr:nvPicPr>
        <xdr:cNvPr id="419" name="Resim 418">
          <a:extLst>
            <a:ext uri="{FF2B5EF4-FFF2-40B4-BE49-F238E27FC236}">
              <a16:creationId xmlns:a16="http://schemas.microsoft.com/office/drawing/2014/main" id="{75F82100-BE3F-A64E-BCA2-9ACF55FD6E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2531" y="1287504648"/>
          <a:ext cx="1080000" cy="1080000"/>
        </a:xfrm>
        <a:prstGeom prst="rect">
          <a:avLst/>
        </a:prstGeom>
      </xdr:spPr>
    </xdr:pic>
    <xdr:clientData/>
  </xdr:oneCellAnchor>
  <xdr:oneCellAnchor>
    <xdr:from>
      <xdr:col>16</xdr:col>
      <xdr:colOff>100864</xdr:colOff>
      <xdr:row>253</xdr:row>
      <xdr:rowOff>410449</xdr:rowOff>
    </xdr:from>
    <xdr:ext cx="1080000" cy="1080000"/>
    <xdr:pic>
      <xdr:nvPicPr>
        <xdr:cNvPr id="420" name="Resim 419">
          <a:extLst>
            <a:ext uri="{FF2B5EF4-FFF2-40B4-BE49-F238E27FC236}">
              <a16:creationId xmlns:a16="http://schemas.microsoft.com/office/drawing/2014/main" id="{EED97201-8473-CC47-88BC-363F35B80F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7864" y="1306999149"/>
          <a:ext cx="1080000" cy="1080000"/>
        </a:xfrm>
        <a:prstGeom prst="rect">
          <a:avLst/>
        </a:prstGeom>
      </xdr:spPr>
    </xdr:pic>
    <xdr:clientData/>
  </xdr:oneCellAnchor>
  <xdr:oneCellAnchor>
    <xdr:from>
      <xdr:col>16</xdr:col>
      <xdr:colOff>127000</xdr:colOff>
      <xdr:row>249</xdr:row>
      <xdr:rowOff>338667</xdr:rowOff>
    </xdr:from>
    <xdr:ext cx="1076737" cy="1080000"/>
    <xdr:pic>
      <xdr:nvPicPr>
        <xdr:cNvPr id="421" name="Resim 420">
          <a:extLst>
            <a:ext uri="{FF2B5EF4-FFF2-40B4-BE49-F238E27FC236}">
              <a16:creationId xmlns:a16="http://schemas.microsoft.com/office/drawing/2014/main" id="{A66C0030-D401-F54C-84C7-917799D846D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684000" y="1286099367"/>
          <a:ext cx="1076737" cy="1080000"/>
        </a:xfrm>
        <a:prstGeom prst="rect">
          <a:avLst/>
        </a:prstGeom>
      </xdr:spPr>
    </xdr:pic>
    <xdr:clientData/>
  </xdr:oneCellAnchor>
  <xdr:twoCellAnchor editAs="oneCell">
    <xdr:from>
      <xdr:col>16</xdr:col>
      <xdr:colOff>148167</xdr:colOff>
      <xdr:row>252</xdr:row>
      <xdr:rowOff>296333</xdr:rowOff>
    </xdr:from>
    <xdr:to>
      <xdr:col>16</xdr:col>
      <xdr:colOff>1272117</xdr:colOff>
      <xdr:row>252</xdr:row>
      <xdr:rowOff>1357037</xdr:rowOff>
    </xdr:to>
    <xdr:pic>
      <xdr:nvPicPr>
        <xdr:cNvPr id="422" name="Resim 421">
          <a:extLst>
            <a:ext uri="{FF2B5EF4-FFF2-40B4-BE49-F238E27FC236}">
              <a16:creationId xmlns:a16="http://schemas.microsoft.com/office/drawing/2014/main" id="{013CCFC8-11A6-554A-A6FF-C1930ACBEE00}"/>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56167" y="1301678033"/>
          <a:ext cx="1123950" cy="1060704"/>
        </a:xfrm>
        <a:prstGeom prst="rect">
          <a:avLst/>
        </a:prstGeom>
      </xdr:spPr>
    </xdr:pic>
    <xdr:clientData/>
  </xdr:twoCellAnchor>
  <xdr:oneCellAnchor>
    <xdr:from>
      <xdr:col>16</xdr:col>
      <xdr:colOff>127000</xdr:colOff>
      <xdr:row>260</xdr:row>
      <xdr:rowOff>275166</xdr:rowOff>
    </xdr:from>
    <xdr:ext cx="1080000" cy="1080000"/>
    <xdr:pic>
      <xdr:nvPicPr>
        <xdr:cNvPr id="423" name="Resim 422">
          <a:extLst>
            <a:ext uri="{FF2B5EF4-FFF2-40B4-BE49-F238E27FC236}">
              <a16:creationId xmlns:a16="http://schemas.microsoft.com/office/drawing/2014/main" id="{09B431CB-D816-C54B-AFA6-9782AD5C4F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343312866"/>
          <a:ext cx="1080000" cy="1080000"/>
        </a:xfrm>
        <a:prstGeom prst="rect">
          <a:avLst/>
        </a:prstGeom>
      </xdr:spPr>
    </xdr:pic>
    <xdr:clientData/>
  </xdr:oneCellAnchor>
  <xdr:oneCellAnchor>
    <xdr:from>
      <xdr:col>16</xdr:col>
      <xdr:colOff>148166</xdr:colOff>
      <xdr:row>260</xdr:row>
      <xdr:rowOff>1672166</xdr:rowOff>
    </xdr:from>
    <xdr:ext cx="1080000" cy="1080000"/>
    <xdr:pic>
      <xdr:nvPicPr>
        <xdr:cNvPr id="424" name="Resim 423">
          <a:extLst>
            <a:ext uri="{FF2B5EF4-FFF2-40B4-BE49-F238E27FC236}">
              <a16:creationId xmlns:a16="http://schemas.microsoft.com/office/drawing/2014/main" id="{338AA237-430C-1440-A32A-0C857F0B2F4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1344709866"/>
          <a:ext cx="1080000" cy="1080000"/>
        </a:xfrm>
        <a:prstGeom prst="rect">
          <a:avLst/>
        </a:prstGeom>
      </xdr:spPr>
    </xdr:pic>
    <xdr:clientData/>
  </xdr:oneCellAnchor>
  <xdr:oneCellAnchor>
    <xdr:from>
      <xdr:col>16</xdr:col>
      <xdr:colOff>148166</xdr:colOff>
      <xdr:row>261</xdr:row>
      <xdr:rowOff>254000</xdr:rowOff>
    </xdr:from>
    <xdr:ext cx="1080000" cy="1080000"/>
    <xdr:pic>
      <xdr:nvPicPr>
        <xdr:cNvPr id="425" name="Resim 424">
          <a:extLst>
            <a:ext uri="{FF2B5EF4-FFF2-40B4-BE49-F238E27FC236}">
              <a16:creationId xmlns:a16="http://schemas.microsoft.com/office/drawing/2014/main" id="{23DCDFDA-738A-894B-9951-35AEECE823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6" y="1348498700"/>
          <a:ext cx="1080000" cy="1080000"/>
        </a:xfrm>
        <a:prstGeom prst="rect">
          <a:avLst/>
        </a:prstGeom>
      </xdr:spPr>
    </xdr:pic>
    <xdr:clientData/>
  </xdr:oneCellAnchor>
  <xdr:oneCellAnchor>
    <xdr:from>
      <xdr:col>16</xdr:col>
      <xdr:colOff>190500</xdr:colOff>
      <xdr:row>261</xdr:row>
      <xdr:rowOff>1587500</xdr:rowOff>
    </xdr:from>
    <xdr:ext cx="1076737" cy="1080000"/>
    <xdr:pic>
      <xdr:nvPicPr>
        <xdr:cNvPr id="426" name="Resim 425">
          <a:extLst>
            <a:ext uri="{FF2B5EF4-FFF2-40B4-BE49-F238E27FC236}">
              <a16:creationId xmlns:a16="http://schemas.microsoft.com/office/drawing/2014/main" id="{6CD7B46D-BA70-C74F-AE14-7F98C167EE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1349832200"/>
          <a:ext cx="1076737" cy="1080000"/>
        </a:xfrm>
        <a:prstGeom prst="rect">
          <a:avLst/>
        </a:prstGeom>
      </xdr:spPr>
    </xdr:pic>
    <xdr:clientData/>
  </xdr:oneCellAnchor>
  <xdr:oneCellAnchor>
    <xdr:from>
      <xdr:col>16</xdr:col>
      <xdr:colOff>148167</xdr:colOff>
      <xdr:row>267</xdr:row>
      <xdr:rowOff>254000</xdr:rowOff>
    </xdr:from>
    <xdr:ext cx="1076737" cy="1080000"/>
    <xdr:pic>
      <xdr:nvPicPr>
        <xdr:cNvPr id="427" name="Resim 426">
          <a:extLst>
            <a:ext uri="{FF2B5EF4-FFF2-40B4-BE49-F238E27FC236}">
              <a16:creationId xmlns:a16="http://schemas.microsoft.com/office/drawing/2014/main" id="{3670B152-25A2-2140-9876-EC81976E139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1379740700"/>
          <a:ext cx="1076737" cy="1080000"/>
        </a:xfrm>
        <a:prstGeom prst="rect">
          <a:avLst/>
        </a:prstGeom>
      </xdr:spPr>
    </xdr:pic>
    <xdr:clientData/>
  </xdr:oneCellAnchor>
  <xdr:twoCellAnchor editAs="oneCell">
    <xdr:from>
      <xdr:col>16</xdr:col>
      <xdr:colOff>211667</xdr:colOff>
      <xdr:row>267</xdr:row>
      <xdr:rowOff>1672167</xdr:rowOff>
    </xdr:from>
    <xdr:to>
      <xdr:col>16</xdr:col>
      <xdr:colOff>1291667</xdr:colOff>
      <xdr:row>267</xdr:row>
      <xdr:rowOff>2732871</xdr:rowOff>
    </xdr:to>
    <xdr:pic>
      <xdr:nvPicPr>
        <xdr:cNvPr id="428" name="Resim 427">
          <a:extLst>
            <a:ext uri="{FF2B5EF4-FFF2-40B4-BE49-F238E27FC236}">
              <a16:creationId xmlns:a16="http://schemas.microsoft.com/office/drawing/2014/main" id="{FB341D99-927F-0640-8126-D91A6C78B122}"/>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19667" y="1381158867"/>
          <a:ext cx="1080000" cy="1060704"/>
        </a:xfrm>
        <a:prstGeom prst="rect">
          <a:avLst/>
        </a:prstGeom>
      </xdr:spPr>
    </xdr:pic>
    <xdr:clientData/>
  </xdr:twoCellAnchor>
  <xdr:twoCellAnchor editAs="oneCell">
    <xdr:from>
      <xdr:col>16</xdr:col>
      <xdr:colOff>169333</xdr:colOff>
      <xdr:row>267</xdr:row>
      <xdr:rowOff>3217333</xdr:rowOff>
    </xdr:from>
    <xdr:to>
      <xdr:col>16</xdr:col>
      <xdr:colOff>1293283</xdr:colOff>
      <xdr:row>267</xdr:row>
      <xdr:rowOff>4278037</xdr:rowOff>
    </xdr:to>
    <xdr:pic>
      <xdr:nvPicPr>
        <xdr:cNvPr id="429" name="Resim 428">
          <a:extLst>
            <a:ext uri="{FF2B5EF4-FFF2-40B4-BE49-F238E27FC236}">
              <a16:creationId xmlns:a16="http://schemas.microsoft.com/office/drawing/2014/main" id="{50B10362-03C9-924E-8353-7435D18047FB}"/>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77333" y="1382704033"/>
          <a:ext cx="1123950" cy="1060704"/>
        </a:xfrm>
        <a:prstGeom prst="rect">
          <a:avLst/>
        </a:prstGeom>
      </xdr:spPr>
    </xdr:pic>
    <xdr:clientData/>
  </xdr:twoCellAnchor>
  <xdr:oneCellAnchor>
    <xdr:from>
      <xdr:col>16</xdr:col>
      <xdr:colOff>190500</xdr:colOff>
      <xdr:row>268</xdr:row>
      <xdr:rowOff>402167</xdr:rowOff>
    </xdr:from>
    <xdr:ext cx="1076737" cy="1080000"/>
    <xdr:pic>
      <xdr:nvPicPr>
        <xdr:cNvPr id="430" name="Resim 429">
          <a:extLst>
            <a:ext uri="{FF2B5EF4-FFF2-40B4-BE49-F238E27FC236}">
              <a16:creationId xmlns:a16="http://schemas.microsoft.com/office/drawing/2014/main" id="{534498E6-251A-9242-91CA-83D345C8957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1385095867"/>
          <a:ext cx="1076737" cy="1080000"/>
        </a:xfrm>
        <a:prstGeom prst="rect">
          <a:avLst/>
        </a:prstGeom>
      </xdr:spPr>
    </xdr:pic>
    <xdr:clientData/>
  </xdr:oneCellAnchor>
  <xdr:oneCellAnchor>
    <xdr:from>
      <xdr:col>16</xdr:col>
      <xdr:colOff>232833</xdr:colOff>
      <xdr:row>268</xdr:row>
      <xdr:rowOff>1735667</xdr:rowOff>
    </xdr:from>
    <xdr:ext cx="1080000" cy="1080000"/>
    <xdr:pic>
      <xdr:nvPicPr>
        <xdr:cNvPr id="431" name="Resim 430">
          <a:extLst>
            <a:ext uri="{FF2B5EF4-FFF2-40B4-BE49-F238E27FC236}">
              <a16:creationId xmlns:a16="http://schemas.microsoft.com/office/drawing/2014/main" id="{46816AA4-0FEC-1A4C-A49E-D8E5BB3C3C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89833" y="1386429367"/>
          <a:ext cx="1080000" cy="1080000"/>
        </a:xfrm>
        <a:prstGeom prst="rect">
          <a:avLst/>
        </a:prstGeom>
      </xdr:spPr>
    </xdr:pic>
    <xdr:clientData/>
  </xdr:oneCellAnchor>
  <xdr:oneCellAnchor>
    <xdr:from>
      <xdr:col>16</xdr:col>
      <xdr:colOff>84667</xdr:colOff>
      <xdr:row>268</xdr:row>
      <xdr:rowOff>3005666</xdr:rowOff>
    </xdr:from>
    <xdr:ext cx="1080000" cy="1080000"/>
    <xdr:pic>
      <xdr:nvPicPr>
        <xdr:cNvPr id="432" name="Resim 431">
          <a:extLst>
            <a:ext uri="{FF2B5EF4-FFF2-40B4-BE49-F238E27FC236}">
              <a16:creationId xmlns:a16="http://schemas.microsoft.com/office/drawing/2014/main" id="{21F70BC4-841F-294C-B86C-49B2FE4C16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1387699366"/>
          <a:ext cx="1080000" cy="1080000"/>
        </a:xfrm>
        <a:prstGeom prst="rect">
          <a:avLst/>
        </a:prstGeom>
      </xdr:spPr>
    </xdr:pic>
    <xdr:clientData/>
  </xdr:oneCellAnchor>
  <xdr:oneCellAnchor>
    <xdr:from>
      <xdr:col>16</xdr:col>
      <xdr:colOff>148167</xdr:colOff>
      <xdr:row>274</xdr:row>
      <xdr:rowOff>402166</xdr:rowOff>
    </xdr:from>
    <xdr:ext cx="1080000" cy="1080000"/>
    <xdr:pic>
      <xdr:nvPicPr>
        <xdr:cNvPr id="433" name="Resim 432">
          <a:extLst>
            <a:ext uri="{FF2B5EF4-FFF2-40B4-BE49-F238E27FC236}">
              <a16:creationId xmlns:a16="http://schemas.microsoft.com/office/drawing/2014/main" id="{A11EF200-3FC0-464E-A30C-5FC25D88E05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416337866"/>
          <a:ext cx="1080000" cy="1080000"/>
        </a:xfrm>
        <a:prstGeom prst="rect">
          <a:avLst/>
        </a:prstGeom>
      </xdr:spPr>
    </xdr:pic>
    <xdr:clientData/>
  </xdr:oneCellAnchor>
  <xdr:oneCellAnchor>
    <xdr:from>
      <xdr:col>16</xdr:col>
      <xdr:colOff>190500</xdr:colOff>
      <xdr:row>275</xdr:row>
      <xdr:rowOff>21167</xdr:rowOff>
    </xdr:from>
    <xdr:ext cx="1080000" cy="1080000"/>
    <xdr:pic>
      <xdr:nvPicPr>
        <xdr:cNvPr id="434" name="Resim 433">
          <a:extLst>
            <a:ext uri="{FF2B5EF4-FFF2-40B4-BE49-F238E27FC236}">
              <a16:creationId xmlns:a16="http://schemas.microsoft.com/office/drawing/2014/main" id="{4FA6C0ED-1C1A-3249-A692-50B7BD22E9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421163867"/>
          <a:ext cx="1080000" cy="1080000"/>
        </a:xfrm>
        <a:prstGeom prst="rect">
          <a:avLst/>
        </a:prstGeom>
      </xdr:spPr>
    </xdr:pic>
    <xdr:clientData/>
  </xdr:oneCellAnchor>
  <xdr:oneCellAnchor>
    <xdr:from>
      <xdr:col>16</xdr:col>
      <xdr:colOff>148167</xdr:colOff>
      <xdr:row>275</xdr:row>
      <xdr:rowOff>1143000</xdr:rowOff>
    </xdr:from>
    <xdr:ext cx="1076737" cy="1080000"/>
    <xdr:pic>
      <xdr:nvPicPr>
        <xdr:cNvPr id="435" name="Resim 434">
          <a:extLst>
            <a:ext uri="{FF2B5EF4-FFF2-40B4-BE49-F238E27FC236}">
              <a16:creationId xmlns:a16="http://schemas.microsoft.com/office/drawing/2014/main" id="{036BBAB9-764B-C54B-9093-0FBFF7F4DA0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1422285700"/>
          <a:ext cx="1076737" cy="1080000"/>
        </a:xfrm>
        <a:prstGeom prst="rect">
          <a:avLst/>
        </a:prstGeom>
      </xdr:spPr>
    </xdr:pic>
    <xdr:clientData/>
  </xdr:oneCellAnchor>
  <xdr:twoCellAnchor editAs="oneCell">
    <xdr:from>
      <xdr:col>16</xdr:col>
      <xdr:colOff>105833</xdr:colOff>
      <xdr:row>275</xdr:row>
      <xdr:rowOff>2370667</xdr:rowOff>
    </xdr:from>
    <xdr:to>
      <xdr:col>16</xdr:col>
      <xdr:colOff>1229783</xdr:colOff>
      <xdr:row>275</xdr:row>
      <xdr:rowOff>3431371</xdr:rowOff>
    </xdr:to>
    <xdr:pic>
      <xdr:nvPicPr>
        <xdr:cNvPr id="436" name="Resim 435">
          <a:extLst>
            <a:ext uri="{FF2B5EF4-FFF2-40B4-BE49-F238E27FC236}">
              <a16:creationId xmlns:a16="http://schemas.microsoft.com/office/drawing/2014/main" id="{7AC390B9-3D29-2140-9876-57BC14DA14B8}"/>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13833" y="1423513367"/>
          <a:ext cx="1123950" cy="1060704"/>
        </a:xfrm>
        <a:prstGeom prst="rect">
          <a:avLst/>
        </a:prstGeom>
      </xdr:spPr>
    </xdr:pic>
    <xdr:clientData/>
  </xdr:twoCellAnchor>
  <xdr:oneCellAnchor>
    <xdr:from>
      <xdr:col>16</xdr:col>
      <xdr:colOff>126999</xdr:colOff>
      <xdr:row>275</xdr:row>
      <xdr:rowOff>3725333</xdr:rowOff>
    </xdr:from>
    <xdr:ext cx="1080000" cy="1072847"/>
    <xdr:pic>
      <xdr:nvPicPr>
        <xdr:cNvPr id="437" name="Resim 436">
          <a:extLst>
            <a:ext uri="{FF2B5EF4-FFF2-40B4-BE49-F238E27FC236}">
              <a16:creationId xmlns:a16="http://schemas.microsoft.com/office/drawing/2014/main" id="{F6E19E7A-8B52-7845-AC0F-84EBB89385A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3999" y="1424868033"/>
          <a:ext cx="1080000" cy="1072847"/>
        </a:xfrm>
        <a:prstGeom prst="rect">
          <a:avLst/>
        </a:prstGeom>
      </xdr:spPr>
    </xdr:pic>
    <xdr:clientData/>
  </xdr:oneCellAnchor>
  <xdr:oneCellAnchor>
    <xdr:from>
      <xdr:col>16</xdr:col>
      <xdr:colOff>148167</xdr:colOff>
      <xdr:row>278</xdr:row>
      <xdr:rowOff>381000</xdr:rowOff>
    </xdr:from>
    <xdr:ext cx="1080000" cy="1080000"/>
    <xdr:pic>
      <xdr:nvPicPr>
        <xdr:cNvPr id="438" name="Resim 437">
          <a:extLst>
            <a:ext uri="{FF2B5EF4-FFF2-40B4-BE49-F238E27FC236}">
              <a16:creationId xmlns:a16="http://schemas.microsoft.com/office/drawing/2014/main" id="{2230D191-FC57-2040-B9E5-3242CF2CA5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437144700"/>
          <a:ext cx="1080000" cy="1080000"/>
        </a:xfrm>
        <a:prstGeom prst="rect">
          <a:avLst/>
        </a:prstGeom>
      </xdr:spPr>
    </xdr:pic>
    <xdr:clientData/>
  </xdr:oneCellAnchor>
  <xdr:twoCellAnchor editAs="oneCell">
    <xdr:from>
      <xdr:col>16</xdr:col>
      <xdr:colOff>232833</xdr:colOff>
      <xdr:row>279</xdr:row>
      <xdr:rowOff>105833</xdr:rowOff>
    </xdr:from>
    <xdr:to>
      <xdr:col>16</xdr:col>
      <xdr:colOff>1117405</xdr:colOff>
      <xdr:row>279</xdr:row>
      <xdr:rowOff>1166537</xdr:rowOff>
    </xdr:to>
    <xdr:pic>
      <xdr:nvPicPr>
        <xdr:cNvPr id="439" name="Resim 438">
          <a:extLst>
            <a:ext uri="{FF2B5EF4-FFF2-40B4-BE49-F238E27FC236}">
              <a16:creationId xmlns:a16="http://schemas.microsoft.com/office/drawing/2014/main" id="{49667A85-457E-1D4C-8BEE-008C4610B046}"/>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40833" y="1442076533"/>
          <a:ext cx="884572" cy="1060704"/>
        </a:xfrm>
        <a:prstGeom prst="rect">
          <a:avLst/>
        </a:prstGeom>
      </xdr:spPr>
    </xdr:pic>
    <xdr:clientData/>
  </xdr:twoCellAnchor>
  <xdr:oneCellAnchor>
    <xdr:from>
      <xdr:col>16</xdr:col>
      <xdr:colOff>232833</xdr:colOff>
      <xdr:row>279</xdr:row>
      <xdr:rowOff>1143000</xdr:rowOff>
    </xdr:from>
    <xdr:ext cx="846667" cy="846667"/>
    <xdr:pic>
      <xdr:nvPicPr>
        <xdr:cNvPr id="440" name="Resim 439">
          <a:extLst>
            <a:ext uri="{FF2B5EF4-FFF2-40B4-BE49-F238E27FC236}">
              <a16:creationId xmlns:a16="http://schemas.microsoft.com/office/drawing/2014/main" id="{075E09F7-1F27-0548-8BC5-FFD4E5ED3F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89833" y="1443113700"/>
          <a:ext cx="846667" cy="846667"/>
        </a:xfrm>
        <a:prstGeom prst="rect">
          <a:avLst/>
        </a:prstGeom>
      </xdr:spPr>
    </xdr:pic>
    <xdr:clientData/>
  </xdr:oneCellAnchor>
  <xdr:oneCellAnchor>
    <xdr:from>
      <xdr:col>16</xdr:col>
      <xdr:colOff>254000</xdr:colOff>
      <xdr:row>279</xdr:row>
      <xdr:rowOff>2032000</xdr:rowOff>
    </xdr:from>
    <xdr:ext cx="846667" cy="846667"/>
    <xdr:pic>
      <xdr:nvPicPr>
        <xdr:cNvPr id="441" name="Resim 440">
          <a:extLst>
            <a:ext uri="{FF2B5EF4-FFF2-40B4-BE49-F238E27FC236}">
              <a16:creationId xmlns:a16="http://schemas.microsoft.com/office/drawing/2014/main" id="{4F469546-B0AA-2A40-A26A-1537F85959D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11000" y="1444002700"/>
          <a:ext cx="846667" cy="846667"/>
        </a:xfrm>
        <a:prstGeom prst="rect">
          <a:avLst/>
        </a:prstGeom>
      </xdr:spPr>
    </xdr:pic>
    <xdr:clientData/>
  </xdr:oneCellAnchor>
  <xdr:twoCellAnchor editAs="oneCell">
    <xdr:from>
      <xdr:col>16</xdr:col>
      <xdr:colOff>190492</xdr:colOff>
      <xdr:row>279</xdr:row>
      <xdr:rowOff>2963333</xdr:rowOff>
    </xdr:from>
    <xdr:to>
      <xdr:col>16</xdr:col>
      <xdr:colOff>1164159</xdr:colOff>
      <xdr:row>279</xdr:row>
      <xdr:rowOff>4024037</xdr:rowOff>
    </xdr:to>
    <xdr:pic>
      <xdr:nvPicPr>
        <xdr:cNvPr id="442" name="Resim 441">
          <a:extLst>
            <a:ext uri="{FF2B5EF4-FFF2-40B4-BE49-F238E27FC236}">
              <a16:creationId xmlns:a16="http://schemas.microsoft.com/office/drawing/2014/main" id="{89F785A7-A6A8-EB48-9494-8B2061380DBC}"/>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98492" y="1444934033"/>
          <a:ext cx="973667" cy="1060704"/>
        </a:xfrm>
        <a:prstGeom prst="rect">
          <a:avLst/>
        </a:prstGeom>
      </xdr:spPr>
    </xdr:pic>
    <xdr:clientData/>
  </xdr:twoCellAnchor>
  <xdr:oneCellAnchor>
    <xdr:from>
      <xdr:col>16</xdr:col>
      <xdr:colOff>190500</xdr:colOff>
      <xdr:row>279</xdr:row>
      <xdr:rowOff>4064000</xdr:rowOff>
    </xdr:from>
    <xdr:ext cx="916235" cy="910167"/>
    <xdr:pic>
      <xdr:nvPicPr>
        <xdr:cNvPr id="443" name="Resim 442">
          <a:extLst>
            <a:ext uri="{FF2B5EF4-FFF2-40B4-BE49-F238E27FC236}">
              <a16:creationId xmlns:a16="http://schemas.microsoft.com/office/drawing/2014/main" id="{72CB87CE-CC60-EA48-B039-6D6E2F425F2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1446034700"/>
          <a:ext cx="916235" cy="910167"/>
        </a:xfrm>
        <a:prstGeom prst="rect">
          <a:avLst/>
        </a:prstGeom>
      </xdr:spPr>
    </xdr:pic>
    <xdr:clientData/>
  </xdr:oneCellAnchor>
  <xdr:oneCellAnchor>
    <xdr:from>
      <xdr:col>16</xdr:col>
      <xdr:colOff>169334</xdr:colOff>
      <xdr:row>280</xdr:row>
      <xdr:rowOff>423334</xdr:rowOff>
    </xdr:from>
    <xdr:ext cx="1076737" cy="1080000"/>
    <xdr:pic>
      <xdr:nvPicPr>
        <xdr:cNvPr id="444" name="Resim 443">
          <a:extLst>
            <a:ext uri="{FF2B5EF4-FFF2-40B4-BE49-F238E27FC236}">
              <a16:creationId xmlns:a16="http://schemas.microsoft.com/office/drawing/2014/main" id="{2BFA18E1-5BA5-B449-ADB6-B4ED08ED10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4" y="1447601034"/>
          <a:ext cx="1076737" cy="1080000"/>
        </a:xfrm>
        <a:prstGeom prst="rect">
          <a:avLst/>
        </a:prstGeom>
      </xdr:spPr>
    </xdr:pic>
    <xdr:clientData/>
  </xdr:oneCellAnchor>
  <xdr:oneCellAnchor>
    <xdr:from>
      <xdr:col>16</xdr:col>
      <xdr:colOff>148167</xdr:colOff>
      <xdr:row>280</xdr:row>
      <xdr:rowOff>1820333</xdr:rowOff>
    </xdr:from>
    <xdr:ext cx="1080000" cy="1080000"/>
    <xdr:pic>
      <xdr:nvPicPr>
        <xdr:cNvPr id="445" name="Resim 444">
          <a:extLst>
            <a:ext uri="{FF2B5EF4-FFF2-40B4-BE49-F238E27FC236}">
              <a16:creationId xmlns:a16="http://schemas.microsoft.com/office/drawing/2014/main" id="{E8C63449-098C-4A44-B3DA-A7D0E995AD5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1448998033"/>
          <a:ext cx="1080000" cy="1080000"/>
        </a:xfrm>
        <a:prstGeom prst="rect">
          <a:avLst/>
        </a:prstGeom>
      </xdr:spPr>
    </xdr:pic>
    <xdr:clientData/>
  </xdr:oneCellAnchor>
  <xdr:oneCellAnchor>
    <xdr:from>
      <xdr:col>16</xdr:col>
      <xdr:colOff>169333</xdr:colOff>
      <xdr:row>281</xdr:row>
      <xdr:rowOff>381000</xdr:rowOff>
    </xdr:from>
    <xdr:ext cx="1076737" cy="1080000"/>
    <xdr:pic>
      <xdr:nvPicPr>
        <xdr:cNvPr id="446" name="Resim 445">
          <a:extLst>
            <a:ext uri="{FF2B5EF4-FFF2-40B4-BE49-F238E27FC236}">
              <a16:creationId xmlns:a16="http://schemas.microsoft.com/office/drawing/2014/main" id="{C5D6B1E6-9218-8346-95D6-3CA6BB8F8D5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3" y="1452765700"/>
          <a:ext cx="1076737" cy="1080000"/>
        </a:xfrm>
        <a:prstGeom prst="rect">
          <a:avLst/>
        </a:prstGeom>
      </xdr:spPr>
    </xdr:pic>
    <xdr:clientData/>
  </xdr:oneCellAnchor>
  <xdr:oneCellAnchor>
    <xdr:from>
      <xdr:col>16</xdr:col>
      <xdr:colOff>169333</xdr:colOff>
      <xdr:row>281</xdr:row>
      <xdr:rowOff>1629833</xdr:rowOff>
    </xdr:from>
    <xdr:ext cx="1080000" cy="1080000"/>
    <xdr:pic>
      <xdr:nvPicPr>
        <xdr:cNvPr id="447" name="Resim 446">
          <a:extLst>
            <a:ext uri="{FF2B5EF4-FFF2-40B4-BE49-F238E27FC236}">
              <a16:creationId xmlns:a16="http://schemas.microsoft.com/office/drawing/2014/main" id="{46F4B952-3D05-B747-9B91-813811A41F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1454014533"/>
          <a:ext cx="1080000" cy="1080000"/>
        </a:xfrm>
        <a:prstGeom prst="rect">
          <a:avLst/>
        </a:prstGeom>
      </xdr:spPr>
    </xdr:pic>
    <xdr:clientData/>
  </xdr:oneCellAnchor>
  <xdr:oneCellAnchor>
    <xdr:from>
      <xdr:col>16</xdr:col>
      <xdr:colOff>84666</xdr:colOff>
      <xdr:row>283</xdr:row>
      <xdr:rowOff>275166</xdr:rowOff>
    </xdr:from>
    <xdr:ext cx="1080000" cy="1080000"/>
    <xdr:pic>
      <xdr:nvPicPr>
        <xdr:cNvPr id="448" name="Resim 447">
          <a:extLst>
            <a:ext uri="{FF2B5EF4-FFF2-40B4-BE49-F238E27FC236}">
              <a16:creationId xmlns:a16="http://schemas.microsoft.com/office/drawing/2014/main" id="{271702C2-2A6C-6540-AC07-D39DC53DE4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6" y="1463073866"/>
          <a:ext cx="1080000" cy="1080000"/>
        </a:xfrm>
        <a:prstGeom prst="rect">
          <a:avLst/>
        </a:prstGeom>
      </xdr:spPr>
    </xdr:pic>
    <xdr:clientData/>
  </xdr:oneCellAnchor>
  <xdr:oneCellAnchor>
    <xdr:from>
      <xdr:col>16</xdr:col>
      <xdr:colOff>84667</xdr:colOff>
      <xdr:row>284</xdr:row>
      <xdr:rowOff>127000</xdr:rowOff>
    </xdr:from>
    <xdr:ext cx="1080000" cy="1080000"/>
    <xdr:pic>
      <xdr:nvPicPr>
        <xdr:cNvPr id="449" name="Resim 448">
          <a:extLst>
            <a:ext uri="{FF2B5EF4-FFF2-40B4-BE49-F238E27FC236}">
              <a16:creationId xmlns:a16="http://schemas.microsoft.com/office/drawing/2014/main" id="{FF1E161E-AF9B-AF44-BD33-3EA36A26C4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1468132700"/>
          <a:ext cx="1080000" cy="1080000"/>
        </a:xfrm>
        <a:prstGeom prst="rect">
          <a:avLst/>
        </a:prstGeom>
      </xdr:spPr>
    </xdr:pic>
    <xdr:clientData/>
  </xdr:oneCellAnchor>
  <xdr:twoCellAnchor editAs="oneCell">
    <xdr:from>
      <xdr:col>16</xdr:col>
      <xdr:colOff>190493</xdr:colOff>
      <xdr:row>284</xdr:row>
      <xdr:rowOff>1333501</xdr:rowOff>
    </xdr:from>
    <xdr:to>
      <xdr:col>16</xdr:col>
      <xdr:colOff>1164160</xdr:colOff>
      <xdr:row>284</xdr:row>
      <xdr:rowOff>2394205</xdr:rowOff>
    </xdr:to>
    <xdr:pic>
      <xdr:nvPicPr>
        <xdr:cNvPr id="450" name="Resim 449">
          <a:extLst>
            <a:ext uri="{FF2B5EF4-FFF2-40B4-BE49-F238E27FC236}">
              <a16:creationId xmlns:a16="http://schemas.microsoft.com/office/drawing/2014/main" id="{DDFEB0CB-E22F-A241-9DC6-F6923FFF9698}"/>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98493" y="1469339201"/>
          <a:ext cx="973667" cy="1060704"/>
        </a:xfrm>
        <a:prstGeom prst="rect">
          <a:avLst/>
        </a:prstGeom>
      </xdr:spPr>
    </xdr:pic>
    <xdr:clientData/>
  </xdr:twoCellAnchor>
  <xdr:oneCellAnchor>
    <xdr:from>
      <xdr:col>16</xdr:col>
      <xdr:colOff>169334</xdr:colOff>
      <xdr:row>284</xdr:row>
      <xdr:rowOff>2476500</xdr:rowOff>
    </xdr:from>
    <xdr:ext cx="1080000" cy="1080000"/>
    <xdr:pic>
      <xdr:nvPicPr>
        <xdr:cNvPr id="451" name="Resim 450">
          <a:extLst>
            <a:ext uri="{FF2B5EF4-FFF2-40B4-BE49-F238E27FC236}">
              <a16:creationId xmlns:a16="http://schemas.microsoft.com/office/drawing/2014/main" id="{B0092CAB-44BE-D441-B5B9-66FB5EF8D3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6334" y="1470482200"/>
          <a:ext cx="1080000" cy="1080000"/>
        </a:xfrm>
        <a:prstGeom prst="rect">
          <a:avLst/>
        </a:prstGeom>
      </xdr:spPr>
    </xdr:pic>
    <xdr:clientData/>
  </xdr:oneCellAnchor>
  <xdr:oneCellAnchor>
    <xdr:from>
      <xdr:col>16</xdr:col>
      <xdr:colOff>84667</xdr:colOff>
      <xdr:row>286</xdr:row>
      <xdr:rowOff>275167</xdr:rowOff>
    </xdr:from>
    <xdr:ext cx="1080000" cy="1080000"/>
    <xdr:pic>
      <xdr:nvPicPr>
        <xdr:cNvPr id="452" name="Resim 451">
          <a:extLst>
            <a:ext uri="{FF2B5EF4-FFF2-40B4-BE49-F238E27FC236}">
              <a16:creationId xmlns:a16="http://schemas.microsoft.com/office/drawing/2014/main" id="{47647FA1-E650-F443-8C74-A8518333DF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41667" y="1478694867"/>
          <a:ext cx="1080000" cy="1080000"/>
        </a:xfrm>
        <a:prstGeom prst="rect">
          <a:avLst/>
        </a:prstGeom>
      </xdr:spPr>
    </xdr:pic>
    <xdr:clientData/>
  </xdr:oneCellAnchor>
  <xdr:oneCellAnchor>
    <xdr:from>
      <xdr:col>16</xdr:col>
      <xdr:colOff>190500</xdr:colOff>
      <xdr:row>286</xdr:row>
      <xdr:rowOff>1545167</xdr:rowOff>
    </xdr:from>
    <xdr:ext cx="916235" cy="910167"/>
    <xdr:pic>
      <xdr:nvPicPr>
        <xdr:cNvPr id="453" name="Resim 452">
          <a:extLst>
            <a:ext uri="{FF2B5EF4-FFF2-40B4-BE49-F238E27FC236}">
              <a16:creationId xmlns:a16="http://schemas.microsoft.com/office/drawing/2014/main" id="{456A0FBA-BDC4-244B-8621-4BEB30174D6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1479964867"/>
          <a:ext cx="916235" cy="910167"/>
        </a:xfrm>
        <a:prstGeom prst="rect">
          <a:avLst/>
        </a:prstGeom>
      </xdr:spPr>
    </xdr:pic>
    <xdr:clientData/>
  </xdr:oneCellAnchor>
  <xdr:twoCellAnchor editAs="oneCell">
    <xdr:from>
      <xdr:col>16</xdr:col>
      <xdr:colOff>126994</xdr:colOff>
      <xdr:row>287</xdr:row>
      <xdr:rowOff>402167</xdr:rowOff>
    </xdr:from>
    <xdr:to>
      <xdr:col>16</xdr:col>
      <xdr:colOff>1099773</xdr:colOff>
      <xdr:row>287</xdr:row>
      <xdr:rowOff>1462871</xdr:rowOff>
    </xdr:to>
    <xdr:pic>
      <xdr:nvPicPr>
        <xdr:cNvPr id="454" name="Resim 453">
          <a:extLst>
            <a:ext uri="{FF2B5EF4-FFF2-40B4-BE49-F238E27FC236}">
              <a16:creationId xmlns:a16="http://schemas.microsoft.com/office/drawing/2014/main" id="{69003A27-22DC-734A-81EC-7E2F60687F3D}"/>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34994" y="1484028867"/>
          <a:ext cx="972779" cy="1060704"/>
        </a:xfrm>
        <a:prstGeom prst="rect">
          <a:avLst/>
        </a:prstGeom>
      </xdr:spPr>
    </xdr:pic>
    <xdr:clientData/>
  </xdr:twoCellAnchor>
  <xdr:twoCellAnchor editAs="oneCell">
    <xdr:from>
      <xdr:col>16</xdr:col>
      <xdr:colOff>211666</xdr:colOff>
      <xdr:row>290</xdr:row>
      <xdr:rowOff>254000</xdr:rowOff>
    </xdr:from>
    <xdr:to>
      <xdr:col>16</xdr:col>
      <xdr:colOff>1185333</xdr:colOff>
      <xdr:row>290</xdr:row>
      <xdr:rowOff>1314704</xdr:rowOff>
    </xdr:to>
    <xdr:pic>
      <xdr:nvPicPr>
        <xdr:cNvPr id="455" name="Resim 454">
          <a:extLst>
            <a:ext uri="{FF2B5EF4-FFF2-40B4-BE49-F238E27FC236}">
              <a16:creationId xmlns:a16="http://schemas.microsoft.com/office/drawing/2014/main" id="{33BA722F-A6AD-4A45-9903-178EB24B8E01}"/>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19666" y="1499501700"/>
          <a:ext cx="973667" cy="1060704"/>
        </a:xfrm>
        <a:prstGeom prst="rect">
          <a:avLst/>
        </a:prstGeom>
      </xdr:spPr>
    </xdr:pic>
    <xdr:clientData/>
  </xdr:twoCellAnchor>
  <xdr:oneCellAnchor>
    <xdr:from>
      <xdr:col>16</xdr:col>
      <xdr:colOff>148167</xdr:colOff>
      <xdr:row>290</xdr:row>
      <xdr:rowOff>1524000</xdr:rowOff>
    </xdr:from>
    <xdr:ext cx="1080000" cy="1080000"/>
    <xdr:pic>
      <xdr:nvPicPr>
        <xdr:cNvPr id="456" name="Resim 455">
          <a:extLst>
            <a:ext uri="{FF2B5EF4-FFF2-40B4-BE49-F238E27FC236}">
              <a16:creationId xmlns:a16="http://schemas.microsoft.com/office/drawing/2014/main" id="{A9C2AADC-B649-3D49-BDCE-6DD2A6EB97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500771700"/>
          <a:ext cx="1080000" cy="1080000"/>
        </a:xfrm>
        <a:prstGeom prst="rect">
          <a:avLst/>
        </a:prstGeom>
      </xdr:spPr>
    </xdr:pic>
    <xdr:clientData/>
  </xdr:oneCellAnchor>
  <xdr:oneCellAnchor>
    <xdr:from>
      <xdr:col>16</xdr:col>
      <xdr:colOff>105833</xdr:colOff>
      <xdr:row>291</xdr:row>
      <xdr:rowOff>317500</xdr:rowOff>
    </xdr:from>
    <xdr:ext cx="1080000" cy="1080000"/>
    <xdr:pic>
      <xdr:nvPicPr>
        <xdr:cNvPr id="457" name="Resim 456">
          <a:extLst>
            <a:ext uri="{FF2B5EF4-FFF2-40B4-BE49-F238E27FC236}">
              <a16:creationId xmlns:a16="http://schemas.microsoft.com/office/drawing/2014/main" id="{9C97292F-254D-5949-BCDF-A1D56C6CDC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1504772200"/>
          <a:ext cx="1080000" cy="1080000"/>
        </a:xfrm>
        <a:prstGeom prst="rect">
          <a:avLst/>
        </a:prstGeom>
      </xdr:spPr>
    </xdr:pic>
    <xdr:clientData/>
  </xdr:oneCellAnchor>
  <xdr:oneCellAnchor>
    <xdr:from>
      <xdr:col>16</xdr:col>
      <xdr:colOff>148167</xdr:colOff>
      <xdr:row>295</xdr:row>
      <xdr:rowOff>338667</xdr:rowOff>
    </xdr:from>
    <xdr:ext cx="1080000" cy="1080000"/>
    <xdr:pic>
      <xdr:nvPicPr>
        <xdr:cNvPr id="458" name="Resim 457">
          <a:extLst>
            <a:ext uri="{FF2B5EF4-FFF2-40B4-BE49-F238E27FC236}">
              <a16:creationId xmlns:a16="http://schemas.microsoft.com/office/drawing/2014/main" id="{1EC5D241-8C16-9643-B96A-74858AE81F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525621367"/>
          <a:ext cx="1080000" cy="1080000"/>
        </a:xfrm>
        <a:prstGeom prst="rect">
          <a:avLst/>
        </a:prstGeom>
      </xdr:spPr>
    </xdr:pic>
    <xdr:clientData/>
  </xdr:oneCellAnchor>
  <xdr:oneCellAnchor>
    <xdr:from>
      <xdr:col>16</xdr:col>
      <xdr:colOff>190500</xdr:colOff>
      <xdr:row>297</xdr:row>
      <xdr:rowOff>275167</xdr:rowOff>
    </xdr:from>
    <xdr:ext cx="1080000" cy="1080000"/>
    <xdr:pic>
      <xdr:nvPicPr>
        <xdr:cNvPr id="459" name="Resim 458">
          <a:extLst>
            <a:ext uri="{FF2B5EF4-FFF2-40B4-BE49-F238E27FC236}">
              <a16:creationId xmlns:a16="http://schemas.microsoft.com/office/drawing/2014/main" id="{26AF132A-59F1-E14B-B695-52740D7BF8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535971867"/>
          <a:ext cx="1080000" cy="1080000"/>
        </a:xfrm>
        <a:prstGeom prst="rect">
          <a:avLst/>
        </a:prstGeom>
      </xdr:spPr>
    </xdr:pic>
    <xdr:clientData/>
  </xdr:oneCellAnchor>
  <xdr:twoCellAnchor editAs="oneCell">
    <xdr:from>
      <xdr:col>16</xdr:col>
      <xdr:colOff>169334</xdr:colOff>
      <xdr:row>298</xdr:row>
      <xdr:rowOff>402167</xdr:rowOff>
    </xdr:from>
    <xdr:to>
      <xdr:col>16</xdr:col>
      <xdr:colOff>1143001</xdr:colOff>
      <xdr:row>298</xdr:row>
      <xdr:rowOff>1462871</xdr:rowOff>
    </xdr:to>
    <xdr:pic>
      <xdr:nvPicPr>
        <xdr:cNvPr id="460" name="Resim 459">
          <a:extLst>
            <a:ext uri="{FF2B5EF4-FFF2-40B4-BE49-F238E27FC236}">
              <a16:creationId xmlns:a16="http://schemas.microsoft.com/office/drawing/2014/main" id="{9C72953C-194F-E942-98C3-998F6535AA19}"/>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77334" y="1541305867"/>
          <a:ext cx="973667" cy="1060704"/>
        </a:xfrm>
        <a:prstGeom prst="rect">
          <a:avLst/>
        </a:prstGeom>
      </xdr:spPr>
    </xdr:pic>
    <xdr:clientData/>
  </xdr:twoCellAnchor>
  <xdr:twoCellAnchor editAs="oneCell">
    <xdr:from>
      <xdr:col>16</xdr:col>
      <xdr:colOff>232833</xdr:colOff>
      <xdr:row>298</xdr:row>
      <xdr:rowOff>1566334</xdr:rowOff>
    </xdr:from>
    <xdr:to>
      <xdr:col>16</xdr:col>
      <xdr:colOff>1227667</xdr:colOff>
      <xdr:row>298</xdr:row>
      <xdr:rowOff>2627038</xdr:rowOff>
    </xdr:to>
    <xdr:pic>
      <xdr:nvPicPr>
        <xdr:cNvPr id="461" name="Resim 460">
          <a:extLst>
            <a:ext uri="{FF2B5EF4-FFF2-40B4-BE49-F238E27FC236}">
              <a16:creationId xmlns:a16="http://schemas.microsoft.com/office/drawing/2014/main" id="{5E1DAEDE-CB1C-B741-9B35-B8D1F79EBDAC}"/>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40833" y="1542470034"/>
          <a:ext cx="994834" cy="1060704"/>
        </a:xfrm>
        <a:prstGeom prst="rect">
          <a:avLst/>
        </a:prstGeom>
      </xdr:spPr>
    </xdr:pic>
    <xdr:clientData/>
  </xdr:twoCellAnchor>
  <xdr:twoCellAnchor editAs="oneCell">
    <xdr:from>
      <xdr:col>16</xdr:col>
      <xdr:colOff>190500</xdr:colOff>
      <xdr:row>299</xdr:row>
      <xdr:rowOff>317500</xdr:rowOff>
    </xdr:from>
    <xdr:to>
      <xdr:col>16</xdr:col>
      <xdr:colOff>1164167</xdr:colOff>
      <xdr:row>299</xdr:row>
      <xdr:rowOff>1378204</xdr:rowOff>
    </xdr:to>
    <xdr:pic>
      <xdr:nvPicPr>
        <xdr:cNvPr id="462" name="Resim 461">
          <a:extLst>
            <a:ext uri="{FF2B5EF4-FFF2-40B4-BE49-F238E27FC236}">
              <a16:creationId xmlns:a16="http://schemas.microsoft.com/office/drawing/2014/main" id="{24DB6590-8B8F-EF4D-8E4B-9EDE3BA48C65}"/>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98500" y="1546428200"/>
          <a:ext cx="973667" cy="1060704"/>
        </a:xfrm>
        <a:prstGeom prst="rect">
          <a:avLst/>
        </a:prstGeom>
      </xdr:spPr>
    </xdr:pic>
    <xdr:clientData/>
  </xdr:twoCellAnchor>
  <xdr:twoCellAnchor editAs="oneCell">
    <xdr:from>
      <xdr:col>16</xdr:col>
      <xdr:colOff>190500</xdr:colOff>
      <xdr:row>299</xdr:row>
      <xdr:rowOff>1439333</xdr:rowOff>
    </xdr:from>
    <xdr:to>
      <xdr:col>16</xdr:col>
      <xdr:colOff>1185334</xdr:colOff>
      <xdr:row>299</xdr:row>
      <xdr:rowOff>2500037</xdr:rowOff>
    </xdr:to>
    <xdr:pic>
      <xdr:nvPicPr>
        <xdr:cNvPr id="463" name="Resim 462">
          <a:extLst>
            <a:ext uri="{FF2B5EF4-FFF2-40B4-BE49-F238E27FC236}">
              <a16:creationId xmlns:a16="http://schemas.microsoft.com/office/drawing/2014/main" id="{77B575D6-28C5-3C4F-A444-94D202E94414}"/>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398500" y="1547550033"/>
          <a:ext cx="994834" cy="1060704"/>
        </a:xfrm>
        <a:prstGeom prst="rect">
          <a:avLst/>
        </a:prstGeom>
      </xdr:spPr>
    </xdr:pic>
    <xdr:clientData/>
  </xdr:twoCellAnchor>
  <xdr:oneCellAnchor>
    <xdr:from>
      <xdr:col>16</xdr:col>
      <xdr:colOff>148166</xdr:colOff>
      <xdr:row>299</xdr:row>
      <xdr:rowOff>2624667</xdr:rowOff>
    </xdr:from>
    <xdr:ext cx="1080000" cy="1080000"/>
    <xdr:pic>
      <xdr:nvPicPr>
        <xdr:cNvPr id="464" name="Resim 463">
          <a:extLst>
            <a:ext uri="{FF2B5EF4-FFF2-40B4-BE49-F238E27FC236}">
              <a16:creationId xmlns:a16="http://schemas.microsoft.com/office/drawing/2014/main" id="{73400289-4B92-2646-B339-CF4DF15702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1548735367"/>
          <a:ext cx="1080000" cy="1080000"/>
        </a:xfrm>
        <a:prstGeom prst="rect">
          <a:avLst/>
        </a:prstGeom>
      </xdr:spPr>
    </xdr:pic>
    <xdr:clientData/>
  </xdr:oneCellAnchor>
  <xdr:oneCellAnchor>
    <xdr:from>
      <xdr:col>16</xdr:col>
      <xdr:colOff>148166</xdr:colOff>
      <xdr:row>299</xdr:row>
      <xdr:rowOff>3852333</xdr:rowOff>
    </xdr:from>
    <xdr:ext cx="1080000" cy="1080000"/>
    <xdr:pic>
      <xdr:nvPicPr>
        <xdr:cNvPr id="465" name="Resim 464">
          <a:extLst>
            <a:ext uri="{FF2B5EF4-FFF2-40B4-BE49-F238E27FC236}">
              <a16:creationId xmlns:a16="http://schemas.microsoft.com/office/drawing/2014/main" id="{D85AE419-CECE-7941-9C0C-EC02D72B4D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6" y="1549963033"/>
          <a:ext cx="1080000" cy="1080000"/>
        </a:xfrm>
        <a:prstGeom prst="rect">
          <a:avLst/>
        </a:prstGeom>
      </xdr:spPr>
    </xdr:pic>
    <xdr:clientData/>
  </xdr:oneCellAnchor>
  <xdr:oneCellAnchor>
    <xdr:from>
      <xdr:col>16</xdr:col>
      <xdr:colOff>127000</xdr:colOff>
      <xdr:row>305</xdr:row>
      <xdr:rowOff>359833</xdr:rowOff>
    </xdr:from>
    <xdr:ext cx="1080000" cy="1080000"/>
    <xdr:pic>
      <xdr:nvPicPr>
        <xdr:cNvPr id="466" name="Resim 465">
          <a:extLst>
            <a:ext uri="{FF2B5EF4-FFF2-40B4-BE49-F238E27FC236}">
              <a16:creationId xmlns:a16="http://schemas.microsoft.com/office/drawing/2014/main" id="{50BC449D-0C72-0442-ABD9-2AF8F48C4CB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577712533"/>
          <a:ext cx="1080000" cy="1080000"/>
        </a:xfrm>
        <a:prstGeom prst="rect">
          <a:avLst/>
        </a:prstGeom>
      </xdr:spPr>
    </xdr:pic>
    <xdr:clientData/>
  </xdr:oneCellAnchor>
  <xdr:oneCellAnchor>
    <xdr:from>
      <xdr:col>16</xdr:col>
      <xdr:colOff>127000</xdr:colOff>
      <xdr:row>305</xdr:row>
      <xdr:rowOff>1587500</xdr:rowOff>
    </xdr:from>
    <xdr:ext cx="1080000" cy="1080000"/>
    <xdr:pic>
      <xdr:nvPicPr>
        <xdr:cNvPr id="467" name="Resim 466">
          <a:extLst>
            <a:ext uri="{FF2B5EF4-FFF2-40B4-BE49-F238E27FC236}">
              <a16:creationId xmlns:a16="http://schemas.microsoft.com/office/drawing/2014/main" id="{D90DCE39-54B4-2B48-B95F-D1ECE11EC1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578940200"/>
          <a:ext cx="1080000" cy="1080000"/>
        </a:xfrm>
        <a:prstGeom prst="rect">
          <a:avLst/>
        </a:prstGeom>
      </xdr:spPr>
    </xdr:pic>
    <xdr:clientData/>
  </xdr:oneCellAnchor>
  <xdr:oneCellAnchor>
    <xdr:from>
      <xdr:col>16</xdr:col>
      <xdr:colOff>105834</xdr:colOff>
      <xdr:row>306</xdr:row>
      <xdr:rowOff>444500</xdr:rowOff>
    </xdr:from>
    <xdr:ext cx="1080000" cy="1080000"/>
    <xdr:pic>
      <xdr:nvPicPr>
        <xdr:cNvPr id="468" name="Resim 467">
          <a:extLst>
            <a:ext uri="{FF2B5EF4-FFF2-40B4-BE49-F238E27FC236}">
              <a16:creationId xmlns:a16="http://schemas.microsoft.com/office/drawing/2014/main" id="{E3E186AD-84BF-B847-85BF-C96EA28B31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1583004200"/>
          <a:ext cx="1080000" cy="1080000"/>
        </a:xfrm>
        <a:prstGeom prst="rect">
          <a:avLst/>
        </a:prstGeom>
      </xdr:spPr>
    </xdr:pic>
    <xdr:clientData/>
  </xdr:oneCellAnchor>
  <xdr:oneCellAnchor>
    <xdr:from>
      <xdr:col>16</xdr:col>
      <xdr:colOff>127000</xdr:colOff>
      <xdr:row>306</xdr:row>
      <xdr:rowOff>1672167</xdr:rowOff>
    </xdr:from>
    <xdr:ext cx="1080000" cy="1080000"/>
    <xdr:pic>
      <xdr:nvPicPr>
        <xdr:cNvPr id="469" name="Resim 468">
          <a:extLst>
            <a:ext uri="{FF2B5EF4-FFF2-40B4-BE49-F238E27FC236}">
              <a16:creationId xmlns:a16="http://schemas.microsoft.com/office/drawing/2014/main" id="{F65C8A54-64F4-3E42-8579-EC425FD3D7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584231867"/>
          <a:ext cx="1080000" cy="1080000"/>
        </a:xfrm>
        <a:prstGeom prst="rect">
          <a:avLst/>
        </a:prstGeom>
      </xdr:spPr>
    </xdr:pic>
    <xdr:clientData/>
  </xdr:oneCellAnchor>
  <xdr:oneCellAnchor>
    <xdr:from>
      <xdr:col>16</xdr:col>
      <xdr:colOff>148167</xdr:colOff>
      <xdr:row>308</xdr:row>
      <xdr:rowOff>317500</xdr:rowOff>
    </xdr:from>
    <xdr:ext cx="1080000" cy="1080000"/>
    <xdr:pic>
      <xdr:nvPicPr>
        <xdr:cNvPr id="470" name="Resim 469">
          <a:extLst>
            <a:ext uri="{FF2B5EF4-FFF2-40B4-BE49-F238E27FC236}">
              <a16:creationId xmlns:a16="http://schemas.microsoft.com/office/drawing/2014/main" id="{A1DEBEE4-F55C-F84A-ADC9-63DFE98E82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593291200"/>
          <a:ext cx="1080000" cy="1080000"/>
        </a:xfrm>
        <a:prstGeom prst="rect">
          <a:avLst/>
        </a:prstGeom>
      </xdr:spPr>
    </xdr:pic>
    <xdr:clientData/>
  </xdr:oneCellAnchor>
  <xdr:oneCellAnchor>
    <xdr:from>
      <xdr:col>16</xdr:col>
      <xdr:colOff>190500</xdr:colOff>
      <xdr:row>308</xdr:row>
      <xdr:rowOff>1587500</xdr:rowOff>
    </xdr:from>
    <xdr:ext cx="1080000" cy="1080000"/>
    <xdr:pic>
      <xdr:nvPicPr>
        <xdr:cNvPr id="471" name="Resim 470">
          <a:extLst>
            <a:ext uri="{FF2B5EF4-FFF2-40B4-BE49-F238E27FC236}">
              <a16:creationId xmlns:a16="http://schemas.microsoft.com/office/drawing/2014/main" id="{E318B691-3701-0747-8A38-0B28136F67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1594561200"/>
          <a:ext cx="1080000" cy="1080000"/>
        </a:xfrm>
        <a:prstGeom prst="rect">
          <a:avLst/>
        </a:prstGeom>
      </xdr:spPr>
    </xdr:pic>
    <xdr:clientData/>
  </xdr:oneCellAnchor>
  <xdr:oneCellAnchor>
    <xdr:from>
      <xdr:col>16</xdr:col>
      <xdr:colOff>148167</xdr:colOff>
      <xdr:row>308</xdr:row>
      <xdr:rowOff>2815167</xdr:rowOff>
    </xdr:from>
    <xdr:ext cx="1121834" cy="1114404"/>
    <xdr:pic>
      <xdr:nvPicPr>
        <xdr:cNvPr id="472" name="Resim 471">
          <a:extLst>
            <a:ext uri="{FF2B5EF4-FFF2-40B4-BE49-F238E27FC236}">
              <a16:creationId xmlns:a16="http://schemas.microsoft.com/office/drawing/2014/main" id="{DADF84E4-39FA-344C-B95B-F53752BF733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1595788867"/>
          <a:ext cx="1121834" cy="1114404"/>
        </a:xfrm>
        <a:prstGeom prst="rect">
          <a:avLst/>
        </a:prstGeom>
      </xdr:spPr>
    </xdr:pic>
    <xdr:clientData/>
  </xdr:oneCellAnchor>
  <xdr:oneCellAnchor>
    <xdr:from>
      <xdr:col>16</xdr:col>
      <xdr:colOff>169334</xdr:colOff>
      <xdr:row>309</xdr:row>
      <xdr:rowOff>317500</xdr:rowOff>
    </xdr:from>
    <xdr:ext cx="1080000" cy="1080000"/>
    <xdr:pic>
      <xdr:nvPicPr>
        <xdr:cNvPr id="473" name="Resim 472">
          <a:extLst>
            <a:ext uri="{FF2B5EF4-FFF2-40B4-BE49-F238E27FC236}">
              <a16:creationId xmlns:a16="http://schemas.microsoft.com/office/drawing/2014/main" id="{AFDB4F87-8E15-EA4C-B85D-0EECDCF0418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4" y="1598498200"/>
          <a:ext cx="1080000" cy="1080000"/>
        </a:xfrm>
        <a:prstGeom prst="rect">
          <a:avLst/>
        </a:prstGeom>
      </xdr:spPr>
    </xdr:pic>
    <xdr:clientData/>
  </xdr:oneCellAnchor>
  <xdr:oneCellAnchor>
    <xdr:from>
      <xdr:col>16</xdr:col>
      <xdr:colOff>148167</xdr:colOff>
      <xdr:row>309</xdr:row>
      <xdr:rowOff>1502834</xdr:rowOff>
    </xdr:from>
    <xdr:ext cx="1080000" cy="1080000"/>
    <xdr:pic>
      <xdr:nvPicPr>
        <xdr:cNvPr id="474" name="Resim 473">
          <a:extLst>
            <a:ext uri="{FF2B5EF4-FFF2-40B4-BE49-F238E27FC236}">
              <a16:creationId xmlns:a16="http://schemas.microsoft.com/office/drawing/2014/main" id="{20F19228-76C6-B842-8DB3-31628F81D2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599683534"/>
          <a:ext cx="1080000" cy="1080000"/>
        </a:xfrm>
        <a:prstGeom prst="rect">
          <a:avLst/>
        </a:prstGeom>
      </xdr:spPr>
    </xdr:pic>
    <xdr:clientData/>
  </xdr:oneCellAnchor>
  <xdr:twoCellAnchor editAs="oneCell">
    <xdr:from>
      <xdr:col>16</xdr:col>
      <xdr:colOff>190500</xdr:colOff>
      <xdr:row>309</xdr:row>
      <xdr:rowOff>2772833</xdr:rowOff>
    </xdr:from>
    <xdr:to>
      <xdr:col>16</xdr:col>
      <xdr:colOff>1164167</xdr:colOff>
      <xdr:row>309</xdr:row>
      <xdr:rowOff>3833537</xdr:rowOff>
    </xdr:to>
    <xdr:pic>
      <xdr:nvPicPr>
        <xdr:cNvPr id="475" name="Resim 474">
          <a:extLst>
            <a:ext uri="{FF2B5EF4-FFF2-40B4-BE49-F238E27FC236}">
              <a16:creationId xmlns:a16="http://schemas.microsoft.com/office/drawing/2014/main" id="{DCD8C653-2963-B746-AE9F-AE0E9DAC9C82}"/>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98500" y="1600953533"/>
          <a:ext cx="973667" cy="1060704"/>
        </a:xfrm>
        <a:prstGeom prst="rect">
          <a:avLst/>
        </a:prstGeom>
      </xdr:spPr>
    </xdr:pic>
    <xdr:clientData/>
  </xdr:twoCellAnchor>
  <xdr:oneCellAnchor>
    <xdr:from>
      <xdr:col>16</xdr:col>
      <xdr:colOff>169333</xdr:colOff>
      <xdr:row>310</xdr:row>
      <xdr:rowOff>550333</xdr:rowOff>
    </xdr:from>
    <xdr:ext cx="1080000" cy="1080000"/>
    <xdr:pic>
      <xdr:nvPicPr>
        <xdr:cNvPr id="476" name="Resim 475">
          <a:extLst>
            <a:ext uri="{FF2B5EF4-FFF2-40B4-BE49-F238E27FC236}">
              <a16:creationId xmlns:a16="http://schemas.microsoft.com/office/drawing/2014/main" id="{2D347645-116B-3D4C-A909-ABCBC9B4EA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1603938033"/>
          <a:ext cx="1080000" cy="1080000"/>
        </a:xfrm>
        <a:prstGeom prst="rect">
          <a:avLst/>
        </a:prstGeom>
      </xdr:spPr>
    </xdr:pic>
    <xdr:clientData/>
  </xdr:oneCellAnchor>
  <xdr:oneCellAnchor>
    <xdr:from>
      <xdr:col>16</xdr:col>
      <xdr:colOff>148166</xdr:colOff>
      <xdr:row>316</xdr:row>
      <xdr:rowOff>296334</xdr:rowOff>
    </xdr:from>
    <xdr:ext cx="1080000" cy="1080000"/>
    <xdr:pic>
      <xdr:nvPicPr>
        <xdr:cNvPr id="477" name="Resim 476">
          <a:extLst>
            <a:ext uri="{FF2B5EF4-FFF2-40B4-BE49-F238E27FC236}">
              <a16:creationId xmlns:a16="http://schemas.microsoft.com/office/drawing/2014/main" id="{E9D09B81-3404-E841-A491-B993E40EAD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6" y="1634926034"/>
          <a:ext cx="1080000" cy="1080000"/>
        </a:xfrm>
        <a:prstGeom prst="rect">
          <a:avLst/>
        </a:prstGeom>
      </xdr:spPr>
    </xdr:pic>
    <xdr:clientData/>
  </xdr:oneCellAnchor>
  <xdr:oneCellAnchor>
    <xdr:from>
      <xdr:col>16</xdr:col>
      <xdr:colOff>105833</xdr:colOff>
      <xdr:row>317</xdr:row>
      <xdr:rowOff>465667</xdr:rowOff>
    </xdr:from>
    <xdr:ext cx="1080000" cy="1080000"/>
    <xdr:pic>
      <xdr:nvPicPr>
        <xdr:cNvPr id="478" name="Resim 477">
          <a:extLst>
            <a:ext uri="{FF2B5EF4-FFF2-40B4-BE49-F238E27FC236}">
              <a16:creationId xmlns:a16="http://schemas.microsoft.com/office/drawing/2014/main" id="{EAF41141-F128-6549-BDFE-2805C4F849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1640302367"/>
          <a:ext cx="1080000" cy="1080000"/>
        </a:xfrm>
        <a:prstGeom prst="rect">
          <a:avLst/>
        </a:prstGeom>
      </xdr:spPr>
    </xdr:pic>
    <xdr:clientData/>
  </xdr:oneCellAnchor>
  <xdr:twoCellAnchor editAs="oneCell">
    <xdr:from>
      <xdr:col>16</xdr:col>
      <xdr:colOff>254000</xdr:colOff>
      <xdr:row>320</xdr:row>
      <xdr:rowOff>296333</xdr:rowOff>
    </xdr:from>
    <xdr:to>
      <xdr:col>16</xdr:col>
      <xdr:colOff>1227667</xdr:colOff>
      <xdr:row>320</xdr:row>
      <xdr:rowOff>1375325</xdr:rowOff>
    </xdr:to>
    <xdr:pic>
      <xdr:nvPicPr>
        <xdr:cNvPr id="479" name="Resim 478">
          <a:extLst>
            <a:ext uri="{FF2B5EF4-FFF2-40B4-BE49-F238E27FC236}">
              <a16:creationId xmlns:a16="http://schemas.microsoft.com/office/drawing/2014/main" id="{A56D2738-C39C-A64C-85CB-C4654B57EF24}"/>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62000" y="1655754033"/>
          <a:ext cx="973667" cy="1078992"/>
        </a:xfrm>
        <a:prstGeom prst="rect">
          <a:avLst/>
        </a:prstGeom>
      </xdr:spPr>
    </xdr:pic>
    <xdr:clientData/>
  </xdr:twoCellAnchor>
  <xdr:oneCellAnchor>
    <xdr:from>
      <xdr:col>16</xdr:col>
      <xdr:colOff>148166</xdr:colOff>
      <xdr:row>320</xdr:row>
      <xdr:rowOff>1439333</xdr:rowOff>
    </xdr:from>
    <xdr:ext cx="1078992" cy="1078992"/>
    <xdr:pic>
      <xdr:nvPicPr>
        <xdr:cNvPr id="480" name="Resim 479">
          <a:extLst>
            <a:ext uri="{FF2B5EF4-FFF2-40B4-BE49-F238E27FC236}">
              <a16:creationId xmlns:a16="http://schemas.microsoft.com/office/drawing/2014/main" id="{8FBD8659-7058-BA4F-B629-C1DF4EC192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356166" y="1656897033"/>
          <a:ext cx="1078992" cy="1078992"/>
        </a:xfrm>
        <a:prstGeom prst="rect">
          <a:avLst/>
        </a:prstGeom>
      </xdr:spPr>
    </xdr:pic>
    <xdr:clientData/>
  </xdr:oneCellAnchor>
  <xdr:twoCellAnchor editAs="oneCell">
    <xdr:from>
      <xdr:col>16</xdr:col>
      <xdr:colOff>232834</xdr:colOff>
      <xdr:row>320</xdr:row>
      <xdr:rowOff>2772834</xdr:rowOff>
    </xdr:from>
    <xdr:to>
      <xdr:col>16</xdr:col>
      <xdr:colOff>1227668</xdr:colOff>
      <xdr:row>320</xdr:row>
      <xdr:rowOff>3851826</xdr:rowOff>
    </xdr:to>
    <xdr:pic>
      <xdr:nvPicPr>
        <xdr:cNvPr id="481" name="Resim 480">
          <a:extLst>
            <a:ext uri="{FF2B5EF4-FFF2-40B4-BE49-F238E27FC236}">
              <a16:creationId xmlns:a16="http://schemas.microsoft.com/office/drawing/2014/main" id="{93223C28-66B7-2546-B1C9-598B89FA3B91}"/>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40834" y="1658230534"/>
          <a:ext cx="994834" cy="1078992"/>
        </a:xfrm>
        <a:prstGeom prst="rect">
          <a:avLst/>
        </a:prstGeom>
      </xdr:spPr>
    </xdr:pic>
    <xdr:clientData/>
  </xdr:twoCellAnchor>
  <xdr:twoCellAnchor editAs="oneCell">
    <xdr:from>
      <xdr:col>16</xdr:col>
      <xdr:colOff>211666</xdr:colOff>
      <xdr:row>321</xdr:row>
      <xdr:rowOff>232834</xdr:rowOff>
    </xdr:from>
    <xdr:to>
      <xdr:col>16</xdr:col>
      <xdr:colOff>1185333</xdr:colOff>
      <xdr:row>321</xdr:row>
      <xdr:rowOff>1311826</xdr:rowOff>
    </xdr:to>
    <xdr:pic>
      <xdr:nvPicPr>
        <xdr:cNvPr id="482" name="Resim 481">
          <a:extLst>
            <a:ext uri="{FF2B5EF4-FFF2-40B4-BE49-F238E27FC236}">
              <a16:creationId xmlns:a16="http://schemas.microsoft.com/office/drawing/2014/main" id="{1AFEA92A-7FD7-4844-A49E-6B72E4B768B1}"/>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19666" y="1660897534"/>
          <a:ext cx="973667" cy="1078992"/>
        </a:xfrm>
        <a:prstGeom prst="rect">
          <a:avLst/>
        </a:prstGeom>
      </xdr:spPr>
    </xdr:pic>
    <xdr:clientData/>
  </xdr:twoCellAnchor>
  <xdr:twoCellAnchor editAs="oneCell">
    <xdr:from>
      <xdr:col>16</xdr:col>
      <xdr:colOff>211667</xdr:colOff>
      <xdr:row>321</xdr:row>
      <xdr:rowOff>1460500</xdr:rowOff>
    </xdr:from>
    <xdr:to>
      <xdr:col>16</xdr:col>
      <xdr:colOff>1206501</xdr:colOff>
      <xdr:row>321</xdr:row>
      <xdr:rowOff>2539492</xdr:rowOff>
    </xdr:to>
    <xdr:pic>
      <xdr:nvPicPr>
        <xdr:cNvPr id="483" name="Resim 482">
          <a:extLst>
            <a:ext uri="{FF2B5EF4-FFF2-40B4-BE49-F238E27FC236}">
              <a16:creationId xmlns:a16="http://schemas.microsoft.com/office/drawing/2014/main" id="{601228D4-2A18-D445-BF33-FAC65E324D87}"/>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19667" y="1662125200"/>
          <a:ext cx="994834" cy="1078992"/>
        </a:xfrm>
        <a:prstGeom prst="rect">
          <a:avLst/>
        </a:prstGeom>
      </xdr:spPr>
    </xdr:pic>
    <xdr:clientData/>
  </xdr:twoCellAnchor>
  <xdr:oneCellAnchor>
    <xdr:from>
      <xdr:col>16</xdr:col>
      <xdr:colOff>169333</xdr:colOff>
      <xdr:row>321</xdr:row>
      <xdr:rowOff>2815167</xdr:rowOff>
    </xdr:from>
    <xdr:ext cx="1080000" cy="1080000"/>
    <xdr:pic>
      <xdr:nvPicPr>
        <xdr:cNvPr id="484" name="Resim 483">
          <a:extLst>
            <a:ext uri="{FF2B5EF4-FFF2-40B4-BE49-F238E27FC236}">
              <a16:creationId xmlns:a16="http://schemas.microsoft.com/office/drawing/2014/main" id="{1D230539-874A-B34C-BA8F-DCCAB30964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26333" y="1663479867"/>
          <a:ext cx="1080000" cy="1080000"/>
        </a:xfrm>
        <a:prstGeom prst="rect">
          <a:avLst/>
        </a:prstGeom>
      </xdr:spPr>
    </xdr:pic>
    <xdr:clientData/>
  </xdr:oneCellAnchor>
  <xdr:oneCellAnchor>
    <xdr:from>
      <xdr:col>16</xdr:col>
      <xdr:colOff>126999</xdr:colOff>
      <xdr:row>322</xdr:row>
      <xdr:rowOff>84667</xdr:rowOff>
    </xdr:from>
    <xdr:ext cx="1080000" cy="1080000"/>
    <xdr:pic>
      <xdr:nvPicPr>
        <xdr:cNvPr id="485" name="Resim 484">
          <a:extLst>
            <a:ext uri="{FF2B5EF4-FFF2-40B4-BE49-F238E27FC236}">
              <a16:creationId xmlns:a16="http://schemas.microsoft.com/office/drawing/2014/main" id="{5A817825-16B8-DC41-9F02-39E899D9AF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3999" y="1665956367"/>
          <a:ext cx="1080000" cy="1080000"/>
        </a:xfrm>
        <a:prstGeom prst="rect">
          <a:avLst/>
        </a:prstGeom>
      </xdr:spPr>
    </xdr:pic>
    <xdr:clientData/>
  </xdr:oneCellAnchor>
  <xdr:twoCellAnchor editAs="oneCell">
    <xdr:from>
      <xdr:col>16</xdr:col>
      <xdr:colOff>190500</xdr:colOff>
      <xdr:row>322</xdr:row>
      <xdr:rowOff>1248833</xdr:rowOff>
    </xdr:from>
    <xdr:to>
      <xdr:col>16</xdr:col>
      <xdr:colOff>1164167</xdr:colOff>
      <xdr:row>322</xdr:row>
      <xdr:rowOff>2327825</xdr:rowOff>
    </xdr:to>
    <xdr:pic>
      <xdr:nvPicPr>
        <xdr:cNvPr id="486" name="Resim 485">
          <a:extLst>
            <a:ext uri="{FF2B5EF4-FFF2-40B4-BE49-F238E27FC236}">
              <a16:creationId xmlns:a16="http://schemas.microsoft.com/office/drawing/2014/main" id="{A26D5A4A-89A2-A049-ADD6-7AF4B01357CA}"/>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398500" y="1667120533"/>
          <a:ext cx="973667" cy="1078992"/>
        </a:xfrm>
        <a:prstGeom prst="rect">
          <a:avLst/>
        </a:prstGeom>
      </xdr:spPr>
    </xdr:pic>
    <xdr:clientData/>
  </xdr:twoCellAnchor>
  <xdr:oneCellAnchor>
    <xdr:from>
      <xdr:col>16</xdr:col>
      <xdr:colOff>190500</xdr:colOff>
      <xdr:row>322</xdr:row>
      <xdr:rowOff>2413000</xdr:rowOff>
    </xdr:from>
    <xdr:ext cx="1080000" cy="1080000"/>
    <xdr:pic>
      <xdr:nvPicPr>
        <xdr:cNvPr id="487" name="Resim 486">
          <a:extLst>
            <a:ext uri="{FF2B5EF4-FFF2-40B4-BE49-F238E27FC236}">
              <a16:creationId xmlns:a16="http://schemas.microsoft.com/office/drawing/2014/main" id="{80D32B2B-9141-AB48-99A5-9D07708F31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1668284700"/>
          <a:ext cx="1080000" cy="1080000"/>
        </a:xfrm>
        <a:prstGeom prst="rect">
          <a:avLst/>
        </a:prstGeom>
      </xdr:spPr>
    </xdr:pic>
    <xdr:clientData/>
  </xdr:oneCellAnchor>
  <xdr:oneCellAnchor>
    <xdr:from>
      <xdr:col>16</xdr:col>
      <xdr:colOff>127000</xdr:colOff>
      <xdr:row>322</xdr:row>
      <xdr:rowOff>3788833</xdr:rowOff>
    </xdr:from>
    <xdr:ext cx="1080000" cy="1080000"/>
    <xdr:pic>
      <xdr:nvPicPr>
        <xdr:cNvPr id="488" name="Resim 487">
          <a:extLst>
            <a:ext uri="{FF2B5EF4-FFF2-40B4-BE49-F238E27FC236}">
              <a16:creationId xmlns:a16="http://schemas.microsoft.com/office/drawing/2014/main" id="{5D101227-ACC9-3A43-803D-0E0C0A4943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669660533"/>
          <a:ext cx="1080000" cy="1080000"/>
        </a:xfrm>
        <a:prstGeom prst="rect">
          <a:avLst/>
        </a:prstGeom>
      </xdr:spPr>
    </xdr:pic>
    <xdr:clientData/>
  </xdr:oneCellAnchor>
  <xdr:oneCellAnchor>
    <xdr:from>
      <xdr:col>16</xdr:col>
      <xdr:colOff>127000</xdr:colOff>
      <xdr:row>325</xdr:row>
      <xdr:rowOff>296334</xdr:rowOff>
    </xdr:from>
    <xdr:ext cx="1080000" cy="1080000"/>
    <xdr:pic>
      <xdr:nvPicPr>
        <xdr:cNvPr id="489" name="Resim 488">
          <a:extLst>
            <a:ext uri="{FF2B5EF4-FFF2-40B4-BE49-F238E27FC236}">
              <a16:creationId xmlns:a16="http://schemas.microsoft.com/office/drawing/2014/main" id="{467C05A8-6937-DD41-9416-6717B47736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681789034"/>
          <a:ext cx="1080000" cy="1080000"/>
        </a:xfrm>
        <a:prstGeom prst="rect">
          <a:avLst/>
        </a:prstGeom>
      </xdr:spPr>
    </xdr:pic>
    <xdr:clientData/>
  </xdr:oneCellAnchor>
  <xdr:oneCellAnchor>
    <xdr:from>
      <xdr:col>16</xdr:col>
      <xdr:colOff>105833</xdr:colOff>
      <xdr:row>325</xdr:row>
      <xdr:rowOff>1651000</xdr:rowOff>
    </xdr:from>
    <xdr:ext cx="1121834" cy="1114404"/>
    <xdr:pic>
      <xdr:nvPicPr>
        <xdr:cNvPr id="490" name="Resim 489">
          <a:extLst>
            <a:ext uri="{FF2B5EF4-FFF2-40B4-BE49-F238E27FC236}">
              <a16:creationId xmlns:a16="http://schemas.microsoft.com/office/drawing/2014/main" id="{B311281E-B509-6244-A104-F39A5FBB33F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3" y="1683143700"/>
          <a:ext cx="1121834" cy="1114404"/>
        </a:xfrm>
        <a:prstGeom prst="rect">
          <a:avLst/>
        </a:prstGeom>
      </xdr:spPr>
    </xdr:pic>
    <xdr:clientData/>
  </xdr:oneCellAnchor>
  <xdr:oneCellAnchor>
    <xdr:from>
      <xdr:col>16</xdr:col>
      <xdr:colOff>148167</xdr:colOff>
      <xdr:row>326</xdr:row>
      <xdr:rowOff>232833</xdr:rowOff>
    </xdr:from>
    <xdr:ext cx="1121834" cy="1114404"/>
    <xdr:pic>
      <xdr:nvPicPr>
        <xdr:cNvPr id="491" name="Resim 490">
          <a:extLst>
            <a:ext uri="{FF2B5EF4-FFF2-40B4-BE49-F238E27FC236}">
              <a16:creationId xmlns:a16="http://schemas.microsoft.com/office/drawing/2014/main" id="{65D8107C-A0AF-E94D-9BA5-E2C5D85DAE9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1686932533"/>
          <a:ext cx="1121834" cy="1114404"/>
        </a:xfrm>
        <a:prstGeom prst="rect">
          <a:avLst/>
        </a:prstGeom>
      </xdr:spPr>
    </xdr:pic>
    <xdr:clientData/>
  </xdr:oneCellAnchor>
  <xdr:oneCellAnchor>
    <xdr:from>
      <xdr:col>16</xdr:col>
      <xdr:colOff>127000</xdr:colOff>
      <xdr:row>326</xdr:row>
      <xdr:rowOff>1608666</xdr:rowOff>
    </xdr:from>
    <xdr:ext cx="1080000" cy="1080000"/>
    <xdr:pic>
      <xdr:nvPicPr>
        <xdr:cNvPr id="492" name="Resim 491">
          <a:extLst>
            <a:ext uri="{FF2B5EF4-FFF2-40B4-BE49-F238E27FC236}">
              <a16:creationId xmlns:a16="http://schemas.microsoft.com/office/drawing/2014/main" id="{7E16E554-8B97-F44B-B287-EF7679BC94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688308366"/>
          <a:ext cx="1080000" cy="1080000"/>
        </a:xfrm>
        <a:prstGeom prst="rect">
          <a:avLst/>
        </a:prstGeom>
      </xdr:spPr>
    </xdr:pic>
    <xdr:clientData/>
  </xdr:oneCellAnchor>
  <xdr:oneCellAnchor>
    <xdr:from>
      <xdr:col>16</xdr:col>
      <xdr:colOff>127000</xdr:colOff>
      <xdr:row>326</xdr:row>
      <xdr:rowOff>3026833</xdr:rowOff>
    </xdr:from>
    <xdr:ext cx="1080000" cy="1080000"/>
    <xdr:pic>
      <xdr:nvPicPr>
        <xdr:cNvPr id="493" name="Resim 492">
          <a:extLst>
            <a:ext uri="{FF2B5EF4-FFF2-40B4-BE49-F238E27FC236}">
              <a16:creationId xmlns:a16="http://schemas.microsoft.com/office/drawing/2014/main" id="{D83A2496-04BA-4F48-B5EF-59772755B8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689726533"/>
          <a:ext cx="1080000" cy="1080000"/>
        </a:xfrm>
        <a:prstGeom prst="rect">
          <a:avLst/>
        </a:prstGeom>
      </xdr:spPr>
    </xdr:pic>
    <xdr:clientData/>
  </xdr:oneCellAnchor>
  <xdr:oneCellAnchor>
    <xdr:from>
      <xdr:col>16</xdr:col>
      <xdr:colOff>63500</xdr:colOff>
      <xdr:row>330</xdr:row>
      <xdr:rowOff>317500</xdr:rowOff>
    </xdr:from>
    <xdr:ext cx="1080000" cy="1080000"/>
    <xdr:pic>
      <xdr:nvPicPr>
        <xdr:cNvPr id="494" name="Resim 493">
          <a:extLst>
            <a:ext uri="{FF2B5EF4-FFF2-40B4-BE49-F238E27FC236}">
              <a16:creationId xmlns:a16="http://schemas.microsoft.com/office/drawing/2014/main" id="{D913AB4E-2751-3546-ABD2-4B06D82A7A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20500" y="1707845200"/>
          <a:ext cx="1080000" cy="1080000"/>
        </a:xfrm>
        <a:prstGeom prst="rect">
          <a:avLst/>
        </a:prstGeom>
      </xdr:spPr>
    </xdr:pic>
    <xdr:clientData/>
  </xdr:oneCellAnchor>
  <xdr:oneCellAnchor>
    <xdr:from>
      <xdr:col>16</xdr:col>
      <xdr:colOff>190500</xdr:colOff>
      <xdr:row>331</xdr:row>
      <xdr:rowOff>359833</xdr:rowOff>
    </xdr:from>
    <xdr:ext cx="1080000" cy="1080000"/>
    <xdr:pic>
      <xdr:nvPicPr>
        <xdr:cNvPr id="495" name="Resim 494">
          <a:extLst>
            <a:ext uri="{FF2B5EF4-FFF2-40B4-BE49-F238E27FC236}">
              <a16:creationId xmlns:a16="http://schemas.microsoft.com/office/drawing/2014/main" id="{33785F60-8FD0-E74D-9973-3A06D248BD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713094533"/>
          <a:ext cx="1080000" cy="1080000"/>
        </a:xfrm>
        <a:prstGeom prst="rect">
          <a:avLst/>
        </a:prstGeom>
      </xdr:spPr>
    </xdr:pic>
    <xdr:clientData/>
  </xdr:oneCellAnchor>
  <xdr:oneCellAnchor>
    <xdr:from>
      <xdr:col>16</xdr:col>
      <xdr:colOff>127000</xdr:colOff>
      <xdr:row>336</xdr:row>
      <xdr:rowOff>338667</xdr:rowOff>
    </xdr:from>
    <xdr:ext cx="1080000" cy="1080000"/>
    <xdr:pic>
      <xdr:nvPicPr>
        <xdr:cNvPr id="496" name="Resim 495">
          <a:extLst>
            <a:ext uri="{FF2B5EF4-FFF2-40B4-BE49-F238E27FC236}">
              <a16:creationId xmlns:a16="http://schemas.microsoft.com/office/drawing/2014/main" id="{EFA278BE-5714-4C4D-9AA4-DFDDA05FBD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739108367"/>
          <a:ext cx="1080000" cy="1080000"/>
        </a:xfrm>
        <a:prstGeom prst="rect">
          <a:avLst/>
        </a:prstGeom>
      </xdr:spPr>
    </xdr:pic>
    <xdr:clientData/>
  </xdr:oneCellAnchor>
  <xdr:oneCellAnchor>
    <xdr:from>
      <xdr:col>16</xdr:col>
      <xdr:colOff>148167</xdr:colOff>
      <xdr:row>337</xdr:row>
      <xdr:rowOff>317500</xdr:rowOff>
    </xdr:from>
    <xdr:ext cx="1080000" cy="1080000"/>
    <xdr:pic>
      <xdr:nvPicPr>
        <xdr:cNvPr id="497" name="Resim 496">
          <a:extLst>
            <a:ext uri="{FF2B5EF4-FFF2-40B4-BE49-F238E27FC236}">
              <a16:creationId xmlns:a16="http://schemas.microsoft.com/office/drawing/2014/main" id="{E505149F-571B-2745-ACF2-609CDBDB99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744294200"/>
          <a:ext cx="1080000" cy="1080000"/>
        </a:xfrm>
        <a:prstGeom prst="rect">
          <a:avLst/>
        </a:prstGeom>
      </xdr:spPr>
    </xdr:pic>
    <xdr:clientData/>
  </xdr:oneCellAnchor>
  <xdr:oneCellAnchor>
    <xdr:from>
      <xdr:col>16</xdr:col>
      <xdr:colOff>148166</xdr:colOff>
      <xdr:row>337</xdr:row>
      <xdr:rowOff>1545167</xdr:rowOff>
    </xdr:from>
    <xdr:ext cx="1080000" cy="1080000"/>
    <xdr:pic>
      <xdr:nvPicPr>
        <xdr:cNvPr id="498" name="Resim 497">
          <a:extLst>
            <a:ext uri="{FF2B5EF4-FFF2-40B4-BE49-F238E27FC236}">
              <a16:creationId xmlns:a16="http://schemas.microsoft.com/office/drawing/2014/main" id="{26257AE1-39EE-A34F-BCD3-2EB46F8B53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6" y="1745521867"/>
          <a:ext cx="1080000" cy="1080000"/>
        </a:xfrm>
        <a:prstGeom prst="rect">
          <a:avLst/>
        </a:prstGeom>
      </xdr:spPr>
    </xdr:pic>
    <xdr:clientData/>
  </xdr:oneCellAnchor>
  <xdr:oneCellAnchor>
    <xdr:from>
      <xdr:col>16</xdr:col>
      <xdr:colOff>63500</xdr:colOff>
      <xdr:row>340</xdr:row>
      <xdr:rowOff>232834</xdr:rowOff>
    </xdr:from>
    <xdr:ext cx="1080000" cy="1080000"/>
    <xdr:pic>
      <xdr:nvPicPr>
        <xdr:cNvPr id="499" name="Resim 498">
          <a:extLst>
            <a:ext uri="{FF2B5EF4-FFF2-40B4-BE49-F238E27FC236}">
              <a16:creationId xmlns:a16="http://schemas.microsoft.com/office/drawing/2014/main" id="{7ECB8FA6-73CA-614C-A992-5F88261093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20500" y="1759830534"/>
          <a:ext cx="1080000" cy="1080000"/>
        </a:xfrm>
        <a:prstGeom prst="rect">
          <a:avLst/>
        </a:prstGeom>
      </xdr:spPr>
    </xdr:pic>
    <xdr:clientData/>
  </xdr:oneCellAnchor>
  <xdr:oneCellAnchor>
    <xdr:from>
      <xdr:col>16</xdr:col>
      <xdr:colOff>169333</xdr:colOff>
      <xdr:row>342</xdr:row>
      <xdr:rowOff>423333</xdr:rowOff>
    </xdr:from>
    <xdr:ext cx="1080000" cy="1080000"/>
    <xdr:pic>
      <xdr:nvPicPr>
        <xdr:cNvPr id="500" name="Resim 499">
          <a:extLst>
            <a:ext uri="{FF2B5EF4-FFF2-40B4-BE49-F238E27FC236}">
              <a16:creationId xmlns:a16="http://schemas.microsoft.com/office/drawing/2014/main" id="{A9968944-9228-BC4B-B9B6-52789B42FA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1770435033"/>
          <a:ext cx="1080000" cy="1080000"/>
        </a:xfrm>
        <a:prstGeom prst="rect">
          <a:avLst/>
        </a:prstGeom>
      </xdr:spPr>
    </xdr:pic>
    <xdr:clientData/>
  </xdr:oneCellAnchor>
  <xdr:oneCellAnchor>
    <xdr:from>
      <xdr:col>16</xdr:col>
      <xdr:colOff>148166</xdr:colOff>
      <xdr:row>343</xdr:row>
      <xdr:rowOff>381000</xdr:rowOff>
    </xdr:from>
    <xdr:ext cx="1080000" cy="1080000"/>
    <xdr:pic>
      <xdr:nvPicPr>
        <xdr:cNvPr id="501" name="Resim 500">
          <a:extLst>
            <a:ext uri="{FF2B5EF4-FFF2-40B4-BE49-F238E27FC236}">
              <a16:creationId xmlns:a16="http://schemas.microsoft.com/office/drawing/2014/main" id="{9CB9B7D9-209C-7B45-B5B1-AF700D6530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6" y="1775599700"/>
          <a:ext cx="1080000" cy="1080000"/>
        </a:xfrm>
        <a:prstGeom prst="rect">
          <a:avLst/>
        </a:prstGeom>
      </xdr:spPr>
    </xdr:pic>
    <xdr:clientData/>
  </xdr:oneCellAnchor>
  <xdr:oneCellAnchor>
    <xdr:from>
      <xdr:col>16</xdr:col>
      <xdr:colOff>105833</xdr:colOff>
      <xdr:row>343</xdr:row>
      <xdr:rowOff>1502833</xdr:rowOff>
    </xdr:from>
    <xdr:ext cx="1080000" cy="1080000"/>
    <xdr:pic>
      <xdr:nvPicPr>
        <xdr:cNvPr id="502" name="Resim 501">
          <a:extLst>
            <a:ext uri="{FF2B5EF4-FFF2-40B4-BE49-F238E27FC236}">
              <a16:creationId xmlns:a16="http://schemas.microsoft.com/office/drawing/2014/main" id="{DD4A22AF-C21C-EE4C-8706-C6FDC6E7B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2833" y="1776721533"/>
          <a:ext cx="1080000" cy="1080000"/>
        </a:xfrm>
        <a:prstGeom prst="rect">
          <a:avLst/>
        </a:prstGeom>
      </xdr:spPr>
    </xdr:pic>
    <xdr:clientData/>
  </xdr:oneCellAnchor>
  <xdr:oneCellAnchor>
    <xdr:from>
      <xdr:col>16</xdr:col>
      <xdr:colOff>84666</xdr:colOff>
      <xdr:row>343</xdr:row>
      <xdr:rowOff>2688167</xdr:rowOff>
    </xdr:from>
    <xdr:ext cx="1121834" cy="1114404"/>
    <xdr:pic>
      <xdr:nvPicPr>
        <xdr:cNvPr id="503" name="Resim 502">
          <a:extLst>
            <a:ext uri="{FF2B5EF4-FFF2-40B4-BE49-F238E27FC236}">
              <a16:creationId xmlns:a16="http://schemas.microsoft.com/office/drawing/2014/main" id="{E0232467-0152-8A4F-851B-CAA2EFF6531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41666" y="1777906867"/>
          <a:ext cx="1121834" cy="1114404"/>
        </a:xfrm>
        <a:prstGeom prst="rect">
          <a:avLst/>
        </a:prstGeom>
      </xdr:spPr>
    </xdr:pic>
    <xdr:clientData/>
  </xdr:oneCellAnchor>
  <xdr:twoCellAnchor editAs="oneCell">
    <xdr:from>
      <xdr:col>16</xdr:col>
      <xdr:colOff>232832</xdr:colOff>
      <xdr:row>343</xdr:row>
      <xdr:rowOff>4064000</xdr:rowOff>
    </xdr:from>
    <xdr:to>
      <xdr:col>16</xdr:col>
      <xdr:colOff>1206499</xdr:colOff>
      <xdr:row>343</xdr:row>
      <xdr:rowOff>5142992</xdr:rowOff>
    </xdr:to>
    <xdr:pic>
      <xdr:nvPicPr>
        <xdr:cNvPr id="504" name="Resim 503">
          <a:extLst>
            <a:ext uri="{FF2B5EF4-FFF2-40B4-BE49-F238E27FC236}">
              <a16:creationId xmlns:a16="http://schemas.microsoft.com/office/drawing/2014/main" id="{93F5DCB0-40B0-3E42-8F90-1E0A1471150C}"/>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40832" y="1779282700"/>
          <a:ext cx="973667" cy="1078992"/>
        </a:xfrm>
        <a:prstGeom prst="rect">
          <a:avLst/>
        </a:prstGeom>
      </xdr:spPr>
    </xdr:pic>
    <xdr:clientData/>
  </xdr:twoCellAnchor>
  <xdr:oneCellAnchor>
    <xdr:from>
      <xdr:col>16</xdr:col>
      <xdr:colOff>127000</xdr:colOff>
      <xdr:row>344</xdr:row>
      <xdr:rowOff>444500</xdr:rowOff>
    </xdr:from>
    <xdr:ext cx="1080000" cy="1080000"/>
    <xdr:pic>
      <xdr:nvPicPr>
        <xdr:cNvPr id="505" name="Resim 504">
          <a:extLst>
            <a:ext uri="{FF2B5EF4-FFF2-40B4-BE49-F238E27FC236}">
              <a16:creationId xmlns:a16="http://schemas.microsoft.com/office/drawing/2014/main" id="{335853F8-F434-D84E-AE38-6A4008C601F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780870200"/>
          <a:ext cx="1080000" cy="1080000"/>
        </a:xfrm>
        <a:prstGeom prst="rect">
          <a:avLst/>
        </a:prstGeom>
      </xdr:spPr>
    </xdr:pic>
    <xdr:clientData/>
  </xdr:oneCellAnchor>
  <xdr:twoCellAnchor editAs="oneCell">
    <xdr:from>
      <xdr:col>16</xdr:col>
      <xdr:colOff>211666</xdr:colOff>
      <xdr:row>347</xdr:row>
      <xdr:rowOff>275167</xdr:rowOff>
    </xdr:from>
    <xdr:to>
      <xdr:col>16</xdr:col>
      <xdr:colOff>1185333</xdr:colOff>
      <xdr:row>347</xdr:row>
      <xdr:rowOff>1354159</xdr:rowOff>
    </xdr:to>
    <xdr:pic>
      <xdr:nvPicPr>
        <xdr:cNvPr id="506" name="Resim 505">
          <a:extLst>
            <a:ext uri="{FF2B5EF4-FFF2-40B4-BE49-F238E27FC236}">
              <a16:creationId xmlns:a16="http://schemas.microsoft.com/office/drawing/2014/main" id="{5D8534FF-5850-2849-9D9D-A1CB46D62627}"/>
            </a:ext>
          </a:extLst>
        </xdr:cNvPr>
        <xdr:cNvPicPr>
          <a:picLocks/>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3419666" y="1796321867"/>
          <a:ext cx="973667" cy="1078992"/>
        </a:xfrm>
        <a:prstGeom prst="rect">
          <a:avLst/>
        </a:prstGeom>
      </xdr:spPr>
    </xdr:pic>
    <xdr:clientData/>
  </xdr:twoCellAnchor>
  <xdr:oneCellAnchor>
    <xdr:from>
      <xdr:col>16</xdr:col>
      <xdr:colOff>148167</xdr:colOff>
      <xdr:row>347</xdr:row>
      <xdr:rowOff>1354666</xdr:rowOff>
    </xdr:from>
    <xdr:ext cx="1121834" cy="1114404"/>
    <xdr:pic>
      <xdr:nvPicPr>
        <xdr:cNvPr id="507" name="Resim 506">
          <a:extLst>
            <a:ext uri="{FF2B5EF4-FFF2-40B4-BE49-F238E27FC236}">
              <a16:creationId xmlns:a16="http://schemas.microsoft.com/office/drawing/2014/main" id="{C6785D86-F255-4049-A072-80A9E07D9D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1797401366"/>
          <a:ext cx="1121834" cy="1114404"/>
        </a:xfrm>
        <a:prstGeom prst="rect">
          <a:avLst/>
        </a:prstGeom>
      </xdr:spPr>
    </xdr:pic>
    <xdr:clientData/>
  </xdr:oneCellAnchor>
  <xdr:twoCellAnchor editAs="oneCell">
    <xdr:from>
      <xdr:col>16</xdr:col>
      <xdr:colOff>211667</xdr:colOff>
      <xdr:row>347</xdr:row>
      <xdr:rowOff>2751666</xdr:rowOff>
    </xdr:from>
    <xdr:to>
      <xdr:col>16</xdr:col>
      <xdr:colOff>1206501</xdr:colOff>
      <xdr:row>347</xdr:row>
      <xdr:rowOff>2751666</xdr:rowOff>
    </xdr:to>
    <xdr:pic>
      <xdr:nvPicPr>
        <xdr:cNvPr id="508" name="Resim 507">
          <a:extLst>
            <a:ext uri="{FF2B5EF4-FFF2-40B4-BE49-F238E27FC236}">
              <a16:creationId xmlns:a16="http://schemas.microsoft.com/office/drawing/2014/main" id="{BCF9DCA9-4849-3A4F-A77A-FD3211D6C3FB}"/>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19667" y="1798798366"/>
          <a:ext cx="994834" cy="0"/>
        </a:xfrm>
        <a:prstGeom prst="rect">
          <a:avLst/>
        </a:prstGeom>
      </xdr:spPr>
    </xdr:pic>
    <xdr:clientData/>
  </xdr:twoCellAnchor>
  <xdr:oneCellAnchor>
    <xdr:from>
      <xdr:col>16</xdr:col>
      <xdr:colOff>105833</xdr:colOff>
      <xdr:row>350</xdr:row>
      <xdr:rowOff>275167</xdr:rowOff>
    </xdr:from>
    <xdr:ext cx="1080000" cy="1080000"/>
    <xdr:pic>
      <xdr:nvPicPr>
        <xdr:cNvPr id="509" name="Resim 508">
          <a:extLst>
            <a:ext uri="{FF2B5EF4-FFF2-40B4-BE49-F238E27FC236}">
              <a16:creationId xmlns:a16="http://schemas.microsoft.com/office/drawing/2014/main" id="{C0548B4F-8A87-F74A-AA8C-E36622177DB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3" y="1811942867"/>
          <a:ext cx="1080000" cy="1080000"/>
        </a:xfrm>
        <a:prstGeom prst="rect">
          <a:avLst/>
        </a:prstGeom>
      </xdr:spPr>
    </xdr:pic>
    <xdr:clientData/>
  </xdr:oneCellAnchor>
  <xdr:oneCellAnchor>
    <xdr:from>
      <xdr:col>16</xdr:col>
      <xdr:colOff>148167</xdr:colOff>
      <xdr:row>351</xdr:row>
      <xdr:rowOff>317500</xdr:rowOff>
    </xdr:from>
    <xdr:ext cx="1080000" cy="1080000"/>
    <xdr:pic>
      <xdr:nvPicPr>
        <xdr:cNvPr id="510" name="Resim 509">
          <a:extLst>
            <a:ext uri="{FF2B5EF4-FFF2-40B4-BE49-F238E27FC236}">
              <a16:creationId xmlns:a16="http://schemas.microsoft.com/office/drawing/2014/main" id="{DBCCEF0F-F81C-8F43-B0F4-38286F4986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817192200"/>
          <a:ext cx="1080000" cy="1080000"/>
        </a:xfrm>
        <a:prstGeom prst="rect">
          <a:avLst/>
        </a:prstGeom>
      </xdr:spPr>
    </xdr:pic>
    <xdr:clientData/>
  </xdr:oneCellAnchor>
  <xdr:oneCellAnchor>
    <xdr:from>
      <xdr:col>16</xdr:col>
      <xdr:colOff>190500</xdr:colOff>
      <xdr:row>352</xdr:row>
      <xdr:rowOff>232833</xdr:rowOff>
    </xdr:from>
    <xdr:ext cx="1080000" cy="1080000"/>
    <xdr:pic>
      <xdr:nvPicPr>
        <xdr:cNvPr id="511" name="Resim 510">
          <a:extLst>
            <a:ext uri="{FF2B5EF4-FFF2-40B4-BE49-F238E27FC236}">
              <a16:creationId xmlns:a16="http://schemas.microsoft.com/office/drawing/2014/main" id="{912F30D6-230C-3A4C-ABFD-ED16E5A2B0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822314533"/>
          <a:ext cx="1080000" cy="1080000"/>
        </a:xfrm>
        <a:prstGeom prst="rect">
          <a:avLst/>
        </a:prstGeom>
      </xdr:spPr>
    </xdr:pic>
    <xdr:clientData/>
  </xdr:oneCellAnchor>
  <xdr:oneCellAnchor>
    <xdr:from>
      <xdr:col>16</xdr:col>
      <xdr:colOff>211667</xdr:colOff>
      <xdr:row>352</xdr:row>
      <xdr:rowOff>1545167</xdr:rowOff>
    </xdr:from>
    <xdr:ext cx="1080000" cy="1080000"/>
    <xdr:pic>
      <xdr:nvPicPr>
        <xdr:cNvPr id="512" name="Resim 511">
          <a:extLst>
            <a:ext uri="{FF2B5EF4-FFF2-40B4-BE49-F238E27FC236}">
              <a16:creationId xmlns:a16="http://schemas.microsoft.com/office/drawing/2014/main" id="{F36966A2-7B6C-A04E-8211-2F5CC350CF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68667" y="1823626867"/>
          <a:ext cx="1080000" cy="1080000"/>
        </a:xfrm>
        <a:prstGeom prst="rect">
          <a:avLst/>
        </a:prstGeom>
      </xdr:spPr>
    </xdr:pic>
    <xdr:clientData/>
  </xdr:oneCellAnchor>
  <xdr:oneCellAnchor>
    <xdr:from>
      <xdr:col>16</xdr:col>
      <xdr:colOff>190500</xdr:colOff>
      <xdr:row>353</xdr:row>
      <xdr:rowOff>338667</xdr:rowOff>
    </xdr:from>
    <xdr:ext cx="1080000" cy="1080000"/>
    <xdr:pic>
      <xdr:nvPicPr>
        <xdr:cNvPr id="513" name="Resim 512">
          <a:extLst>
            <a:ext uri="{FF2B5EF4-FFF2-40B4-BE49-F238E27FC236}">
              <a16:creationId xmlns:a16="http://schemas.microsoft.com/office/drawing/2014/main" id="{40473BFA-ACD9-8D4A-BC5F-5048C343B4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47500" y="1827627367"/>
          <a:ext cx="1080000" cy="1080000"/>
        </a:xfrm>
        <a:prstGeom prst="rect">
          <a:avLst/>
        </a:prstGeom>
      </xdr:spPr>
    </xdr:pic>
    <xdr:clientData/>
  </xdr:oneCellAnchor>
  <xdr:oneCellAnchor>
    <xdr:from>
      <xdr:col>16</xdr:col>
      <xdr:colOff>237066</xdr:colOff>
      <xdr:row>353</xdr:row>
      <xdr:rowOff>1528234</xdr:rowOff>
    </xdr:from>
    <xdr:ext cx="1080000" cy="1080000"/>
    <xdr:pic>
      <xdr:nvPicPr>
        <xdr:cNvPr id="514" name="Resim 513">
          <a:extLst>
            <a:ext uri="{FF2B5EF4-FFF2-40B4-BE49-F238E27FC236}">
              <a16:creationId xmlns:a16="http://schemas.microsoft.com/office/drawing/2014/main" id="{B62F8F9F-7525-1C4D-BABC-485BBB4309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94066" y="1828816934"/>
          <a:ext cx="1080000" cy="1080000"/>
        </a:xfrm>
        <a:prstGeom prst="rect">
          <a:avLst/>
        </a:prstGeom>
      </xdr:spPr>
    </xdr:pic>
    <xdr:clientData/>
  </xdr:oneCellAnchor>
  <xdr:oneCellAnchor>
    <xdr:from>
      <xdr:col>16</xdr:col>
      <xdr:colOff>84667</xdr:colOff>
      <xdr:row>354</xdr:row>
      <xdr:rowOff>381000</xdr:rowOff>
    </xdr:from>
    <xdr:ext cx="1080000" cy="1080000"/>
    <xdr:pic>
      <xdr:nvPicPr>
        <xdr:cNvPr id="515" name="Resim 514">
          <a:extLst>
            <a:ext uri="{FF2B5EF4-FFF2-40B4-BE49-F238E27FC236}">
              <a16:creationId xmlns:a16="http://schemas.microsoft.com/office/drawing/2014/main" id="{349ED61A-DB5A-9C4E-BDBF-D2DC0BFC85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1667" y="1832876700"/>
          <a:ext cx="1080000" cy="1080000"/>
        </a:xfrm>
        <a:prstGeom prst="rect">
          <a:avLst/>
        </a:prstGeom>
      </xdr:spPr>
    </xdr:pic>
    <xdr:clientData/>
  </xdr:oneCellAnchor>
  <xdr:oneCellAnchor>
    <xdr:from>
      <xdr:col>16</xdr:col>
      <xdr:colOff>105833</xdr:colOff>
      <xdr:row>358</xdr:row>
      <xdr:rowOff>550333</xdr:rowOff>
    </xdr:from>
    <xdr:ext cx="1080000" cy="1080000"/>
    <xdr:pic>
      <xdr:nvPicPr>
        <xdr:cNvPr id="516" name="Resim 515">
          <a:extLst>
            <a:ext uri="{FF2B5EF4-FFF2-40B4-BE49-F238E27FC236}">
              <a16:creationId xmlns:a16="http://schemas.microsoft.com/office/drawing/2014/main" id="{23032254-54F7-0F4D-8489-98575418806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1853874033"/>
          <a:ext cx="1080000" cy="1080000"/>
        </a:xfrm>
        <a:prstGeom prst="rect">
          <a:avLst/>
        </a:prstGeom>
      </xdr:spPr>
    </xdr:pic>
    <xdr:clientData/>
  </xdr:oneCellAnchor>
  <xdr:oneCellAnchor>
    <xdr:from>
      <xdr:col>16</xdr:col>
      <xdr:colOff>190500</xdr:colOff>
      <xdr:row>364</xdr:row>
      <xdr:rowOff>317500</xdr:rowOff>
    </xdr:from>
    <xdr:ext cx="1080000" cy="1080000"/>
    <xdr:pic>
      <xdr:nvPicPr>
        <xdr:cNvPr id="517" name="Resim 516">
          <a:extLst>
            <a:ext uri="{FF2B5EF4-FFF2-40B4-BE49-F238E27FC236}">
              <a16:creationId xmlns:a16="http://schemas.microsoft.com/office/drawing/2014/main" id="{4A03FCC6-02B5-5D4B-A1A4-8B6A0C646E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884883200"/>
          <a:ext cx="1080000" cy="1080000"/>
        </a:xfrm>
        <a:prstGeom prst="rect">
          <a:avLst/>
        </a:prstGeom>
      </xdr:spPr>
    </xdr:pic>
    <xdr:clientData/>
  </xdr:oneCellAnchor>
  <xdr:oneCellAnchor>
    <xdr:from>
      <xdr:col>16</xdr:col>
      <xdr:colOff>148166</xdr:colOff>
      <xdr:row>364</xdr:row>
      <xdr:rowOff>1566333</xdr:rowOff>
    </xdr:from>
    <xdr:ext cx="1080000" cy="1080000"/>
    <xdr:pic>
      <xdr:nvPicPr>
        <xdr:cNvPr id="518" name="Resim 517">
          <a:extLst>
            <a:ext uri="{FF2B5EF4-FFF2-40B4-BE49-F238E27FC236}">
              <a16:creationId xmlns:a16="http://schemas.microsoft.com/office/drawing/2014/main" id="{A3ED52A3-76DD-CC42-AF33-7BA30C46DC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1886132033"/>
          <a:ext cx="1080000" cy="1080000"/>
        </a:xfrm>
        <a:prstGeom prst="rect">
          <a:avLst/>
        </a:prstGeom>
      </xdr:spPr>
    </xdr:pic>
    <xdr:clientData/>
  </xdr:oneCellAnchor>
  <xdr:oneCellAnchor>
    <xdr:from>
      <xdr:col>16</xdr:col>
      <xdr:colOff>105833</xdr:colOff>
      <xdr:row>364</xdr:row>
      <xdr:rowOff>2836333</xdr:rowOff>
    </xdr:from>
    <xdr:ext cx="1121834" cy="1114404"/>
    <xdr:pic>
      <xdr:nvPicPr>
        <xdr:cNvPr id="519" name="Resim 518">
          <a:extLst>
            <a:ext uri="{FF2B5EF4-FFF2-40B4-BE49-F238E27FC236}">
              <a16:creationId xmlns:a16="http://schemas.microsoft.com/office/drawing/2014/main" id="{FCD5D8C7-C85F-1144-B599-54400709E01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3" y="1887402033"/>
          <a:ext cx="1121834" cy="1114404"/>
        </a:xfrm>
        <a:prstGeom prst="rect">
          <a:avLst/>
        </a:prstGeom>
      </xdr:spPr>
    </xdr:pic>
    <xdr:clientData/>
  </xdr:oneCellAnchor>
  <xdr:oneCellAnchor>
    <xdr:from>
      <xdr:col>16</xdr:col>
      <xdr:colOff>100864</xdr:colOff>
      <xdr:row>369</xdr:row>
      <xdr:rowOff>410449</xdr:rowOff>
    </xdr:from>
    <xdr:ext cx="1078992" cy="1078992"/>
    <xdr:pic>
      <xdr:nvPicPr>
        <xdr:cNvPr id="520" name="Resim 519">
          <a:extLst>
            <a:ext uri="{FF2B5EF4-FFF2-40B4-BE49-F238E27FC236}">
              <a16:creationId xmlns:a16="http://schemas.microsoft.com/office/drawing/2014/main" id="{C0DBEB57-6C50-D34B-B783-EF85A4361A0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57864" y="1911011149"/>
          <a:ext cx="1078992" cy="1078992"/>
        </a:xfrm>
        <a:prstGeom prst="rect">
          <a:avLst/>
        </a:prstGeom>
      </xdr:spPr>
    </xdr:pic>
    <xdr:clientData/>
  </xdr:oneCellAnchor>
  <xdr:oneCellAnchor>
    <xdr:from>
      <xdr:col>16</xdr:col>
      <xdr:colOff>148167</xdr:colOff>
      <xdr:row>390</xdr:row>
      <xdr:rowOff>402166</xdr:rowOff>
    </xdr:from>
    <xdr:ext cx="1080000" cy="1080000"/>
    <xdr:pic>
      <xdr:nvPicPr>
        <xdr:cNvPr id="521" name="Resim 520">
          <a:extLst>
            <a:ext uri="{FF2B5EF4-FFF2-40B4-BE49-F238E27FC236}">
              <a16:creationId xmlns:a16="http://schemas.microsoft.com/office/drawing/2014/main" id="{DD53B5D4-83F0-FB45-9197-53145DF7BB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020349866"/>
          <a:ext cx="1080000" cy="1080000"/>
        </a:xfrm>
        <a:prstGeom prst="rect">
          <a:avLst/>
        </a:prstGeom>
      </xdr:spPr>
    </xdr:pic>
    <xdr:clientData/>
  </xdr:oneCellAnchor>
  <xdr:oneCellAnchor>
    <xdr:from>
      <xdr:col>16</xdr:col>
      <xdr:colOff>63499</xdr:colOff>
      <xdr:row>398</xdr:row>
      <xdr:rowOff>359833</xdr:rowOff>
    </xdr:from>
    <xdr:ext cx="1080000" cy="1080000"/>
    <xdr:pic>
      <xdr:nvPicPr>
        <xdr:cNvPr id="522" name="Resim 521">
          <a:extLst>
            <a:ext uri="{FF2B5EF4-FFF2-40B4-BE49-F238E27FC236}">
              <a16:creationId xmlns:a16="http://schemas.microsoft.com/office/drawing/2014/main" id="{4A07E2D3-2DBF-3647-B5C1-B97CE017F5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20499" y="2061963533"/>
          <a:ext cx="1080000" cy="1080000"/>
        </a:xfrm>
        <a:prstGeom prst="rect">
          <a:avLst/>
        </a:prstGeom>
      </xdr:spPr>
    </xdr:pic>
    <xdr:clientData/>
  </xdr:oneCellAnchor>
  <xdr:oneCellAnchor>
    <xdr:from>
      <xdr:col>16</xdr:col>
      <xdr:colOff>84667</xdr:colOff>
      <xdr:row>400</xdr:row>
      <xdr:rowOff>127000</xdr:rowOff>
    </xdr:from>
    <xdr:ext cx="1080000" cy="1080000"/>
    <xdr:pic>
      <xdr:nvPicPr>
        <xdr:cNvPr id="523" name="Resim 522">
          <a:extLst>
            <a:ext uri="{FF2B5EF4-FFF2-40B4-BE49-F238E27FC236}">
              <a16:creationId xmlns:a16="http://schemas.microsoft.com/office/drawing/2014/main" id="{435028DE-4C4C-8A47-B841-2CF4E3E915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2072144700"/>
          <a:ext cx="1080000" cy="1080000"/>
        </a:xfrm>
        <a:prstGeom prst="rect">
          <a:avLst/>
        </a:prstGeom>
      </xdr:spPr>
    </xdr:pic>
    <xdr:clientData/>
  </xdr:oneCellAnchor>
  <xdr:oneCellAnchor>
    <xdr:from>
      <xdr:col>16</xdr:col>
      <xdr:colOff>126999</xdr:colOff>
      <xdr:row>415</xdr:row>
      <xdr:rowOff>1418167</xdr:rowOff>
    </xdr:from>
    <xdr:ext cx="1080000" cy="1080000"/>
    <xdr:pic>
      <xdr:nvPicPr>
        <xdr:cNvPr id="524" name="Resim 523">
          <a:extLst>
            <a:ext uri="{FF2B5EF4-FFF2-40B4-BE49-F238E27FC236}">
              <a16:creationId xmlns:a16="http://schemas.microsoft.com/office/drawing/2014/main" id="{9C9AE695-3CE1-5548-B0F9-DC1882D2E9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3999" y="2151540867"/>
          <a:ext cx="1080000" cy="1080000"/>
        </a:xfrm>
        <a:prstGeom prst="rect">
          <a:avLst/>
        </a:prstGeom>
      </xdr:spPr>
    </xdr:pic>
    <xdr:clientData/>
  </xdr:oneCellAnchor>
  <xdr:oneCellAnchor>
    <xdr:from>
      <xdr:col>16</xdr:col>
      <xdr:colOff>127000</xdr:colOff>
      <xdr:row>421</xdr:row>
      <xdr:rowOff>359833</xdr:rowOff>
    </xdr:from>
    <xdr:ext cx="1080000" cy="1080000"/>
    <xdr:pic>
      <xdr:nvPicPr>
        <xdr:cNvPr id="525" name="Resim 524">
          <a:extLst>
            <a:ext uri="{FF2B5EF4-FFF2-40B4-BE49-F238E27FC236}">
              <a16:creationId xmlns:a16="http://schemas.microsoft.com/office/drawing/2014/main" id="{084A60B0-1A5D-4242-97D2-14F7F32174B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181724533"/>
          <a:ext cx="1080000" cy="1080000"/>
        </a:xfrm>
        <a:prstGeom prst="rect">
          <a:avLst/>
        </a:prstGeom>
      </xdr:spPr>
    </xdr:pic>
    <xdr:clientData/>
  </xdr:oneCellAnchor>
  <xdr:oneCellAnchor>
    <xdr:from>
      <xdr:col>16</xdr:col>
      <xdr:colOff>127000</xdr:colOff>
      <xdr:row>421</xdr:row>
      <xdr:rowOff>1587500</xdr:rowOff>
    </xdr:from>
    <xdr:ext cx="1080000" cy="1080000"/>
    <xdr:pic>
      <xdr:nvPicPr>
        <xdr:cNvPr id="526" name="Resim 525">
          <a:extLst>
            <a:ext uri="{FF2B5EF4-FFF2-40B4-BE49-F238E27FC236}">
              <a16:creationId xmlns:a16="http://schemas.microsoft.com/office/drawing/2014/main" id="{071BAB87-A246-384A-9447-E594422D84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182952200"/>
          <a:ext cx="1080000" cy="1080000"/>
        </a:xfrm>
        <a:prstGeom prst="rect">
          <a:avLst/>
        </a:prstGeom>
      </xdr:spPr>
    </xdr:pic>
    <xdr:clientData/>
  </xdr:oneCellAnchor>
  <xdr:oneCellAnchor>
    <xdr:from>
      <xdr:col>16</xdr:col>
      <xdr:colOff>105834</xdr:colOff>
      <xdr:row>422</xdr:row>
      <xdr:rowOff>148166</xdr:rowOff>
    </xdr:from>
    <xdr:ext cx="1080000" cy="1080000"/>
    <xdr:pic>
      <xdr:nvPicPr>
        <xdr:cNvPr id="527" name="Resim 526">
          <a:extLst>
            <a:ext uri="{FF2B5EF4-FFF2-40B4-BE49-F238E27FC236}">
              <a16:creationId xmlns:a16="http://schemas.microsoft.com/office/drawing/2014/main" id="{2CC66532-5396-E443-8D5B-CD0F8B5E60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186719866"/>
          <a:ext cx="1080000" cy="1080000"/>
        </a:xfrm>
        <a:prstGeom prst="rect">
          <a:avLst/>
        </a:prstGeom>
      </xdr:spPr>
    </xdr:pic>
    <xdr:clientData/>
  </xdr:oneCellAnchor>
  <xdr:oneCellAnchor>
    <xdr:from>
      <xdr:col>16</xdr:col>
      <xdr:colOff>105834</xdr:colOff>
      <xdr:row>422</xdr:row>
      <xdr:rowOff>1333500</xdr:rowOff>
    </xdr:from>
    <xdr:ext cx="1080000" cy="1080000"/>
    <xdr:pic>
      <xdr:nvPicPr>
        <xdr:cNvPr id="528" name="Resim 527">
          <a:extLst>
            <a:ext uri="{FF2B5EF4-FFF2-40B4-BE49-F238E27FC236}">
              <a16:creationId xmlns:a16="http://schemas.microsoft.com/office/drawing/2014/main" id="{3C8C913C-5BA5-AD4D-AD00-AEE9940BFB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2187905200"/>
          <a:ext cx="1080000" cy="1080000"/>
        </a:xfrm>
        <a:prstGeom prst="rect">
          <a:avLst/>
        </a:prstGeom>
      </xdr:spPr>
    </xdr:pic>
    <xdr:clientData/>
  </xdr:oneCellAnchor>
  <xdr:oneCellAnchor>
    <xdr:from>
      <xdr:col>16</xdr:col>
      <xdr:colOff>148167</xdr:colOff>
      <xdr:row>424</xdr:row>
      <xdr:rowOff>317500</xdr:rowOff>
    </xdr:from>
    <xdr:ext cx="1080000" cy="1080000"/>
    <xdr:pic>
      <xdr:nvPicPr>
        <xdr:cNvPr id="529" name="Resim 528">
          <a:extLst>
            <a:ext uri="{FF2B5EF4-FFF2-40B4-BE49-F238E27FC236}">
              <a16:creationId xmlns:a16="http://schemas.microsoft.com/office/drawing/2014/main" id="{D075EBF7-E1DD-914C-9067-6DABDB169A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197303200"/>
          <a:ext cx="1080000" cy="1080000"/>
        </a:xfrm>
        <a:prstGeom prst="rect">
          <a:avLst/>
        </a:prstGeom>
      </xdr:spPr>
    </xdr:pic>
    <xdr:clientData/>
  </xdr:oneCellAnchor>
  <xdr:oneCellAnchor>
    <xdr:from>
      <xdr:col>16</xdr:col>
      <xdr:colOff>169334</xdr:colOff>
      <xdr:row>425</xdr:row>
      <xdr:rowOff>317500</xdr:rowOff>
    </xdr:from>
    <xdr:ext cx="1080000" cy="1080000"/>
    <xdr:pic>
      <xdr:nvPicPr>
        <xdr:cNvPr id="530" name="Resim 529">
          <a:extLst>
            <a:ext uri="{FF2B5EF4-FFF2-40B4-BE49-F238E27FC236}">
              <a16:creationId xmlns:a16="http://schemas.microsoft.com/office/drawing/2014/main" id="{3732AFED-2D47-9148-9D0E-33670279BA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4" y="2202510200"/>
          <a:ext cx="1080000" cy="1080000"/>
        </a:xfrm>
        <a:prstGeom prst="rect">
          <a:avLst/>
        </a:prstGeom>
      </xdr:spPr>
    </xdr:pic>
    <xdr:clientData/>
  </xdr:oneCellAnchor>
  <xdr:oneCellAnchor>
    <xdr:from>
      <xdr:col>16</xdr:col>
      <xdr:colOff>148167</xdr:colOff>
      <xdr:row>425</xdr:row>
      <xdr:rowOff>1502834</xdr:rowOff>
    </xdr:from>
    <xdr:ext cx="1080000" cy="1080000"/>
    <xdr:pic>
      <xdr:nvPicPr>
        <xdr:cNvPr id="531" name="Resim 530">
          <a:extLst>
            <a:ext uri="{FF2B5EF4-FFF2-40B4-BE49-F238E27FC236}">
              <a16:creationId xmlns:a16="http://schemas.microsoft.com/office/drawing/2014/main" id="{7BB5F4E3-5CF4-B24E-9F18-1A812E5987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203695534"/>
          <a:ext cx="1080000" cy="1080000"/>
        </a:xfrm>
        <a:prstGeom prst="rect">
          <a:avLst/>
        </a:prstGeom>
      </xdr:spPr>
    </xdr:pic>
    <xdr:clientData/>
  </xdr:oneCellAnchor>
  <xdr:oneCellAnchor>
    <xdr:from>
      <xdr:col>16</xdr:col>
      <xdr:colOff>169333</xdr:colOff>
      <xdr:row>426</xdr:row>
      <xdr:rowOff>550333</xdr:rowOff>
    </xdr:from>
    <xdr:ext cx="1080000" cy="1080000"/>
    <xdr:pic>
      <xdr:nvPicPr>
        <xdr:cNvPr id="532" name="Resim 531">
          <a:extLst>
            <a:ext uri="{FF2B5EF4-FFF2-40B4-BE49-F238E27FC236}">
              <a16:creationId xmlns:a16="http://schemas.microsoft.com/office/drawing/2014/main" id="{45D0C0A8-9434-FF4F-B8F7-698FDD5A7D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2207950033"/>
          <a:ext cx="1080000" cy="1080000"/>
        </a:xfrm>
        <a:prstGeom prst="rect">
          <a:avLst/>
        </a:prstGeom>
      </xdr:spPr>
    </xdr:pic>
    <xdr:clientData/>
  </xdr:oneCellAnchor>
  <xdr:oneCellAnchor>
    <xdr:from>
      <xdr:col>16</xdr:col>
      <xdr:colOff>190500</xdr:colOff>
      <xdr:row>438</xdr:row>
      <xdr:rowOff>381000</xdr:rowOff>
    </xdr:from>
    <xdr:ext cx="1080000" cy="1080000"/>
    <xdr:pic>
      <xdr:nvPicPr>
        <xdr:cNvPr id="533" name="Resim 532">
          <a:extLst>
            <a:ext uri="{FF2B5EF4-FFF2-40B4-BE49-F238E27FC236}">
              <a16:creationId xmlns:a16="http://schemas.microsoft.com/office/drawing/2014/main" id="{FB7E5DFB-2F25-B74F-8C16-5C308B6399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268677200"/>
          <a:ext cx="1080000" cy="1080000"/>
        </a:xfrm>
        <a:prstGeom prst="rect">
          <a:avLst/>
        </a:prstGeom>
      </xdr:spPr>
    </xdr:pic>
    <xdr:clientData/>
  </xdr:oneCellAnchor>
  <xdr:oneCellAnchor>
    <xdr:from>
      <xdr:col>16</xdr:col>
      <xdr:colOff>105833</xdr:colOff>
      <xdr:row>441</xdr:row>
      <xdr:rowOff>1651000</xdr:rowOff>
    </xdr:from>
    <xdr:ext cx="1121834" cy="1114404"/>
    <xdr:pic>
      <xdr:nvPicPr>
        <xdr:cNvPr id="534" name="Resim 533">
          <a:extLst>
            <a:ext uri="{FF2B5EF4-FFF2-40B4-BE49-F238E27FC236}">
              <a16:creationId xmlns:a16="http://schemas.microsoft.com/office/drawing/2014/main" id="{79280572-BF07-904F-8106-CA430244054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3" y="2285568200"/>
          <a:ext cx="1121834" cy="1114404"/>
        </a:xfrm>
        <a:prstGeom prst="rect">
          <a:avLst/>
        </a:prstGeom>
      </xdr:spPr>
    </xdr:pic>
    <xdr:clientData/>
  </xdr:oneCellAnchor>
  <xdr:oneCellAnchor>
    <xdr:from>
      <xdr:col>16</xdr:col>
      <xdr:colOff>148167</xdr:colOff>
      <xdr:row>365</xdr:row>
      <xdr:rowOff>444500</xdr:rowOff>
    </xdr:from>
    <xdr:ext cx="1080000" cy="1080000"/>
    <xdr:pic>
      <xdr:nvPicPr>
        <xdr:cNvPr id="535" name="Resim 534">
          <a:extLst>
            <a:ext uri="{FF2B5EF4-FFF2-40B4-BE49-F238E27FC236}">
              <a16:creationId xmlns:a16="http://schemas.microsoft.com/office/drawing/2014/main" id="{9465A61E-C96C-8D45-A4C6-CEF06136FE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1890217200"/>
          <a:ext cx="1080000" cy="1080000"/>
        </a:xfrm>
        <a:prstGeom prst="rect">
          <a:avLst/>
        </a:prstGeom>
      </xdr:spPr>
    </xdr:pic>
    <xdr:clientData/>
  </xdr:oneCellAnchor>
  <xdr:oneCellAnchor>
    <xdr:from>
      <xdr:col>16</xdr:col>
      <xdr:colOff>127000</xdr:colOff>
      <xdr:row>368</xdr:row>
      <xdr:rowOff>423333</xdr:rowOff>
    </xdr:from>
    <xdr:ext cx="1080000" cy="1080000"/>
    <xdr:pic>
      <xdr:nvPicPr>
        <xdr:cNvPr id="536" name="Resim 535">
          <a:extLst>
            <a:ext uri="{FF2B5EF4-FFF2-40B4-BE49-F238E27FC236}">
              <a16:creationId xmlns:a16="http://schemas.microsoft.com/office/drawing/2014/main" id="{12A81BC9-9DEB-5B41-AC85-EAE13B0CD81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905817033"/>
          <a:ext cx="1080000" cy="1080000"/>
        </a:xfrm>
        <a:prstGeom prst="rect">
          <a:avLst/>
        </a:prstGeom>
      </xdr:spPr>
    </xdr:pic>
    <xdr:clientData/>
  </xdr:oneCellAnchor>
  <xdr:oneCellAnchor>
    <xdr:from>
      <xdr:col>16</xdr:col>
      <xdr:colOff>105833</xdr:colOff>
      <xdr:row>369</xdr:row>
      <xdr:rowOff>1545166</xdr:rowOff>
    </xdr:from>
    <xdr:ext cx="1080000" cy="1080000"/>
    <xdr:pic>
      <xdr:nvPicPr>
        <xdr:cNvPr id="537" name="Resim 536">
          <a:extLst>
            <a:ext uri="{FF2B5EF4-FFF2-40B4-BE49-F238E27FC236}">
              <a16:creationId xmlns:a16="http://schemas.microsoft.com/office/drawing/2014/main" id="{26D37176-528A-8F41-854E-64B4120D04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3" y="1912145866"/>
          <a:ext cx="1080000" cy="1080000"/>
        </a:xfrm>
        <a:prstGeom prst="rect">
          <a:avLst/>
        </a:prstGeom>
      </xdr:spPr>
    </xdr:pic>
    <xdr:clientData/>
  </xdr:oneCellAnchor>
  <xdr:twoCellAnchor editAs="oneCell">
    <xdr:from>
      <xdr:col>16</xdr:col>
      <xdr:colOff>105834</xdr:colOff>
      <xdr:row>369</xdr:row>
      <xdr:rowOff>2815166</xdr:rowOff>
    </xdr:from>
    <xdr:to>
      <xdr:col>16</xdr:col>
      <xdr:colOff>1229784</xdr:colOff>
      <xdr:row>369</xdr:row>
      <xdr:rowOff>3894158</xdr:rowOff>
    </xdr:to>
    <xdr:pic>
      <xdr:nvPicPr>
        <xdr:cNvPr id="538" name="Resim 537">
          <a:extLst>
            <a:ext uri="{FF2B5EF4-FFF2-40B4-BE49-F238E27FC236}">
              <a16:creationId xmlns:a16="http://schemas.microsoft.com/office/drawing/2014/main" id="{586B2682-97F1-8E47-B00E-77F8FBBD67D6}"/>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13834" y="1913415866"/>
          <a:ext cx="1123950" cy="1078992"/>
        </a:xfrm>
        <a:prstGeom prst="rect">
          <a:avLst/>
        </a:prstGeom>
      </xdr:spPr>
    </xdr:pic>
    <xdr:clientData/>
  </xdr:twoCellAnchor>
  <xdr:oneCellAnchor>
    <xdr:from>
      <xdr:col>16</xdr:col>
      <xdr:colOff>84667</xdr:colOff>
      <xdr:row>372</xdr:row>
      <xdr:rowOff>444500</xdr:rowOff>
    </xdr:from>
    <xdr:ext cx="1080000" cy="1080000"/>
    <xdr:pic>
      <xdr:nvPicPr>
        <xdr:cNvPr id="539" name="Resim 538">
          <a:extLst>
            <a:ext uri="{FF2B5EF4-FFF2-40B4-BE49-F238E27FC236}">
              <a16:creationId xmlns:a16="http://schemas.microsoft.com/office/drawing/2014/main" id="{D1AB6726-F6FC-0E46-ACE0-DD2AD276AD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1926666200"/>
          <a:ext cx="1080000" cy="1080000"/>
        </a:xfrm>
        <a:prstGeom prst="rect">
          <a:avLst/>
        </a:prstGeom>
      </xdr:spPr>
    </xdr:pic>
    <xdr:clientData/>
  </xdr:oneCellAnchor>
  <xdr:oneCellAnchor>
    <xdr:from>
      <xdr:col>16</xdr:col>
      <xdr:colOff>190500</xdr:colOff>
      <xdr:row>376</xdr:row>
      <xdr:rowOff>338666</xdr:rowOff>
    </xdr:from>
    <xdr:ext cx="1080000" cy="1080000"/>
    <xdr:pic>
      <xdr:nvPicPr>
        <xdr:cNvPr id="540" name="Resim 539">
          <a:extLst>
            <a:ext uri="{FF2B5EF4-FFF2-40B4-BE49-F238E27FC236}">
              <a16:creationId xmlns:a16="http://schemas.microsoft.com/office/drawing/2014/main" id="{6F7BA86B-B752-4540-8723-3422E8DB6D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1947388366"/>
          <a:ext cx="1080000" cy="1080000"/>
        </a:xfrm>
        <a:prstGeom prst="rect">
          <a:avLst/>
        </a:prstGeom>
      </xdr:spPr>
    </xdr:pic>
    <xdr:clientData/>
  </xdr:oneCellAnchor>
  <xdr:oneCellAnchor>
    <xdr:from>
      <xdr:col>16</xdr:col>
      <xdr:colOff>127000</xdr:colOff>
      <xdr:row>378</xdr:row>
      <xdr:rowOff>359833</xdr:rowOff>
    </xdr:from>
    <xdr:ext cx="1080000" cy="1080000"/>
    <xdr:pic>
      <xdr:nvPicPr>
        <xdr:cNvPr id="541" name="Resim 540">
          <a:extLst>
            <a:ext uri="{FF2B5EF4-FFF2-40B4-BE49-F238E27FC236}">
              <a16:creationId xmlns:a16="http://schemas.microsoft.com/office/drawing/2014/main" id="{D1AA2C74-D368-9848-8597-54C10EC019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1957823533"/>
          <a:ext cx="1080000" cy="1080000"/>
        </a:xfrm>
        <a:prstGeom prst="rect">
          <a:avLst/>
        </a:prstGeom>
      </xdr:spPr>
    </xdr:pic>
    <xdr:clientData/>
  </xdr:oneCellAnchor>
  <xdr:oneCellAnchor>
    <xdr:from>
      <xdr:col>16</xdr:col>
      <xdr:colOff>105833</xdr:colOff>
      <xdr:row>379</xdr:row>
      <xdr:rowOff>465667</xdr:rowOff>
    </xdr:from>
    <xdr:ext cx="1080000" cy="1080000"/>
    <xdr:pic>
      <xdr:nvPicPr>
        <xdr:cNvPr id="542" name="Resim 541">
          <a:extLst>
            <a:ext uri="{FF2B5EF4-FFF2-40B4-BE49-F238E27FC236}">
              <a16:creationId xmlns:a16="http://schemas.microsoft.com/office/drawing/2014/main" id="{261C9BE6-3687-C849-8946-6FBA1CAE5B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1963136367"/>
          <a:ext cx="1080000" cy="1080000"/>
        </a:xfrm>
        <a:prstGeom prst="rect">
          <a:avLst/>
        </a:prstGeom>
      </xdr:spPr>
    </xdr:pic>
    <xdr:clientData/>
  </xdr:oneCellAnchor>
  <xdr:oneCellAnchor>
    <xdr:from>
      <xdr:col>16</xdr:col>
      <xdr:colOff>169333</xdr:colOff>
      <xdr:row>380</xdr:row>
      <xdr:rowOff>486833</xdr:rowOff>
    </xdr:from>
    <xdr:ext cx="1080000" cy="1080000"/>
    <xdr:pic>
      <xdr:nvPicPr>
        <xdr:cNvPr id="543" name="Resim 542">
          <a:extLst>
            <a:ext uri="{FF2B5EF4-FFF2-40B4-BE49-F238E27FC236}">
              <a16:creationId xmlns:a16="http://schemas.microsoft.com/office/drawing/2014/main" id="{62F7AD1D-8884-1844-A9F0-6FE2AFF59C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1968364533"/>
          <a:ext cx="1080000" cy="1080000"/>
        </a:xfrm>
        <a:prstGeom prst="rect">
          <a:avLst/>
        </a:prstGeom>
      </xdr:spPr>
    </xdr:pic>
    <xdr:clientData/>
  </xdr:oneCellAnchor>
  <xdr:oneCellAnchor>
    <xdr:from>
      <xdr:col>16</xdr:col>
      <xdr:colOff>148167</xdr:colOff>
      <xdr:row>381</xdr:row>
      <xdr:rowOff>550333</xdr:rowOff>
    </xdr:from>
    <xdr:ext cx="1080000" cy="1080000"/>
    <xdr:pic>
      <xdr:nvPicPr>
        <xdr:cNvPr id="544" name="Resim 543">
          <a:extLst>
            <a:ext uri="{FF2B5EF4-FFF2-40B4-BE49-F238E27FC236}">
              <a16:creationId xmlns:a16="http://schemas.microsoft.com/office/drawing/2014/main" id="{C6739B2F-E3FF-B642-AFCA-149D67DFDD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1973635033"/>
          <a:ext cx="1080000" cy="1080000"/>
        </a:xfrm>
        <a:prstGeom prst="rect">
          <a:avLst/>
        </a:prstGeom>
      </xdr:spPr>
    </xdr:pic>
    <xdr:clientData/>
  </xdr:oneCellAnchor>
  <xdr:oneCellAnchor>
    <xdr:from>
      <xdr:col>16</xdr:col>
      <xdr:colOff>211667</xdr:colOff>
      <xdr:row>382</xdr:row>
      <xdr:rowOff>211667</xdr:rowOff>
    </xdr:from>
    <xdr:ext cx="1080000" cy="1080000"/>
    <xdr:pic>
      <xdr:nvPicPr>
        <xdr:cNvPr id="545" name="Resim 544">
          <a:extLst>
            <a:ext uri="{FF2B5EF4-FFF2-40B4-BE49-F238E27FC236}">
              <a16:creationId xmlns:a16="http://schemas.microsoft.com/office/drawing/2014/main" id="{8FD6D106-CB08-9E48-B3DB-E283A48FFE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68667" y="1978503367"/>
          <a:ext cx="1080000" cy="1080000"/>
        </a:xfrm>
        <a:prstGeom prst="rect">
          <a:avLst/>
        </a:prstGeom>
      </xdr:spPr>
    </xdr:pic>
    <xdr:clientData/>
  </xdr:oneCellAnchor>
  <xdr:oneCellAnchor>
    <xdr:from>
      <xdr:col>16</xdr:col>
      <xdr:colOff>169333</xdr:colOff>
      <xdr:row>383</xdr:row>
      <xdr:rowOff>317500</xdr:rowOff>
    </xdr:from>
    <xdr:ext cx="1080000" cy="1080000"/>
    <xdr:pic>
      <xdr:nvPicPr>
        <xdr:cNvPr id="546" name="Resim 545">
          <a:extLst>
            <a:ext uri="{FF2B5EF4-FFF2-40B4-BE49-F238E27FC236}">
              <a16:creationId xmlns:a16="http://schemas.microsoft.com/office/drawing/2014/main" id="{9A5DFF55-90E1-4C48-A7F2-A7405F37CE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1983816200"/>
          <a:ext cx="1080000" cy="1080000"/>
        </a:xfrm>
        <a:prstGeom prst="rect">
          <a:avLst/>
        </a:prstGeom>
      </xdr:spPr>
    </xdr:pic>
    <xdr:clientData/>
  </xdr:oneCellAnchor>
  <xdr:oneCellAnchor>
    <xdr:from>
      <xdr:col>16</xdr:col>
      <xdr:colOff>148167</xdr:colOff>
      <xdr:row>384</xdr:row>
      <xdr:rowOff>232834</xdr:rowOff>
    </xdr:from>
    <xdr:ext cx="1076737" cy="1080000"/>
    <xdr:pic>
      <xdr:nvPicPr>
        <xdr:cNvPr id="547" name="Resim 546">
          <a:extLst>
            <a:ext uri="{FF2B5EF4-FFF2-40B4-BE49-F238E27FC236}">
              <a16:creationId xmlns:a16="http://schemas.microsoft.com/office/drawing/2014/main" id="{E89BCD1C-F0DB-A043-9E17-F6A89C7B418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1988938534"/>
          <a:ext cx="1076737" cy="1080000"/>
        </a:xfrm>
        <a:prstGeom prst="rect">
          <a:avLst/>
        </a:prstGeom>
      </xdr:spPr>
    </xdr:pic>
    <xdr:clientData/>
  </xdr:oneCellAnchor>
  <xdr:oneCellAnchor>
    <xdr:from>
      <xdr:col>16</xdr:col>
      <xdr:colOff>127000</xdr:colOff>
      <xdr:row>384</xdr:row>
      <xdr:rowOff>1651000</xdr:rowOff>
    </xdr:from>
    <xdr:ext cx="1080000" cy="1080000"/>
    <xdr:pic>
      <xdr:nvPicPr>
        <xdr:cNvPr id="548" name="Resim 547">
          <a:extLst>
            <a:ext uri="{FF2B5EF4-FFF2-40B4-BE49-F238E27FC236}">
              <a16:creationId xmlns:a16="http://schemas.microsoft.com/office/drawing/2014/main" id="{CD9488AB-C319-9C47-BBF9-2758A164A8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1990356700"/>
          <a:ext cx="1080000" cy="1080000"/>
        </a:xfrm>
        <a:prstGeom prst="rect">
          <a:avLst/>
        </a:prstGeom>
      </xdr:spPr>
    </xdr:pic>
    <xdr:clientData/>
  </xdr:oneCellAnchor>
  <xdr:oneCellAnchor>
    <xdr:from>
      <xdr:col>16</xdr:col>
      <xdr:colOff>148166</xdr:colOff>
      <xdr:row>385</xdr:row>
      <xdr:rowOff>381000</xdr:rowOff>
    </xdr:from>
    <xdr:ext cx="1076737" cy="1080000"/>
    <xdr:pic>
      <xdr:nvPicPr>
        <xdr:cNvPr id="549" name="Resim 548">
          <a:extLst>
            <a:ext uri="{FF2B5EF4-FFF2-40B4-BE49-F238E27FC236}">
              <a16:creationId xmlns:a16="http://schemas.microsoft.com/office/drawing/2014/main" id="{1FD802F4-2D0E-7145-BAD3-B99325160E3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6" y="1994293700"/>
          <a:ext cx="1076737" cy="1080000"/>
        </a:xfrm>
        <a:prstGeom prst="rect">
          <a:avLst/>
        </a:prstGeom>
      </xdr:spPr>
    </xdr:pic>
    <xdr:clientData/>
  </xdr:oneCellAnchor>
  <xdr:oneCellAnchor>
    <xdr:from>
      <xdr:col>16</xdr:col>
      <xdr:colOff>190500</xdr:colOff>
      <xdr:row>386</xdr:row>
      <xdr:rowOff>338667</xdr:rowOff>
    </xdr:from>
    <xdr:ext cx="1080000" cy="1080000"/>
    <xdr:pic>
      <xdr:nvPicPr>
        <xdr:cNvPr id="550" name="Resim 549">
          <a:extLst>
            <a:ext uri="{FF2B5EF4-FFF2-40B4-BE49-F238E27FC236}">
              <a16:creationId xmlns:a16="http://schemas.microsoft.com/office/drawing/2014/main" id="{9456383E-714A-2A46-93B6-DEB76FE136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1999458367"/>
          <a:ext cx="1080000" cy="1080000"/>
        </a:xfrm>
        <a:prstGeom prst="rect">
          <a:avLst/>
        </a:prstGeom>
      </xdr:spPr>
    </xdr:pic>
    <xdr:clientData/>
  </xdr:oneCellAnchor>
  <xdr:oneCellAnchor>
    <xdr:from>
      <xdr:col>16</xdr:col>
      <xdr:colOff>169333</xdr:colOff>
      <xdr:row>387</xdr:row>
      <xdr:rowOff>444500</xdr:rowOff>
    </xdr:from>
    <xdr:ext cx="1080000" cy="1080000"/>
    <xdr:pic>
      <xdr:nvPicPr>
        <xdr:cNvPr id="551" name="Resim 550">
          <a:extLst>
            <a:ext uri="{FF2B5EF4-FFF2-40B4-BE49-F238E27FC236}">
              <a16:creationId xmlns:a16="http://schemas.microsoft.com/office/drawing/2014/main" id="{E3CC622D-87A3-BF45-ABCB-9FA20D27C99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2004771200"/>
          <a:ext cx="1080000" cy="1080000"/>
        </a:xfrm>
        <a:prstGeom prst="rect">
          <a:avLst/>
        </a:prstGeom>
      </xdr:spPr>
    </xdr:pic>
    <xdr:clientData/>
  </xdr:oneCellAnchor>
  <xdr:oneCellAnchor>
    <xdr:from>
      <xdr:col>16</xdr:col>
      <xdr:colOff>105834</xdr:colOff>
      <xdr:row>388</xdr:row>
      <xdr:rowOff>232833</xdr:rowOff>
    </xdr:from>
    <xdr:ext cx="1080000" cy="1080000"/>
    <xdr:pic>
      <xdr:nvPicPr>
        <xdr:cNvPr id="552" name="Resim 551">
          <a:extLst>
            <a:ext uri="{FF2B5EF4-FFF2-40B4-BE49-F238E27FC236}">
              <a16:creationId xmlns:a16="http://schemas.microsoft.com/office/drawing/2014/main" id="{0D6DAC5B-88CA-3A42-8342-24FCFD81BB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009766533"/>
          <a:ext cx="1080000" cy="1080000"/>
        </a:xfrm>
        <a:prstGeom prst="rect">
          <a:avLst/>
        </a:prstGeom>
      </xdr:spPr>
    </xdr:pic>
    <xdr:clientData/>
  </xdr:oneCellAnchor>
  <xdr:oneCellAnchor>
    <xdr:from>
      <xdr:col>16</xdr:col>
      <xdr:colOff>169334</xdr:colOff>
      <xdr:row>389</xdr:row>
      <xdr:rowOff>317500</xdr:rowOff>
    </xdr:from>
    <xdr:ext cx="1080000" cy="1080000"/>
    <xdr:pic>
      <xdr:nvPicPr>
        <xdr:cNvPr id="553" name="Resim 552">
          <a:extLst>
            <a:ext uri="{FF2B5EF4-FFF2-40B4-BE49-F238E27FC236}">
              <a16:creationId xmlns:a16="http://schemas.microsoft.com/office/drawing/2014/main" id="{30AB9C66-3F95-F34C-AAAC-B244B36D29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4" y="2015058200"/>
          <a:ext cx="1080000" cy="1080000"/>
        </a:xfrm>
        <a:prstGeom prst="rect">
          <a:avLst/>
        </a:prstGeom>
      </xdr:spPr>
    </xdr:pic>
    <xdr:clientData/>
  </xdr:oneCellAnchor>
  <xdr:oneCellAnchor>
    <xdr:from>
      <xdr:col>16</xdr:col>
      <xdr:colOff>127000</xdr:colOff>
      <xdr:row>390</xdr:row>
      <xdr:rowOff>1608666</xdr:rowOff>
    </xdr:from>
    <xdr:ext cx="1080000" cy="1080000"/>
    <xdr:pic>
      <xdr:nvPicPr>
        <xdr:cNvPr id="554" name="Resim 553">
          <a:extLst>
            <a:ext uri="{FF2B5EF4-FFF2-40B4-BE49-F238E27FC236}">
              <a16:creationId xmlns:a16="http://schemas.microsoft.com/office/drawing/2014/main" id="{91C7FF82-C038-A041-8596-27DA68D425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021556366"/>
          <a:ext cx="1080000" cy="1080000"/>
        </a:xfrm>
        <a:prstGeom prst="rect">
          <a:avLst/>
        </a:prstGeom>
      </xdr:spPr>
    </xdr:pic>
    <xdr:clientData/>
  </xdr:oneCellAnchor>
  <xdr:oneCellAnchor>
    <xdr:from>
      <xdr:col>16</xdr:col>
      <xdr:colOff>105834</xdr:colOff>
      <xdr:row>395</xdr:row>
      <xdr:rowOff>211667</xdr:rowOff>
    </xdr:from>
    <xdr:ext cx="1076737" cy="1080000"/>
    <xdr:pic>
      <xdr:nvPicPr>
        <xdr:cNvPr id="555" name="Resim 554">
          <a:extLst>
            <a:ext uri="{FF2B5EF4-FFF2-40B4-BE49-F238E27FC236}">
              <a16:creationId xmlns:a16="http://schemas.microsoft.com/office/drawing/2014/main" id="{B12E29D2-2C11-3540-AEF0-AD8D4E8EEC8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662834" y="2046194367"/>
          <a:ext cx="1076737" cy="1080000"/>
        </a:xfrm>
        <a:prstGeom prst="rect">
          <a:avLst/>
        </a:prstGeom>
      </xdr:spPr>
    </xdr:pic>
    <xdr:clientData/>
  </xdr:oneCellAnchor>
  <xdr:oneCellAnchor>
    <xdr:from>
      <xdr:col>16</xdr:col>
      <xdr:colOff>105833</xdr:colOff>
      <xdr:row>398</xdr:row>
      <xdr:rowOff>1841500</xdr:rowOff>
    </xdr:from>
    <xdr:ext cx="1080000" cy="1080000"/>
    <xdr:pic>
      <xdr:nvPicPr>
        <xdr:cNvPr id="556" name="Resim 555">
          <a:extLst>
            <a:ext uri="{FF2B5EF4-FFF2-40B4-BE49-F238E27FC236}">
              <a16:creationId xmlns:a16="http://schemas.microsoft.com/office/drawing/2014/main" id="{52832874-72E0-E54A-9DFA-A20A6E9D0D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2833" y="2063445200"/>
          <a:ext cx="1080000" cy="1080000"/>
        </a:xfrm>
        <a:prstGeom prst="rect">
          <a:avLst/>
        </a:prstGeom>
      </xdr:spPr>
    </xdr:pic>
    <xdr:clientData/>
  </xdr:oneCellAnchor>
  <xdr:oneCellAnchor>
    <xdr:from>
      <xdr:col>16</xdr:col>
      <xdr:colOff>169333</xdr:colOff>
      <xdr:row>399</xdr:row>
      <xdr:rowOff>402167</xdr:rowOff>
    </xdr:from>
    <xdr:ext cx="1080000" cy="1080000"/>
    <xdr:pic>
      <xdr:nvPicPr>
        <xdr:cNvPr id="557" name="Resim 556">
          <a:extLst>
            <a:ext uri="{FF2B5EF4-FFF2-40B4-BE49-F238E27FC236}">
              <a16:creationId xmlns:a16="http://schemas.microsoft.com/office/drawing/2014/main" id="{DECFA014-3E3F-2448-AB2A-1F027AEBAC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3" y="2067212867"/>
          <a:ext cx="1080000" cy="1080000"/>
        </a:xfrm>
        <a:prstGeom prst="rect">
          <a:avLst/>
        </a:prstGeom>
      </xdr:spPr>
    </xdr:pic>
    <xdr:clientData/>
  </xdr:oneCellAnchor>
  <xdr:twoCellAnchor editAs="oneCell">
    <xdr:from>
      <xdr:col>16</xdr:col>
      <xdr:colOff>211666</xdr:colOff>
      <xdr:row>399</xdr:row>
      <xdr:rowOff>1608667</xdr:rowOff>
    </xdr:from>
    <xdr:to>
      <xdr:col>16</xdr:col>
      <xdr:colOff>1206500</xdr:colOff>
      <xdr:row>399</xdr:row>
      <xdr:rowOff>2687659</xdr:rowOff>
    </xdr:to>
    <xdr:pic>
      <xdr:nvPicPr>
        <xdr:cNvPr id="558" name="Resim 557">
          <a:extLst>
            <a:ext uri="{FF2B5EF4-FFF2-40B4-BE49-F238E27FC236}">
              <a16:creationId xmlns:a16="http://schemas.microsoft.com/office/drawing/2014/main" id="{FB0041EA-B136-2D4F-AAD5-FA6FB6D19634}"/>
            </a:ext>
          </a:extLst>
        </xdr:cNvPr>
        <xdr:cNvPicPr>
          <a:picLocks/>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3419666" y="2068419367"/>
          <a:ext cx="994834" cy="1078992"/>
        </a:xfrm>
        <a:prstGeom prst="rect">
          <a:avLst/>
        </a:prstGeom>
      </xdr:spPr>
    </xdr:pic>
    <xdr:clientData/>
  </xdr:twoCellAnchor>
  <xdr:oneCellAnchor>
    <xdr:from>
      <xdr:col>16</xdr:col>
      <xdr:colOff>148167</xdr:colOff>
      <xdr:row>401</xdr:row>
      <xdr:rowOff>444500</xdr:rowOff>
    </xdr:from>
    <xdr:ext cx="1080000" cy="1080000"/>
    <xdr:pic>
      <xdr:nvPicPr>
        <xdr:cNvPr id="559" name="Resim 558">
          <a:extLst>
            <a:ext uri="{FF2B5EF4-FFF2-40B4-BE49-F238E27FC236}">
              <a16:creationId xmlns:a16="http://schemas.microsoft.com/office/drawing/2014/main" id="{1847AED9-8BBE-CC4F-8585-4385FD343D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077669200"/>
          <a:ext cx="1080000" cy="1080000"/>
        </a:xfrm>
        <a:prstGeom prst="rect">
          <a:avLst/>
        </a:prstGeom>
      </xdr:spPr>
    </xdr:pic>
    <xdr:clientData/>
  </xdr:oneCellAnchor>
  <xdr:oneCellAnchor>
    <xdr:from>
      <xdr:col>16</xdr:col>
      <xdr:colOff>190500</xdr:colOff>
      <xdr:row>402</xdr:row>
      <xdr:rowOff>359833</xdr:rowOff>
    </xdr:from>
    <xdr:ext cx="1080000" cy="1080000"/>
    <xdr:pic>
      <xdr:nvPicPr>
        <xdr:cNvPr id="560" name="Resim 559">
          <a:extLst>
            <a:ext uri="{FF2B5EF4-FFF2-40B4-BE49-F238E27FC236}">
              <a16:creationId xmlns:a16="http://schemas.microsoft.com/office/drawing/2014/main" id="{4B7C4E14-6D2D-ED4E-A78F-A674F96232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082791533"/>
          <a:ext cx="1080000" cy="1080000"/>
        </a:xfrm>
        <a:prstGeom prst="rect">
          <a:avLst/>
        </a:prstGeom>
      </xdr:spPr>
    </xdr:pic>
    <xdr:clientData/>
  </xdr:oneCellAnchor>
  <xdr:oneCellAnchor>
    <xdr:from>
      <xdr:col>16</xdr:col>
      <xdr:colOff>105834</xdr:colOff>
      <xdr:row>403</xdr:row>
      <xdr:rowOff>254000</xdr:rowOff>
    </xdr:from>
    <xdr:ext cx="1080000" cy="1080000"/>
    <xdr:pic>
      <xdr:nvPicPr>
        <xdr:cNvPr id="561" name="Resim 560">
          <a:extLst>
            <a:ext uri="{FF2B5EF4-FFF2-40B4-BE49-F238E27FC236}">
              <a16:creationId xmlns:a16="http://schemas.microsoft.com/office/drawing/2014/main" id="{1F01D447-72C1-FE49-A543-F4082BC2AA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087892700"/>
          <a:ext cx="1080000" cy="1080000"/>
        </a:xfrm>
        <a:prstGeom prst="rect">
          <a:avLst/>
        </a:prstGeom>
      </xdr:spPr>
    </xdr:pic>
    <xdr:clientData/>
  </xdr:oneCellAnchor>
  <xdr:oneCellAnchor>
    <xdr:from>
      <xdr:col>16</xdr:col>
      <xdr:colOff>148167</xdr:colOff>
      <xdr:row>403</xdr:row>
      <xdr:rowOff>1651000</xdr:rowOff>
    </xdr:from>
    <xdr:ext cx="1080000" cy="1080000"/>
    <xdr:pic>
      <xdr:nvPicPr>
        <xdr:cNvPr id="562" name="Resim 561">
          <a:extLst>
            <a:ext uri="{FF2B5EF4-FFF2-40B4-BE49-F238E27FC236}">
              <a16:creationId xmlns:a16="http://schemas.microsoft.com/office/drawing/2014/main" id="{DE990FF8-71F7-A548-9D64-AE8B841219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7" y="2089289700"/>
          <a:ext cx="1080000" cy="1080000"/>
        </a:xfrm>
        <a:prstGeom prst="rect">
          <a:avLst/>
        </a:prstGeom>
      </xdr:spPr>
    </xdr:pic>
    <xdr:clientData/>
  </xdr:oneCellAnchor>
  <xdr:oneCellAnchor>
    <xdr:from>
      <xdr:col>16</xdr:col>
      <xdr:colOff>169333</xdr:colOff>
      <xdr:row>404</xdr:row>
      <xdr:rowOff>381000</xdr:rowOff>
    </xdr:from>
    <xdr:ext cx="1080000" cy="1080000"/>
    <xdr:pic>
      <xdr:nvPicPr>
        <xdr:cNvPr id="563" name="Resim 562">
          <a:extLst>
            <a:ext uri="{FF2B5EF4-FFF2-40B4-BE49-F238E27FC236}">
              <a16:creationId xmlns:a16="http://schemas.microsoft.com/office/drawing/2014/main" id="{849BE8D8-B601-8D49-BDCF-51F2CC2062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3" y="2093226700"/>
          <a:ext cx="1080000" cy="1080000"/>
        </a:xfrm>
        <a:prstGeom prst="rect">
          <a:avLst/>
        </a:prstGeom>
      </xdr:spPr>
    </xdr:pic>
    <xdr:clientData/>
  </xdr:oneCellAnchor>
  <xdr:oneCellAnchor>
    <xdr:from>
      <xdr:col>16</xdr:col>
      <xdr:colOff>148167</xdr:colOff>
      <xdr:row>407</xdr:row>
      <xdr:rowOff>423333</xdr:rowOff>
    </xdr:from>
    <xdr:ext cx="1080000" cy="1080000"/>
    <xdr:pic>
      <xdr:nvPicPr>
        <xdr:cNvPr id="564" name="Resim 563">
          <a:extLst>
            <a:ext uri="{FF2B5EF4-FFF2-40B4-BE49-F238E27FC236}">
              <a16:creationId xmlns:a16="http://schemas.microsoft.com/office/drawing/2014/main" id="{FE3FAD53-4491-4549-B582-DDF2E4F2A22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108890033"/>
          <a:ext cx="1080000" cy="1080000"/>
        </a:xfrm>
        <a:prstGeom prst="rect">
          <a:avLst/>
        </a:prstGeom>
      </xdr:spPr>
    </xdr:pic>
    <xdr:clientData/>
  </xdr:oneCellAnchor>
  <xdr:oneCellAnchor>
    <xdr:from>
      <xdr:col>16</xdr:col>
      <xdr:colOff>105834</xdr:colOff>
      <xdr:row>409</xdr:row>
      <xdr:rowOff>423333</xdr:rowOff>
    </xdr:from>
    <xdr:ext cx="1080000" cy="1080000"/>
    <xdr:pic>
      <xdr:nvPicPr>
        <xdr:cNvPr id="565" name="Resim 564">
          <a:extLst>
            <a:ext uri="{FF2B5EF4-FFF2-40B4-BE49-F238E27FC236}">
              <a16:creationId xmlns:a16="http://schemas.microsoft.com/office/drawing/2014/main" id="{5BA2C1CF-D247-FC48-BAE8-E0AA4188BDC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2119304033"/>
          <a:ext cx="1080000" cy="1080000"/>
        </a:xfrm>
        <a:prstGeom prst="rect">
          <a:avLst/>
        </a:prstGeom>
      </xdr:spPr>
    </xdr:pic>
    <xdr:clientData/>
  </xdr:oneCellAnchor>
  <xdr:oneCellAnchor>
    <xdr:from>
      <xdr:col>16</xdr:col>
      <xdr:colOff>105834</xdr:colOff>
      <xdr:row>409</xdr:row>
      <xdr:rowOff>1841500</xdr:rowOff>
    </xdr:from>
    <xdr:ext cx="1121834" cy="1114404"/>
    <xdr:pic>
      <xdr:nvPicPr>
        <xdr:cNvPr id="566" name="Resim 565">
          <a:extLst>
            <a:ext uri="{FF2B5EF4-FFF2-40B4-BE49-F238E27FC236}">
              <a16:creationId xmlns:a16="http://schemas.microsoft.com/office/drawing/2014/main" id="{9596CF41-01BB-4C43-A7E7-16C575241E6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4" y="2120722200"/>
          <a:ext cx="1121834" cy="1114404"/>
        </a:xfrm>
        <a:prstGeom prst="rect">
          <a:avLst/>
        </a:prstGeom>
      </xdr:spPr>
    </xdr:pic>
    <xdr:clientData/>
  </xdr:oneCellAnchor>
  <xdr:oneCellAnchor>
    <xdr:from>
      <xdr:col>16</xdr:col>
      <xdr:colOff>105834</xdr:colOff>
      <xdr:row>412</xdr:row>
      <xdr:rowOff>296333</xdr:rowOff>
    </xdr:from>
    <xdr:ext cx="1080000" cy="1080000"/>
    <xdr:pic>
      <xdr:nvPicPr>
        <xdr:cNvPr id="567" name="Resim 566">
          <a:extLst>
            <a:ext uri="{FF2B5EF4-FFF2-40B4-BE49-F238E27FC236}">
              <a16:creationId xmlns:a16="http://schemas.microsoft.com/office/drawing/2014/main" id="{93A4C4FE-0219-2B4B-821B-C3E9D69A0E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134798033"/>
          <a:ext cx="1080000" cy="1080000"/>
        </a:xfrm>
        <a:prstGeom prst="rect">
          <a:avLst/>
        </a:prstGeom>
      </xdr:spPr>
    </xdr:pic>
    <xdr:clientData/>
  </xdr:oneCellAnchor>
  <xdr:oneCellAnchor>
    <xdr:from>
      <xdr:col>16</xdr:col>
      <xdr:colOff>190500</xdr:colOff>
      <xdr:row>412</xdr:row>
      <xdr:rowOff>1566333</xdr:rowOff>
    </xdr:from>
    <xdr:ext cx="1080000" cy="1080000"/>
    <xdr:pic>
      <xdr:nvPicPr>
        <xdr:cNvPr id="568" name="Resim 567">
          <a:extLst>
            <a:ext uri="{FF2B5EF4-FFF2-40B4-BE49-F238E27FC236}">
              <a16:creationId xmlns:a16="http://schemas.microsoft.com/office/drawing/2014/main" id="{987F02A2-356C-264A-A5D2-00EAD0FD3E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2136068033"/>
          <a:ext cx="1080000" cy="1080000"/>
        </a:xfrm>
        <a:prstGeom prst="rect">
          <a:avLst/>
        </a:prstGeom>
      </xdr:spPr>
    </xdr:pic>
    <xdr:clientData/>
  </xdr:oneCellAnchor>
  <xdr:oneCellAnchor>
    <xdr:from>
      <xdr:col>16</xdr:col>
      <xdr:colOff>148167</xdr:colOff>
      <xdr:row>413</xdr:row>
      <xdr:rowOff>402167</xdr:rowOff>
    </xdr:from>
    <xdr:ext cx="1080000" cy="1080000"/>
    <xdr:pic>
      <xdr:nvPicPr>
        <xdr:cNvPr id="569" name="Resim 568">
          <a:extLst>
            <a:ext uri="{FF2B5EF4-FFF2-40B4-BE49-F238E27FC236}">
              <a16:creationId xmlns:a16="http://schemas.microsoft.com/office/drawing/2014/main" id="{63BB39CA-6423-BF4C-858C-6AA7835814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140110867"/>
          <a:ext cx="1080000" cy="1080000"/>
        </a:xfrm>
        <a:prstGeom prst="rect">
          <a:avLst/>
        </a:prstGeom>
      </xdr:spPr>
    </xdr:pic>
    <xdr:clientData/>
  </xdr:oneCellAnchor>
  <xdr:oneCellAnchor>
    <xdr:from>
      <xdr:col>16</xdr:col>
      <xdr:colOff>169334</xdr:colOff>
      <xdr:row>414</xdr:row>
      <xdr:rowOff>254000</xdr:rowOff>
    </xdr:from>
    <xdr:ext cx="1080000" cy="1080000"/>
    <xdr:pic>
      <xdr:nvPicPr>
        <xdr:cNvPr id="570" name="Resim 569">
          <a:extLst>
            <a:ext uri="{FF2B5EF4-FFF2-40B4-BE49-F238E27FC236}">
              <a16:creationId xmlns:a16="http://schemas.microsoft.com/office/drawing/2014/main" id="{B83A55C9-67B2-1F4D-8330-EED20179E0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145169700"/>
          <a:ext cx="1080000" cy="1080000"/>
        </a:xfrm>
        <a:prstGeom prst="rect">
          <a:avLst/>
        </a:prstGeom>
      </xdr:spPr>
    </xdr:pic>
    <xdr:clientData/>
  </xdr:oneCellAnchor>
  <xdr:oneCellAnchor>
    <xdr:from>
      <xdr:col>16</xdr:col>
      <xdr:colOff>148167</xdr:colOff>
      <xdr:row>415</xdr:row>
      <xdr:rowOff>148166</xdr:rowOff>
    </xdr:from>
    <xdr:ext cx="1080000" cy="1080000"/>
    <xdr:pic>
      <xdr:nvPicPr>
        <xdr:cNvPr id="571" name="Resim 570">
          <a:extLst>
            <a:ext uri="{FF2B5EF4-FFF2-40B4-BE49-F238E27FC236}">
              <a16:creationId xmlns:a16="http://schemas.microsoft.com/office/drawing/2014/main" id="{B01B2A43-9622-7F44-8A5A-F418923311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150270866"/>
          <a:ext cx="1080000" cy="1080000"/>
        </a:xfrm>
        <a:prstGeom prst="rect">
          <a:avLst/>
        </a:prstGeom>
      </xdr:spPr>
    </xdr:pic>
    <xdr:clientData/>
  </xdr:oneCellAnchor>
  <xdr:oneCellAnchor>
    <xdr:from>
      <xdr:col>16</xdr:col>
      <xdr:colOff>169333</xdr:colOff>
      <xdr:row>415</xdr:row>
      <xdr:rowOff>2624667</xdr:rowOff>
    </xdr:from>
    <xdr:ext cx="1121834" cy="1114404"/>
    <xdr:pic>
      <xdr:nvPicPr>
        <xdr:cNvPr id="572" name="Resim 571">
          <a:extLst>
            <a:ext uri="{FF2B5EF4-FFF2-40B4-BE49-F238E27FC236}">
              <a16:creationId xmlns:a16="http://schemas.microsoft.com/office/drawing/2014/main" id="{F46C4EDE-FAD8-FA47-9BF3-EFD47F395D2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152747367"/>
          <a:ext cx="1121834" cy="1114404"/>
        </a:xfrm>
        <a:prstGeom prst="rect">
          <a:avLst/>
        </a:prstGeom>
      </xdr:spPr>
    </xdr:pic>
    <xdr:clientData/>
  </xdr:oneCellAnchor>
  <xdr:oneCellAnchor>
    <xdr:from>
      <xdr:col>16</xdr:col>
      <xdr:colOff>127000</xdr:colOff>
      <xdr:row>416</xdr:row>
      <xdr:rowOff>317500</xdr:rowOff>
    </xdr:from>
    <xdr:ext cx="1080000" cy="1080000"/>
    <xdr:pic>
      <xdr:nvPicPr>
        <xdr:cNvPr id="573" name="Resim 572">
          <a:extLst>
            <a:ext uri="{FF2B5EF4-FFF2-40B4-BE49-F238E27FC236}">
              <a16:creationId xmlns:a16="http://schemas.microsoft.com/office/drawing/2014/main" id="{2F9D4584-C312-3A41-931E-CAE2562040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155647200"/>
          <a:ext cx="1080000" cy="1080000"/>
        </a:xfrm>
        <a:prstGeom prst="rect">
          <a:avLst/>
        </a:prstGeom>
      </xdr:spPr>
    </xdr:pic>
    <xdr:clientData/>
  </xdr:oneCellAnchor>
  <xdr:oneCellAnchor>
    <xdr:from>
      <xdr:col>16</xdr:col>
      <xdr:colOff>127000</xdr:colOff>
      <xdr:row>416</xdr:row>
      <xdr:rowOff>1524000</xdr:rowOff>
    </xdr:from>
    <xdr:ext cx="1080000" cy="1080000"/>
    <xdr:pic>
      <xdr:nvPicPr>
        <xdr:cNvPr id="574" name="Resim 573">
          <a:extLst>
            <a:ext uri="{FF2B5EF4-FFF2-40B4-BE49-F238E27FC236}">
              <a16:creationId xmlns:a16="http://schemas.microsoft.com/office/drawing/2014/main" id="{DE138399-F9EA-E547-9A5A-4C6F3AD61F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156853700"/>
          <a:ext cx="1080000" cy="1080000"/>
        </a:xfrm>
        <a:prstGeom prst="rect">
          <a:avLst/>
        </a:prstGeom>
      </xdr:spPr>
    </xdr:pic>
    <xdr:clientData/>
  </xdr:oneCellAnchor>
  <xdr:oneCellAnchor>
    <xdr:from>
      <xdr:col>16</xdr:col>
      <xdr:colOff>105834</xdr:colOff>
      <xdr:row>416</xdr:row>
      <xdr:rowOff>2688167</xdr:rowOff>
    </xdr:from>
    <xdr:ext cx="1121834" cy="1114404"/>
    <xdr:pic>
      <xdr:nvPicPr>
        <xdr:cNvPr id="575" name="Resim 574">
          <a:extLst>
            <a:ext uri="{FF2B5EF4-FFF2-40B4-BE49-F238E27FC236}">
              <a16:creationId xmlns:a16="http://schemas.microsoft.com/office/drawing/2014/main" id="{03B15808-3E20-024C-83F6-C50D7A7973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4" y="2158017867"/>
          <a:ext cx="1121834" cy="1114404"/>
        </a:xfrm>
        <a:prstGeom prst="rect">
          <a:avLst/>
        </a:prstGeom>
      </xdr:spPr>
    </xdr:pic>
    <xdr:clientData/>
  </xdr:oneCellAnchor>
  <xdr:oneCellAnchor>
    <xdr:from>
      <xdr:col>16</xdr:col>
      <xdr:colOff>127000</xdr:colOff>
      <xdr:row>417</xdr:row>
      <xdr:rowOff>317500</xdr:rowOff>
    </xdr:from>
    <xdr:ext cx="1080000" cy="1080000"/>
    <xdr:pic>
      <xdr:nvPicPr>
        <xdr:cNvPr id="576" name="Resim 575">
          <a:extLst>
            <a:ext uri="{FF2B5EF4-FFF2-40B4-BE49-F238E27FC236}">
              <a16:creationId xmlns:a16="http://schemas.microsoft.com/office/drawing/2014/main" id="{B50614B0-ED28-4141-8533-690F0703C1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160854200"/>
          <a:ext cx="1080000" cy="1080000"/>
        </a:xfrm>
        <a:prstGeom prst="rect">
          <a:avLst/>
        </a:prstGeom>
      </xdr:spPr>
    </xdr:pic>
    <xdr:clientData/>
  </xdr:oneCellAnchor>
  <xdr:oneCellAnchor>
    <xdr:from>
      <xdr:col>16</xdr:col>
      <xdr:colOff>127000</xdr:colOff>
      <xdr:row>417</xdr:row>
      <xdr:rowOff>1524000</xdr:rowOff>
    </xdr:from>
    <xdr:ext cx="1080000" cy="1080000"/>
    <xdr:pic>
      <xdr:nvPicPr>
        <xdr:cNvPr id="577" name="Resim 576">
          <a:extLst>
            <a:ext uri="{FF2B5EF4-FFF2-40B4-BE49-F238E27FC236}">
              <a16:creationId xmlns:a16="http://schemas.microsoft.com/office/drawing/2014/main" id="{BB499BBB-2AD1-C643-9619-0A2B4C8C86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162060700"/>
          <a:ext cx="1080000" cy="1080000"/>
        </a:xfrm>
        <a:prstGeom prst="rect">
          <a:avLst/>
        </a:prstGeom>
      </xdr:spPr>
    </xdr:pic>
    <xdr:clientData/>
  </xdr:oneCellAnchor>
  <xdr:oneCellAnchor>
    <xdr:from>
      <xdr:col>16</xdr:col>
      <xdr:colOff>105834</xdr:colOff>
      <xdr:row>417</xdr:row>
      <xdr:rowOff>2688167</xdr:rowOff>
    </xdr:from>
    <xdr:ext cx="1121834" cy="1114404"/>
    <xdr:pic>
      <xdr:nvPicPr>
        <xdr:cNvPr id="578" name="Resim 577">
          <a:extLst>
            <a:ext uri="{FF2B5EF4-FFF2-40B4-BE49-F238E27FC236}">
              <a16:creationId xmlns:a16="http://schemas.microsoft.com/office/drawing/2014/main" id="{28C0B1B6-B076-6943-83FB-12397C550BB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4" y="2163224867"/>
          <a:ext cx="1121834" cy="1114404"/>
        </a:xfrm>
        <a:prstGeom prst="rect">
          <a:avLst/>
        </a:prstGeom>
      </xdr:spPr>
    </xdr:pic>
    <xdr:clientData/>
  </xdr:oneCellAnchor>
  <xdr:oneCellAnchor>
    <xdr:from>
      <xdr:col>16</xdr:col>
      <xdr:colOff>148167</xdr:colOff>
      <xdr:row>418</xdr:row>
      <xdr:rowOff>423333</xdr:rowOff>
    </xdr:from>
    <xdr:ext cx="1080000" cy="1080000"/>
    <xdr:pic>
      <xdr:nvPicPr>
        <xdr:cNvPr id="579" name="Resim 578">
          <a:extLst>
            <a:ext uri="{FF2B5EF4-FFF2-40B4-BE49-F238E27FC236}">
              <a16:creationId xmlns:a16="http://schemas.microsoft.com/office/drawing/2014/main" id="{03CFAB04-8CB6-A340-9D6D-4C9DC5C575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5167" y="2166167033"/>
          <a:ext cx="1080000" cy="1080000"/>
        </a:xfrm>
        <a:prstGeom prst="rect">
          <a:avLst/>
        </a:prstGeom>
      </xdr:spPr>
    </xdr:pic>
    <xdr:clientData/>
  </xdr:oneCellAnchor>
  <xdr:oneCellAnchor>
    <xdr:from>
      <xdr:col>16</xdr:col>
      <xdr:colOff>127000</xdr:colOff>
      <xdr:row>418</xdr:row>
      <xdr:rowOff>1651000</xdr:rowOff>
    </xdr:from>
    <xdr:ext cx="1080000" cy="1080000"/>
    <xdr:pic>
      <xdr:nvPicPr>
        <xdr:cNvPr id="580" name="Resim 579">
          <a:extLst>
            <a:ext uri="{FF2B5EF4-FFF2-40B4-BE49-F238E27FC236}">
              <a16:creationId xmlns:a16="http://schemas.microsoft.com/office/drawing/2014/main" id="{171ABBFA-BAE6-4841-B140-B59132219A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2167394700"/>
          <a:ext cx="1080000" cy="1080000"/>
        </a:xfrm>
        <a:prstGeom prst="rect">
          <a:avLst/>
        </a:prstGeom>
      </xdr:spPr>
    </xdr:pic>
    <xdr:clientData/>
  </xdr:oneCellAnchor>
  <xdr:oneCellAnchor>
    <xdr:from>
      <xdr:col>16</xdr:col>
      <xdr:colOff>169334</xdr:colOff>
      <xdr:row>419</xdr:row>
      <xdr:rowOff>381000</xdr:rowOff>
    </xdr:from>
    <xdr:ext cx="1080000" cy="1080000"/>
    <xdr:pic>
      <xdr:nvPicPr>
        <xdr:cNvPr id="581" name="Resim 580">
          <a:extLst>
            <a:ext uri="{FF2B5EF4-FFF2-40B4-BE49-F238E27FC236}">
              <a16:creationId xmlns:a16="http://schemas.microsoft.com/office/drawing/2014/main" id="{1526C6B9-1A29-5741-9082-A437BA0695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4" y="2171331700"/>
          <a:ext cx="1080000" cy="1080000"/>
        </a:xfrm>
        <a:prstGeom prst="rect">
          <a:avLst/>
        </a:prstGeom>
      </xdr:spPr>
    </xdr:pic>
    <xdr:clientData/>
  </xdr:oneCellAnchor>
  <xdr:oneCellAnchor>
    <xdr:from>
      <xdr:col>16</xdr:col>
      <xdr:colOff>148167</xdr:colOff>
      <xdr:row>419</xdr:row>
      <xdr:rowOff>1714500</xdr:rowOff>
    </xdr:from>
    <xdr:ext cx="1121834" cy="1114404"/>
    <xdr:pic>
      <xdr:nvPicPr>
        <xdr:cNvPr id="582" name="Resim 581">
          <a:extLst>
            <a:ext uri="{FF2B5EF4-FFF2-40B4-BE49-F238E27FC236}">
              <a16:creationId xmlns:a16="http://schemas.microsoft.com/office/drawing/2014/main" id="{A7A87674-8A99-3449-A287-D5FB369FC46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2172665200"/>
          <a:ext cx="1121834" cy="1114404"/>
        </a:xfrm>
        <a:prstGeom prst="rect">
          <a:avLst/>
        </a:prstGeom>
      </xdr:spPr>
    </xdr:pic>
    <xdr:clientData/>
  </xdr:oneCellAnchor>
  <xdr:oneCellAnchor>
    <xdr:from>
      <xdr:col>16</xdr:col>
      <xdr:colOff>148167</xdr:colOff>
      <xdr:row>420</xdr:row>
      <xdr:rowOff>148167</xdr:rowOff>
    </xdr:from>
    <xdr:ext cx="1080000" cy="1080000"/>
    <xdr:pic>
      <xdr:nvPicPr>
        <xdr:cNvPr id="583" name="Resim 582">
          <a:extLst>
            <a:ext uri="{FF2B5EF4-FFF2-40B4-BE49-F238E27FC236}">
              <a16:creationId xmlns:a16="http://schemas.microsoft.com/office/drawing/2014/main" id="{CE69C346-963D-8144-B96A-5053F41AA7F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176305867"/>
          <a:ext cx="1080000" cy="1080000"/>
        </a:xfrm>
        <a:prstGeom prst="rect">
          <a:avLst/>
        </a:prstGeom>
      </xdr:spPr>
    </xdr:pic>
    <xdr:clientData/>
  </xdr:oneCellAnchor>
  <xdr:oneCellAnchor>
    <xdr:from>
      <xdr:col>16</xdr:col>
      <xdr:colOff>152400</xdr:colOff>
      <xdr:row>420</xdr:row>
      <xdr:rowOff>1337733</xdr:rowOff>
    </xdr:from>
    <xdr:ext cx="1080000" cy="1080000"/>
    <xdr:pic>
      <xdr:nvPicPr>
        <xdr:cNvPr id="584" name="Resim 583">
          <a:extLst>
            <a:ext uri="{FF2B5EF4-FFF2-40B4-BE49-F238E27FC236}">
              <a16:creationId xmlns:a16="http://schemas.microsoft.com/office/drawing/2014/main" id="{EF84FDCD-BB58-194A-8337-849C703D84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2177495433"/>
          <a:ext cx="1080000" cy="1080000"/>
        </a:xfrm>
        <a:prstGeom prst="rect">
          <a:avLst/>
        </a:prstGeom>
      </xdr:spPr>
    </xdr:pic>
    <xdr:clientData/>
  </xdr:oneCellAnchor>
  <xdr:oneCellAnchor>
    <xdr:from>
      <xdr:col>16</xdr:col>
      <xdr:colOff>169333</xdr:colOff>
      <xdr:row>420</xdr:row>
      <xdr:rowOff>2518833</xdr:rowOff>
    </xdr:from>
    <xdr:ext cx="1121834" cy="1114404"/>
    <xdr:pic>
      <xdr:nvPicPr>
        <xdr:cNvPr id="585" name="Resim 584">
          <a:extLst>
            <a:ext uri="{FF2B5EF4-FFF2-40B4-BE49-F238E27FC236}">
              <a16:creationId xmlns:a16="http://schemas.microsoft.com/office/drawing/2014/main" id="{55766BA2-BAB6-604F-9EE1-4353DC4F54C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178676533"/>
          <a:ext cx="1121834" cy="1114404"/>
        </a:xfrm>
        <a:prstGeom prst="rect">
          <a:avLst/>
        </a:prstGeom>
      </xdr:spPr>
    </xdr:pic>
    <xdr:clientData/>
  </xdr:oneCellAnchor>
  <xdr:oneCellAnchor>
    <xdr:from>
      <xdr:col>16</xdr:col>
      <xdr:colOff>148167</xdr:colOff>
      <xdr:row>420</xdr:row>
      <xdr:rowOff>3788833</xdr:rowOff>
    </xdr:from>
    <xdr:ext cx="1080000" cy="1080000"/>
    <xdr:pic>
      <xdr:nvPicPr>
        <xdr:cNvPr id="586" name="Resim 585">
          <a:extLst>
            <a:ext uri="{FF2B5EF4-FFF2-40B4-BE49-F238E27FC236}">
              <a16:creationId xmlns:a16="http://schemas.microsoft.com/office/drawing/2014/main" id="{8411C833-85B7-8D43-8857-6E8DBA8467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05167" y="2179946533"/>
          <a:ext cx="1080000" cy="1080000"/>
        </a:xfrm>
        <a:prstGeom prst="rect">
          <a:avLst/>
        </a:prstGeom>
      </xdr:spPr>
    </xdr:pic>
    <xdr:clientData/>
  </xdr:oneCellAnchor>
  <xdr:oneCellAnchor>
    <xdr:from>
      <xdr:col>16</xdr:col>
      <xdr:colOff>148167</xdr:colOff>
      <xdr:row>421</xdr:row>
      <xdr:rowOff>2942167</xdr:rowOff>
    </xdr:from>
    <xdr:ext cx="1121834" cy="1114404"/>
    <xdr:pic>
      <xdr:nvPicPr>
        <xdr:cNvPr id="587" name="Resim 586">
          <a:extLst>
            <a:ext uri="{FF2B5EF4-FFF2-40B4-BE49-F238E27FC236}">
              <a16:creationId xmlns:a16="http://schemas.microsoft.com/office/drawing/2014/main" id="{1CED84B5-C1E3-4541-AA95-FEF98BC8ED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2184306867"/>
          <a:ext cx="1121834" cy="1114404"/>
        </a:xfrm>
        <a:prstGeom prst="rect">
          <a:avLst/>
        </a:prstGeom>
      </xdr:spPr>
    </xdr:pic>
    <xdr:clientData/>
  </xdr:oneCellAnchor>
  <xdr:oneCellAnchor>
    <xdr:from>
      <xdr:col>16</xdr:col>
      <xdr:colOff>127000</xdr:colOff>
      <xdr:row>422</xdr:row>
      <xdr:rowOff>2518834</xdr:rowOff>
    </xdr:from>
    <xdr:ext cx="1121834" cy="1114404"/>
    <xdr:pic>
      <xdr:nvPicPr>
        <xdr:cNvPr id="588" name="Resim 587">
          <a:extLst>
            <a:ext uri="{FF2B5EF4-FFF2-40B4-BE49-F238E27FC236}">
              <a16:creationId xmlns:a16="http://schemas.microsoft.com/office/drawing/2014/main" id="{332D9F12-C57E-A74C-B541-27A59332E11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4000" y="2189090534"/>
          <a:ext cx="1121834" cy="1114404"/>
        </a:xfrm>
        <a:prstGeom prst="rect">
          <a:avLst/>
        </a:prstGeom>
      </xdr:spPr>
    </xdr:pic>
    <xdr:clientData/>
  </xdr:oneCellAnchor>
  <xdr:oneCellAnchor>
    <xdr:from>
      <xdr:col>16</xdr:col>
      <xdr:colOff>190500</xdr:colOff>
      <xdr:row>422</xdr:row>
      <xdr:rowOff>3894667</xdr:rowOff>
    </xdr:from>
    <xdr:ext cx="1080000" cy="1080000"/>
    <xdr:pic>
      <xdr:nvPicPr>
        <xdr:cNvPr id="589" name="Resim 588">
          <a:extLst>
            <a:ext uri="{FF2B5EF4-FFF2-40B4-BE49-F238E27FC236}">
              <a16:creationId xmlns:a16="http://schemas.microsoft.com/office/drawing/2014/main" id="{2EAF0531-0B03-634C-8802-5DB4A2269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47500" y="2190466367"/>
          <a:ext cx="1080000" cy="1080000"/>
        </a:xfrm>
        <a:prstGeom prst="rect">
          <a:avLst/>
        </a:prstGeom>
      </xdr:spPr>
    </xdr:pic>
    <xdr:clientData/>
  </xdr:oneCellAnchor>
  <xdr:oneCellAnchor>
    <xdr:from>
      <xdr:col>16</xdr:col>
      <xdr:colOff>105833</xdr:colOff>
      <xdr:row>423</xdr:row>
      <xdr:rowOff>317500</xdr:rowOff>
    </xdr:from>
    <xdr:ext cx="1080000" cy="1080000"/>
    <xdr:pic>
      <xdr:nvPicPr>
        <xdr:cNvPr id="590" name="Resim 589">
          <a:extLst>
            <a:ext uri="{FF2B5EF4-FFF2-40B4-BE49-F238E27FC236}">
              <a16:creationId xmlns:a16="http://schemas.microsoft.com/office/drawing/2014/main" id="{7A151690-6513-B247-9F69-29281999BE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2192096200"/>
          <a:ext cx="1080000" cy="1080000"/>
        </a:xfrm>
        <a:prstGeom prst="rect">
          <a:avLst/>
        </a:prstGeom>
      </xdr:spPr>
    </xdr:pic>
    <xdr:clientData/>
  </xdr:oneCellAnchor>
  <xdr:oneCellAnchor>
    <xdr:from>
      <xdr:col>16</xdr:col>
      <xdr:colOff>194734</xdr:colOff>
      <xdr:row>423</xdr:row>
      <xdr:rowOff>1676400</xdr:rowOff>
    </xdr:from>
    <xdr:ext cx="1080000" cy="1080000"/>
    <xdr:pic>
      <xdr:nvPicPr>
        <xdr:cNvPr id="591" name="Resim 590">
          <a:extLst>
            <a:ext uri="{FF2B5EF4-FFF2-40B4-BE49-F238E27FC236}">
              <a16:creationId xmlns:a16="http://schemas.microsoft.com/office/drawing/2014/main" id="{C0E17B53-D645-B749-AF85-5172F6B2390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51734" y="2193455100"/>
          <a:ext cx="1080000" cy="1080000"/>
        </a:xfrm>
        <a:prstGeom prst="rect">
          <a:avLst/>
        </a:prstGeom>
      </xdr:spPr>
    </xdr:pic>
    <xdr:clientData/>
  </xdr:oneCellAnchor>
  <xdr:oneCellAnchor>
    <xdr:from>
      <xdr:col>16</xdr:col>
      <xdr:colOff>211667</xdr:colOff>
      <xdr:row>427</xdr:row>
      <xdr:rowOff>529167</xdr:rowOff>
    </xdr:from>
    <xdr:ext cx="1080000" cy="1080000"/>
    <xdr:pic>
      <xdr:nvPicPr>
        <xdr:cNvPr id="592" name="Resim 591">
          <a:extLst>
            <a:ext uri="{FF2B5EF4-FFF2-40B4-BE49-F238E27FC236}">
              <a16:creationId xmlns:a16="http://schemas.microsoft.com/office/drawing/2014/main" id="{3BCFE21A-D1EB-EA47-BAB8-4FD3B115B2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68667" y="2213135867"/>
          <a:ext cx="1080000" cy="1080000"/>
        </a:xfrm>
        <a:prstGeom prst="rect">
          <a:avLst/>
        </a:prstGeom>
      </xdr:spPr>
    </xdr:pic>
    <xdr:clientData/>
  </xdr:oneCellAnchor>
  <xdr:oneCellAnchor>
    <xdr:from>
      <xdr:col>16</xdr:col>
      <xdr:colOff>148167</xdr:colOff>
      <xdr:row>428</xdr:row>
      <xdr:rowOff>190500</xdr:rowOff>
    </xdr:from>
    <xdr:ext cx="1080000" cy="1080000"/>
    <xdr:pic>
      <xdr:nvPicPr>
        <xdr:cNvPr id="593" name="Resim 592">
          <a:extLst>
            <a:ext uri="{FF2B5EF4-FFF2-40B4-BE49-F238E27FC236}">
              <a16:creationId xmlns:a16="http://schemas.microsoft.com/office/drawing/2014/main" id="{5DC16F78-1350-4F43-BE6B-7455B10E18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218004200"/>
          <a:ext cx="1080000" cy="1080000"/>
        </a:xfrm>
        <a:prstGeom prst="rect">
          <a:avLst/>
        </a:prstGeom>
      </xdr:spPr>
    </xdr:pic>
    <xdr:clientData/>
  </xdr:oneCellAnchor>
  <xdr:oneCellAnchor>
    <xdr:from>
      <xdr:col>16</xdr:col>
      <xdr:colOff>84667</xdr:colOff>
      <xdr:row>428</xdr:row>
      <xdr:rowOff>1333500</xdr:rowOff>
    </xdr:from>
    <xdr:ext cx="1080000" cy="1080000"/>
    <xdr:pic>
      <xdr:nvPicPr>
        <xdr:cNvPr id="594" name="Resim 593">
          <a:extLst>
            <a:ext uri="{FF2B5EF4-FFF2-40B4-BE49-F238E27FC236}">
              <a16:creationId xmlns:a16="http://schemas.microsoft.com/office/drawing/2014/main" id="{D6F9987C-EC07-1D41-B278-D06E21485D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2219147200"/>
          <a:ext cx="1080000" cy="1080000"/>
        </a:xfrm>
        <a:prstGeom prst="rect">
          <a:avLst/>
        </a:prstGeom>
      </xdr:spPr>
    </xdr:pic>
    <xdr:clientData/>
  </xdr:oneCellAnchor>
  <xdr:oneCellAnchor>
    <xdr:from>
      <xdr:col>16</xdr:col>
      <xdr:colOff>127000</xdr:colOff>
      <xdr:row>428</xdr:row>
      <xdr:rowOff>3915833</xdr:rowOff>
    </xdr:from>
    <xdr:ext cx="1080000" cy="1080000"/>
    <xdr:pic>
      <xdr:nvPicPr>
        <xdr:cNvPr id="595" name="Resim 594">
          <a:extLst>
            <a:ext uri="{FF2B5EF4-FFF2-40B4-BE49-F238E27FC236}">
              <a16:creationId xmlns:a16="http://schemas.microsoft.com/office/drawing/2014/main" id="{08708146-3EA0-284B-97C7-812F6ACF7B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2221729533"/>
          <a:ext cx="1080000" cy="1080000"/>
        </a:xfrm>
        <a:prstGeom prst="rect">
          <a:avLst/>
        </a:prstGeom>
      </xdr:spPr>
    </xdr:pic>
    <xdr:clientData/>
  </xdr:oneCellAnchor>
  <xdr:oneCellAnchor>
    <xdr:from>
      <xdr:col>16</xdr:col>
      <xdr:colOff>169333</xdr:colOff>
      <xdr:row>428</xdr:row>
      <xdr:rowOff>2603500</xdr:rowOff>
    </xdr:from>
    <xdr:ext cx="1121834" cy="1114404"/>
    <xdr:pic>
      <xdr:nvPicPr>
        <xdr:cNvPr id="596" name="Resim 595">
          <a:extLst>
            <a:ext uri="{FF2B5EF4-FFF2-40B4-BE49-F238E27FC236}">
              <a16:creationId xmlns:a16="http://schemas.microsoft.com/office/drawing/2014/main" id="{F5BFD30E-EC16-F747-9B72-1B098E14D31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220417200"/>
          <a:ext cx="1121834" cy="1114404"/>
        </a:xfrm>
        <a:prstGeom prst="rect">
          <a:avLst/>
        </a:prstGeom>
      </xdr:spPr>
    </xdr:pic>
    <xdr:clientData/>
  </xdr:oneCellAnchor>
  <xdr:oneCellAnchor>
    <xdr:from>
      <xdr:col>16</xdr:col>
      <xdr:colOff>148167</xdr:colOff>
      <xdr:row>429</xdr:row>
      <xdr:rowOff>190500</xdr:rowOff>
    </xdr:from>
    <xdr:ext cx="1080000" cy="1080000"/>
    <xdr:pic>
      <xdr:nvPicPr>
        <xdr:cNvPr id="597" name="Resim 596">
          <a:extLst>
            <a:ext uri="{FF2B5EF4-FFF2-40B4-BE49-F238E27FC236}">
              <a16:creationId xmlns:a16="http://schemas.microsoft.com/office/drawing/2014/main" id="{0F9F0364-6EFF-4043-9FF0-D8E10E1460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223211200"/>
          <a:ext cx="1080000" cy="1080000"/>
        </a:xfrm>
        <a:prstGeom prst="rect">
          <a:avLst/>
        </a:prstGeom>
      </xdr:spPr>
    </xdr:pic>
    <xdr:clientData/>
  </xdr:oneCellAnchor>
  <xdr:oneCellAnchor>
    <xdr:from>
      <xdr:col>16</xdr:col>
      <xdr:colOff>105834</xdr:colOff>
      <xdr:row>429</xdr:row>
      <xdr:rowOff>1333500</xdr:rowOff>
    </xdr:from>
    <xdr:ext cx="1080000" cy="1080000"/>
    <xdr:pic>
      <xdr:nvPicPr>
        <xdr:cNvPr id="598" name="Resim 597">
          <a:extLst>
            <a:ext uri="{FF2B5EF4-FFF2-40B4-BE49-F238E27FC236}">
              <a16:creationId xmlns:a16="http://schemas.microsoft.com/office/drawing/2014/main" id="{DB6E24BC-5CAF-4244-A408-76DFC84DC3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224354200"/>
          <a:ext cx="1080000" cy="1080000"/>
        </a:xfrm>
        <a:prstGeom prst="rect">
          <a:avLst/>
        </a:prstGeom>
      </xdr:spPr>
    </xdr:pic>
    <xdr:clientData/>
  </xdr:oneCellAnchor>
  <xdr:oneCellAnchor>
    <xdr:from>
      <xdr:col>16</xdr:col>
      <xdr:colOff>169333</xdr:colOff>
      <xdr:row>429</xdr:row>
      <xdr:rowOff>2603500</xdr:rowOff>
    </xdr:from>
    <xdr:ext cx="1121834" cy="1114404"/>
    <xdr:pic>
      <xdr:nvPicPr>
        <xdr:cNvPr id="599" name="Resim 598">
          <a:extLst>
            <a:ext uri="{FF2B5EF4-FFF2-40B4-BE49-F238E27FC236}">
              <a16:creationId xmlns:a16="http://schemas.microsoft.com/office/drawing/2014/main" id="{F99F77E1-EFD6-8A41-BEC3-5D5B34597CC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225624200"/>
          <a:ext cx="1121834" cy="1114404"/>
        </a:xfrm>
        <a:prstGeom prst="rect">
          <a:avLst/>
        </a:prstGeom>
      </xdr:spPr>
    </xdr:pic>
    <xdr:clientData/>
  </xdr:oneCellAnchor>
  <xdr:oneCellAnchor>
    <xdr:from>
      <xdr:col>16</xdr:col>
      <xdr:colOff>148167</xdr:colOff>
      <xdr:row>430</xdr:row>
      <xdr:rowOff>190500</xdr:rowOff>
    </xdr:from>
    <xdr:ext cx="1080000" cy="1080000"/>
    <xdr:pic>
      <xdr:nvPicPr>
        <xdr:cNvPr id="600" name="Resim 599">
          <a:extLst>
            <a:ext uri="{FF2B5EF4-FFF2-40B4-BE49-F238E27FC236}">
              <a16:creationId xmlns:a16="http://schemas.microsoft.com/office/drawing/2014/main" id="{5E67F125-AACB-6C43-80E2-48D68D33DE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228418200"/>
          <a:ext cx="1080000" cy="1080000"/>
        </a:xfrm>
        <a:prstGeom prst="rect">
          <a:avLst/>
        </a:prstGeom>
      </xdr:spPr>
    </xdr:pic>
    <xdr:clientData/>
  </xdr:oneCellAnchor>
  <xdr:oneCellAnchor>
    <xdr:from>
      <xdr:col>16</xdr:col>
      <xdr:colOff>84667</xdr:colOff>
      <xdr:row>430</xdr:row>
      <xdr:rowOff>1333500</xdr:rowOff>
    </xdr:from>
    <xdr:ext cx="1080000" cy="1080000"/>
    <xdr:pic>
      <xdr:nvPicPr>
        <xdr:cNvPr id="601" name="Resim 600">
          <a:extLst>
            <a:ext uri="{FF2B5EF4-FFF2-40B4-BE49-F238E27FC236}">
              <a16:creationId xmlns:a16="http://schemas.microsoft.com/office/drawing/2014/main" id="{D2D72140-DB41-8143-8C09-E06A1DB0B7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2229561200"/>
          <a:ext cx="1080000" cy="1080000"/>
        </a:xfrm>
        <a:prstGeom prst="rect">
          <a:avLst/>
        </a:prstGeom>
      </xdr:spPr>
    </xdr:pic>
    <xdr:clientData/>
  </xdr:oneCellAnchor>
  <xdr:oneCellAnchor>
    <xdr:from>
      <xdr:col>16</xdr:col>
      <xdr:colOff>127000</xdr:colOff>
      <xdr:row>430</xdr:row>
      <xdr:rowOff>3915833</xdr:rowOff>
    </xdr:from>
    <xdr:ext cx="1080000" cy="1080000"/>
    <xdr:pic>
      <xdr:nvPicPr>
        <xdr:cNvPr id="602" name="Resim 601">
          <a:extLst>
            <a:ext uri="{FF2B5EF4-FFF2-40B4-BE49-F238E27FC236}">
              <a16:creationId xmlns:a16="http://schemas.microsoft.com/office/drawing/2014/main" id="{12E6D5A7-0D47-6A47-A7B4-771B0BB2EF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84000" y="2232143533"/>
          <a:ext cx="1080000" cy="1080000"/>
        </a:xfrm>
        <a:prstGeom prst="rect">
          <a:avLst/>
        </a:prstGeom>
      </xdr:spPr>
    </xdr:pic>
    <xdr:clientData/>
  </xdr:oneCellAnchor>
  <xdr:oneCellAnchor>
    <xdr:from>
      <xdr:col>16</xdr:col>
      <xdr:colOff>169333</xdr:colOff>
      <xdr:row>430</xdr:row>
      <xdr:rowOff>2603500</xdr:rowOff>
    </xdr:from>
    <xdr:ext cx="1121834" cy="1114404"/>
    <xdr:pic>
      <xdr:nvPicPr>
        <xdr:cNvPr id="603" name="Resim 602">
          <a:extLst>
            <a:ext uri="{FF2B5EF4-FFF2-40B4-BE49-F238E27FC236}">
              <a16:creationId xmlns:a16="http://schemas.microsoft.com/office/drawing/2014/main" id="{500D0AAF-03EB-2941-8486-523323D6749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230831200"/>
          <a:ext cx="1121834" cy="1114404"/>
        </a:xfrm>
        <a:prstGeom prst="rect">
          <a:avLst/>
        </a:prstGeom>
      </xdr:spPr>
    </xdr:pic>
    <xdr:clientData/>
  </xdr:oneCellAnchor>
  <xdr:oneCellAnchor>
    <xdr:from>
      <xdr:col>16</xdr:col>
      <xdr:colOff>190500</xdr:colOff>
      <xdr:row>431</xdr:row>
      <xdr:rowOff>1016000</xdr:rowOff>
    </xdr:from>
    <xdr:ext cx="1080000" cy="1080000"/>
    <xdr:pic>
      <xdr:nvPicPr>
        <xdr:cNvPr id="604" name="Resim 603">
          <a:extLst>
            <a:ext uri="{FF2B5EF4-FFF2-40B4-BE49-F238E27FC236}">
              <a16:creationId xmlns:a16="http://schemas.microsoft.com/office/drawing/2014/main" id="{6A1A3420-77E0-4140-82A2-ADD81194A4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2234450700"/>
          <a:ext cx="1080000" cy="1080000"/>
        </a:xfrm>
        <a:prstGeom prst="rect">
          <a:avLst/>
        </a:prstGeom>
      </xdr:spPr>
    </xdr:pic>
    <xdr:clientData/>
  </xdr:oneCellAnchor>
  <xdr:oneCellAnchor>
    <xdr:from>
      <xdr:col>16</xdr:col>
      <xdr:colOff>169333</xdr:colOff>
      <xdr:row>431</xdr:row>
      <xdr:rowOff>2603500</xdr:rowOff>
    </xdr:from>
    <xdr:ext cx="1121834" cy="1114404"/>
    <xdr:pic>
      <xdr:nvPicPr>
        <xdr:cNvPr id="605" name="Resim 604">
          <a:extLst>
            <a:ext uri="{FF2B5EF4-FFF2-40B4-BE49-F238E27FC236}">
              <a16:creationId xmlns:a16="http://schemas.microsoft.com/office/drawing/2014/main" id="{E9E86F48-1757-3841-9A9F-A73BA592A62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236038200"/>
          <a:ext cx="1121834" cy="1114404"/>
        </a:xfrm>
        <a:prstGeom prst="rect">
          <a:avLst/>
        </a:prstGeom>
      </xdr:spPr>
    </xdr:pic>
    <xdr:clientData/>
  </xdr:oneCellAnchor>
  <xdr:oneCellAnchor>
    <xdr:from>
      <xdr:col>16</xdr:col>
      <xdr:colOff>105833</xdr:colOff>
      <xdr:row>436</xdr:row>
      <xdr:rowOff>444500</xdr:rowOff>
    </xdr:from>
    <xdr:ext cx="1080000" cy="1080000"/>
    <xdr:pic>
      <xdr:nvPicPr>
        <xdr:cNvPr id="606" name="Resim 605">
          <a:extLst>
            <a:ext uri="{FF2B5EF4-FFF2-40B4-BE49-F238E27FC236}">
              <a16:creationId xmlns:a16="http://schemas.microsoft.com/office/drawing/2014/main" id="{40FB11F7-E7F9-B84F-9F8B-B33C8AF311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2258326700"/>
          <a:ext cx="1080000" cy="1080000"/>
        </a:xfrm>
        <a:prstGeom prst="rect">
          <a:avLst/>
        </a:prstGeom>
      </xdr:spPr>
    </xdr:pic>
    <xdr:clientData/>
  </xdr:oneCellAnchor>
  <xdr:oneCellAnchor>
    <xdr:from>
      <xdr:col>16</xdr:col>
      <xdr:colOff>148167</xdr:colOff>
      <xdr:row>437</xdr:row>
      <xdr:rowOff>529167</xdr:rowOff>
    </xdr:from>
    <xdr:ext cx="1080000" cy="1080000"/>
    <xdr:pic>
      <xdr:nvPicPr>
        <xdr:cNvPr id="607" name="Resim 606">
          <a:extLst>
            <a:ext uri="{FF2B5EF4-FFF2-40B4-BE49-F238E27FC236}">
              <a16:creationId xmlns:a16="http://schemas.microsoft.com/office/drawing/2014/main" id="{95BF07F9-E615-EB40-85DE-A23CA1B84C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263618367"/>
          <a:ext cx="1080000" cy="1080000"/>
        </a:xfrm>
        <a:prstGeom prst="rect">
          <a:avLst/>
        </a:prstGeom>
      </xdr:spPr>
    </xdr:pic>
    <xdr:clientData/>
  </xdr:oneCellAnchor>
  <xdr:oneCellAnchor>
    <xdr:from>
      <xdr:col>16</xdr:col>
      <xdr:colOff>211666</xdr:colOff>
      <xdr:row>439</xdr:row>
      <xdr:rowOff>338667</xdr:rowOff>
    </xdr:from>
    <xdr:ext cx="1080000" cy="1080000"/>
    <xdr:pic>
      <xdr:nvPicPr>
        <xdr:cNvPr id="608" name="Resim 607">
          <a:extLst>
            <a:ext uri="{FF2B5EF4-FFF2-40B4-BE49-F238E27FC236}">
              <a16:creationId xmlns:a16="http://schemas.microsoft.com/office/drawing/2014/main" id="{4CCC3A59-7474-FB40-9A3C-5C04E5A3EA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68666" y="2273841867"/>
          <a:ext cx="1080000" cy="1080000"/>
        </a:xfrm>
        <a:prstGeom prst="rect">
          <a:avLst/>
        </a:prstGeom>
      </xdr:spPr>
    </xdr:pic>
    <xdr:clientData/>
  </xdr:oneCellAnchor>
  <xdr:oneCellAnchor>
    <xdr:from>
      <xdr:col>16</xdr:col>
      <xdr:colOff>84666</xdr:colOff>
      <xdr:row>441</xdr:row>
      <xdr:rowOff>317500</xdr:rowOff>
    </xdr:from>
    <xdr:ext cx="1080000" cy="1080000"/>
    <xdr:pic>
      <xdr:nvPicPr>
        <xdr:cNvPr id="609" name="Resim 608">
          <a:extLst>
            <a:ext uri="{FF2B5EF4-FFF2-40B4-BE49-F238E27FC236}">
              <a16:creationId xmlns:a16="http://schemas.microsoft.com/office/drawing/2014/main" id="{A1DF0AA0-8F12-3842-9C61-1D3E568350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41666" y="2284234700"/>
          <a:ext cx="1080000" cy="1080000"/>
        </a:xfrm>
        <a:prstGeom prst="rect">
          <a:avLst/>
        </a:prstGeom>
      </xdr:spPr>
    </xdr:pic>
    <xdr:clientData/>
  </xdr:oneCellAnchor>
  <xdr:oneCellAnchor>
    <xdr:from>
      <xdr:col>16</xdr:col>
      <xdr:colOff>122031</xdr:colOff>
      <xdr:row>442</xdr:row>
      <xdr:rowOff>92949</xdr:rowOff>
    </xdr:from>
    <xdr:ext cx="1078992" cy="1078992"/>
    <xdr:pic>
      <xdr:nvPicPr>
        <xdr:cNvPr id="610" name="Resim 609">
          <a:extLst>
            <a:ext uri="{FF2B5EF4-FFF2-40B4-BE49-F238E27FC236}">
              <a16:creationId xmlns:a16="http://schemas.microsoft.com/office/drawing/2014/main" id="{413D3B09-FC30-D64C-B5CE-DDB9132936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289217149"/>
          <a:ext cx="1078992" cy="1078992"/>
        </a:xfrm>
        <a:prstGeom prst="rect">
          <a:avLst/>
        </a:prstGeom>
      </xdr:spPr>
    </xdr:pic>
    <xdr:clientData/>
  </xdr:oneCellAnchor>
  <xdr:twoCellAnchor editAs="oneCell">
    <xdr:from>
      <xdr:col>16</xdr:col>
      <xdr:colOff>127001</xdr:colOff>
      <xdr:row>442</xdr:row>
      <xdr:rowOff>1206499</xdr:rowOff>
    </xdr:from>
    <xdr:to>
      <xdr:col>16</xdr:col>
      <xdr:colOff>1250951</xdr:colOff>
      <xdr:row>442</xdr:row>
      <xdr:rowOff>2285491</xdr:rowOff>
    </xdr:to>
    <xdr:pic>
      <xdr:nvPicPr>
        <xdr:cNvPr id="611" name="Resim 610">
          <a:extLst>
            <a:ext uri="{FF2B5EF4-FFF2-40B4-BE49-F238E27FC236}">
              <a16:creationId xmlns:a16="http://schemas.microsoft.com/office/drawing/2014/main" id="{FD09F73B-BE2A-254F-8DEC-AA0D8CB8A6E8}"/>
            </a:ext>
          </a:extLst>
        </xdr:cNvPr>
        <xdr:cNvPicPr>
          <a:picLocks/>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3335001" y="2290330699"/>
          <a:ext cx="1123950" cy="1078992"/>
        </a:xfrm>
        <a:prstGeom prst="rect">
          <a:avLst/>
        </a:prstGeom>
      </xdr:spPr>
    </xdr:pic>
    <xdr:clientData/>
  </xdr:twoCellAnchor>
  <xdr:oneCellAnchor>
    <xdr:from>
      <xdr:col>16</xdr:col>
      <xdr:colOff>84667</xdr:colOff>
      <xdr:row>449</xdr:row>
      <xdr:rowOff>444500</xdr:rowOff>
    </xdr:from>
    <xdr:ext cx="1080000" cy="1080000"/>
    <xdr:pic>
      <xdr:nvPicPr>
        <xdr:cNvPr id="612" name="Resim 611">
          <a:extLst>
            <a:ext uri="{FF2B5EF4-FFF2-40B4-BE49-F238E27FC236}">
              <a16:creationId xmlns:a16="http://schemas.microsoft.com/office/drawing/2014/main" id="{7F6D8E6C-2064-6D49-BEAF-87EE5B3A7D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2326017700"/>
          <a:ext cx="1080000" cy="1080000"/>
        </a:xfrm>
        <a:prstGeom prst="rect">
          <a:avLst/>
        </a:prstGeom>
      </xdr:spPr>
    </xdr:pic>
    <xdr:clientData/>
  </xdr:oneCellAnchor>
  <xdr:oneCellAnchor>
    <xdr:from>
      <xdr:col>16</xdr:col>
      <xdr:colOff>190500</xdr:colOff>
      <xdr:row>442</xdr:row>
      <xdr:rowOff>2370667</xdr:rowOff>
    </xdr:from>
    <xdr:ext cx="1076737" cy="1080000"/>
    <xdr:pic>
      <xdr:nvPicPr>
        <xdr:cNvPr id="613" name="Resim 612">
          <a:extLst>
            <a:ext uri="{FF2B5EF4-FFF2-40B4-BE49-F238E27FC236}">
              <a16:creationId xmlns:a16="http://schemas.microsoft.com/office/drawing/2014/main" id="{3921D5A5-8936-B741-806B-A4A03FA4043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2291494867"/>
          <a:ext cx="1076737" cy="1080000"/>
        </a:xfrm>
        <a:prstGeom prst="rect">
          <a:avLst/>
        </a:prstGeom>
      </xdr:spPr>
    </xdr:pic>
    <xdr:clientData/>
  </xdr:oneCellAnchor>
  <xdr:oneCellAnchor>
    <xdr:from>
      <xdr:col>16</xdr:col>
      <xdr:colOff>211667</xdr:colOff>
      <xdr:row>442</xdr:row>
      <xdr:rowOff>3556000</xdr:rowOff>
    </xdr:from>
    <xdr:ext cx="1121834" cy="1114404"/>
    <xdr:pic>
      <xdr:nvPicPr>
        <xdr:cNvPr id="614" name="Resim 613">
          <a:extLst>
            <a:ext uri="{FF2B5EF4-FFF2-40B4-BE49-F238E27FC236}">
              <a16:creationId xmlns:a16="http://schemas.microsoft.com/office/drawing/2014/main" id="{4ABF1234-DD22-0249-ADBB-857D5B54DF3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68667" y="2292680200"/>
          <a:ext cx="1121834" cy="1114404"/>
        </a:xfrm>
        <a:prstGeom prst="rect">
          <a:avLst/>
        </a:prstGeom>
      </xdr:spPr>
    </xdr:pic>
    <xdr:clientData/>
  </xdr:oneCellAnchor>
  <xdr:oneCellAnchor>
    <xdr:from>
      <xdr:col>16</xdr:col>
      <xdr:colOff>148167</xdr:colOff>
      <xdr:row>443</xdr:row>
      <xdr:rowOff>444500</xdr:rowOff>
    </xdr:from>
    <xdr:ext cx="1080000" cy="1080000"/>
    <xdr:pic>
      <xdr:nvPicPr>
        <xdr:cNvPr id="615" name="Resim 614">
          <a:extLst>
            <a:ext uri="{FF2B5EF4-FFF2-40B4-BE49-F238E27FC236}">
              <a16:creationId xmlns:a16="http://schemas.microsoft.com/office/drawing/2014/main" id="{A859AFF9-95C9-CD45-8729-E9826A03D7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294775700"/>
          <a:ext cx="1080000" cy="1080000"/>
        </a:xfrm>
        <a:prstGeom prst="rect">
          <a:avLst/>
        </a:prstGeom>
      </xdr:spPr>
    </xdr:pic>
    <xdr:clientData/>
  </xdr:oneCellAnchor>
  <xdr:oneCellAnchor>
    <xdr:from>
      <xdr:col>16</xdr:col>
      <xdr:colOff>122031</xdr:colOff>
      <xdr:row>444</xdr:row>
      <xdr:rowOff>92949</xdr:rowOff>
    </xdr:from>
    <xdr:ext cx="1080000" cy="1080000"/>
    <xdr:pic>
      <xdr:nvPicPr>
        <xdr:cNvPr id="616" name="Resim 615">
          <a:extLst>
            <a:ext uri="{FF2B5EF4-FFF2-40B4-BE49-F238E27FC236}">
              <a16:creationId xmlns:a16="http://schemas.microsoft.com/office/drawing/2014/main" id="{398F5804-95F0-1C48-9379-03B1424CC0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299631149"/>
          <a:ext cx="1080000" cy="1080000"/>
        </a:xfrm>
        <a:prstGeom prst="rect">
          <a:avLst/>
        </a:prstGeom>
      </xdr:spPr>
    </xdr:pic>
    <xdr:clientData/>
  </xdr:oneCellAnchor>
  <xdr:oneCellAnchor>
    <xdr:from>
      <xdr:col>16</xdr:col>
      <xdr:colOff>127001</xdr:colOff>
      <xdr:row>444</xdr:row>
      <xdr:rowOff>1206499</xdr:rowOff>
    </xdr:from>
    <xdr:ext cx="1123950" cy="1123950"/>
    <xdr:pic>
      <xdr:nvPicPr>
        <xdr:cNvPr id="617" name="Resim 616">
          <a:extLst>
            <a:ext uri="{FF2B5EF4-FFF2-40B4-BE49-F238E27FC236}">
              <a16:creationId xmlns:a16="http://schemas.microsoft.com/office/drawing/2014/main" id="{89F2A300-92D6-D34D-8910-07D74FBA722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84001" y="2300744699"/>
          <a:ext cx="1123950" cy="1123950"/>
        </a:xfrm>
        <a:prstGeom prst="rect">
          <a:avLst/>
        </a:prstGeom>
      </xdr:spPr>
    </xdr:pic>
    <xdr:clientData/>
  </xdr:oneCellAnchor>
  <xdr:oneCellAnchor>
    <xdr:from>
      <xdr:col>16</xdr:col>
      <xdr:colOff>190500</xdr:colOff>
      <xdr:row>444</xdr:row>
      <xdr:rowOff>2370667</xdr:rowOff>
    </xdr:from>
    <xdr:ext cx="1076737" cy="1080000"/>
    <xdr:pic>
      <xdr:nvPicPr>
        <xdr:cNvPr id="618" name="Resim 617">
          <a:extLst>
            <a:ext uri="{FF2B5EF4-FFF2-40B4-BE49-F238E27FC236}">
              <a16:creationId xmlns:a16="http://schemas.microsoft.com/office/drawing/2014/main" id="{EFB2DD7B-2E01-1C40-B613-1A4A99B3F98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2301908867"/>
          <a:ext cx="1076737" cy="1080000"/>
        </a:xfrm>
        <a:prstGeom prst="rect">
          <a:avLst/>
        </a:prstGeom>
      </xdr:spPr>
    </xdr:pic>
    <xdr:clientData/>
  </xdr:oneCellAnchor>
  <xdr:oneCellAnchor>
    <xdr:from>
      <xdr:col>16</xdr:col>
      <xdr:colOff>211667</xdr:colOff>
      <xdr:row>444</xdr:row>
      <xdr:rowOff>3556000</xdr:rowOff>
    </xdr:from>
    <xdr:ext cx="1121834" cy="1114404"/>
    <xdr:pic>
      <xdr:nvPicPr>
        <xdr:cNvPr id="619" name="Resim 618">
          <a:extLst>
            <a:ext uri="{FF2B5EF4-FFF2-40B4-BE49-F238E27FC236}">
              <a16:creationId xmlns:a16="http://schemas.microsoft.com/office/drawing/2014/main" id="{B52F686D-CADE-6841-B2D1-A8DB84EFAE1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68667" y="2303094200"/>
          <a:ext cx="1121834" cy="1114404"/>
        </a:xfrm>
        <a:prstGeom prst="rect">
          <a:avLst/>
        </a:prstGeom>
      </xdr:spPr>
    </xdr:pic>
    <xdr:clientData/>
  </xdr:oneCellAnchor>
  <xdr:oneCellAnchor>
    <xdr:from>
      <xdr:col>16</xdr:col>
      <xdr:colOff>105833</xdr:colOff>
      <xdr:row>445</xdr:row>
      <xdr:rowOff>338667</xdr:rowOff>
    </xdr:from>
    <xdr:ext cx="1080000" cy="1080000"/>
    <xdr:pic>
      <xdr:nvPicPr>
        <xdr:cNvPr id="620" name="Resim 619">
          <a:extLst>
            <a:ext uri="{FF2B5EF4-FFF2-40B4-BE49-F238E27FC236}">
              <a16:creationId xmlns:a16="http://schemas.microsoft.com/office/drawing/2014/main" id="{801B439C-FFDA-544D-816D-F365FDC02B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3" y="2305083867"/>
          <a:ext cx="1080000" cy="1080000"/>
        </a:xfrm>
        <a:prstGeom prst="rect">
          <a:avLst/>
        </a:prstGeom>
      </xdr:spPr>
    </xdr:pic>
    <xdr:clientData/>
  </xdr:oneCellAnchor>
  <xdr:oneCellAnchor>
    <xdr:from>
      <xdr:col>16</xdr:col>
      <xdr:colOff>122031</xdr:colOff>
      <xdr:row>446</xdr:row>
      <xdr:rowOff>92949</xdr:rowOff>
    </xdr:from>
    <xdr:ext cx="1080000" cy="1080000"/>
    <xdr:pic>
      <xdr:nvPicPr>
        <xdr:cNvPr id="621" name="Resim 620">
          <a:extLst>
            <a:ext uri="{FF2B5EF4-FFF2-40B4-BE49-F238E27FC236}">
              <a16:creationId xmlns:a16="http://schemas.microsoft.com/office/drawing/2014/main" id="{D10A1B4D-B3C6-C545-942F-E1D93489C5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10045149"/>
          <a:ext cx="1080000" cy="1080000"/>
        </a:xfrm>
        <a:prstGeom prst="rect">
          <a:avLst/>
        </a:prstGeom>
      </xdr:spPr>
    </xdr:pic>
    <xdr:clientData/>
  </xdr:oneCellAnchor>
  <xdr:oneCellAnchor>
    <xdr:from>
      <xdr:col>16</xdr:col>
      <xdr:colOff>127001</xdr:colOff>
      <xdr:row>446</xdr:row>
      <xdr:rowOff>1206499</xdr:rowOff>
    </xdr:from>
    <xdr:ext cx="1123950" cy="1123950"/>
    <xdr:pic>
      <xdr:nvPicPr>
        <xdr:cNvPr id="622" name="Resim 621">
          <a:extLst>
            <a:ext uri="{FF2B5EF4-FFF2-40B4-BE49-F238E27FC236}">
              <a16:creationId xmlns:a16="http://schemas.microsoft.com/office/drawing/2014/main" id="{C313CEB5-CC9D-C04D-98FB-4AB5B8DEA12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84001" y="2311158699"/>
          <a:ext cx="1123950" cy="1123950"/>
        </a:xfrm>
        <a:prstGeom prst="rect">
          <a:avLst/>
        </a:prstGeom>
      </xdr:spPr>
    </xdr:pic>
    <xdr:clientData/>
  </xdr:oneCellAnchor>
  <xdr:oneCellAnchor>
    <xdr:from>
      <xdr:col>16</xdr:col>
      <xdr:colOff>190500</xdr:colOff>
      <xdr:row>446</xdr:row>
      <xdr:rowOff>2370667</xdr:rowOff>
    </xdr:from>
    <xdr:ext cx="1076737" cy="1080000"/>
    <xdr:pic>
      <xdr:nvPicPr>
        <xdr:cNvPr id="623" name="Resim 622">
          <a:extLst>
            <a:ext uri="{FF2B5EF4-FFF2-40B4-BE49-F238E27FC236}">
              <a16:creationId xmlns:a16="http://schemas.microsoft.com/office/drawing/2014/main" id="{A0A06174-D361-BD40-B3ED-06B3DAF5E7F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2312322867"/>
          <a:ext cx="1076737" cy="1080000"/>
        </a:xfrm>
        <a:prstGeom prst="rect">
          <a:avLst/>
        </a:prstGeom>
      </xdr:spPr>
    </xdr:pic>
    <xdr:clientData/>
  </xdr:oneCellAnchor>
  <xdr:oneCellAnchor>
    <xdr:from>
      <xdr:col>16</xdr:col>
      <xdr:colOff>127000</xdr:colOff>
      <xdr:row>447</xdr:row>
      <xdr:rowOff>254000</xdr:rowOff>
    </xdr:from>
    <xdr:ext cx="1080000" cy="1080000"/>
    <xdr:pic>
      <xdr:nvPicPr>
        <xdr:cNvPr id="624" name="Resim 623">
          <a:extLst>
            <a:ext uri="{FF2B5EF4-FFF2-40B4-BE49-F238E27FC236}">
              <a16:creationId xmlns:a16="http://schemas.microsoft.com/office/drawing/2014/main" id="{1B8E5A6D-D8ED-794A-8622-6276555A17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315413200"/>
          <a:ext cx="1080000" cy="1080000"/>
        </a:xfrm>
        <a:prstGeom prst="rect">
          <a:avLst/>
        </a:prstGeom>
      </xdr:spPr>
    </xdr:pic>
    <xdr:clientData/>
  </xdr:oneCellAnchor>
  <xdr:oneCellAnchor>
    <xdr:from>
      <xdr:col>16</xdr:col>
      <xdr:colOff>122031</xdr:colOff>
      <xdr:row>448</xdr:row>
      <xdr:rowOff>92949</xdr:rowOff>
    </xdr:from>
    <xdr:ext cx="1080000" cy="1080000"/>
    <xdr:pic>
      <xdr:nvPicPr>
        <xdr:cNvPr id="625" name="Resim 624">
          <a:extLst>
            <a:ext uri="{FF2B5EF4-FFF2-40B4-BE49-F238E27FC236}">
              <a16:creationId xmlns:a16="http://schemas.microsoft.com/office/drawing/2014/main" id="{0EB64807-9211-DE47-9CE0-3CD472FC85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20459149"/>
          <a:ext cx="1080000" cy="1080000"/>
        </a:xfrm>
        <a:prstGeom prst="rect">
          <a:avLst/>
        </a:prstGeom>
      </xdr:spPr>
    </xdr:pic>
    <xdr:clientData/>
  </xdr:oneCellAnchor>
  <xdr:oneCellAnchor>
    <xdr:from>
      <xdr:col>16</xdr:col>
      <xdr:colOff>127001</xdr:colOff>
      <xdr:row>448</xdr:row>
      <xdr:rowOff>1206499</xdr:rowOff>
    </xdr:from>
    <xdr:ext cx="1123950" cy="1123950"/>
    <xdr:pic>
      <xdr:nvPicPr>
        <xdr:cNvPr id="626" name="Resim 625">
          <a:extLst>
            <a:ext uri="{FF2B5EF4-FFF2-40B4-BE49-F238E27FC236}">
              <a16:creationId xmlns:a16="http://schemas.microsoft.com/office/drawing/2014/main" id="{B22C77FA-8C3E-C14F-A322-BD9C4A71EA7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84001" y="2321572699"/>
          <a:ext cx="1123950" cy="1123950"/>
        </a:xfrm>
        <a:prstGeom prst="rect">
          <a:avLst/>
        </a:prstGeom>
      </xdr:spPr>
    </xdr:pic>
    <xdr:clientData/>
  </xdr:oneCellAnchor>
  <xdr:oneCellAnchor>
    <xdr:from>
      <xdr:col>16</xdr:col>
      <xdr:colOff>190500</xdr:colOff>
      <xdr:row>448</xdr:row>
      <xdr:rowOff>2370667</xdr:rowOff>
    </xdr:from>
    <xdr:ext cx="1076737" cy="1080000"/>
    <xdr:pic>
      <xdr:nvPicPr>
        <xdr:cNvPr id="627" name="Resim 626">
          <a:extLst>
            <a:ext uri="{FF2B5EF4-FFF2-40B4-BE49-F238E27FC236}">
              <a16:creationId xmlns:a16="http://schemas.microsoft.com/office/drawing/2014/main" id="{F6253F2F-7624-AA42-91A1-45526BBA249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2322736867"/>
          <a:ext cx="1076737" cy="1080000"/>
        </a:xfrm>
        <a:prstGeom prst="rect">
          <a:avLst/>
        </a:prstGeom>
      </xdr:spPr>
    </xdr:pic>
    <xdr:clientData/>
  </xdr:oneCellAnchor>
  <xdr:oneCellAnchor>
    <xdr:from>
      <xdr:col>16</xdr:col>
      <xdr:colOff>211667</xdr:colOff>
      <xdr:row>448</xdr:row>
      <xdr:rowOff>3556000</xdr:rowOff>
    </xdr:from>
    <xdr:ext cx="1121834" cy="1114404"/>
    <xdr:pic>
      <xdr:nvPicPr>
        <xdr:cNvPr id="628" name="Resim 627">
          <a:extLst>
            <a:ext uri="{FF2B5EF4-FFF2-40B4-BE49-F238E27FC236}">
              <a16:creationId xmlns:a16="http://schemas.microsoft.com/office/drawing/2014/main" id="{86AB5E39-93ED-6B41-9F49-998D0432CE1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68667" y="2323922200"/>
          <a:ext cx="1121834" cy="1114404"/>
        </a:xfrm>
        <a:prstGeom prst="rect">
          <a:avLst/>
        </a:prstGeom>
      </xdr:spPr>
    </xdr:pic>
    <xdr:clientData/>
  </xdr:oneCellAnchor>
  <xdr:oneCellAnchor>
    <xdr:from>
      <xdr:col>16</xdr:col>
      <xdr:colOff>148167</xdr:colOff>
      <xdr:row>449</xdr:row>
      <xdr:rowOff>1693334</xdr:rowOff>
    </xdr:from>
    <xdr:ext cx="1121834" cy="1114404"/>
    <xdr:pic>
      <xdr:nvPicPr>
        <xdr:cNvPr id="629" name="Resim 628">
          <a:extLst>
            <a:ext uri="{FF2B5EF4-FFF2-40B4-BE49-F238E27FC236}">
              <a16:creationId xmlns:a16="http://schemas.microsoft.com/office/drawing/2014/main" id="{0CDD838E-23DE-7447-9DCF-59129E91A9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2327266534"/>
          <a:ext cx="1121834" cy="1114404"/>
        </a:xfrm>
        <a:prstGeom prst="rect">
          <a:avLst/>
        </a:prstGeom>
      </xdr:spPr>
    </xdr:pic>
    <xdr:clientData/>
  </xdr:oneCellAnchor>
  <xdr:oneCellAnchor>
    <xdr:from>
      <xdr:col>16</xdr:col>
      <xdr:colOff>127000</xdr:colOff>
      <xdr:row>449</xdr:row>
      <xdr:rowOff>3090333</xdr:rowOff>
    </xdr:from>
    <xdr:ext cx="1080000" cy="1080000"/>
    <xdr:pic>
      <xdr:nvPicPr>
        <xdr:cNvPr id="630" name="Resim 629">
          <a:extLst>
            <a:ext uri="{FF2B5EF4-FFF2-40B4-BE49-F238E27FC236}">
              <a16:creationId xmlns:a16="http://schemas.microsoft.com/office/drawing/2014/main" id="{2684F744-D782-ED47-A33B-54841A2151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328663533"/>
          <a:ext cx="1080000" cy="1080000"/>
        </a:xfrm>
        <a:prstGeom prst="rect">
          <a:avLst/>
        </a:prstGeom>
      </xdr:spPr>
    </xdr:pic>
    <xdr:clientData/>
  </xdr:oneCellAnchor>
  <xdr:oneCellAnchor>
    <xdr:from>
      <xdr:col>16</xdr:col>
      <xdr:colOff>122031</xdr:colOff>
      <xdr:row>450</xdr:row>
      <xdr:rowOff>92949</xdr:rowOff>
    </xdr:from>
    <xdr:ext cx="1080000" cy="1080000"/>
    <xdr:pic>
      <xdr:nvPicPr>
        <xdr:cNvPr id="631" name="Resim 630">
          <a:extLst>
            <a:ext uri="{FF2B5EF4-FFF2-40B4-BE49-F238E27FC236}">
              <a16:creationId xmlns:a16="http://schemas.microsoft.com/office/drawing/2014/main" id="{B36B6F4F-82DB-BA4F-A1CC-D4E112F735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30873149"/>
          <a:ext cx="1080000" cy="1080000"/>
        </a:xfrm>
        <a:prstGeom prst="rect">
          <a:avLst/>
        </a:prstGeom>
      </xdr:spPr>
    </xdr:pic>
    <xdr:clientData/>
  </xdr:oneCellAnchor>
  <xdr:oneCellAnchor>
    <xdr:from>
      <xdr:col>16</xdr:col>
      <xdr:colOff>127001</xdr:colOff>
      <xdr:row>450</xdr:row>
      <xdr:rowOff>1206499</xdr:rowOff>
    </xdr:from>
    <xdr:ext cx="1123950" cy="1123950"/>
    <xdr:pic>
      <xdr:nvPicPr>
        <xdr:cNvPr id="632" name="Resim 631">
          <a:extLst>
            <a:ext uri="{FF2B5EF4-FFF2-40B4-BE49-F238E27FC236}">
              <a16:creationId xmlns:a16="http://schemas.microsoft.com/office/drawing/2014/main" id="{4F482A19-3D92-8945-8AC0-A2F56C890B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84001" y="2331986699"/>
          <a:ext cx="1123950" cy="1123950"/>
        </a:xfrm>
        <a:prstGeom prst="rect">
          <a:avLst/>
        </a:prstGeom>
      </xdr:spPr>
    </xdr:pic>
    <xdr:clientData/>
  </xdr:oneCellAnchor>
  <xdr:oneCellAnchor>
    <xdr:from>
      <xdr:col>16</xdr:col>
      <xdr:colOff>190500</xdr:colOff>
      <xdr:row>450</xdr:row>
      <xdr:rowOff>2370667</xdr:rowOff>
    </xdr:from>
    <xdr:ext cx="1076737" cy="1080000"/>
    <xdr:pic>
      <xdr:nvPicPr>
        <xdr:cNvPr id="633" name="Resim 632">
          <a:extLst>
            <a:ext uri="{FF2B5EF4-FFF2-40B4-BE49-F238E27FC236}">
              <a16:creationId xmlns:a16="http://schemas.microsoft.com/office/drawing/2014/main" id="{3139BB26-C846-C54D-97CF-0A0A88B17D7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47500" y="2333150867"/>
          <a:ext cx="1076737" cy="1080000"/>
        </a:xfrm>
        <a:prstGeom prst="rect">
          <a:avLst/>
        </a:prstGeom>
      </xdr:spPr>
    </xdr:pic>
    <xdr:clientData/>
  </xdr:oneCellAnchor>
  <xdr:oneCellAnchor>
    <xdr:from>
      <xdr:col>16</xdr:col>
      <xdr:colOff>169333</xdr:colOff>
      <xdr:row>452</xdr:row>
      <xdr:rowOff>465667</xdr:rowOff>
    </xdr:from>
    <xdr:ext cx="1080000" cy="1080000"/>
    <xdr:pic>
      <xdr:nvPicPr>
        <xdr:cNvPr id="634" name="Resim 633">
          <a:extLst>
            <a:ext uri="{FF2B5EF4-FFF2-40B4-BE49-F238E27FC236}">
              <a16:creationId xmlns:a16="http://schemas.microsoft.com/office/drawing/2014/main" id="{085CB08D-834C-7642-9B0D-FA17127B1C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3" y="2341659867"/>
          <a:ext cx="1080000" cy="1080000"/>
        </a:xfrm>
        <a:prstGeom prst="rect">
          <a:avLst/>
        </a:prstGeom>
      </xdr:spPr>
    </xdr:pic>
    <xdr:clientData/>
  </xdr:oneCellAnchor>
  <xdr:oneCellAnchor>
    <xdr:from>
      <xdr:col>16</xdr:col>
      <xdr:colOff>122031</xdr:colOff>
      <xdr:row>453</xdr:row>
      <xdr:rowOff>92949</xdr:rowOff>
    </xdr:from>
    <xdr:ext cx="1080000" cy="1080000"/>
    <xdr:pic>
      <xdr:nvPicPr>
        <xdr:cNvPr id="635" name="Resim 634">
          <a:extLst>
            <a:ext uri="{FF2B5EF4-FFF2-40B4-BE49-F238E27FC236}">
              <a16:creationId xmlns:a16="http://schemas.microsoft.com/office/drawing/2014/main" id="{A814C359-1690-1C43-8590-6DA1475EC5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46494149"/>
          <a:ext cx="1080000" cy="1080000"/>
        </a:xfrm>
        <a:prstGeom prst="rect">
          <a:avLst/>
        </a:prstGeom>
      </xdr:spPr>
    </xdr:pic>
    <xdr:clientData/>
  </xdr:oneCellAnchor>
  <xdr:oneCellAnchor>
    <xdr:from>
      <xdr:col>16</xdr:col>
      <xdr:colOff>148167</xdr:colOff>
      <xdr:row>453</xdr:row>
      <xdr:rowOff>1397001</xdr:rowOff>
    </xdr:from>
    <xdr:ext cx="1076737" cy="1080000"/>
    <xdr:pic>
      <xdr:nvPicPr>
        <xdr:cNvPr id="636" name="Resim 635">
          <a:extLst>
            <a:ext uri="{FF2B5EF4-FFF2-40B4-BE49-F238E27FC236}">
              <a16:creationId xmlns:a16="http://schemas.microsoft.com/office/drawing/2014/main" id="{19BDB815-B856-6041-8DA2-7F993BE9CF0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347798201"/>
          <a:ext cx="1076737" cy="1080000"/>
        </a:xfrm>
        <a:prstGeom prst="rect">
          <a:avLst/>
        </a:prstGeom>
      </xdr:spPr>
    </xdr:pic>
    <xdr:clientData/>
  </xdr:oneCellAnchor>
  <xdr:oneCellAnchor>
    <xdr:from>
      <xdr:col>16</xdr:col>
      <xdr:colOff>127000</xdr:colOff>
      <xdr:row>453</xdr:row>
      <xdr:rowOff>2794000</xdr:rowOff>
    </xdr:from>
    <xdr:ext cx="1121834" cy="1114404"/>
    <xdr:pic>
      <xdr:nvPicPr>
        <xdr:cNvPr id="637" name="Resim 636">
          <a:extLst>
            <a:ext uri="{FF2B5EF4-FFF2-40B4-BE49-F238E27FC236}">
              <a16:creationId xmlns:a16="http://schemas.microsoft.com/office/drawing/2014/main" id="{AE069CCB-A5F4-5F4D-9315-902B0A389F1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4000" y="2349195200"/>
          <a:ext cx="1121834" cy="1114404"/>
        </a:xfrm>
        <a:prstGeom prst="rect">
          <a:avLst/>
        </a:prstGeom>
      </xdr:spPr>
    </xdr:pic>
    <xdr:clientData/>
  </xdr:oneCellAnchor>
  <xdr:oneCellAnchor>
    <xdr:from>
      <xdr:col>16</xdr:col>
      <xdr:colOff>122031</xdr:colOff>
      <xdr:row>454</xdr:row>
      <xdr:rowOff>92949</xdr:rowOff>
    </xdr:from>
    <xdr:ext cx="1080000" cy="1080000"/>
    <xdr:pic>
      <xdr:nvPicPr>
        <xdr:cNvPr id="638" name="Resim 637">
          <a:extLst>
            <a:ext uri="{FF2B5EF4-FFF2-40B4-BE49-F238E27FC236}">
              <a16:creationId xmlns:a16="http://schemas.microsoft.com/office/drawing/2014/main" id="{C189AB9C-3E66-054B-A8E0-AEDBF856B7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51701149"/>
          <a:ext cx="1080000" cy="1080000"/>
        </a:xfrm>
        <a:prstGeom prst="rect">
          <a:avLst/>
        </a:prstGeom>
      </xdr:spPr>
    </xdr:pic>
    <xdr:clientData/>
  </xdr:oneCellAnchor>
  <xdr:oneCellAnchor>
    <xdr:from>
      <xdr:col>16</xdr:col>
      <xdr:colOff>148167</xdr:colOff>
      <xdr:row>454</xdr:row>
      <xdr:rowOff>1397001</xdr:rowOff>
    </xdr:from>
    <xdr:ext cx="1076737" cy="1080000"/>
    <xdr:pic>
      <xdr:nvPicPr>
        <xdr:cNvPr id="639" name="Resim 638">
          <a:extLst>
            <a:ext uri="{FF2B5EF4-FFF2-40B4-BE49-F238E27FC236}">
              <a16:creationId xmlns:a16="http://schemas.microsoft.com/office/drawing/2014/main" id="{B6F08F2D-64E6-0D40-B57B-FECB2489CE8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353005201"/>
          <a:ext cx="1076737" cy="1080000"/>
        </a:xfrm>
        <a:prstGeom prst="rect">
          <a:avLst/>
        </a:prstGeom>
      </xdr:spPr>
    </xdr:pic>
    <xdr:clientData/>
  </xdr:oneCellAnchor>
  <xdr:oneCellAnchor>
    <xdr:from>
      <xdr:col>16</xdr:col>
      <xdr:colOff>84667</xdr:colOff>
      <xdr:row>454</xdr:row>
      <xdr:rowOff>2751667</xdr:rowOff>
    </xdr:from>
    <xdr:ext cx="1123950" cy="1123950"/>
    <xdr:pic>
      <xdr:nvPicPr>
        <xdr:cNvPr id="640" name="Resim 639">
          <a:extLst>
            <a:ext uri="{FF2B5EF4-FFF2-40B4-BE49-F238E27FC236}">
              <a16:creationId xmlns:a16="http://schemas.microsoft.com/office/drawing/2014/main" id="{B30D0303-2C15-A049-A20B-01785B033EB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41667" y="2354359867"/>
          <a:ext cx="1123950" cy="1123950"/>
        </a:xfrm>
        <a:prstGeom prst="rect">
          <a:avLst/>
        </a:prstGeom>
      </xdr:spPr>
    </xdr:pic>
    <xdr:clientData/>
  </xdr:oneCellAnchor>
  <xdr:oneCellAnchor>
    <xdr:from>
      <xdr:col>16</xdr:col>
      <xdr:colOff>122031</xdr:colOff>
      <xdr:row>455</xdr:row>
      <xdr:rowOff>92949</xdr:rowOff>
    </xdr:from>
    <xdr:ext cx="1080000" cy="1080000"/>
    <xdr:pic>
      <xdr:nvPicPr>
        <xdr:cNvPr id="641" name="Resim 640">
          <a:extLst>
            <a:ext uri="{FF2B5EF4-FFF2-40B4-BE49-F238E27FC236}">
              <a16:creationId xmlns:a16="http://schemas.microsoft.com/office/drawing/2014/main" id="{2252E52A-E1FF-7A41-9B69-248ECDA6FF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56908149"/>
          <a:ext cx="1080000" cy="1080000"/>
        </a:xfrm>
        <a:prstGeom prst="rect">
          <a:avLst/>
        </a:prstGeom>
      </xdr:spPr>
    </xdr:pic>
    <xdr:clientData/>
  </xdr:oneCellAnchor>
  <xdr:oneCellAnchor>
    <xdr:from>
      <xdr:col>16</xdr:col>
      <xdr:colOff>148167</xdr:colOff>
      <xdr:row>455</xdr:row>
      <xdr:rowOff>1397001</xdr:rowOff>
    </xdr:from>
    <xdr:ext cx="1076737" cy="1080000"/>
    <xdr:pic>
      <xdr:nvPicPr>
        <xdr:cNvPr id="642" name="Resim 641">
          <a:extLst>
            <a:ext uri="{FF2B5EF4-FFF2-40B4-BE49-F238E27FC236}">
              <a16:creationId xmlns:a16="http://schemas.microsoft.com/office/drawing/2014/main" id="{21C719D2-2DE7-4A4D-A55F-74B3E692AAC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358212201"/>
          <a:ext cx="1076737" cy="1080000"/>
        </a:xfrm>
        <a:prstGeom prst="rect">
          <a:avLst/>
        </a:prstGeom>
      </xdr:spPr>
    </xdr:pic>
    <xdr:clientData/>
  </xdr:oneCellAnchor>
  <xdr:oneCellAnchor>
    <xdr:from>
      <xdr:col>16</xdr:col>
      <xdr:colOff>84667</xdr:colOff>
      <xdr:row>455</xdr:row>
      <xdr:rowOff>2751667</xdr:rowOff>
    </xdr:from>
    <xdr:ext cx="1123950" cy="1123950"/>
    <xdr:pic>
      <xdr:nvPicPr>
        <xdr:cNvPr id="643" name="Resim 642">
          <a:extLst>
            <a:ext uri="{FF2B5EF4-FFF2-40B4-BE49-F238E27FC236}">
              <a16:creationId xmlns:a16="http://schemas.microsoft.com/office/drawing/2014/main" id="{8262821C-263D-6947-BB92-0570DA56B57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41667" y="2359566867"/>
          <a:ext cx="1123950" cy="1123950"/>
        </a:xfrm>
        <a:prstGeom prst="rect">
          <a:avLst/>
        </a:prstGeom>
      </xdr:spPr>
    </xdr:pic>
    <xdr:clientData/>
  </xdr:oneCellAnchor>
  <xdr:oneCellAnchor>
    <xdr:from>
      <xdr:col>16</xdr:col>
      <xdr:colOff>122031</xdr:colOff>
      <xdr:row>456</xdr:row>
      <xdr:rowOff>92949</xdr:rowOff>
    </xdr:from>
    <xdr:ext cx="1080000" cy="1080000"/>
    <xdr:pic>
      <xdr:nvPicPr>
        <xdr:cNvPr id="644" name="Resim 643">
          <a:extLst>
            <a:ext uri="{FF2B5EF4-FFF2-40B4-BE49-F238E27FC236}">
              <a16:creationId xmlns:a16="http://schemas.microsoft.com/office/drawing/2014/main" id="{6CF625B1-3990-5C44-B5E6-D9A77B12B8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62115149"/>
          <a:ext cx="1080000" cy="1080000"/>
        </a:xfrm>
        <a:prstGeom prst="rect">
          <a:avLst/>
        </a:prstGeom>
      </xdr:spPr>
    </xdr:pic>
    <xdr:clientData/>
  </xdr:oneCellAnchor>
  <xdr:oneCellAnchor>
    <xdr:from>
      <xdr:col>16</xdr:col>
      <xdr:colOff>148167</xdr:colOff>
      <xdr:row>456</xdr:row>
      <xdr:rowOff>1397001</xdr:rowOff>
    </xdr:from>
    <xdr:ext cx="1076737" cy="1080000"/>
    <xdr:pic>
      <xdr:nvPicPr>
        <xdr:cNvPr id="645" name="Resim 644">
          <a:extLst>
            <a:ext uri="{FF2B5EF4-FFF2-40B4-BE49-F238E27FC236}">
              <a16:creationId xmlns:a16="http://schemas.microsoft.com/office/drawing/2014/main" id="{71A3247F-3DDF-854E-87D7-CB69904C3C0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363419201"/>
          <a:ext cx="1076737" cy="1080000"/>
        </a:xfrm>
        <a:prstGeom prst="rect">
          <a:avLst/>
        </a:prstGeom>
      </xdr:spPr>
    </xdr:pic>
    <xdr:clientData/>
  </xdr:oneCellAnchor>
  <xdr:oneCellAnchor>
    <xdr:from>
      <xdr:col>16</xdr:col>
      <xdr:colOff>84667</xdr:colOff>
      <xdr:row>456</xdr:row>
      <xdr:rowOff>2751667</xdr:rowOff>
    </xdr:from>
    <xdr:ext cx="1123950" cy="1123950"/>
    <xdr:pic>
      <xdr:nvPicPr>
        <xdr:cNvPr id="646" name="Resim 645">
          <a:extLst>
            <a:ext uri="{FF2B5EF4-FFF2-40B4-BE49-F238E27FC236}">
              <a16:creationId xmlns:a16="http://schemas.microsoft.com/office/drawing/2014/main" id="{691BEBED-4031-B54C-AD99-647B704A30B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41667" y="2364773867"/>
          <a:ext cx="1123950" cy="1123950"/>
        </a:xfrm>
        <a:prstGeom prst="rect">
          <a:avLst/>
        </a:prstGeom>
      </xdr:spPr>
    </xdr:pic>
    <xdr:clientData/>
  </xdr:oneCellAnchor>
  <xdr:oneCellAnchor>
    <xdr:from>
      <xdr:col>16</xdr:col>
      <xdr:colOff>84667</xdr:colOff>
      <xdr:row>464</xdr:row>
      <xdr:rowOff>444500</xdr:rowOff>
    </xdr:from>
    <xdr:ext cx="1078992" cy="1078992"/>
    <xdr:pic>
      <xdr:nvPicPr>
        <xdr:cNvPr id="647" name="Resim 646">
          <a:extLst>
            <a:ext uri="{FF2B5EF4-FFF2-40B4-BE49-F238E27FC236}">
              <a16:creationId xmlns:a16="http://schemas.microsoft.com/office/drawing/2014/main" id="{17A7C229-C245-0041-BDAF-746C6D31C1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1667" y="2404122700"/>
          <a:ext cx="1078992" cy="1078992"/>
        </a:xfrm>
        <a:prstGeom prst="rect">
          <a:avLst/>
        </a:prstGeom>
      </xdr:spPr>
    </xdr:pic>
    <xdr:clientData/>
  </xdr:oneCellAnchor>
  <xdr:oneCellAnchor>
    <xdr:from>
      <xdr:col>16</xdr:col>
      <xdr:colOff>148167</xdr:colOff>
      <xdr:row>458</xdr:row>
      <xdr:rowOff>444500</xdr:rowOff>
    </xdr:from>
    <xdr:ext cx="1080000" cy="1080000"/>
    <xdr:pic>
      <xdr:nvPicPr>
        <xdr:cNvPr id="648" name="Resim 647">
          <a:extLst>
            <a:ext uri="{FF2B5EF4-FFF2-40B4-BE49-F238E27FC236}">
              <a16:creationId xmlns:a16="http://schemas.microsoft.com/office/drawing/2014/main" id="{29B77D88-02E7-EF4A-B18E-CD793892EF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372880700"/>
          <a:ext cx="1080000" cy="1080000"/>
        </a:xfrm>
        <a:prstGeom prst="rect">
          <a:avLst/>
        </a:prstGeom>
      </xdr:spPr>
    </xdr:pic>
    <xdr:clientData/>
  </xdr:oneCellAnchor>
  <xdr:oneCellAnchor>
    <xdr:from>
      <xdr:col>16</xdr:col>
      <xdr:colOff>127000</xdr:colOff>
      <xdr:row>462</xdr:row>
      <xdr:rowOff>254000</xdr:rowOff>
    </xdr:from>
    <xdr:ext cx="1080000" cy="1080000"/>
    <xdr:pic>
      <xdr:nvPicPr>
        <xdr:cNvPr id="649" name="Resim 648">
          <a:extLst>
            <a:ext uri="{FF2B5EF4-FFF2-40B4-BE49-F238E27FC236}">
              <a16:creationId xmlns:a16="http://schemas.microsoft.com/office/drawing/2014/main" id="{A8D41858-E28A-D148-871D-6ED37FE54B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393518200"/>
          <a:ext cx="1080000" cy="1080000"/>
        </a:xfrm>
        <a:prstGeom prst="rect">
          <a:avLst/>
        </a:prstGeom>
      </xdr:spPr>
    </xdr:pic>
    <xdr:clientData/>
  </xdr:oneCellAnchor>
  <xdr:oneCellAnchor>
    <xdr:from>
      <xdr:col>16</xdr:col>
      <xdr:colOff>122031</xdr:colOff>
      <xdr:row>463</xdr:row>
      <xdr:rowOff>92949</xdr:rowOff>
    </xdr:from>
    <xdr:ext cx="1080000" cy="1080000"/>
    <xdr:pic>
      <xdr:nvPicPr>
        <xdr:cNvPr id="650" name="Resim 649">
          <a:extLst>
            <a:ext uri="{FF2B5EF4-FFF2-40B4-BE49-F238E27FC236}">
              <a16:creationId xmlns:a16="http://schemas.microsoft.com/office/drawing/2014/main" id="{51F4162F-F6C7-A249-892E-38D55A5777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398564149"/>
          <a:ext cx="1080000" cy="1080000"/>
        </a:xfrm>
        <a:prstGeom prst="rect">
          <a:avLst/>
        </a:prstGeom>
      </xdr:spPr>
    </xdr:pic>
    <xdr:clientData/>
  </xdr:oneCellAnchor>
  <xdr:oneCellAnchor>
    <xdr:from>
      <xdr:col>16</xdr:col>
      <xdr:colOff>122031</xdr:colOff>
      <xdr:row>465</xdr:row>
      <xdr:rowOff>92949</xdr:rowOff>
    </xdr:from>
    <xdr:ext cx="1080000" cy="1080000"/>
    <xdr:pic>
      <xdr:nvPicPr>
        <xdr:cNvPr id="651" name="Resim 650">
          <a:extLst>
            <a:ext uri="{FF2B5EF4-FFF2-40B4-BE49-F238E27FC236}">
              <a16:creationId xmlns:a16="http://schemas.microsoft.com/office/drawing/2014/main" id="{96FB025E-8317-0446-A051-B55644AA6E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408978149"/>
          <a:ext cx="1080000" cy="1080000"/>
        </a:xfrm>
        <a:prstGeom prst="rect">
          <a:avLst/>
        </a:prstGeom>
      </xdr:spPr>
    </xdr:pic>
    <xdr:clientData/>
  </xdr:oneCellAnchor>
  <xdr:oneCellAnchor>
    <xdr:from>
      <xdr:col>16</xdr:col>
      <xdr:colOff>122031</xdr:colOff>
      <xdr:row>468</xdr:row>
      <xdr:rowOff>92949</xdr:rowOff>
    </xdr:from>
    <xdr:ext cx="1080000" cy="1080000"/>
    <xdr:pic>
      <xdr:nvPicPr>
        <xdr:cNvPr id="652" name="Resim 651">
          <a:extLst>
            <a:ext uri="{FF2B5EF4-FFF2-40B4-BE49-F238E27FC236}">
              <a16:creationId xmlns:a16="http://schemas.microsoft.com/office/drawing/2014/main" id="{9AC298CD-0C83-2B46-A3C7-98750AC0FA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424599149"/>
          <a:ext cx="1080000" cy="1080000"/>
        </a:xfrm>
        <a:prstGeom prst="rect">
          <a:avLst/>
        </a:prstGeom>
      </xdr:spPr>
    </xdr:pic>
    <xdr:clientData/>
  </xdr:oneCellAnchor>
  <xdr:oneCellAnchor>
    <xdr:from>
      <xdr:col>16</xdr:col>
      <xdr:colOff>127000</xdr:colOff>
      <xdr:row>468</xdr:row>
      <xdr:rowOff>2794000</xdr:rowOff>
    </xdr:from>
    <xdr:ext cx="1121834" cy="1114404"/>
    <xdr:pic>
      <xdr:nvPicPr>
        <xdr:cNvPr id="653" name="Resim 652">
          <a:extLst>
            <a:ext uri="{FF2B5EF4-FFF2-40B4-BE49-F238E27FC236}">
              <a16:creationId xmlns:a16="http://schemas.microsoft.com/office/drawing/2014/main" id="{73013F3C-4365-3D46-B726-EC3442602EB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84000" y="2427300200"/>
          <a:ext cx="1121834" cy="1114404"/>
        </a:xfrm>
        <a:prstGeom prst="rect">
          <a:avLst/>
        </a:prstGeom>
      </xdr:spPr>
    </xdr:pic>
    <xdr:clientData/>
  </xdr:oneCellAnchor>
  <xdr:oneCellAnchor>
    <xdr:from>
      <xdr:col>16</xdr:col>
      <xdr:colOff>122031</xdr:colOff>
      <xdr:row>469</xdr:row>
      <xdr:rowOff>92949</xdr:rowOff>
    </xdr:from>
    <xdr:ext cx="1080000" cy="1080000"/>
    <xdr:pic>
      <xdr:nvPicPr>
        <xdr:cNvPr id="654" name="Resim 653">
          <a:extLst>
            <a:ext uri="{FF2B5EF4-FFF2-40B4-BE49-F238E27FC236}">
              <a16:creationId xmlns:a16="http://schemas.microsoft.com/office/drawing/2014/main" id="{FB23E40D-54B0-6E49-B0B9-10E079E1AE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79031" y="2429806149"/>
          <a:ext cx="1080000" cy="1080000"/>
        </a:xfrm>
        <a:prstGeom prst="rect">
          <a:avLst/>
        </a:prstGeom>
      </xdr:spPr>
    </xdr:pic>
    <xdr:clientData/>
  </xdr:oneCellAnchor>
  <xdr:oneCellAnchor>
    <xdr:from>
      <xdr:col>16</xdr:col>
      <xdr:colOff>148167</xdr:colOff>
      <xdr:row>469</xdr:row>
      <xdr:rowOff>1397001</xdr:rowOff>
    </xdr:from>
    <xdr:ext cx="1076737" cy="1080000"/>
    <xdr:pic>
      <xdr:nvPicPr>
        <xdr:cNvPr id="655" name="Resim 654">
          <a:extLst>
            <a:ext uri="{FF2B5EF4-FFF2-40B4-BE49-F238E27FC236}">
              <a16:creationId xmlns:a16="http://schemas.microsoft.com/office/drawing/2014/main" id="{29C6945E-05AE-C14C-85ED-9FC33A07A45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431110201"/>
          <a:ext cx="1076737" cy="1080000"/>
        </a:xfrm>
        <a:prstGeom prst="rect">
          <a:avLst/>
        </a:prstGeom>
      </xdr:spPr>
    </xdr:pic>
    <xdr:clientData/>
  </xdr:oneCellAnchor>
  <xdr:oneCellAnchor>
    <xdr:from>
      <xdr:col>16</xdr:col>
      <xdr:colOff>84667</xdr:colOff>
      <xdr:row>469</xdr:row>
      <xdr:rowOff>2751667</xdr:rowOff>
    </xdr:from>
    <xdr:ext cx="1123950" cy="1123950"/>
    <xdr:pic>
      <xdr:nvPicPr>
        <xdr:cNvPr id="656" name="Resim 655">
          <a:extLst>
            <a:ext uri="{FF2B5EF4-FFF2-40B4-BE49-F238E27FC236}">
              <a16:creationId xmlns:a16="http://schemas.microsoft.com/office/drawing/2014/main" id="{7E6BB42F-3387-DC4D-8D9C-BD0AF2B2B03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641667" y="2432464867"/>
          <a:ext cx="1123950" cy="1123950"/>
        </a:xfrm>
        <a:prstGeom prst="rect">
          <a:avLst/>
        </a:prstGeom>
      </xdr:spPr>
    </xdr:pic>
    <xdr:clientData/>
  </xdr:oneCellAnchor>
  <xdr:oneCellAnchor>
    <xdr:from>
      <xdr:col>16</xdr:col>
      <xdr:colOff>105834</xdr:colOff>
      <xdr:row>461</xdr:row>
      <xdr:rowOff>317500</xdr:rowOff>
    </xdr:from>
    <xdr:ext cx="1080000" cy="1080000"/>
    <xdr:pic>
      <xdr:nvPicPr>
        <xdr:cNvPr id="657" name="Resim 656">
          <a:extLst>
            <a:ext uri="{FF2B5EF4-FFF2-40B4-BE49-F238E27FC236}">
              <a16:creationId xmlns:a16="http://schemas.microsoft.com/office/drawing/2014/main" id="{4528FFBF-CE59-D44B-B3C9-AB7209A6330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2388374700"/>
          <a:ext cx="1080000" cy="1080000"/>
        </a:xfrm>
        <a:prstGeom prst="rect">
          <a:avLst/>
        </a:prstGeom>
      </xdr:spPr>
    </xdr:pic>
    <xdr:clientData/>
  </xdr:oneCellAnchor>
  <xdr:oneCellAnchor>
    <xdr:from>
      <xdr:col>16</xdr:col>
      <xdr:colOff>105834</xdr:colOff>
      <xdr:row>461</xdr:row>
      <xdr:rowOff>1481667</xdr:rowOff>
    </xdr:from>
    <xdr:ext cx="1121834" cy="1114404"/>
    <xdr:pic>
      <xdr:nvPicPr>
        <xdr:cNvPr id="658" name="Resim 657">
          <a:extLst>
            <a:ext uri="{FF2B5EF4-FFF2-40B4-BE49-F238E27FC236}">
              <a16:creationId xmlns:a16="http://schemas.microsoft.com/office/drawing/2014/main" id="{861E6580-64C8-9B4B-A4B1-3D8D21EFF73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4" y="2389538867"/>
          <a:ext cx="1121834" cy="1114404"/>
        </a:xfrm>
        <a:prstGeom prst="rect">
          <a:avLst/>
        </a:prstGeom>
      </xdr:spPr>
    </xdr:pic>
    <xdr:clientData/>
  </xdr:oneCellAnchor>
  <xdr:oneCellAnchor>
    <xdr:from>
      <xdr:col>16</xdr:col>
      <xdr:colOff>190500</xdr:colOff>
      <xdr:row>462</xdr:row>
      <xdr:rowOff>1651000</xdr:rowOff>
    </xdr:from>
    <xdr:ext cx="1123950" cy="1123950"/>
    <xdr:pic>
      <xdr:nvPicPr>
        <xdr:cNvPr id="659" name="Resim 658">
          <a:extLst>
            <a:ext uri="{FF2B5EF4-FFF2-40B4-BE49-F238E27FC236}">
              <a16:creationId xmlns:a16="http://schemas.microsoft.com/office/drawing/2014/main" id="{3C1258F8-C7A8-EF48-A750-518E1F5486E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1747500" y="2394915200"/>
          <a:ext cx="1123950" cy="1123950"/>
        </a:xfrm>
        <a:prstGeom prst="rect">
          <a:avLst/>
        </a:prstGeom>
      </xdr:spPr>
    </xdr:pic>
    <xdr:clientData/>
  </xdr:oneCellAnchor>
  <xdr:oneCellAnchor>
    <xdr:from>
      <xdr:col>16</xdr:col>
      <xdr:colOff>190500</xdr:colOff>
      <xdr:row>466</xdr:row>
      <xdr:rowOff>381000</xdr:rowOff>
    </xdr:from>
    <xdr:ext cx="1080000" cy="1080000"/>
    <xdr:pic>
      <xdr:nvPicPr>
        <xdr:cNvPr id="660" name="Resim 659">
          <a:extLst>
            <a:ext uri="{FF2B5EF4-FFF2-40B4-BE49-F238E27FC236}">
              <a16:creationId xmlns:a16="http://schemas.microsoft.com/office/drawing/2014/main" id="{7A6F3DB6-F98D-094B-950F-CC056AA2FF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414473200"/>
          <a:ext cx="1080000" cy="1080000"/>
        </a:xfrm>
        <a:prstGeom prst="rect">
          <a:avLst/>
        </a:prstGeom>
      </xdr:spPr>
    </xdr:pic>
    <xdr:clientData/>
  </xdr:oneCellAnchor>
  <xdr:oneCellAnchor>
    <xdr:from>
      <xdr:col>16</xdr:col>
      <xdr:colOff>105834</xdr:colOff>
      <xdr:row>467</xdr:row>
      <xdr:rowOff>465667</xdr:rowOff>
    </xdr:from>
    <xdr:ext cx="1080000" cy="1080000"/>
    <xdr:pic>
      <xdr:nvPicPr>
        <xdr:cNvPr id="661" name="Resim 660">
          <a:extLst>
            <a:ext uri="{FF2B5EF4-FFF2-40B4-BE49-F238E27FC236}">
              <a16:creationId xmlns:a16="http://schemas.microsoft.com/office/drawing/2014/main" id="{B2BD74D8-0850-FA4E-A644-877722F91C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62834" y="2419764867"/>
          <a:ext cx="1080000" cy="1080000"/>
        </a:xfrm>
        <a:prstGeom prst="rect">
          <a:avLst/>
        </a:prstGeom>
      </xdr:spPr>
    </xdr:pic>
    <xdr:clientData/>
  </xdr:oneCellAnchor>
  <xdr:oneCellAnchor>
    <xdr:from>
      <xdr:col>16</xdr:col>
      <xdr:colOff>148166</xdr:colOff>
      <xdr:row>468</xdr:row>
      <xdr:rowOff>1397000</xdr:rowOff>
    </xdr:from>
    <xdr:ext cx="1080000" cy="1080000"/>
    <xdr:pic>
      <xdr:nvPicPr>
        <xdr:cNvPr id="662" name="Resim 661">
          <a:extLst>
            <a:ext uri="{FF2B5EF4-FFF2-40B4-BE49-F238E27FC236}">
              <a16:creationId xmlns:a16="http://schemas.microsoft.com/office/drawing/2014/main" id="{AE5488AB-6C4E-1540-9637-38D55612A0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2425903200"/>
          <a:ext cx="1080000" cy="1080000"/>
        </a:xfrm>
        <a:prstGeom prst="rect">
          <a:avLst/>
        </a:prstGeom>
      </xdr:spPr>
    </xdr:pic>
    <xdr:clientData/>
  </xdr:oneCellAnchor>
  <xdr:oneCellAnchor>
    <xdr:from>
      <xdr:col>16</xdr:col>
      <xdr:colOff>148167</xdr:colOff>
      <xdr:row>470</xdr:row>
      <xdr:rowOff>359833</xdr:rowOff>
    </xdr:from>
    <xdr:ext cx="1080000" cy="1080000"/>
    <xdr:pic>
      <xdr:nvPicPr>
        <xdr:cNvPr id="663" name="Resim 662">
          <a:extLst>
            <a:ext uri="{FF2B5EF4-FFF2-40B4-BE49-F238E27FC236}">
              <a16:creationId xmlns:a16="http://schemas.microsoft.com/office/drawing/2014/main" id="{DD3D72AA-B09A-D841-9A2A-1BD54473199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435280033"/>
          <a:ext cx="1080000" cy="1080000"/>
        </a:xfrm>
        <a:prstGeom prst="rect">
          <a:avLst/>
        </a:prstGeom>
      </xdr:spPr>
    </xdr:pic>
    <xdr:clientData/>
  </xdr:oneCellAnchor>
  <xdr:oneCellAnchor>
    <xdr:from>
      <xdr:col>16</xdr:col>
      <xdr:colOff>127000</xdr:colOff>
      <xdr:row>471</xdr:row>
      <xdr:rowOff>423333</xdr:rowOff>
    </xdr:from>
    <xdr:ext cx="1080000" cy="1080000"/>
    <xdr:pic>
      <xdr:nvPicPr>
        <xdr:cNvPr id="664" name="Resim 663">
          <a:extLst>
            <a:ext uri="{FF2B5EF4-FFF2-40B4-BE49-F238E27FC236}">
              <a16:creationId xmlns:a16="http://schemas.microsoft.com/office/drawing/2014/main" id="{6A1716A7-E4CA-BB42-B8B4-5707634290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440550533"/>
          <a:ext cx="1080000" cy="1080000"/>
        </a:xfrm>
        <a:prstGeom prst="rect">
          <a:avLst/>
        </a:prstGeom>
      </xdr:spPr>
    </xdr:pic>
    <xdr:clientData/>
  </xdr:oneCellAnchor>
  <xdr:oneCellAnchor>
    <xdr:from>
      <xdr:col>16</xdr:col>
      <xdr:colOff>148167</xdr:colOff>
      <xdr:row>471</xdr:row>
      <xdr:rowOff>1714500</xdr:rowOff>
    </xdr:from>
    <xdr:ext cx="1121834" cy="1114404"/>
    <xdr:pic>
      <xdr:nvPicPr>
        <xdr:cNvPr id="665" name="Resim 664">
          <a:extLst>
            <a:ext uri="{FF2B5EF4-FFF2-40B4-BE49-F238E27FC236}">
              <a16:creationId xmlns:a16="http://schemas.microsoft.com/office/drawing/2014/main" id="{9510F09D-3E72-8545-B6C2-B949B1733EA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2441841700"/>
          <a:ext cx="1121834" cy="1114404"/>
        </a:xfrm>
        <a:prstGeom prst="rect">
          <a:avLst/>
        </a:prstGeom>
      </xdr:spPr>
    </xdr:pic>
    <xdr:clientData/>
  </xdr:oneCellAnchor>
  <xdr:oneCellAnchor>
    <xdr:from>
      <xdr:col>16</xdr:col>
      <xdr:colOff>127000</xdr:colOff>
      <xdr:row>472</xdr:row>
      <xdr:rowOff>423333</xdr:rowOff>
    </xdr:from>
    <xdr:ext cx="1080000" cy="1080000"/>
    <xdr:pic>
      <xdr:nvPicPr>
        <xdr:cNvPr id="666" name="Resim 665">
          <a:extLst>
            <a:ext uri="{FF2B5EF4-FFF2-40B4-BE49-F238E27FC236}">
              <a16:creationId xmlns:a16="http://schemas.microsoft.com/office/drawing/2014/main" id="{B2AEA85B-C4A5-F949-8CC9-411BA3F364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445757533"/>
          <a:ext cx="1080000" cy="1080000"/>
        </a:xfrm>
        <a:prstGeom prst="rect">
          <a:avLst/>
        </a:prstGeom>
      </xdr:spPr>
    </xdr:pic>
    <xdr:clientData/>
  </xdr:oneCellAnchor>
  <xdr:oneCellAnchor>
    <xdr:from>
      <xdr:col>16</xdr:col>
      <xdr:colOff>148167</xdr:colOff>
      <xdr:row>472</xdr:row>
      <xdr:rowOff>1714500</xdr:rowOff>
    </xdr:from>
    <xdr:ext cx="1121834" cy="1114404"/>
    <xdr:pic>
      <xdr:nvPicPr>
        <xdr:cNvPr id="667" name="Resim 666">
          <a:extLst>
            <a:ext uri="{FF2B5EF4-FFF2-40B4-BE49-F238E27FC236}">
              <a16:creationId xmlns:a16="http://schemas.microsoft.com/office/drawing/2014/main" id="{A72C735B-C5A3-894A-9115-747ECCBB10F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7" y="2447048700"/>
          <a:ext cx="1121834" cy="1114404"/>
        </a:xfrm>
        <a:prstGeom prst="rect">
          <a:avLst/>
        </a:prstGeom>
      </xdr:spPr>
    </xdr:pic>
    <xdr:clientData/>
  </xdr:oneCellAnchor>
  <xdr:oneCellAnchor>
    <xdr:from>
      <xdr:col>16</xdr:col>
      <xdr:colOff>105833</xdr:colOff>
      <xdr:row>473</xdr:row>
      <xdr:rowOff>381000</xdr:rowOff>
    </xdr:from>
    <xdr:ext cx="1121834" cy="1114404"/>
    <xdr:pic>
      <xdr:nvPicPr>
        <xdr:cNvPr id="668" name="Resim 667">
          <a:extLst>
            <a:ext uri="{FF2B5EF4-FFF2-40B4-BE49-F238E27FC236}">
              <a16:creationId xmlns:a16="http://schemas.microsoft.com/office/drawing/2014/main" id="{EA8BEA8E-90F8-6C43-B968-A7B66BB344C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662833" y="2450922200"/>
          <a:ext cx="1121834" cy="1114404"/>
        </a:xfrm>
        <a:prstGeom prst="rect">
          <a:avLst/>
        </a:prstGeom>
      </xdr:spPr>
    </xdr:pic>
    <xdr:clientData/>
  </xdr:oneCellAnchor>
  <xdr:oneCellAnchor>
    <xdr:from>
      <xdr:col>16</xdr:col>
      <xdr:colOff>42334</xdr:colOff>
      <xdr:row>474</xdr:row>
      <xdr:rowOff>359833</xdr:rowOff>
    </xdr:from>
    <xdr:ext cx="1121834" cy="1114404"/>
    <xdr:pic>
      <xdr:nvPicPr>
        <xdr:cNvPr id="669" name="Resim 668">
          <a:extLst>
            <a:ext uri="{FF2B5EF4-FFF2-40B4-BE49-F238E27FC236}">
              <a16:creationId xmlns:a16="http://schemas.microsoft.com/office/drawing/2014/main" id="{E7BA7CD2-72F5-2246-863F-7FECCBBB601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99334" y="2456108033"/>
          <a:ext cx="1121834" cy="1114404"/>
        </a:xfrm>
        <a:prstGeom prst="rect">
          <a:avLst/>
        </a:prstGeom>
      </xdr:spPr>
    </xdr:pic>
    <xdr:clientData/>
  </xdr:oneCellAnchor>
  <xdr:oneCellAnchor>
    <xdr:from>
      <xdr:col>16</xdr:col>
      <xdr:colOff>63500</xdr:colOff>
      <xdr:row>474</xdr:row>
      <xdr:rowOff>1778000</xdr:rowOff>
    </xdr:from>
    <xdr:ext cx="1080000" cy="1080000"/>
    <xdr:pic>
      <xdr:nvPicPr>
        <xdr:cNvPr id="670" name="Resim 669">
          <a:extLst>
            <a:ext uri="{FF2B5EF4-FFF2-40B4-BE49-F238E27FC236}">
              <a16:creationId xmlns:a16="http://schemas.microsoft.com/office/drawing/2014/main" id="{E49B6A5B-20D9-614C-B0A8-D6DC07D18E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2457526200"/>
          <a:ext cx="1080000" cy="1080000"/>
        </a:xfrm>
        <a:prstGeom prst="rect">
          <a:avLst/>
        </a:prstGeom>
      </xdr:spPr>
    </xdr:pic>
    <xdr:clientData/>
  </xdr:oneCellAnchor>
  <xdr:oneCellAnchor>
    <xdr:from>
      <xdr:col>16</xdr:col>
      <xdr:colOff>63500</xdr:colOff>
      <xdr:row>474</xdr:row>
      <xdr:rowOff>3048000</xdr:rowOff>
    </xdr:from>
    <xdr:ext cx="1080000" cy="1080000"/>
    <xdr:pic>
      <xdr:nvPicPr>
        <xdr:cNvPr id="671" name="Resim 670">
          <a:extLst>
            <a:ext uri="{FF2B5EF4-FFF2-40B4-BE49-F238E27FC236}">
              <a16:creationId xmlns:a16="http://schemas.microsoft.com/office/drawing/2014/main" id="{EB1AE752-0C97-C543-B26B-AE5484D3467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20500" y="2458796200"/>
          <a:ext cx="1080000" cy="1080000"/>
        </a:xfrm>
        <a:prstGeom prst="rect">
          <a:avLst/>
        </a:prstGeom>
      </xdr:spPr>
    </xdr:pic>
    <xdr:clientData/>
  </xdr:oneCellAnchor>
  <xdr:oneCellAnchor>
    <xdr:from>
      <xdr:col>16</xdr:col>
      <xdr:colOff>42334</xdr:colOff>
      <xdr:row>475</xdr:row>
      <xdr:rowOff>359833</xdr:rowOff>
    </xdr:from>
    <xdr:ext cx="1121834" cy="1114404"/>
    <xdr:pic>
      <xdr:nvPicPr>
        <xdr:cNvPr id="672" name="Resim 671">
          <a:extLst>
            <a:ext uri="{FF2B5EF4-FFF2-40B4-BE49-F238E27FC236}">
              <a16:creationId xmlns:a16="http://schemas.microsoft.com/office/drawing/2014/main" id="{ABE3052D-C562-5540-8476-65016422949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99334" y="2461315033"/>
          <a:ext cx="1121834" cy="1114404"/>
        </a:xfrm>
        <a:prstGeom prst="rect">
          <a:avLst/>
        </a:prstGeom>
      </xdr:spPr>
    </xdr:pic>
    <xdr:clientData/>
  </xdr:oneCellAnchor>
  <xdr:oneCellAnchor>
    <xdr:from>
      <xdr:col>16</xdr:col>
      <xdr:colOff>63500</xdr:colOff>
      <xdr:row>475</xdr:row>
      <xdr:rowOff>1778000</xdr:rowOff>
    </xdr:from>
    <xdr:ext cx="1080000" cy="1080000"/>
    <xdr:pic>
      <xdr:nvPicPr>
        <xdr:cNvPr id="673" name="Resim 672">
          <a:extLst>
            <a:ext uri="{FF2B5EF4-FFF2-40B4-BE49-F238E27FC236}">
              <a16:creationId xmlns:a16="http://schemas.microsoft.com/office/drawing/2014/main" id="{44A33054-6D17-304B-9BE5-B66583FFEC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2462733200"/>
          <a:ext cx="1080000" cy="1080000"/>
        </a:xfrm>
        <a:prstGeom prst="rect">
          <a:avLst/>
        </a:prstGeom>
      </xdr:spPr>
    </xdr:pic>
    <xdr:clientData/>
  </xdr:oneCellAnchor>
  <xdr:oneCellAnchor>
    <xdr:from>
      <xdr:col>16</xdr:col>
      <xdr:colOff>63500</xdr:colOff>
      <xdr:row>476</xdr:row>
      <xdr:rowOff>1778000</xdr:rowOff>
    </xdr:from>
    <xdr:ext cx="1080000" cy="1080000"/>
    <xdr:pic>
      <xdr:nvPicPr>
        <xdr:cNvPr id="674" name="Resim 673">
          <a:extLst>
            <a:ext uri="{FF2B5EF4-FFF2-40B4-BE49-F238E27FC236}">
              <a16:creationId xmlns:a16="http://schemas.microsoft.com/office/drawing/2014/main" id="{8BF8E0FC-4F4D-0144-BE46-66C59835C65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20500" y="2467940200"/>
          <a:ext cx="1080000" cy="1080000"/>
        </a:xfrm>
        <a:prstGeom prst="rect">
          <a:avLst/>
        </a:prstGeom>
      </xdr:spPr>
    </xdr:pic>
    <xdr:clientData/>
  </xdr:oneCellAnchor>
  <xdr:oneCellAnchor>
    <xdr:from>
      <xdr:col>16</xdr:col>
      <xdr:colOff>148166</xdr:colOff>
      <xdr:row>477</xdr:row>
      <xdr:rowOff>317500</xdr:rowOff>
    </xdr:from>
    <xdr:ext cx="1080000" cy="1080000"/>
    <xdr:pic>
      <xdr:nvPicPr>
        <xdr:cNvPr id="675" name="Resim 674">
          <a:extLst>
            <a:ext uri="{FF2B5EF4-FFF2-40B4-BE49-F238E27FC236}">
              <a16:creationId xmlns:a16="http://schemas.microsoft.com/office/drawing/2014/main" id="{104256BE-BEB2-454A-B4B7-18DDE841C5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6" y="2471686700"/>
          <a:ext cx="1080000" cy="1080000"/>
        </a:xfrm>
        <a:prstGeom prst="rect">
          <a:avLst/>
        </a:prstGeom>
      </xdr:spPr>
    </xdr:pic>
    <xdr:clientData/>
  </xdr:oneCellAnchor>
  <xdr:oneCellAnchor>
    <xdr:from>
      <xdr:col>16</xdr:col>
      <xdr:colOff>190500</xdr:colOff>
      <xdr:row>477</xdr:row>
      <xdr:rowOff>1587500</xdr:rowOff>
    </xdr:from>
    <xdr:ext cx="1080000" cy="1080000"/>
    <xdr:pic>
      <xdr:nvPicPr>
        <xdr:cNvPr id="676" name="Resim 675">
          <a:extLst>
            <a:ext uri="{FF2B5EF4-FFF2-40B4-BE49-F238E27FC236}">
              <a16:creationId xmlns:a16="http://schemas.microsoft.com/office/drawing/2014/main" id="{28412243-3AEF-1B4D-8DD9-392AE84928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472956700"/>
          <a:ext cx="1080000" cy="1080000"/>
        </a:xfrm>
        <a:prstGeom prst="rect">
          <a:avLst/>
        </a:prstGeom>
      </xdr:spPr>
    </xdr:pic>
    <xdr:clientData/>
  </xdr:oneCellAnchor>
  <xdr:oneCellAnchor>
    <xdr:from>
      <xdr:col>16</xdr:col>
      <xdr:colOff>105834</xdr:colOff>
      <xdr:row>479</xdr:row>
      <xdr:rowOff>254000</xdr:rowOff>
    </xdr:from>
    <xdr:ext cx="1080000" cy="1080000"/>
    <xdr:pic>
      <xdr:nvPicPr>
        <xdr:cNvPr id="677" name="Resim 676">
          <a:extLst>
            <a:ext uri="{FF2B5EF4-FFF2-40B4-BE49-F238E27FC236}">
              <a16:creationId xmlns:a16="http://schemas.microsoft.com/office/drawing/2014/main" id="{5D816D79-4395-8047-9528-18DEDABD3C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62834" y="2482037200"/>
          <a:ext cx="1080000" cy="1080000"/>
        </a:xfrm>
        <a:prstGeom prst="rect">
          <a:avLst/>
        </a:prstGeom>
      </xdr:spPr>
    </xdr:pic>
    <xdr:clientData/>
  </xdr:oneCellAnchor>
  <xdr:oneCellAnchor>
    <xdr:from>
      <xdr:col>16</xdr:col>
      <xdr:colOff>190500</xdr:colOff>
      <xdr:row>480</xdr:row>
      <xdr:rowOff>508000</xdr:rowOff>
    </xdr:from>
    <xdr:ext cx="1080000" cy="1080000"/>
    <xdr:pic>
      <xdr:nvPicPr>
        <xdr:cNvPr id="678" name="Resim 677">
          <a:extLst>
            <a:ext uri="{FF2B5EF4-FFF2-40B4-BE49-F238E27FC236}">
              <a16:creationId xmlns:a16="http://schemas.microsoft.com/office/drawing/2014/main" id="{35B45A4B-B2FB-F845-8191-EDBF7DFE11A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47500" y="2487498200"/>
          <a:ext cx="1080000" cy="1080000"/>
        </a:xfrm>
        <a:prstGeom prst="rect">
          <a:avLst/>
        </a:prstGeom>
      </xdr:spPr>
    </xdr:pic>
    <xdr:clientData/>
  </xdr:oneCellAnchor>
  <xdr:oneCellAnchor>
    <xdr:from>
      <xdr:col>16</xdr:col>
      <xdr:colOff>148166</xdr:colOff>
      <xdr:row>480</xdr:row>
      <xdr:rowOff>2074333</xdr:rowOff>
    </xdr:from>
    <xdr:ext cx="1121834" cy="1114404"/>
    <xdr:pic>
      <xdr:nvPicPr>
        <xdr:cNvPr id="679" name="Resim 678">
          <a:extLst>
            <a:ext uri="{FF2B5EF4-FFF2-40B4-BE49-F238E27FC236}">
              <a16:creationId xmlns:a16="http://schemas.microsoft.com/office/drawing/2014/main" id="{C6BA989F-C8CA-7240-B63A-9AF6D996BC2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05166" y="2489064533"/>
          <a:ext cx="1121834" cy="1114404"/>
        </a:xfrm>
        <a:prstGeom prst="rect">
          <a:avLst/>
        </a:prstGeom>
      </xdr:spPr>
    </xdr:pic>
    <xdr:clientData/>
  </xdr:oneCellAnchor>
  <xdr:oneCellAnchor>
    <xdr:from>
      <xdr:col>16</xdr:col>
      <xdr:colOff>169334</xdr:colOff>
      <xdr:row>481</xdr:row>
      <xdr:rowOff>486833</xdr:rowOff>
    </xdr:from>
    <xdr:ext cx="1080000" cy="1080000"/>
    <xdr:pic>
      <xdr:nvPicPr>
        <xdr:cNvPr id="680" name="Resim 679">
          <a:extLst>
            <a:ext uri="{FF2B5EF4-FFF2-40B4-BE49-F238E27FC236}">
              <a16:creationId xmlns:a16="http://schemas.microsoft.com/office/drawing/2014/main" id="{231F4DD2-9D9E-7C47-88C4-1865B58AD9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492684033"/>
          <a:ext cx="1080000" cy="1080000"/>
        </a:xfrm>
        <a:prstGeom prst="rect">
          <a:avLst/>
        </a:prstGeom>
      </xdr:spPr>
    </xdr:pic>
    <xdr:clientData/>
  </xdr:oneCellAnchor>
  <xdr:oneCellAnchor>
    <xdr:from>
      <xdr:col>16</xdr:col>
      <xdr:colOff>190500</xdr:colOff>
      <xdr:row>481</xdr:row>
      <xdr:rowOff>1947333</xdr:rowOff>
    </xdr:from>
    <xdr:ext cx="1121834" cy="1114404"/>
    <xdr:pic>
      <xdr:nvPicPr>
        <xdr:cNvPr id="681" name="Resim 680">
          <a:extLst>
            <a:ext uri="{FF2B5EF4-FFF2-40B4-BE49-F238E27FC236}">
              <a16:creationId xmlns:a16="http://schemas.microsoft.com/office/drawing/2014/main" id="{E2B3E093-3763-194E-B489-3035E3CA1EE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494144533"/>
          <a:ext cx="1121834" cy="1114404"/>
        </a:xfrm>
        <a:prstGeom prst="rect">
          <a:avLst/>
        </a:prstGeom>
      </xdr:spPr>
    </xdr:pic>
    <xdr:clientData/>
  </xdr:oneCellAnchor>
  <xdr:oneCellAnchor>
    <xdr:from>
      <xdr:col>16</xdr:col>
      <xdr:colOff>169334</xdr:colOff>
      <xdr:row>482</xdr:row>
      <xdr:rowOff>486833</xdr:rowOff>
    </xdr:from>
    <xdr:ext cx="1080000" cy="1080000"/>
    <xdr:pic>
      <xdr:nvPicPr>
        <xdr:cNvPr id="682" name="Resim 681">
          <a:extLst>
            <a:ext uri="{FF2B5EF4-FFF2-40B4-BE49-F238E27FC236}">
              <a16:creationId xmlns:a16="http://schemas.microsoft.com/office/drawing/2014/main" id="{F63B147A-BFD8-8D48-8512-C27BDC44FA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497891033"/>
          <a:ext cx="1080000" cy="1080000"/>
        </a:xfrm>
        <a:prstGeom prst="rect">
          <a:avLst/>
        </a:prstGeom>
      </xdr:spPr>
    </xdr:pic>
    <xdr:clientData/>
  </xdr:oneCellAnchor>
  <xdr:oneCellAnchor>
    <xdr:from>
      <xdr:col>16</xdr:col>
      <xdr:colOff>190500</xdr:colOff>
      <xdr:row>482</xdr:row>
      <xdr:rowOff>1947333</xdr:rowOff>
    </xdr:from>
    <xdr:ext cx="1121834" cy="1114404"/>
    <xdr:pic>
      <xdr:nvPicPr>
        <xdr:cNvPr id="683" name="Resim 682">
          <a:extLst>
            <a:ext uri="{FF2B5EF4-FFF2-40B4-BE49-F238E27FC236}">
              <a16:creationId xmlns:a16="http://schemas.microsoft.com/office/drawing/2014/main" id="{67590AC0-9F81-7F49-9692-4B208A5534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499351533"/>
          <a:ext cx="1121834" cy="1114404"/>
        </a:xfrm>
        <a:prstGeom prst="rect">
          <a:avLst/>
        </a:prstGeom>
      </xdr:spPr>
    </xdr:pic>
    <xdr:clientData/>
  </xdr:oneCellAnchor>
  <xdr:oneCellAnchor>
    <xdr:from>
      <xdr:col>16</xdr:col>
      <xdr:colOff>148167</xdr:colOff>
      <xdr:row>482</xdr:row>
      <xdr:rowOff>3429000</xdr:rowOff>
    </xdr:from>
    <xdr:ext cx="1080000" cy="1080000"/>
    <xdr:pic>
      <xdr:nvPicPr>
        <xdr:cNvPr id="684" name="Resim 683">
          <a:extLst>
            <a:ext uri="{FF2B5EF4-FFF2-40B4-BE49-F238E27FC236}">
              <a16:creationId xmlns:a16="http://schemas.microsoft.com/office/drawing/2014/main" id="{6E3A56F7-D7DF-1344-A282-E321E9A06A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00833200"/>
          <a:ext cx="1080000" cy="1080000"/>
        </a:xfrm>
        <a:prstGeom prst="rect">
          <a:avLst/>
        </a:prstGeom>
      </xdr:spPr>
    </xdr:pic>
    <xdr:clientData/>
  </xdr:oneCellAnchor>
  <xdr:oneCellAnchor>
    <xdr:from>
      <xdr:col>16</xdr:col>
      <xdr:colOff>169334</xdr:colOff>
      <xdr:row>483</xdr:row>
      <xdr:rowOff>486833</xdr:rowOff>
    </xdr:from>
    <xdr:ext cx="1080000" cy="1080000"/>
    <xdr:pic>
      <xdr:nvPicPr>
        <xdr:cNvPr id="685" name="Resim 684">
          <a:extLst>
            <a:ext uri="{FF2B5EF4-FFF2-40B4-BE49-F238E27FC236}">
              <a16:creationId xmlns:a16="http://schemas.microsoft.com/office/drawing/2014/main" id="{25EC656B-13AE-5244-8AA3-801C91ABF1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503098033"/>
          <a:ext cx="1080000" cy="1080000"/>
        </a:xfrm>
        <a:prstGeom prst="rect">
          <a:avLst/>
        </a:prstGeom>
      </xdr:spPr>
    </xdr:pic>
    <xdr:clientData/>
  </xdr:oneCellAnchor>
  <xdr:oneCellAnchor>
    <xdr:from>
      <xdr:col>16</xdr:col>
      <xdr:colOff>190500</xdr:colOff>
      <xdr:row>483</xdr:row>
      <xdr:rowOff>1947333</xdr:rowOff>
    </xdr:from>
    <xdr:ext cx="1121834" cy="1114404"/>
    <xdr:pic>
      <xdr:nvPicPr>
        <xdr:cNvPr id="686" name="Resim 685">
          <a:extLst>
            <a:ext uri="{FF2B5EF4-FFF2-40B4-BE49-F238E27FC236}">
              <a16:creationId xmlns:a16="http://schemas.microsoft.com/office/drawing/2014/main" id="{1F4C831B-6D2C-9844-AE6F-5B7AF52CB98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04558533"/>
          <a:ext cx="1121834" cy="1114404"/>
        </a:xfrm>
        <a:prstGeom prst="rect">
          <a:avLst/>
        </a:prstGeom>
      </xdr:spPr>
    </xdr:pic>
    <xdr:clientData/>
  </xdr:oneCellAnchor>
  <xdr:oneCellAnchor>
    <xdr:from>
      <xdr:col>16</xdr:col>
      <xdr:colOff>148167</xdr:colOff>
      <xdr:row>483</xdr:row>
      <xdr:rowOff>3429000</xdr:rowOff>
    </xdr:from>
    <xdr:ext cx="1080000" cy="1080000"/>
    <xdr:pic>
      <xdr:nvPicPr>
        <xdr:cNvPr id="687" name="Resim 686">
          <a:extLst>
            <a:ext uri="{FF2B5EF4-FFF2-40B4-BE49-F238E27FC236}">
              <a16:creationId xmlns:a16="http://schemas.microsoft.com/office/drawing/2014/main" id="{5DAA76B6-D41B-B04B-ACBB-4CE70620FFB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06040200"/>
          <a:ext cx="1080000" cy="1080000"/>
        </a:xfrm>
        <a:prstGeom prst="rect">
          <a:avLst/>
        </a:prstGeom>
      </xdr:spPr>
    </xdr:pic>
    <xdr:clientData/>
  </xdr:oneCellAnchor>
  <xdr:oneCellAnchor>
    <xdr:from>
      <xdr:col>16</xdr:col>
      <xdr:colOff>190500</xdr:colOff>
      <xdr:row>484</xdr:row>
      <xdr:rowOff>1947333</xdr:rowOff>
    </xdr:from>
    <xdr:ext cx="1121834" cy="1114404"/>
    <xdr:pic>
      <xdr:nvPicPr>
        <xdr:cNvPr id="688" name="Resim 687">
          <a:extLst>
            <a:ext uri="{FF2B5EF4-FFF2-40B4-BE49-F238E27FC236}">
              <a16:creationId xmlns:a16="http://schemas.microsoft.com/office/drawing/2014/main" id="{F3E10EC4-5099-7845-861A-8C71E701EE3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09765533"/>
          <a:ext cx="1121834" cy="1114404"/>
        </a:xfrm>
        <a:prstGeom prst="rect">
          <a:avLst/>
        </a:prstGeom>
      </xdr:spPr>
    </xdr:pic>
    <xdr:clientData/>
  </xdr:oneCellAnchor>
  <xdr:oneCellAnchor>
    <xdr:from>
      <xdr:col>16</xdr:col>
      <xdr:colOff>148167</xdr:colOff>
      <xdr:row>484</xdr:row>
      <xdr:rowOff>3429000</xdr:rowOff>
    </xdr:from>
    <xdr:ext cx="1080000" cy="1080000"/>
    <xdr:pic>
      <xdr:nvPicPr>
        <xdr:cNvPr id="689" name="Resim 688">
          <a:extLst>
            <a:ext uri="{FF2B5EF4-FFF2-40B4-BE49-F238E27FC236}">
              <a16:creationId xmlns:a16="http://schemas.microsoft.com/office/drawing/2014/main" id="{8E2B586F-5273-3945-9076-5E02616523E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11247200"/>
          <a:ext cx="1080000" cy="1080000"/>
        </a:xfrm>
        <a:prstGeom prst="rect">
          <a:avLst/>
        </a:prstGeom>
      </xdr:spPr>
    </xdr:pic>
    <xdr:clientData/>
  </xdr:oneCellAnchor>
  <xdr:oneCellAnchor>
    <xdr:from>
      <xdr:col>16</xdr:col>
      <xdr:colOff>169333</xdr:colOff>
      <xdr:row>485</xdr:row>
      <xdr:rowOff>592667</xdr:rowOff>
    </xdr:from>
    <xdr:ext cx="1080000" cy="1080000"/>
    <xdr:pic>
      <xdr:nvPicPr>
        <xdr:cNvPr id="690" name="Resim 689">
          <a:extLst>
            <a:ext uri="{FF2B5EF4-FFF2-40B4-BE49-F238E27FC236}">
              <a16:creationId xmlns:a16="http://schemas.microsoft.com/office/drawing/2014/main" id="{BD5C311E-2A37-4746-9346-BF5D3362EB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26333" y="2513617867"/>
          <a:ext cx="1080000" cy="1080000"/>
        </a:xfrm>
        <a:prstGeom prst="rect">
          <a:avLst/>
        </a:prstGeom>
      </xdr:spPr>
    </xdr:pic>
    <xdr:clientData/>
  </xdr:oneCellAnchor>
  <xdr:oneCellAnchor>
    <xdr:from>
      <xdr:col>16</xdr:col>
      <xdr:colOff>190500</xdr:colOff>
      <xdr:row>486</xdr:row>
      <xdr:rowOff>381000</xdr:rowOff>
    </xdr:from>
    <xdr:ext cx="1080000" cy="1080000"/>
    <xdr:pic>
      <xdr:nvPicPr>
        <xdr:cNvPr id="691" name="Resim 690">
          <a:extLst>
            <a:ext uri="{FF2B5EF4-FFF2-40B4-BE49-F238E27FC236}">
              <a16:creationId xmlns:a16="http://schemas.microsoft.com/office/drawing/2014/main" id="{1120488D-5159-7B41-A53F-725F8A95BE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518613200"/>
          <a:ext cx="1080000" cy="1080000"/>
        </a:xfrm>
        <a:prstGeom prst="rect">
          <a:avLst/>
        </a:prstGeom>
      </xdr:spPr>
    </xdr:pic>
    <xdr:clientData/>
  </xdr:oneCellAnchor>
  <xdr:oneCellAnchor>
    <xdr:from>
      <xdr:col>16</xdr:col>
      <xdr:colOff>169334</xdr:colOff>
      <xdr:row>487</xdr:row>
      <xdr:rowOff>486833</xdr:rowOff>
    </xdr:from>
    <xdr:ext cx="1080000" cy="1080000"/>
    <xdr:pic>
      <xdr:nvPicPr>
        <xdr:cNvPr id="692" name="Resim 691">
          <a:extLst>
            <a:ext uri="{FF2B5EF4-FFF2-40B4-BE49-F238E27FC236}">
              <a16:creationId xmlns:a16="http://schemas.microsoft.com/office/drawing/2014/main" id="{4BAB093E-55EA-C047-8F8E-247A1B0F9A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523926033"/>
          <a:ext cx="1080000" cy="1080000"/>
        </a:xfrm>
        <a:prstGeom prst="rect">
          <a:avLst/>
        </a:prstGeom>
      </xdr:spPr>
    </xdr:pic>
    <xdr:clientData/>
  </xdr:oneCellAnchor>
  <xdr:oneCellAnchor>
    <xdr:from>
      <xdr:col>16</xdr:col>
      <xdr:colOff>190500</xdr:colOff>
      <xdr:row>487</xdr:row>
      <xdr:rowOff>1947333</xdr:rowOff>
    </xdr:from>
    <xdr:ext cx="1121834" cy="1114404"/>
    <xdr:pic>
      <xdr:nvPicPr>
        <xdr:cNvPr id="693" name="Resim 692">
          <a:extLst>
            <a:ext uri="{FF2B5EF4-FFF2-40B4-BE49-F238E27FC236}">
              <a16:creationId xmlns:a16="http://schemas.microsoft.com/office/drawing/2014/main" id="{DA4B8CB5-8300-7D40-B50E-2243C88834E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25386533"/>
          <a:ext cx="1121834" cy="1114404"/>
        </a:xfrm>
        <a:prstGeom prst="rect">
          <a:avLst/>
        </a:prstGeom>
      </xdr:spPr>
    </xdr:pic>
    <xdr:clientData/>
  </xdr:oneCellAnchor>
  <xdr:oneCellAnchor>
    <xdr:from>
      <xdr:col>16</xdr:col>
      <xdr:colOff>148167</xdr:colOff>
      <xdr:row>487</xdr:row>
      <xdr:rowOff>3429000</xdr:rowOff>
    </xdr:from>
    <xdr:ext cx="1080000" cy="1080000"/>
    <xdr:pic>
      <xdr:nvPicPr>
        <xdr:cNvPr id="694" name="Resim 693">
          <a:extLst>
            <a:ext uri="{FF2B5EF4-FFF2-40B4-BE49-F238E27FC236}">
              <a16:creationId xmlns:a16="http://schemas.microsoft.com/office/drawing/2014/main" id="{F3460863-0EB3-9244-A609-F537D3AB81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26868200"/>
          <a:ext cx="1080000" cy="1080000"/>
        </a:xfrm>
        <a:prstGeom prst="rect">
          <a:avLst/>
        </a:prstGeom>
      </xdr:spPr>
    </xdr:pic>
    <xdr:clientData/>
  </xdr:oneCellAnchor>
  <xdr:oneCellAnchor>
    <xdr:from>
      <xdr:col>16</xdr:col>
      <xdr:colOff>127000</xdr:colOff>
      <xdr:row>488</xdr:row>
      <xdr:rowOff>402167</xdr:rowOff>
    </xdr:from>
    <xdr:ext cx="1080000" cy="1080000"/>
    <xdr:pic>
      <xdr:nvPicPr>
        <xdr:cNvPr id="695" name="Resim 694">
          <a:extLst>
            <a:ext uri="{FF2B5EF4-FFF2-40B4-BE49-F238E27FC236}">
              <a16:creationId xmlns:a16="http://schemas.microsoft.com/office/drawing/2014/main" id="{42ABB376-D3E7-4D4F-AFBE-BBB0DE435E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529048367"/>
          <a:ext cx="1080000" cy="1080000"/>
        </a:xfrm>
        <a:prstGeom prst="rect">
          <a:avLst/>
        </a:prstGeom>
      </xdr:spPr>
    </xdr:pic>
    <xdr:clientData/>
  </xdr:oneCellAnchor>
  <xdr:oneCellAnchor>
    <xdr:from>
      <xdr:col>16</xdr:col>
      <xdr:colOff>169333</xdr:colOff>
      <xdr:row>488</xdr:row>
      <xdr:rowOff>1693333</xdr:rowOff>
    </xdr:from>
    <xdr:ext cx="1076737" cy="1080000"/>
    <xdr:pic>
      <xdr:nvPicPr>
        <xdr:cNvPr id="696" name="Resim 695">
          <a:extLst>
            <a:ext uri="{FF2B5EF4-FFF2-40B4-BE49-F238E27FC236}">
              <a16:creationId xmlns:a16="http://schemas.microsoft.com/office/drawing/2014/main" id="{22B7C4E4-754C-D240-AC73-D201A9A4367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3" y="2530339533"/>
          <a:ext cx="1076737" cy="1080000"/>
        </a:xfrm>
        <a:prstGeom prst="rect">
          <a:avLst/>
        </a:prstGeom>
      </xdr:spPr>
    </xdr:pic>
    <xdr:clientData/>
  </xdr:oneCellAnchor>
  <xdr:oneCellAnchor>
    <xdr:from>
      <xdr:col>16</xdr:col>
      <xdr:colOff>127000</xdr:colOff>
      <xdr:row>489</xdr:row>
      <xdr:rowOff>402167</xdr:rowOff>
    </xdr:from>
    <xdr:ext cx="1080000" cy="1080000"/>
    <xdr:pic>
      <xdr:nvPicPr>
        <xdr:cNvPr id="697" name="Resim 696">
          <a:extLst>
            <a:ext uri="{FF2B5EF4-FFF2-40B4-BE49-F238E27FC236}">
              <a16:creationId xmlns:a16="http://schemas.microsoft.com/office/drawing/2014/main" id="{EC6A8140-519F-BC45-9867-62FBAAF4DA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534255367"/>
          <a:ext cx="1080000" cy="1080000"/>
        </a:xfrm>
        <a:prstGeom prst="rect">
          <a:avLst/>
        </a:prstGeom>
      </xdr:spPr>
    </xdr:pic>
    <xdr:clientData/>
  </xdr:oneCellAnchor>
  <xdr:oneCellAnchor>
    <xdr:from>
      <xdr:col>16</xdr:col>
      <xdr:colOff>169333</xdr:colOff>
      <xdr:row>489</xdr:row>
      <xdr:rowOff>1693333</xdr:rowOff>
    </xdr:from>
    <xdr:ext cx="1076737" cy="1080000"/>
    <xdr:pic>
      <xdr:nvPicPr>
        <xdr:cNvPr id="698" name="Resim 697">
          <a:extLst>
            <a:ext uri="{FF2B5EF4-FFF2-40B4-BE49-F238E27FC236}">
              <a16:creationId xmlns:a16="http://schemas.microsoft.com/office/drawing/2014/main" id="{1B67AB21-FBE2-E941-9213-F5393DF3077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26333" y="2535546533"/>
          <a:ext cx="1076737" cy="1080000"/>
        </a:xfrm>
        <a:prstGeom prst="rect">
          <a:avLst/>
        </a:prstGeom>
      </xdr:spPr>
    </xdr:pic>
    <xdr:clientData/>
  </xdr:oneCellAnchor>
  <xdr:oneCellAnchor>
    <xdr:from>
      <xdr:col>16</xdr:col>
      <xdr:colOff>127000</xdr:colOff>
      <xdr:row>490</xdr:row>
      <xdr:rowOff>381000</xdr:rowOff>
    </xdr:from>
    <xdr:ext cx="1080000" cy="1080000"/>
    <xdr:pic>
      <xdr:nvPicPr>
        <xdr:cNvPr id="699" name="Resim 698">
          <a:extLst>
            <a:ext uri="{FF2B5EF4-FFF2-40B4-BE49-F238E27FC236}">
              <a16:creationId xmlns:a16="http://schemas.microsoft.com/office/drawing/2014/main" id="{9A04CEF7-F644-E84B-A06B-3A796B9F90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539441200"/>
          <a:ext cx="1080000" cy="1080000"/>
        </a:xfrm>
        <a:prstGeom prst="rect">
          <a:avLst/>
        </a:prstGeom>
      </xdr:spPr>
    </xdr:pic>
    <xdr:clientData/>
  </xdr:oneCellAnchor>
  <xdr:oneCellAnchor>
    <xdr:from>
      <xdr:col>16</xdr:col>
      <xdr:colOff>169334</xdr:colOff>
      <xdr:row>493</xdr:row>
      <xdr:rowOff>486833</xdr:rowOff>
    </xdr:from>
    <xdr:ext cx="1080000" cy="1080000"/>
    <xdr:pic>
      <xdr:nvPicPr>
        <xdr:cNvPr id="700" name="Resim 699">
          <a:extLst>
            <a:ext uri="{FF2B5EF4-FFF2-40B4-BE49-F238E27FC236}">
              <a16:creationId xmlns:a16="http://schemas.microsoft.com/office/drawing/2014/main" id="{2AC89DEF-05FF-A34F-8AD5-E8FDA5F638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555168033"/>
          <a:ext cx="1080000" cy="1080000"/>
        </a:xfrm>
        <a:prstGeom prst="rect">
          <a:avLst/>
        </a:prstGeom>
      </xdr:spPr>
    </xdr:pic>
    <xdr:clientData/>
  </xdr:oneCellAnchor>
  <xdr:oneCellAnchor>
    <xdr:from>
      <xdr:col>16</xdr:col>
      <xdr:colOff>190500</xdr:colOff>
      <xdr:row>493</xdr:row>
      <xdr:rowOff>1947333</xdr:rowOff>
    </xdr:from>
    <xdr:ext cx="1121834" cy="1114404"/>
    <xdr:pic>
      <xdr:nvPicPr>
        <xdr:cNvPr id="701" name="Resim 700">
          <a:extLst>
            <a:ext uri="{FF2B5EF4-FFF2-40B4-BE49-F238E27FC236}">
              <a16:creationId xmlns:a16="http://schemas.microsoft.com/office/drawing/2014/main" id="{159FECEB-C92D-444B-A454-5AA1A345B5F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56628533"/>
          <a:ext cx="1121834" cy="1114404"/>
        </a:xfrm>
        <a:prstGeom prst="rect">
          <a:avLst/>
        </a:prstGeom>
      </xdr:spPr>
    </xdr:pic>
    <xdr:clientData/>
  </xdr:oneCellAnchor>
  <xdr:oneCellAnchor>
    <xdr:from>
      <xdr:col>16</xdr:col>
      <xdr:colOff>148167</xdr:colOff>
      <xdr:row>493</xdr:row>
      <xdr:rowOff>3386667</xdr:rowOff>
    </xdr:from>
    <xdr:ext cx="1076737" cy="1080000"/>
    <xdr:pic>
      <xdr:nvPicPr>
        <xdr:cNvPr id="702" name="Resim 701">
          <a:extLst>
            <a:ext uri="{FF2B5EF4-FFF2-40B4-BE49-F238E27FC236}">
              <a16:creationId xmlns:a16="http://schemas.microsoft.com/office/drawing/2014/main" id="{13D006E5-1CE4-844A-8054-1B7048B3348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558067867"/>
          <a:ext cx="1076737" cy="1080000"/>
        </a:xfrm>
        <a:prstGeom prst="rect">
          <a:avLst/>
        </a:prstGeom>
      </xdr:spPr>
    </xdr:pic>
    <xdr:clientData/>
  </xdr:oneCellAnchor>
  <xdr:oneCellAnchor>
    <xdr:from>
      <xdr:col>16</xdr:col>
      <xdr:colOff>127000</xdr:colOff>
      <xdr:row>494</xdr:row>
      <xdr:rowOff>296334</xdr:rowOff>
    </xdr:from>
    <xdr:ext cx="1080000" cy="1080000"/>
    <xdr:pic>
      <xdr:nvPicPr>
        <xdr:cNvPr id="703" name="Resim 702">
          <a:extLst>
            <a:ext uri="{FF2B5EF4-FFF2-40B4-BE49-F238E27FC236}">
              <a16:creationId xmlns:a16="http://schemas.microsoft.com/office/drawing/2014/main" id="{F5DC4C16-E53A-BD4E-B876-9A2B62B279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0" y="2560184534"/>
          <a:ext cx="1080000" cy="1080000"/>
        </a:xfrm>
        <a:prstGeom prst="rect">
          <a:avLst/>
        </a:prstGeom>
      </xdr:spPr>
    </xdr:pic>
    <xdr:clientData/>
  </xdr:oneCellAnchor>
  <xdr:oneCellAnchor>
    <xdr:from>
      <xdr:col>16</xdr:col>
      <xdr:colOff>148167</xdr:colOff>
      <xdr:row>494</xdr:row>
      <xdr:rowOff>1566333</xdr:rowOff>
    </xdr:from>
    <xdr:ext cx="1080000" cy="1080000"/>
    <xdr:pic>
      <xdr:nvPicPr>
        <xdr:cNvPr id="704" name="Resim 703">
          <a:extLst>
            <a:ext uri="{FF2B5EF4-FFF2-40B4-BE49-F238E27FC236}">
              <a16:creationId xmlns:a16="http://schemas.microsoft.com/office/drawing/2014/main" id="{22F06046-9FBF-3F48-830D-46D9E18079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61454533"/>
          <a:ext cx="1080000" cy="1080000"/>
        </a:xfrm>
        <a:prstGeom prst="rect">
          <a:avLst/>
        </a:prstGeom>
      </xdr:spPr>
    </xdr:pic>
    <xdr:clientData/>
  </xdr:oneCellAnchor>
  <xdr:oneCellAnchor>
    <xdr:from>
      <xdr:col>16</xdr:col>
      <xdr:colOff>169334</xdr:colOff>
      <xdr:row>496</xdr:row>
      <xdr:rowOff>486833</xdr:rowOff>
    </xdr:from>
    <xdr:ext cx="1080000" cy="1080000"/>
    <xdr:pic>
      <xdr:nvPicPr>
        <xdr:cNvPr id="705" name="Resim 704">
          <a:extLst>
            <a:ext uri="{FF2B5EF4-FFF2-40B4-BE49-F238E27FC236}">
              <a16:creationId xmlns:a16="http://schemas.microsoft.com/office/drawing/2014/main" id="{413E54FF-A41C-DB40-995C-699657F249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570789033"/>
          <a:ext cx="1080000" cy="1080000"/>
        </a:xfrm>
        <a:prstGeom prst="rect">
          <a:avLst/>
        </a:prstGeom>
      </xdr:spPr>
    </xdr:pic>
    <xdr:clientData/>
  </xdr:oneCellAnchor>
  <xdr:oneCellAnchor>
    <xdr:from>
      <xdr:col>16</xdr:col>
      <xdr:colOff>190500</xdr:colOff>
      <xdr:row>496</xdr:row>
      <xdr:rowOff>1947333</xdr:rowOff>
    </xdr:from>
    <xdr:ext cx="1121834" cy="1114404"/>
    <xdr:pic>
      <xdr:nvPicPr>
        <xdr:cNvPr id="706" name="Resim 705">
          <a:extLst>
            <a:ext uri="{FF2B5EF4-FFF2-40B4-BE49-F238E27FC236}">
              <a16:creationId xmlns:a16="http://schemas.microsoft.com/office/drawing/2014/main" id="{DE8D3017-223A-884B-9550-47C6C649D6B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72249533"/>
          <a:ext cx="1121834" cy="1114404"/>
        </a:xfrm>
        <a:prstGeom prst="rect">
          <a:avLst/>
        </a:prstGeom>
      </xdr:spPr>
    </xdr:pic>
    <xdr:clientData/>
  </xdr:oneCellAnchor>
  <xdr:oneCellAnchor>
    <xdr:from>
      <xdr:col>16</xdr:col>
      <xdr:colOff>148167</xdr:colOff>
      <xdr:row>496</xdr:row>
      <xdr:rowOff>3429000</xdr:rowOff>
    </xdr:from>
    <xdr:ext cx="1080000" cy="1080000"/>
    <xdr:pic>
      <xdr:nvPicPr>
        <xdr:cNvPr id="707" name="Resim 706">
          <a:extLst>
            <a:ext uri="{FF2B5EF4-FFF2-40B4-BE49-F238E27FC236}">
              <a16:creationId xmlns:a16="http://schemas.microsoft.com/office/drawing/2014/main" id="{E21F0E9C-8411-3B49-AF30-9FFC6FC7E55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73731200"/>
          <a:ext cx="1080000" cy="1080000"/>
        </a:xfrm>
        <a:prstGeom prst="rect">
          <a:avLst/>
        </a:prstGeom>
      </xdr:spPr>
    </xdr:pic>
    <xdr:clientData/>
  </xdr:oneCellAnchor>
  <xdr:oneCellAnchor>
    <xdr:from>
      <xdr:col>16</xdr:col>
      <xdr:colOff>190500</xdr:colOff>
      <xdr:row>497</xdr:row>
      <xdr:rowOff>1947333</xdr:rowOff>
    </xdr:from>
    <xdr:ext cx="1121834" cy="1114404"/>
    <xdr:pic>
      <xdr:nvPicPr>
        <xdr:cNvPr id="708" name="Resim 707">
          <a:extLst>
            <a:ext uri="{FF2B5EF4-FFF2-40B4-BE49-F238E27FC236}">
              <a16:creationId xmlns:a16="http://schemas.microsoft.com/office/drawing/2014/main" id="{C4824C30-8A40-FC45-B6F8-423E891E663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77456533"/>
          <a:ext cx="1121834" cy="1114404"/>
        </a:xfrm>
        <a:prstGeom prst="rect">
          <a:avLst/>
        </a:prstGeom>
      </xdr:spPr>
    </xdr:pic>
    <xdr:clientData/>
  </xdr:oneCellAnchor>
  <xdr:oneCellAnchor>
    <xdr:from>
      <xdr:col>16</xdr:col>
      <xdr:colOff>148167</xdr:colOff>
      <xdr:row>497</xdr:row>
      <xdr:rowOff>3429000</xdr:rowOff>
    </xdr:from>
    <xdr:ext cx="1080000" cy="1080000"/>
    <xdr:pic>
      <xdr:nvPicPr>
        <xdr:cNvPr id="709" name="Resim 708">
          <a:extLst>
            <a:ext uri="{FF2B5EF4-FFF2-40B4-BE49-F238E27FC236}">
              <a16:creationId xmlns:a16="http://schemas.microsoft.com/office/drawing/2014/main" id="{F1C7DE47-D0ED-9549-8902-64A171674F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78938200"/>
          <a:ext cx="1080000" cy="1080000"/>
        </a:xfrm>
        <a:prstGeom prst="rect">
          <a:avLst/>
        </a:prstGeom>
      </xdr:spPr>
    </xdr:pic>
    <xdr:clientData/>
  </xdr:oneCellAnchor>
  <xdr:oneCellAnchor>
    <xdr:from>
      <xdr:col>16</xdr:col>
      <xdr:colOff>190500</xdr:colOff>
      <xdr:row>498</xdr:row>
      <xdr:rowOff>1947333</xdr:rowOff>
    </xdr:from>
    <xdr:ext cx="1121834" cy="1114404"/>
    <xdr:pic>
      <xdr:nvPicPr>
        <xdr:cNvPr id="710" name="Resim 709">
          <a:extLst>
            <a:ext uri="{FF2B5EF4-FFF2-40B4-BE49-F238E27FC236}">
              <a16:creationId xmlns:a16="http://schemas.microsoft.com/office/drawing/2014/main" id="{F9439107-EE81-2546-84A5-73A9074116C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82663533"/>
          <a:ext cx="1121834" cy="1114404"/>
        </a:xfrm>
        <a:prstGeom prst="rect">
          <a:avLst/>
        </a:prstGeom>
      </xdr:spPr>
    </xdr:pic>
    <xdr:clientData/>
  </xdr:oneCellAnchor>
  <xdr:oneCellAnchor>
    <xdr:from>
      <xdr:col>16</xdr:col>
      <xdr:colOff>148167</xdr:colOff>
      <xdr:row>498</xdr:row>
      <xdr:rowOff>3429000</xdr:rowOff>
    </xdr:from>
    <xdr:ext cx="1080000" cy="1080000"/>
    <xdr:pic>
      <xdr:nvPicPr>
        <xdr:cNvPr id="711" name="Resim 710">
          <a:extLst>
            <a:ext uri="{FF2B5EF4-FFF2-40B4-BE49-F238E27FC236}">
              <a16:creationId xmlns:a16="http://schemas.microsoft.com/office/drawing/2014/main" id="{CF8A4872-BE4F-D14B-8409-3DED855AB02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5167" y="2584145200"/>
          <a:ext cx="1080000" cy="1080000"/>
        </a:xfrm>
        <a:prstGeom prst="rect">
          <a:avLst/>
        </a:prstGeom>
      </xdr:spPr>
    </xdr:pic>
    <xdr:clientData/>
  </xdr:oneCellAnchor>
  <xdr:oneCellAnchor>
    <xdr:from>
      <xdr:col>16</xdr:col>
      <xdr:colOff>169334</xdr:colOff>
      <xdr:row>499</xdr:row>
      <xdr:rowOff>486833</xdr:rowOff>
    </xdr:from>
    <xdr:ext cx="1080000" cy="1080000"/>
    <xdr:pic>
      <xdr:nvPicPr>
        <xdr:cNvPr id="712" name="Resim 711">
          <a:extLst>
            <a:ext uri="{FF2B5EF4-FFF2-40B4-BE49-F238E27FC236}">
              <a16:creationId xmlns:a16="http://schemas.microsoft.com/office/drawing/2014/main" id="{D587B967-C0B3-E54E-BFE4-5D482B9C23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26334" y="2586410033"/>
          <a:ext cx="1080000" cy="1080000"/>
        </a:xfrm>
        <a:prstGeom prst="rect">
          <a:avLst/>
        </a:prstGeom>
      </xdr:spPr>
    </xdr:pic>
    <xdr:clientData/>
  </xdr:oneCellAnchor>
  <xdr:oneCellAnchor>
    <xdr:from>
      <xdr:col>16</xdr:col>
      <xdr:colOff>190500</xdr:colOff>
      <xdr:row>499</xdr:row>
      <xdr:rowOff>1947333</xdr:rowOff>
    </xdr:from>
    <xdr:ext cx="1121834" cy="1114404"/>
    <xdr:pic>
      <xdr:nvPicPr>
        <xdr:cNvPr id="713" name="Resim 712">
          <a:extLst>
            <a:ext uri="{FF2B5EF4-FFF2-40B4-BE49-F238E27FC236}">
              <a16:creationId xmlns:a16="http://schemas.microsoft.com/office/drawing/2014/main" id="{F697C9D9-195A-3F4E-8527-F608C223209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47500" y="2587870533"/>
          <a:ext cx="1121834" cy="1114404"/>
        </a:xfrm>
        <a:prstGeom prst="rect">
          <a:avLst/>
        </a:prstGeom>
      </xdr:spPr>
    </xdr:pic>
    <xdr:clientData/>
  </xdr:oneCellAnchor>
  <xdr:oneCellAnchor>
    <xdr:from>
      <xdr:col>16</xdr:col>
      <xdr:colOff>148167</xdr:colOff>
      <xdr:row>499</xdr:row>
      <xdr:rowOff>3513667</xdr:rowOff>
    </xdr:from>
    <xdr:ext cx="1076737" cy="1080000"/>
    <xdr:pic>
      <xdr:nvPicPr>
        <xdr:cNvPr id="714" name="Resim 713">
          <a:extLst>
            <a:ext uri="{FF2B5EF4-FFF2-40B4-BE49-F238E27FC236}">
              <a16:creationId xmlns:a16="http://schemas.microsoft.com/office/drawing/2014/main" id="{328CCE91-6BCD-DB42-9108-139436A9A5E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705167" y="2589436867"/>
          <a:ext cx="1076737" cy="1080000"/>
        </a:xfrm>
        <a:prstGeom prst="rect">
          <a:avLst/>
        </a:prstGeom>
      </xdr:spPr>
    </xdr:pic>
    <xdr:clientData/>
  </xdr:oneCellAnchor>
  <xdr:oneCellAnchor>
    <xdr:from>
      <xdr:col>16</xdr:col>
      <xdr:colOff>152400</xdr:colOff>
      <xdr:row>500</xdr:row>
      <xdr:rowOff>548640</xdr:rowOff>
    </xdr:from>
    <xdr:ext cx="1080000" cy="1080000"/>
    <xdr:pic>
      <xdr:nvPicPr>
        <xdr:cNvPr id="715" name="Resim 714">
          <a:extLst>
            <a:ext uri="{FF2B5EF4-FFF2-40B4-BE49-F238E27FC236}">
              <a16:creationId xmlns:a16="http://schemas.microsoft.com/office/drawing/2014/main" id="{BBF95C07-FFD2-CF40-BEBC-7C2DAFB2242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09400" y="2591678840"/>
          <a:ext cx="1080000" cy="1080000"/>
        </a:xfrm>
        <a:prstGeom prst="rect">
          <a:avLst/>
        </a:prstGeom>
      </xdr:spPr>
    </xdr:pic>
    <xdr:clientData/>
  </xdr:oneCellAnchor>
  <xdr:oneCellAnchor>
    <xdr:from>
      <xdr:col>16</xdr:col>
      <xdr:colOff>152400</xdr:colOff>
      <xdr:row>500</xdr:row>
      <xdr:rowOff>1965960</xdr:rowOff>
    </xdr:from>
    <xdr:ext cx="1080000" cy="1080000"/>
    <xdr:pic>
      <xdr:nvPicPr>
        <xdr:cNvPr id="716" name="Resim 715">
          <a:extLst>
            <a:ext uri="{FF2B5EF4-FFF2-40B4-BE49-F238E27FC236}">
              <a16:creationId xmlns:a16="http://schemas.microsoft.com/office/drawing/2014/main" id="{225B68E5-859F-4A45-AD5C-974A77E105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09400" y="2593096160"/>
          <a:ext cx="1080000" cy="1080000"/>
        </a:xfrm>
        <a:prstGeom prst="rect">
          <a:avLst/>
        </a:prstGeom>
      </xdr:spPr>
    </xdr:pic>
    <xdr:clientData/>
  </xdr:oneCellAnchor>
  <xdr:oneCellAnchor>
    <xdr:from>
      <xdr:col>16</xdr:col>
      <xdr:colOff>91440</xdr:colOff>
      <xdr:row>501</xdr:row>
      <xdr:rowOff>914400</xdr:rowOff>
    </xdr:from>
    <xdr:ext cx="1080000" cy="1080000"/>
    <xdr:pic>
      <xdr:nvPicPr>
        <xdr:cNvPr id="717" name="Resim 716">
          <a:extLst>
            <a:ext uri="{FF2B5EF4-FFF2-40B4-BE49-F238E27FC236}">
              <a16:creationId xmlns:a16="http://schemas.microsoft.com/office/drawing/2014/main" id="{541B3785-0C30-3F4F-9F74-4BE1A22BAE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2597251600"/>
          <a:ext cx="1080000" cy="1080000"/>
        </a:xfrm>
        <a:prstGeom prst="rect">
          <a:avLst/>
        </a:prstGeom>
      </xdr:spPr>
    </xdr:pic>
    <xdr:clientData/>
  </xdr:oneCellAnchor>
  <xdr:oneCellAnchor>
    <xdr:from>
      <xdr:col>16</xdr:col>
      <xdr:colOff>106680</xdr:colOff>
      <xdr:row>501</xdr:row>
      <xdr:rowOff>2255520</xdr:rowOff>
    </xdr:from>
    <xdr:ext cx="1080000" cy="1080000"/>
    <xdr:pic>
      <xdr:nvPicPr>
        <xdr:cNvPr id="718" name="Resim 717">
          <a:extLst>
            <a:ext uri="{FF2B5EF4-FFF2-40B4-BE49-F238E27FC236}">
              <a16:creationId xmlns:a16="http://schemas.microsoft.com/office/drawing/2014/main" id="{EC110B88-F566-4146-9832-C3F9C1E9A9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63680" y="2598592720"/>
          <a:ext cx="1080000" cy="1080000"/>
        </a:xfrm>
        <a:prstGeom prst="rect">
          <a:avLst/>
        </a:prstGeom>
      </xdr:spPr>
    </xdr:pic>
    <xdr:clientData/>
  </xdr:oneCellAnchor>
  <xdr:oneCellAnchor>
    <xdr:from>
      <xdr:col>16</xdr:col>
      <xdr:colOff>159313</xdr:colOff>
      <xdr:row>502</xdr:row>
      <xdr:rowOff>508000</xdr:rowOff>
    </xdr:from>
    <xdr:ext cx="1080000" cy="1080000"/>
    <xdr:pic>
      <xdr:nvPicPr>
        <xdr:cNvPr id="719" name="Resim 718">
          <a:extLst>
            <a:ext uri="{FF2B5EF4-FFF2-40B4-BE49-F238E27FC236}">
              <a16:creationId xmlns:a16="http://schemas.microsoft.com/office/drawing/2014/main" id="{6962A279-4831-8048-8244-FD4D75A048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16313" y="2602052200"/>
          <a:ext cx="1080000" cy="1080000"/>
        </a:xfrm>
        <a:prstGeom prst="rect">
          <a:avLst/>
        </a:prstGeom>
      </xdr:spPr>
    </xdr:pic>
    <xdr:clientData/>
  </xdr:oneCellAnchor>
  <xdr:oneCellAnchor>
    <xdr:from>
      <xdr:col>16</xdr:col>
      <xdr:colOff>127000</xdr:colOff>
      <xdr:row>504</xdr:row>
      <xdr:rowOff>402166</xdr:rowOff>
    </xdr:from>
    <xdr:ext cx="1080000" cy="1080000"/>
    <xdr:pic>
      <xdr:nvPicPr>
        <xdr:cNvPr id="720" name="Resim 719">
          <a:extLst>
            <a:ext uri="{FF2B5EF4-FFF2-40B4-BE49-F238E27FC236}">
              <a16:creationId xmlns:a16="http://schemas.microsoft.com/office/drawing/2014/main" id="{74E70C4C-5CFA-C748-B773-945A7B7881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84000" y="2612360366"/>
          <a:ext cx="1080000" cy="1080000"/>
        </a:xfrm>
        <a:prstGeom prst="rect">
          <a:avLst/>
        </a:prstGeom>
      </xdr:spPr>
    </xdr:pic>
    <xdr:clientData/>
  </xdr:oneCellAnchor>
  <xdr:oneCellAnchor>
    <xdr:from>
      <xdr:col>16</xdr:col>
      <xdr:colOff>169333</xdr:colOff>
      <xdr:row>504</xdr:row>
      <xdr:rowOff>1756834</xdr:rowOff>
    </xdr:from>
    <xdr:ext cx="1121834" cy="1114404"/>
    <xdr:pic>
      <xdr:nvPicPr>
        <xdr:cNvPr id="721" name="Resim 720">
          <a:extLst>
            <a:ext uri="{FF2B5EF4-FFF2-40B4-BE49-F238E27FC236}">
              <a16:creationId xmlns:a16="http://schemas.microsoft.com/office/drawing/2014/main" id="{9C073D12-ABA8-2C4B-AFF0-CC7611DC74C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726333" y="2613715034"/>
          <a:ext cx="1121834" cy="1114404"/>
        </a:xfrm>
        <a:prstGeom prst="rect">
          <a:avLst/>
        </a:prstGeom>
      </xdr:spPr>
    </xdr:pic>
    <xdr:clientData/>
  </xdr:oneCellAnchor>
  <xdr:oneCellAnchor>
    <xdr:from>
      <xdr:col>16</xdr:col>
      <xdr:colOff>190500</xdr:colOff>
      <xdr:row>504</xdr:row>
      <xdr:rowOff>3048000</xdr:rowOff>
    </xdr:from>
    <xdr:ext cx="1080000" cy="1080000"/>
    <xdr:pic>
      <xdr:nvPicPr>
        <xdr:cNvPr id="722" name="Resim 721">
          <a:extLst>
            <a:ext uri="{FF2B5EF4-FFF2-40B4-BE49-F238E27FC236}">
              <a16:creationId xmlns:a16="http://schemas.microsoft.com/office/drawing/2014/main" id="{452C112C-C52D-0141-934D-A78F8978DA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747500" y="2615006200"/>
          <a:ext cx="1080000" cy="1080000"/>
        </a:xfrm>
        <a:prstGeom prst="rect">
          <a:avLst/>
        </a:prstGeom>
      </xdr:spPr>
    </xdr:pic>
    <xdr:clientData/>
  </xdr:oneCellAnchor>
  <xdr:oneCellAnchor>
    <xdr:from>
      <xdr:col>16</xdr:col>
      <xdr:colOff>215348</xdr:colOff>
      <xdr:row>506</xdr:row>
      <xdr:rowOff>1408963</xdr:rowOff>
    </xdr:from>
    <xdr:ext cx="1080000" cy="1080000"/>
    <xdr:pic>
      <xdr:nvPicPr>
        <xdr:cNvPr id="723" name="Resim 722">
          <a:extLst>
            <a:ext uri="{FF2B5EF4-FFF2-40B4-BE49-F238E27FC236}">
              <a16:creationId xmlns:a16="http://schemas.microsoft.com/office/drawing/2014/main" id="{5EF0A0C9-E139-DF43-979A-E05F184184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72348" y="2623781163"/>
          <a:ext cx="1080000" cy="1080000"/>
        </a:xfrm>
        <a:prstGeom prst="rect">
          <a:avLst/>
        </a:prstGeom>
      </xdr:spPr>
    </xdr:pic>
    <xdr:clientData/>
  </xdr:oneCellAnchor>
  <xdr:oneCellAnchor>
    <xdr:from>
      <xdr:col>16</xdr:col>
      <xdr:colOff>91440</xdr:colOff>
      <xdr:row>508</xdr:row>
      <xdr:rowOff>914400</xdr:rowOff>
    </xdr:from>
    <xdr:ext cx="1080000" cy="1080000"/>
    <xdr:pic>
      <xdr:nvPicPr>
        <xdr:cNvPr id="724" name="Resim 723">
          <a:extLst>
            <a:ext uri="{FF2B5EF4-FFF2-40B4-BE49-F238E27FC236}">
              <a16:creationId xmlns:a16="http://schemas.microsoft.com/office/drawing/2014/main" id="{4EE90231-1A7A-F54C-B653-D387B5EBCB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48440" y="2633700600"/>
          <a:ext cx="1080000" cy="1080000"/>
        </a:xfrm>
        <a:prstGeom prst="rect">
          <a:avLst/>
        </a:prstGeom>
      </xdr:spPr>
    </xdr:pic>
    <xdr:clientData/>
  </xdr:one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5881-F287-0842-B4E8-DC2999F8BA54}">
  <dimension ref="A1:Q510"/>
  <sheetViews>
    <sheetView tabSelected="1" workbookViewId="0">
      <selection activeCell="D1" sqref="D1"/>
    </sheetView>
  </sheetViews>
  <sheetFormatPr baseColWidth="10" defaultRowHeight="16" x14ac:dyDescent="0.2"/>
  <cols>
    <col min="10" max="10" width="25.1640625" customWidth="1"/>
    <col min="12" max="12" width="24" customWidth="1"/>
    <col min="17" max="17" width="18.33203125" customWidth="1"/>
  </cols>
  <sheetData>
    <row r="1" spans="1:17" ht="60" x14ac:dyDescent="0.2">
      <c r="A1" s="1" t="s">
        <v>0</v>
      </c>
      <c r="B1" s="1" t="s">
        <v>4106</v>
      </c>
      <c r="C1" s="1" t="s">
        <v>4107</v>
      </c>
      <c r="D1" s="1" t="s">
        <v>4105</v>
      </c>
      <c r="E1" s="1" t="s">
        <v>1</v>
      </c>
      <c r="F1" s="1" t="s">
        <v>2</v>
      </c>
      <c r="G1" s="1" t="s">
        <v>3</v>
      </c>
      <c r="H1" s="1" t="s">
        <v>4</v>
      </c>
      <c r="I1" s="1" t="s">
        <v>5</v>
      </c>
      <c r="J1" s="1" t="s">
        <v>6</v>
      </c>
      <c r="K1" s="1" t="s">
        <v>7</v>
      </c>
      <c r="L1" s="1" t="s">
        <v>8</v>
      </c>
      <c r="M1" s="1" t="s">
        <v>9</v>
      </c>
      <c r="N1" s="1" t="s">
        <v>10</v>
      </c>
      <c r="O1" s="1" t="s">
        <v>11</v>
      </c>
      <c r="P1" s="1" t="s">
        <v>12</v>
      </c>
      <c r="Q1" s="1" t="s">
        <v>13</v>
      </c>
    </row>
    <row r="2" spans="1:17" ht="409.6" x14ac:dyDescent="0.2">
      <c r="A2" s="8" t="s">
        <v>14</v>
      </c>
      <c r="B2" s="6" t="s">
        <v>15</v>
      </c>
      <c r="C2" s="6"/>
      <c r="D2" s="6"/>
      <c r="E2" s="2" t="s">
        <v>16</v>
      </c>
      <c r="F2" s="2" t="s">
        <v>17</v>
      </c>
      <c r="G2" s="2" t="s">
        <v>18</v>
      </c>
      <c r="H2" s="2" t="s">
        <v>19</v>
      </c>
      <c r="I2" s="2" t="s">
        <v>20</v>
      </c>
      <c r="J2" s="2" t="s">
        <v>21</v>
      </c>
      <c r="K2" s="2" t="s">
        <v>22</v>
      </c>
      <c r="L2" s="2" t="s">
        <v>23</v>
      </c>
      <c r="M2" s="2" t="s">
        <v>24</v>
      </c>
      <c r="N2" s="2" t="s">
        <v>25</v>
      </c>
      <c r="O2" s="2" t="s">
        <v>26</v>
      </c>
      <c r="P2" s="2" t="s">
        <v>27</v>
      </c>
      <c r="Q2" s="2"/>
    </row>
    <row r="3" spans="1:17" ht="409.6" x14ac:dyDescent="0.2">
      <c r="A3" s="8" t="s">
        <v>28</v>
      </c>
      <c r="B3" s="6" t="s">
        <v>15</v>
      </c>
      <c r="C3" s="6"/>
      <c r="D3" s="6"/>
      <c r="E3" s="2" t="s">
        <v>16</v>
      </c>
      <c r="F3" s="2" t="s">
        <v>29</v>
      </c>
      <c r="G3" s="2" t="s">
        <v>18</v>
      </c>
      <c r="H3" s="2" t="s">
        <v>30</v>
      </c>
      <c r="I3" s="2" t="s">
        <v>31</v>
      </c>
      <c r="J3" s="2" t="s">
        <v>32</v>
      </c>
      <c r="K3" s="2" t="s">
        <v>33</v>
      </c>
      <c r="L3" s="2" t="s">
        <v>34</v>
      </c>
      <c r="M3" s="2" t="s">
        <v>35</v>
      </c>
      <c r="N3" s="2" t="s">
        <v>36</v>
      </c>
      <c r="O3" s="2" t="s">
        <v>37</v>
      </c>
      <c r="P3" s="2" t="s">
        <v>38</v>
      </c>
      <c r="Q3" s="2"/>
    </row>
    <row r="4" spans="1:17" ht="409.6" x14ac:dyDescent="0.2">
      <c r="A4" s="8" t="s">
        <v>39</v>
      </c>
      <c r="B4" s="6" t="s">
        <v>40</v>
      </c>
      <c r="C4" s="6"/>
      <c r="D4" s="6"/>
      <c r="E4" s="2" t="s">
        <v>16</v>
      </c>
      <c r="F4" s="2" t="s">
        <v>41</v>
      </c>
      <c r="G4" s="2" t="s">
        <v>18</v>
      </c>
      <c r="H4" s="2" t="s">
        <v>30</v>
      </c>
      <c r="I4" s="2" t="s">
        <v>42</v>
      </c>
      <c r="J4" s="2" t="s">
        <v>43</v>
      </c>
      <c r="K4" s="2" t="s">
        <v>44</v>
      </c>
      <c r="L4" s="2" t="s">
        <v>45</v>
      </c>
      <c r="M4" s="2" t="s">
        <v>46</v>
      </c>
      <c r="N4" s="2" t="s">
        <v>47</v>
      </c>
      <c r="O4" s="2" t="s">
        <v>48</v>
      </c>
      <c r="P4" s="2" t="s">
        <v>49</v>
      </c>
      <c r="Q4" s="2"/>
    </row>
    <row r="5" spans="1:17" ht="409.6" x14ac:dyDescent="0.2">
      <c r="A5" s="8" t="s">
        <v>50</v>
      </c>
      <c r="B5" s="6" t="s">
        <v>51</v>
      </c>
      <c r="C5" s="6"/>
      <c r="D5" s="6"/>
      <c r="E5" s="3" t="s">
        <v>52</v>
      </c>
      <c r="F5" s="4"/>
      <c r="G5" s="5" t="s">
        <v>53</v>
      </c>
      <c r="H5" s="6" t="s">
        <v>54</v>
      </c>
      <c r="I5" s="7" t="s">
        <v>55</v>
      </c>
      <c r="J5" s="6" t="s">
        <v>56</v>
      </c>
      <c r="K5" s="6" t="s">
        <v>57</v>
      </c>
      <c r="L5" s="6" t="s">
        <v>58</v>
      </c>
      <c r="M5" s="6" t="s">
        <v>59</v>
      </c>
      <c r="N5" s="6" t="s">
        <v>53</v>
      </c>
      <c r="O5" s="2" t="s">
        <v>53</v>
      </c>
      <c r="P5" s="6" t="s">
        <v>60</v>
      </c>
      <c r="Q5" s="8" t="s">
        <v>53</v>
      </c>
    </row>
    <row r="6" spans="1:17" ht="409.6" x14ac:dyDescent="0.2">
      <c r="A6" s="8" t="s">
        <v>61</v>
      </c>
      <c r="B6" s="6" t="s">
        <v>15</v>
      </c>
      <c r="C6" s="6"/>
      <c r="D6" s="6"/>
      <c r="E6" s="6" t="s">
        <v>62</v>
      </c>
      <c r="F6" s="6" t="s">
        <v>63</v>
      </c>
      <c r="G6" s="6" t="s">
        <v>64</v>
      </c>
      <c r="H6" s="6" t="s">
        <v>65</v>
      </c>
      <c r="I6" s="7" t="s">
        <v>66</v>
      </c>
      <c r="J6" s="6" t="s">
        <v>67</v>
      </c>
      <c r="K6" s="6" t="s">
        <v>68</v>
      </c>
      <c r="L6" s="6" t="s">
        <v>69</v>
      </c>
      <c r="M6" s="6" t="s">
        <v>70</v>
      </c>
      <c r="N6" s="6" t="s">
        <v>71</v>
      </c>
      <c r="O6" s="6" t="s">
        <v>72</v>
      </c>
      <c r="P6" s="6" t="s">
        <v>73</v>
      </c>
      <c r="Q6" s="8"/>
    </row>
    <row r="7" spans="1:17" ht="409.6" x14ac:dyDescent="0.2">
      <c r="A7" s="8" t="s">
        <v>74</v>
      </c>
      <c r="B7" s="6" t="s">
        <v>75</v>
      </c>
      <c r="C7" s="6"/>
      <c r="D7" s="6"/>
      <c r="E7" s="9" t="s">
        <v>76</v>
      </c>
      <c r="F7" s="9" t="s">
        <v>53</v>
      </c>
      <c r="G7" s="5" t="s">
        <v>77</v>
      </c>
      <c r="H7" s="9" t="s">
        <v>78</v>
      </c>
      <c r="I7" s="9" t="s">
        <v>79</v>
      </c>
      <c r="J7" s="9" t="s">
        <v>80</v>
      </c>
      <c r="K7" s="9" t="s">
        <v>81</v>
      </c>
      <c r="L7" s="9" t="s">
        <v>82</v>
      </c>
      <c r="M7" s="9" t="s">
        <v>83</v>
      </c>
      <c r="N7" s="10" t="s">
        <v>84</v>
      </c>
      <c r="O7" s="9" t="s">
        <v>85</v>
      </c>
      <c r="P7" s="9" t="s">
        <v>86</v>
      </c>
      <c r="Q7" s="9"/>
    </row>
    <row r="8" spans="1:17" ht="409.6" x14ac:dyDescent="0.2">
      <c r="A8" s="8" t="s">
        <v>87</v>
      </c>
      <c r="B8" s="6" t="s">
        <v>88</v>
      </c>
      <c r="C8" s="6"/>
      <c r="D8" s="6"/>
      <c r="E8" s="11" t="s">
        <v>89</v>
      </c>
      <c r="F8" s="11"/>
      <c r="G8" s="12" t="s">
        <v>53</v>
      </c>
      <c r="H8" s="11" t="s">
        <v>90</v>
      </c>
      <c r="I8" s="11" t="s">
        <v>91</v>
      </c>
      <c r="J8" s="11" t="s">
        <v>92</v>
      </c>
      <c r="K8" s="11" t="s">
        <v>93</v>
      </c>
      <c r="L8" s="11" t="s">
        <v>94</v>
      </c>
      <c r="M8" s="11" t="s">
        <v>95</v>
      </c>
      <c r="N8" s="11" t="s">
        <v>96</v>
      </c>
      <c r="O8" s="11" t="s">
        <v>97</v>
      </c>
      <c r="P8" s="11" t="s">
        <v>98</v>
      </c>
      <c r="Q8" s="8" t="s">
        <v>53</v>
      </c>
    </row>
    <row r="9" spans="1:17" ht="409.6" x14ac:dyDescent="0.2">
      <c r="A9" s="8" t="s">
        <v>99</v>
      </c>
      <c r="B9" s="6" t="s">
        <v>100</v>
      </c>
      <c r="C9" s="6"/>
      <c r="D9" s="6"/>
      <c r="E9" s="13" t="s">
        <v>101</v>
      </c>
      <c r="F9" s="3" t="s">
        <v>102</v>
      </c>
      <c r="G9" s="5" t="s">
        <v>103</v>
      </c>
      <c r="H9" s="6" t="s">
        <v>104</v>
      </c>
      <c r="I9" s="7" t="s">
        <v>105</v>
      </c>
      <c r="J9" s="6" t="s">
        <v>106</v>
      </c>
      <c r="K9" s="6" t="s">
        <v>107</v>
      </c>
      <c r="L9" s="6" t="s">
        <v>108</v>
      </c>
      <c r="M9" s="6" t="s">
        <v>109</v>
      </c>
      <c r="N9" s="6" t="s">
        <v>110</v>
      </c>
      <c r="O9" s="2" t="s">
        <v>111</v>
      </c>
      <c r="P9" s="6" t="s">
        <v>112</v>
      </c>
      <c r="Q9" s="8"/>
    </row>
    <row r="10" spans="1:17" ht="409.6" x14ac:dyDescent="0.2">
      <c r="A10" s="8" t="s">
        <v>113</v>
      </c>
      <c r="B10" s="6" t="s">
        <v>114</v>
      </c>
      <c r="C10" s="6"/>
      <c r="D10" s="6"/>
      <c r="E10" s="3" t="s">
        <v>115</v>
      </c>
      <c r="F10" s="3" t="s">
        <v>116</v>
      </c>
      <c r="G10" s="5" t="s">
        <v>117</v>
      </c>
      <c r="H10" s="7" t="s">
        <v>118</v>
      </c>
      <c r="I10" s="7" t="s">
        <v>119</v>
      </c>
      <c r="J10" s="7" t="s">
        <v>120</v>
      </c>
      <c r="K10" s="6" t="s">
        <v>121</v>
      </c>
      <c r="L10" s="7" t="s">
        <v>122</v>
      </c>
      <c r="M10" s="2" t="s">
        <v>123</v>
      </c>
      <c r="N10" s="3" t="s">
        <v>124</v>
      </c>
      <c r="O10" s="2" t="s">
        <v>125</v>
      </c>
      <c r="P10" s="3" t="s">
        <v>126</v>
      </c>
      <c r="Q10" s="8" t="s">
        <v>53</v>
      </c>
    </row>
    <row r="11" spans="1:17" ht="409.6" x14ac:dyDescent="0.2">
      <c r="A11" s="8" t="s">
        <v>127</v>
      </c>
      <c r="B11" s="73" t="s">
        <v>128</v>
      </c>
      <c r="C11" s="73"/>
      <c r="D11" s="73"/>
      <c r="E11" s="3" t="s">
        <v>129</v>
      </c>
      <c r="F11" s="3" t="s">
        <v>130</v>
      </c>
      <c r="G11" s="5" t="s">
        <v>131</v>
      </c>
      <c r="H11" s="6" t="s">
        <v>132</v>
      </c>
      <c r="I11" s="7" t="s">
        <v>133</v>
      </c>
      <c r="J11" s="6" t="s">
        <v>134</v>
      </c>
      <c r="K11" s="6" t="s">
        <v>135</v>
      </c>
      <c r="L11" s="6" t="s">
        <v>136</v>
      </c>
      <c r="M11" s="6" t="s">
        <v>137</v>
      </c>
      <c r="N11" s="6" t="s">
        <v>138</v>
      </c>
      <c r="O11" s="6" t="s">
        <v>139</v>
      </c>
      <c r="P11" s="6" t="s">
        <v>140</v>
      </c>
      <c r="Q11" s="8"/>
    </row>
    <row r="12" spans="1:17" ht="409.6" x14ac:dyDescent="0.2">
      <c r="A12" s="8" t="s">
        <v>141</v>
      </c>
      <c r="B12" s="74" t="s">
        <v>128</v>
      </c>
      <c r="C12" s="74"/>
      <c r="D12" s="74"/>
      <c r="E12" s="11" t="s">
        <v>142</v>
      </c>
      <c r="F12" s="11" t="s">
        <v>143</v>
      </c>
      <c r="G12" s="12" t="s">
        <v>144</v>
      </c>
      <c r="H12" s="11" t="s">
        <v>145</v>
      </c>
      <c r="I12" s="11" t="s">
        <v>146</v>
      </c>
      <c r="J12" s="11" t="s">
        <v>147</v>
      </c>
      <c r="K12" s="11" t="s">
        <v>148</v>
      </c>
      <c r="L12" s="11" t="s">
        <v>149</v>
      </c>
      <c r="M12" s="11" t="s">
        <v>150</v>
      </c>
      <c r="N12" s="11" t="s">
        <v>151</v>
      </c>
      <c r="O12" s="11" t="s">
        <v>152</v>
      </c>
      <c r="P12" s="11" t="s">
        <v>153</v>
      </c>
      <c r="Q12" s="8"/>
    </row>
    <row r="13" spans="1:17" ht="409.6" x14ac:dyDescent="0.2">
      <c r="A13" s="8" t="s">
        <v>154</v>
      </c>
      <c r="B13" s="73" t="s">
        <v>155</v>
      </c>
      <c r="C13" s="73"/>
      <c r="D13" s="73"/>
      <c r="E13" s="3" t="s">
        <v>156</v>
      </c>
      <c r="F13" s="3" t="s">
        <v>157</v>
      </c>
      <c r="G13" s="5" t="s">
        <v>18</v>
      </c>
      <c r="H13" s="6" t="s">
        <v>158</v>
      </c>
      <c r="I13" s="6" t="s">
        <v>159</v>
      </c>
      <c r="J13" s="6" t="s">
        <v>160</v>
      </c>
      <c r="K13" s="6" t="s">
        <v>161</v>
      </c>
      <c r="L13" s="6" t="s">
        <v>162</v>
      </c>
      <c r="M13" s="6" t="s">
        <v>163</v>
      </c>
      <c r="N13" s="6" t="s">
        <v>164</v>
      </c>
      <c r="O13" s="6" t="s">
        <v>165</v>
      </c>
      <c r="P13" s="6" t="s">
        <v>166</v>
      </c>
      <c r="Q13" s="6"/>
    </row>
    <row r="14" spans="1:17" ht="409.6" x14ac:dyDescent="0.2">
      <c r="A14" s="8" t="s">
        <v>167</v>
      </c>
      <c r="B14" s="73" t="s">
        <v>15</v>
      </c>
      <c r="C14" s="73"/>
      <c r="D14" s="73"/>
      <c r="E14" s="2" t="s">
        <v>168</v>
      </c>
      <c r="F14" s="2" t="s">
        <v>169</v>
      </c>
      <c r="G14" s="2" t="s">
        <v>170</v>
      </c>
      <c r="H14" s="2" t="s">
        <v>171</v>
      </c>
      <c r="I14" s="2" t="s">
        <v>172</v>
      </c>
      <c r="J14" s="2" t="s">
        <v>173</v>
      </c>
      <c r="K14" s="2" t="s">
        <v>174</v>
      </c>
      <c r="L14" s="2" t="s">
        <v>175</v>
      </c>
      <c r="M14" s="2" t="s">
        <v>176</v>
      </c>
      <c r="N14" s="2" t="s">
        <v>177</v>
      </c>
      <c r="O14" s="2" t="s">
        <v>178</v>
      </c>
      <c r="P14" s="6" t="s">
        <v>179</v>
      </c>
      <c r="Q14" s="2"/>
    </row>
    <row r="15" spans="1:17" ht="409.6" x14ac:dyDescent="0.2">
      <c r="A15" s="8" t="s">
        <v>180</v>
      </c>
      <c r="B15" s="73" t="s">
        <v>15</v>
      </c>
      <c r="C15" s="73"/>
      <c r="D15" s="73"/>
      <c r="E15" s="2" t="s">
        <v>181</v>
      </c>
      <c r="F15" s="2" t="s">
        <v>182</v>
      </c>
      <c r="G15" s="2" t="s">
        <v>183</v>
      </c>
      <c r="H15" s="2" t="s">
        <v>184</v>
      </c>
      <c r="I15" s="2" t="s">
        <v>185</v>
      </c>
      <c r="J15" s="2" t="s">
        <v>186</v>
      </c>
      <c r="K15" s="2" t="s">
        <v>187</v>
      </c>
      <c r="L15" s="2" t="s">
        <v>188</v>
      </c>
      <c r="M15" s="2" t="s">
        <v>189</v>
      </c>
      <c r="N15" s="2" t="s">
        <v>190</v>
      </c>
      <c r="O15" s="2" t="s">
        <v>191</v>
      </c>
      <c r="P15" s="2" t="s">
        <v>192</v>
      </c>
      <c r="Q15" s="2" t="s">
        <v>53</v>
      </c>
    </row>
    <row r="16" spans="1:17" ht="409.6" x14ac:dyDescent="0.2">
      <c r="A16" s="8" t="s">
        <v>193</v>
      </c>
      <c r="B16" s="73" t="s">
        <v>75</v>
      </c>
      <c r="C16" s="73"/>
      <c r="D16" s="73"/>
      <c r="E16" s="2" t="s">
        <v>16</v>
      </c>
      <c r="F16" s="2" t="s">
        <v>182</v>
      </c>
      <c r="G16" s="2" t="s">
        <v>194</v>
      </c>
      <c r="H16" s="2" t="s">
        <v>195</v>
      </c>
      <c r="I16" s="2" t="s">
        <v>196</v>
      </c>
      <c r="J16" s="2" t="s">
        <v>197</v>
      </c>
      <c r="K16" s="2" t="s">
        <v>198</v>
      </c>
      <c r="L16" s="2" t="s">
        <v>199</v>
      </c>
      <c r="M16" s="2" t="s">
        <v>200</v>
      </c>
      <c r="N16" s="2" t="s">
        <v>201</v>
      </c>
      <c r="O16" s="2" t="s">
        <v>202</v>
      </c>
      <c r="P16" s="2" t="s">
        <v>203</v>
      </c>
      <c r="Q16" s="2"/>
    </row>
    <row r="17" spans="1:17" ht="409.6" x14ac:dyDescent="0.2">
      <c r="A17" s="8" t="s">
        <v>204</v>
      </c>
      <c r="B17" s="6" t="s">
        <v>15</v>
      </c>
      <c r="C17" s="6"/>
      <c r="D17" s="6"/>
      <c r="E17" s="3" t="s">
        <v>205</v>
      </c>
      <c r="F17" s="3" t="s">
        <v>206</v>
      </c>
      <c r="G17" s="5" t="s">
        <v>207</v>
      </c>
      <c r="H17" s="7" t="s">
        <v>208</v>
      </c>
      <c r="I17" s="7" t="s">
        <v>209</v>
      </c>
      <c r="J17" s="7" t="s">
        <v>210</v>
      </c>
      <c r="K17" s="2" t="s">
        <v>211</v>
      </c>
      <c r="L17" s="7" t="s">
        <v>212</v>
      </c>
      <c r="M17" s="2" t="s">
        <v>213</v>
      </c>
      <c r="N17" s="3" t="s">
        <v>201</v>
      </c>
      <c r="O17" s="2" t="s">
        <v>202</v>
      </c>
      <c r="P17" s="3" t="s">
        <v>214</v>
      </c>
      <c r="Q17" s="8"/>
    </row>
    <row r="18" spans="1:17" ht="409.6" x14ac:dyDescent="0.2">
      <c r="A18" s="8" t="s">
        <v>215</v>
      </c>
      <c r="B18" s="6" t="s">
        <v>216</v>
      </c>
      <c r="C18" s="6"/>
      <c r="D18" s="6"/>
      <c r="E18" s="13" t="s">
        <v>217</v>
      </c>
      <c r="F18" s="13" t="s">
        <v>218</v>
      </c>
      <c r="G18" s="13" t="s">
        <v>219</v>
      </c>
      <c r="H18" s="14" t="s">
        <v>220</v>
      </c>
      <c r="I18" s="14" t="s">
        <v>221</v>
      </c>
      <c r="J18" s="14" t="s">
        <v>222</v>
      </c>
      <c r="K18" s="9" t="s">
        <v>223</v>
      </c>
      <c r="L18" s="14" t="s">
        <v>224</v>
      </c>
      <c r="M18" s="9" t="s">
        <v>225</v>
      </c>
      <c r="N18" s="13" t="s">
        <v>226</v>
      </c>
      <c r="O18" s="9" t="s">
        <v>227</v>
      </c>
      <c r="P18" s="13" t="s">
        <v>228</v>
      </c>
      <c r="Q18" s="8"/>
    </row>
    <row r="19" spans="1:17" ht="409.6" x14ac:dyDescent="0.2">
      <c r="A19" s="8" t="s">
        <v>229</v>
      </c>
      <c r="B19" s="6" t="s">
        <v>216</v>
      </c>
      <c r="C19" s="6"/>
      <c r="D19" s="6"/>
      <c r="E19" s="9" t="s">
        <v>230</v>
      </c>
      <c r="F19" s="9" t="s">
        <v>231</v>
      </c>
      <c r="G19" s="14" t="s">
        <v>232</v>
      </c>
      <c r="H19" s="9" t="s">
        <v>233</v>
      </c>
      <c r="I19" s="9" t="s">
        <v>234</v>
      </c>
      <c r="J19" s="9" t="s">
        <v>235</v>
      </c>
      <c r="K19" s="9" t="s">
        <v>236</v>
      </c>
      <c r="L19" s="9" t="s">
        <v>237</v>
      </c>
      <c r="M19" s="9" t="s">
        <v>238</v>
      </c>
      <c r="N19" s="10" t="s">
        <v>239</v>
      </c>
      <c r="O19" s="9" t="s">
        <v>240</v>
      </c>
      <c r="P19" s="9" t="s">
        <v>241</v>
      </c>
      <c r="Q19" s="9"/>
    </row>
    <row r="20" spans="1:17" ht="409.6" x14ac:dyDescent="0.2">
      <c r="A20" s="67" t="s">
        <v>242</v>
      </c>
      <c r="B20" s="6" t="s">
        <v>100</v>
      </c>
      <c r="C20" s="6"/>
      <c r="D20" s="6"/>
      <c r="E20" s="2" t="s">
        <v>243</v>
      </c>
      <c r="F20" s="2" t="s">
        <v>244</v>
      </c>
      <c r="G20" s="15" t="s">
        <v>245</v>
      </c>
      <c r="H20" s="2" t="s">
        <v>246</v>
      </c>
      <c r="I20" s="2" t="s">
        <v>247</v>
      </c>
      <c r="J20" s="2" t="s">
        <v>248</v>
      </c>
      <c r="K20" s="2" t="s">
        <v>249</v>
      </c>
      <c r="L20" s="2" t="s">
        <v>250</v>
      </c>
      <c r="M20" s="2" t="s">
        <v>251</v>
      </c>
      <c r="N20" s="10" t="s">
        <v>252</v>
      </c>
      <c r="O20" s="2" t="s">
        <v>253</v>
      </c>
      <c r="P20" s="2" t="s">
        <v>254</v>
      </c>
      <c r="Q20" s="16"/>
    </row>
    <row r="21" spans="1:17" ht="409.6" x14ac:dyDescent="0.2">
      <c r="A21" s="67" t="s">
        <v>255</v>
      </c>
      <c r="B21" s="73" t="s">
        <v>128</v>
      </c>
      <c r="C21" s="73"/>
      <c r="D21" s="73"/>
      <c r="E21" s="3" t="s">
        <v>156</v>
      </c>
      <c r="F21" s="3" t="s">
        <v>256</v>
      </c>
      <c r="G21" s="5" t="s">
        <v>53</v>
      </c>
      <c r="H21" s="6" t="s">
        <v>257</v>
      </c>
      <c r="I21" s="6" t="s">
        <v>258</v>
      </c>
      <c r="J21" s="6" t="s">
        <v>259</v>
      </c>
      <c r="K21" s="6" t="s">
        <v>260</v>
      </c>
      <c r="L21" s="6" t="s">
        <v>261</v>
      </c>
      <c r="M21" s="6" t="s">
        <v>262</v>
      </c>
      <c r="N21" s="6" t="s">
        <v>263</v>
      </c>
      <c r="O21" s="6" t="s">
        <v>53</v>
      </c>
      <c r="P21" s="6" t="s">
        <v>264</v>
      </c>
      <c r="Q21" s="17" t="s">
        <v>53</v>
      </c>
    </row>
    <row r="22" spans="1:17" ht="409.6" thickBot="1" x14ac:dyDescent="0.25">
      <c r="A22" s="68" t="s">
        <v>265</v>
      </c>
      <c r="B22" s="33" t="s">
        <v>100</v>
      </c>
      <c r="C22" s="33"/>
      <c r="D22" s="33"/>
      <c r="E22" s="18" t="s">
        <v>266</v>
      </c>
      <c r="F22" s="18" t="s">
        <v>267</v>
      </c>
      <c r="G22" s="19" t="s">
        <v>268</v>
      </c>
      <c r="H22" s="18" t="s">
        <v>269</v>
      </c>
      <c r="I22" s="18" t="s">
        <v>270</v>
      </c>
      <c r="J22" s="18" t="s">
        <v>271</v>
      </c>
      <c r="K22" s="18" t="s">
        <v>272</v>
      </c>
      <c r="L22" s="18" t="s">
        <v>273</v>
      </c>
      <c r="M22" s="18" t="s">
        <v>274</v>
      </c>
      <c r="N22" s="20" t="s">
        <v>275</v>
      </c>
      <c r="O22" s="18" t="s">
        <v>276</v>
      </c>
      <c r="P22" s="18" t="s">
        <v>277</v>
      </c>
      <c r="Q22" s="21"/>
    </row>
    <row r="23" spans="1:17" ht="409.6" x14ac:dyDescent="0.2">
      <c r="A23" s="8" t="s">
        <v>278</v>
      </c>
      <c r="B23" s="73" t="s">
        <v>51</v>
      </c>
      <c r="C23" s="73"/>
      <c r="D23" s="73"/>
      <c r="E23" s="3" t="s">
        <v>279</v>
      </c>
      <c r="F23" s="3" t="s">
        <v>280</v>
      </c>
      <c r="G23" s="5" t="s">
        <v>281</v>
      </c>
      <c r="H23" s="6" t="s">
        <v>282</v>
      </c>
      <c r="I23" s="7" t="s">
        <v>283</v>
      </c>
      <c r="J23" s="6" t="s">
        <v>284</v>
      </c>
      <c r="K23" s="6" t="s">
        <v>285</v>
      </c>
      <c r="L23" s="6" t="s">
        <v>286</v>
      </c>
      <c r="M23" s="6" t="s">
        <v>287</v>
      </c>
      <c r="N23" s="6" t="s">
        <v>288</v>
      </c>
      <c r="O23" s="2" t="s">
        <v>289</v>
      </c>
      <c r="P23" s="6" t="s">
        <v>290</v>
      </c>
      <c r="Q23" s="8"/>
    </row>
    <row r="24" spans="1:17" ht="409.6" x14ac:dyDescent="0.2">
      <c r="A24" s="67" t="s">
        <v>291</v>
      </c>
      <c r="B24" s="6" t="s">
        <v>292</v>
      </c>
      <c r="C24" s="6"/>
      <c r="D24" s="6"/>
      <c r="E24" s="9" t="s">
        <v>293</v>
      </c>
      <c r="F24" s="9" t="s">
        <v>294</v>
      </c>
      <c r="G24" s="14" t="s">
        <v>295</v>
      </c>
      <c r="H24" s="9" t="s">
        <v>296</v>
      </c>
      <c r="I24" s="9" t="s">
        <v>297</v>
      </c>
      <c r="J24" s="9" t="s">
        <v>298</v>
      </c>
      <c r="K24" s="9" t="s">
        <v>299</v>
      </c>
      <c r="L24" s="9" t="s">
        <v>300</v>
      </c>
      <c r="M24" s="9" t="s">
        <v>301</v>
      </c>
      <c r="N24" s="10" t="s">
        <v>302</v>
      </c>
      <c r="O24" s="9" t="s">
        <v>303</v>
      </c>
      <c r="P24" s="9" t="s">
        <v>304</v>
      </c>
      <c r="Q24" s="22"/>
    </row>
    <row r="25" spans="1:17" ht="409.6" x14ac:dyDescent="0.2">
      <c r="A25" s="69" t="s">
        <v>305</v>
      </c>
      <c r="B25" s="75" t="s">
        <v>306</v>
      </c>
      <c r="C25" s="75"/>
      <c r="D25" s="75"/>
      <c r="E25" s="3" t="s">
        <v>307</v>
      </c>
      <c r="F25" s="3" t="s">
        <v>308</v>
      </c>
      <c r="G25" s="5" t="s">
        <v>309</v>
      </c>
      <c r="H25" s="6" t="s">
        <v>310</v>
      </c>
      <c r="I25" s="7" t="s">
        <v>311</v>
      </c>
      <c r="J25" s="6" t="s">
        <v>312</v>
      </c>
      <c r="K25" s="6" t="s">
        <v>313</v>
      </c>
      <c r="L25" s="6" t="s">
        <v>314</v>
      </c>
      <c r="M25" s="6" t="s">
        <v>315</v>
      </c>
      <c r="N25" s="6" t="s">
        <v>316</v>
      </c>
      <c r="O25" s="2" t="s">
        <v>317</v>
      </c>
      <c r="P25" s="6" t="s">
        <v>317</v>
      </c>
      <c r="Q25" s="16"/>
    </row>
    <row r="26" spans="1:17" ht="409.6" x14ac:dyDescent="0.2">
      <c r="A26" s="8" t="s">
        <v>318</v>
      </c>
      <c r="B26" s="6" t="s">
        <v>319</v>
      </c>
      <c r="C26" s="6"/>
      <c r="D26" s="6"/>
      <c r="E26" s="2" t="s">
        <v>320</v>
      </c>
      <c r="F26" s="2" t="s">
        <v>53</v>
      </c>
      <c r="G26" s="15" t="s">
        <v>321</v>
      </c>
      <c r="H26" s="2" t="s">
        <v>322</v>
      </c>
      <c r="I26" s="2" t="s">
        <v>323</v>
      </c>
      <c r="J26" s="2" t="s">
        <v>324</v>
      </c>
      <c r="K26" s="2" t="s">
        <v>325</v>
      </c>
      <c r="L26" s="2" t="s">
        <v>326</v>
      </c>
      <c r="M26" s="2" t="s">
        <v>327</v>
      </c>
      <c r="N26" s="10" t="s">
        <v>328</v>
      </c>
      <c r="O26" s="2" t="s">
        <v>53</v>
      </c>
      <c r="P26" s="2" t="s">
        <v>329</v>
      </c>
      <c r="Q26" s="2"/>
    </row>
    <row r="27" spans="1:17" ht="409.6" x14ac:dyDescent="0.2">
      <c r="A27" s="8" t="s">
        <v>330</v>
      </c>
      <c r="B27" s="74" t="s">
        <v>128</v>
      </c>
      <c r="C27" s="74"/>
      <c r="D27" s="74"/>
      <c r="E27" s="11" t="s">
        <v>89</v>
      </c>
      <c r="F27" s="11"/>
      <c r="G27" s="12" t="s">
        <v>331</v>
      </c>
      <c r="H27" s="11" t="s">
        <v>332</v>
      </c>
      <c r="I27" s="11" t="s">
        <v>333</v>
      </c>
      <c r="J27" s="11" t="s">
        <v>334</v>
      </c>
      <c r="K27" s="11" t="s">
        <v>93</v>
      </c>
      <c r="L27" s="11" t="s">
        <v>335</v>
      </c>
      <c r="M27" s="11" t="s">
        <v>336</v>
      </c>
      <c r="N27" s="11" t="s">
        <v>96</v>
      </c>
      <c r="O27" s="11" t="s">
        <v>337</v>
      </c>
      <c r="P27" s="11" t="s">
        <v>98</v>
      </c>
      <c r="Q27" s="8" t="s">
        <v>53</v>
      </c>
    </row>
    <row r="28" spans="1:17" ht="409.6" x14ac:dyDescent="0.2">
      <c r="A28" s="8" t="s">
        <v>338</v>
      </c>
      <c r="B28" s="6" t="s">
        <v>339</v>
      </c>
      <c r="C28" s="6"/>
      <c r="D28" s="6"/>
      <c r="E28" s="3" t="s">
        <v>340</v>
      </c>
      <c r="F28" s="3" t="s">
        <v>341</v>
      </c>
      <c r="G28" s="5" t="s">
        <v>342</v>
      </c>
      <c r="H28" s="7" t="s">
        <v>343</v>
      </c>
      <c r="I28" s="7" t="s">
        <v>344</v>
      </c>
      <c r="J28" s="7" t="s">
        <v>345</v>
      </c>
      <c r="K28" s="2" t="s">
        <v>346</v>
      </c>
      <c r="L28" s="7" t="s">
        <v>347</v>
      </c>
      <c r="M28" s="2" t="s">
        <v>348</v>
      </c>
      <c r="N28" s="3" t="s">
        <v>349</v>
      </c>
      <c r="O28" s="2" t="s">
        <v>350</v>
      </c>
      <c r="P28" s="3" t="s">
        <v>351</v>
      </c>
      <c r="Q28" s="8"/>
    </row>
    <row r="29" spans="1:17" ht="409.6" x14ac:dyDescent="0.2">
      <c r="A29" s="8" t="s">
        <v>352</v>
      </c>
      <c r="B29" s="73" t="s">
        <v>88</v>
      </c>
      <c r="C29" s="73"/>
      <c r="D29" s="73"/>
      <c r="E29" s="2" t="s">
        <v>353</v>
      </c>
      <c r="F29" s="2" t="s">
        <v>182</v>
      </c>
      <c r="G29" s="2" t="s">
        <v>354</v>
      </c>
      <c r="H29" s="2" t="s">
        <v>355</v>
      </c>
      <c r="I29" s="2" t="s">
        <v>356</v>
      </c>
      <c r="J29" s="2" t="s">
        <v>357</v>
      </c>
      <c r="K29" s="2" t="s">
        <v>358</v>
      </c>
      <c r="L29" s="2" t="s">
        <v>188</v>
      </c>
      <c r="M29" s="2" t="s">
        <v>359</v>
      </c>
      <c r="N29" s="2" t="s">
        <v>360</v>
      </c>
      <c r="O29" s="2" t="s">
        <v>361</v>
      </c>
      <c r="P29" s="2" t="s">
        <v>362</v>
      </c>
      <c r="Q29" s="2" t="s">
        <v>53</v>
      </c>
    </row>
    <row r="30" spans="1:17" ht="409.6" x14ac:dyDescent="0.2">
      <c r="A30" s="8" t="s">
        <v>363</v>
      </c>
      <c r="B30" s="6" t="s">
        <v>88</v>
      </c>
      <c r="C30" s="6"/>
      <c r="D30" s="6"/>
      <c r="E30" s="9" t="s">
        <v>353</v>
      </c>
      <c r="F30" s="9" t="s">
        <v>182</v>
      </c>
      <c r="G30" s="14" t="s">
        <v>364</v>
      </c>
      <c r="H30" s="9" t="s">
        <v>365</v>
      </c>
      <c r="I30" s="9" t="s">
        <v>366</v>
      </c>
      <c r="J30" s="9" t="s">
        <v>367</v>
      </c>
      <c r="K30" s="9" t="s">
        <v>368</v>
      </c>
      <c r="L30" s="9" t="s">
        <v>369</v>
      </c>
      <c r="M30" s="9" t="s">
        <v>370</v>
      </c>
      <c r="N30" s="9" t="s">
        <v>371</v>
      </c>
      <c r="O30" s="6" t="s">
        <v>372</v>
      </c>
      <c r="P30" s="9" t="s">
        <v>373</v>
      </c>
      <c r="Q30" s="9"/>
    </row>
    <row r="31" spans="1:17" ht="409.6" x14ac:dyDescent="0.2">
      <c r="A31" s="8" t="s">
        <v>374</v>
      </c>
      <c r="B31" s="73" t="s">
        <v>88</v>
      </c>
      <c r="C31" s="73"/>
      <c r="D31" s="73"/>
      <c r="E31" s="13" t="s">
        <v>375</v>
      </c>
      <c r="F31" s="13" t="s">
        <v>376</v>
      </c>
      <c r="G31" s="13" t="s">
        <v>53</v>
      </c>
      <c r="H31" s="6" t="s">
        <v>377</v>
      </c>
      <c r="I31" s="14" t="s">
        <v>378</v>
      </c>
      <c r="J31" s="6" t="s">
        <v>379</v>
      </c>
      <c r="K31" s="6" t="s">
        <v>380</v>
      </c>
      <c r="L31" s="6" t="s">
        <v>381</v>
      </c>
      <c r="M31" s="6" t="s">
        <v>382</v>
      </c>
      <c r="N31" s="6" t="s">
        <v>383</v>
      </c>
      <c r="O31" s="9" t="s">
        <v>384</v>
      </c>
      <c r="P31" s="6" t="s">
        <v>385</v>
      </c>
      <c r="Q31" s="8" t="s">
        <v>53</v>
      </c>
    </row>
    <row r="32" spans="1:17" ht="409.6" x14ac:dyDescent="0.2">
      <c r="A32" s="8" t="s">
        <v>386</v>
      </c>
      <c r="B32" s="73" t="s">
        <v>51</v>
      </c>
      <c r="C32" s="73"/>
      <c r="D32" s="73"/>
      <c r="E32" s="3" t="s">
        <v>156</v>
      </c>
      <c r="F32" s="3" t="s">
        <v>387</v>
      </c>
      <c r="G32" s="5" t="s">
        <v>388</v>
      </c>
      <c r="H32" s="6" t="s">
        <v>389</v>
      </c>
      <c r="I32" s="7" t="s">
        <v>258</v>
      </c>
      <c r="J32" s="6" t="s">
        <v>390</v>
      </c>
      <c r="K32" s="6" t="s">
        <v>391</v>
      </c>
      <c r="L32" s="6" t="s">
        <v>261</v>
      </c>
      <c r="M32" s="6" t="s">
        <v>392</v>
      </c>
      <c r="N32" s="6" t="s">
        <v>393</v>
      </c>
      <c r="O32" s="2" t="s">
        <v>53</v>
      </c>
      <c r="P32" s="6" t="s">
        <v>394</v>
      </c>
      <c r="Q32" s="8" t="s">
        <v>53</v>
      </c>
    </row>
    <row r="33" spans="1:17" ht="380" x14ac:dyDescent="0.2">
      <c r="A33" s="8" t="s">
        <v>395</v>
      </c>
      <c r="B33" s="74" t="s">
        <v>128</v>
      </c>
      <c r="C33" s="74"/>
      <c r="D33" s="74"/>
      <c r="E33" s="11" t="s">
        <v>142</v>
      </c>
      <c r="F33" s="11" t="s">
        <v>396</v>
      </c>
      <c r="G33" s="12" t="s">
        <v>397</v>
      </c>
      <c r="H33" s="11" t="s">
        <v>398</v>
      </c>
      <c r="I33" s="11" t="s">
        <v>399</v>
      </c>
      <c r="J33" s="11" t="s">
        <v>147</v>
      </c>
      <c r="K33" s="11" t="s">
        <v>400</v>
      </c>
      <c r="L33" s="11" t="s">
        <v>401</v>
      </c>
      <c r="M33" s="11" t="s">
        <v>402</v>
      </c>
      <c r="N33" s="11" t="s">
        <v>403</v>
      </c>
      <c r="O33" s="11" t="s">
        <v>152</v>
      </c>
      <c r="P33" s="11" t="s">
        <v>404</v>
      </c>
      <c r="Q33" s="8"/>
    </row>
    <row r="34" spans="1:17" ht="409.6" x14ac:dyDescent="0.2">
      <c r="A34" s="8" t="s">
        <v>405</v>
      </c>
      <c r="B34" s="73" t="s">
        <v>306</v>
      </c>
      <c r="C34" s="73"/>
      <c r="D34" s="73"/>
      <c r="E34" s="3" t="s">
        <v>406</v>
      </c>
      <c r="F34" s="3" t="s">
        <v>407</v>
      </c>
      <c r="G34" s="5" t="s">
        <v>53</v>
      </c>
      <c r="H34" s="6" t="s">
        <v>408</v>
      </c>
      <c r="I34" s="7" t="s">
        <v>409</v>
      </c>
      <c r="J34" s="6" t="s">
        <v>410</v>
      </c>
      <c r="K34" s="6" t="s">
        <v>411</v>
      </c>
      <c r="L34" s="6" t="s">
        <v>412</v>
      </c>
      <c r="M34" s="6" t="s">
        <v>413</v>
      </c>
      <c r="N34" s="6" t="s">
        <v>414</v>
      </c>
      <c r="O34" s="2" t="s">
        <v>415</v>
      </c>
      <c r="P34" s="6" t="s">
        <v>416</v>
      </c>
      <c r="Q34" s="8" t="s">
        <v>53</v>
      </c>
    </row>
    <row r="35" spans="1:17" ht="409.6" x14ac:dyDescent="0.2">
      <c r="A35" s="8" t="s">
        <v>417</v>
      </c>
      <c r="B35" s="73" t="s">
        <v>418</v>
      </c>
      <c r="C35" s="73"/>
      <c r="D35" s="73"/>
      <c r="E35" s="3" t="s">
        <v>52</v>
      </c>
      <c r="F35" s="3" t="s">
        <v>419</v>
      </c>
      <c r="G35" s="5" t="s">
        <v>420</v>
      </c>
      <c r="H35" s="6" t="s">
        <v>421</v>
      </c>
      <c r="I35" s="7" t="s">
        <v>422</v>
      </c>
      <c r="J35" s="6" t="s">
        <v>423</v>
      </c>
      <c r="K35" s="6" t="s">
        <v>424</v>
      </c>
      <c r="L35" s="6" t="s">
        <v>425</v>
      </c>
      <c r="M35" s="6" t="s">
        <v>59</v>
      </c>
      <c r="N35" s="6" t="s">
        <v>426</v>
      </c>
      <c r="O35" s="2" t="s">
        <v>427</v>
      </c>
      <c r="P35" s="6" t="s">
        <v>428</v>
      </c>
      <c r="Q35" s="8"/>
    </row>
    <row r="36" spans="1:17" ht="409.6" x14ac:dyDescent="0.2">
      <c r="A36" s="8" t="s">
        <v>429</v>
      </c>
      <c r="B36" s="6" t="s">
        <v>430</v>
      </c>
      <c r="C36" s="6"/>
      <c r="D36" s="6"/>
      <c r="E36" s="13" t="s">
        <v>431</v>
      </c>
      <c r="F36" s="9" t="s">
        <v>432</v>
      </c>
      <c r="G36" s="14" t="s">
        <v>433</v>
      </c>
      <c r="H36" s="9" t="s">
        <v>434</v>
      </c>
      <c r="I36" s="9" t="s">
        <v>435</v>
      </c>
      <c r="J36" s="9" t="s">
        <v>436</v>
      </c>
      <c r="K36" s="9" t="s">
        <v>437</v>
      </c>
      <c r="L36" s="9" t="s">
        <v>438</v>
      </c>
      <c r="M36" s="9" t="s">
        <v>439</v>
      </c>
      <c r="N36" s="10" t="s">
        <v>440</v>
      </c>
      <c r="O36" s="9" t="s">
        <v>441</v>
      </c>
      <c r="P36" s="9" t="s">
        <v>442</v>
      </c>
      <c r="Q36" s="9"/>
    </row>
    <row r="37" spans="1:17" ht="409.6" x14ac:dyDescent="0.2">
      <c r="A37" s="8" t="s">
        <v>443</v>
      </c>
      <c r="B37" s="73" t="s">
        <v>444</v>
      </c>
      <c r="C37" s="73"/>
      <c r="D37" s="73"/>
      <c r="E37" s="3" t="s">
        <v>445</v>
      </c>
      <c r="F37" s="3" t="s">
        <v>446</v>
      </c>
      <c r="G37" s="5" t="s">
        <v>447</v>
      </c>
      <c r="H37" s="6" t="s">
        <v>448</v>
      </c>
      <c r="I37" s="7" t="s">
        <v>449</v>
      </c>
      <c r="J37" s="6" t="s">
        <v>450</v>
      </c>
      <c r="K37" s="6" t="s">
        <v>451</v>
      </c>
      <c r="L37" s="6" t="s">
        <v>452</v>
      </c>
      <c r="M37" s="6" t="s">
        <v>453</v>
      </c>
      <c r="N37" s="6" t="s">
        <v>454</v>
      </c>
      <c r="O37" s="2" t="s">
        <v>455</v>
      </c>
      <c r="P37" s="6" t="s">
        <v>456</v>
      </c>
      <c r="Q37" s="8"/>
    </row>
    <row r="38" spans="1:17" ht="409.6" x14ac:dyDescent="0.2">
      <c r="A38" s="8" t="s">
        <v>457</v>
      </c>
      <c r="B38" s="74" t="s">
        <v>128</v>
      </c>
      <c r="C38" s="74"/>
      <c r="D38" s="74"/>
      <c r="E38" s="11" t="s">
        <v>89</v>
      </c>
      <c r="F38" s="11"/>
      <c r="G38" s="12" t="s">
        <v>331</v>
      </c>
      <c r="H38" s="11" t="s">
        <v>332</v>
      </c>
      <c r="I38" s="11" t="s">
        <v>333</v>
      </c>
      <c r="J38" s="11" t="s">
        <v>458</v>
      </c>
      <c r="K38" s="11" t="s">
        <v>93</v>
      </c>
      <c r="L38" s="11" t="s">
        <v>459</v>
      </c>
      <c r="M38" s="11" t="s">
        <v>460</v>
      </c>
      <c r="N38" s="11" t="s">
        <v>96</v>
      </c>
      <c r="O38" s="11" t="s">
        <v>461</v>
      </c>
      <c r="P38" s="11" t="s">
        <v>98</v>
      </c>
      <c r="Q38" s="8" t="s">
        <v>53</v>
      </c>
    </row>
    <row r="39" spans="1:17" ht="409.6" x14ac:dyDescent="0.2">
      <c r="A39" s="8" t="s">
        <v>462</v>
      </c>
      <c r="B39" s="6" t="s">
        <v>216</v>
      </c>
      <c r="C39" s="6"/>
      <c r="D39" s="6"/>
      <c r="E39" s="9" t="s">
        <v>129</v>
      </c>
      <c r="F39" s="9" t="s">
        <v>463</v>
      </c>
      <c r="G39" s="14" t="s">
        <v>131</v>
      </c>
      <c r="H39" s="9" t="s">
        <v>464</v>
      </c>
      <c r="I39" s="9" t="s">
        <v>465</v>
      </c>
      <c r="J39" s="9" t="s">
        <v>466</v>
      </c>
      <c r="K39" s="9" t="s">
        <v>467</v>
      </c>
      <c r="L39" s="9" t="s">
        <v>468</v>
      </c>
      <c r="M39" s="9" t="s">
        <v>469</v>
      </c>
      <c r="N39" s="9" t="s">
        <v>470</v>
      </c>
      <c r="O39" s="6" t="s">
        <v>471</v>
      </c>
      <c r="P39" s="9" t="s">
        <v>472</v>
      </c>
      <c r="Q39" s="9"/>
    </row>
    <row r="40" spans="1:17" ht="409.6" x14ac:dyDescent="0.2">
      <c r="A40" s="8" t="s">
        <v>473</v>
      </c>
      <c r="B40" s="73" t="s">
        <v>474</v>
      </c>
      <c r="C40" s="73"/>
      <c r="D40" s="73"/>
      <c r="E40" s="3" t="s">
        <v>52</v>
      </c>
      <c r="F40" s="3" t="s">
        <v>475</v>
      </c>
      <c r="G40" s="5" t="s">
        <v>476</v>
      </c>
      <c r="H40" s="6" t="s">
        <v>477</v>
      </c>
      <c r="I40" s="7" t="s">
        <v>478</v>
      </c>
      <c r="J40" s="6" t="s">
        <v>479</v>
      </c>
      <c r="K40" s="6" t="s">
        <v>480</v>
      </c>
      <c r="L40" s="6" t="s">
        <v>481</v>
      </c>
      <c r="M40" s="6" t="s">
        <v>482</v>
      </c>
      <c r="N40" s="6" t="s">
        <v>483</v>
      </c>
      <c r="O40" s="2" t="s">
        <v>484</v>
      </c>
      <c r="P40" s="6" t="s">
        <v>485</v>
      </c>
      <c r="Q40" s="8"/>
    </row>
    <row r="41" spans="1:17" ht="320" x14ac:dyDescent="0.2">
      <c r="A41" s="8" t="s">
        <v>486</v>
      </c>
      <c r="B41" s="73" t="s">
        <v>15</v>
      </c>
      <c r="C41" s="73"/>
      <c r="D41" s="73"/>
      <c r="E41" s="3" t="s">
        <v>16</v>
      </c>
      <c r="F41" s="3" t="s">
        <v>487</v>
      </c>
      <c r="G41" s="5" t="s">
        <v>53</v>
      </c>
      <c r="H41" s="6" t="s">
        <v>488</v>
      </c>
      <c r="I41" s="6" t="s">
        <v>489</v>
      </c>
      <c r="J41" s="6" t="s">
        <v>490</v>
      </c>
      <c r="K41" s="6" t="s">
        <v>491</v>
      </c>
      <c r="L41" s="6" t="s">
        <v>492</v>
      </c>
      <c r="M41" s="6" t="s">
        <v>493</v>
      </c>
      <c r="N41" s="6" t="s">
        <v>494</v>
      </c>
      <c r="O41" s="6" t="s">
        <v>495</v>
      </c>
      <c r="P41" s="6" t="s">
        <v>179</v>
      </c>
      <c r="Q41" s="6" t="s">
        <v>53</v>
      </c>
    </row>
    <row r="42" spans="1:17" ht="409.6" x14ac:dyDescent="0.2">
      <c r="A42" s="8" t="s">
        <v>496</v>
      </c>
      <c r="B42" s="73" t="s">
        <v>497</v>
      </c>
      <c r="C42" s="73"/>
      <c r="D42" s="73"/>
      <c r="E42" s="3" t="s">
        <v>498</v>
      </c>
      <c r="F42" s="3" t="s">
        <v>499</v>
      </c>
      <c r="G42" s="5" t="s">
        <v>53</v>
      </c>
      <c r="H42" s="6" t="s">
        <v>500</v>
      </c>
      <c r="I42" s="7" t="s">
        <v>501</v>
      </c>
      <c r="J42" s="6" t="s">
        <v>502</v>
      </c>
      <c r="K42" s="6" t="s">
        <v>503</v>
      </c>
      <c r="L42" s="6" t="s">
        <v>504</v>
      </c>
      <c r="M42" s="6" t="s">
        <v>505</v>
      </c>
      <c r="N42" s="6" t="s">
        <v>506</v>
      </c>
      <c r="O42" s="2" t="s">
        <v>507</v>
      </c>
      <c r="P42" s="6" t="s">
        <v>508</v>
      </c>
      <c r="Q42" s="8" t="s">
        <v>53</v>
      </c>
    </row>
    <row r="43" spans="1:17" ht="409.6" x14ac:dyDescent="0.2">
      <c r="A43" s="8" t="s">
        <v>509</v>
      </c>
      <c r="B43" s="73" t="s">
        <v>88</v>
      </c>
      <c r="C43" s="73"/>
      <c r="D43" s="73"/>
      <c r="E43" s="2" t="s">
        <v>510</v>
      </c>
      <c r="F43" s="2"/>
      <c r="G43" s="2"/>
      <c r="H43" s="2" t="s">
        <v>511</v>
      </c>
      <c r="I43" s="2" t="s">
        <v>512</v>
      </c>
      <c r="J43" s="2" t="s">
        <v>513</v>
      </c>
      <c r="K43" s="2" t="s">
        <v>514</v>
      </c>
      <c r="L43" s="2" t="s">
        <v>515</v>
      </c>
      <c r="M43" s="2" t="s">
        <v>516</v>
      </c>
      <c r="N43" s="2" t="s">
        <v>517</v>
      </c>
      <c r="O43" s="2" t="s">
        <v>361</v>
      </c>
      <c r="P43" s="2" t="s">
        <v>518</v>
      </c>
      <c r="Q43" s="2" t="s">
        <v>53</v>
      </c>
    </row>
    <row r="44" spans="1:17" ht="409.6" x14ac:dyDescent="0.2">
      <c r="A44" s="8" t="s">
        <v>519</v>
      </c>
      <c r="B44" s="73" t="s">
        <v>520</v>
      </c>
      <c r="C44" s="73"/>
      <c r="D44" s="73"/>
      <c r="E44" s="13" t="s">
        <v>521</v>
      </c>
      <c r="F44" s="13" t="s">
        <v>522</v>
      </c>
      <c r="G44" s="13" t="s">
        <v>77</v>
      </c>
      <c r="H44" s="6" t="s">
        <v>523</v>
      </c>
      <c r="I44" s="14" t="s">
        <v>524</v>
      </c>
      <c r="J44" s="6" t="s">
        <v>525</v>
      </c>
      <c r="K44" s="6" t="s">
        <v>526</v>
      </c>
      <c r="L44" s="6" t="s">
        <v>527</v>
      </c>
      <c r="M44" s="6" t="s">
        <v>528</v>
      </c>
      <c r="N44" s="6" t="s">
        <v>529</v>
      </c>
      <c r="O44" s="6" t="s">
        <v>530</v>
      </c>
      <c r="P44" s="6" t="s">
        <v>531</v>
      </c>
      <c r="Q44" s="8"/>
    </row>
    <row r="45" spans="1:17" ht="409.6" x14ac:dyDescent="0.2">
      <c r="A45" s="8" t="s">
        <v>532</v>
      </c>
      <c r="B45" s="73" t="s">
        <v>75</v>
      </c>
      <c r="C45" s="73"/>
      <c r="D45" s="73"/>
      <c r="E45" s="3" t="s">
        <v>156</v>
      </c>
      <c r="F45" s="3" t="s">
        <v>533</v>
      </c>
      <c r="G45" s="5" t="s">
        <v>534</v>
      </c>
      <c r="H45" s="6" t="s">
        <v>535</v>
      </c>
      <c r="I45" s="6" t="s">
        <v>536</v>
      </c>
      <c r="J45" s="6" t="s">
        <v>537</v>
      </c>
      <c r="K45" s="6" t="s">
        <v>538</v>
      </c>
      <c r="L45" s="6" t="s">
        <v>539</v>
      </c>
      <c r="M45" s="6" t="s">
        <v>540</v>
      </c>
      <c r="N45" s="6" t="s">
        <v>541</v>
      </c>
      <c r="O45" s="6" t="s">
        <v>542</v>
      </c>
      <c r="P45" s="6" t="s">
        <v>543</v>
      </c>
      <c r="Q45" s="6"/>
    </row>
    <row r="46" spans="1:17" ht="409.6" x14ac:dyDescent="0.2">
      <c r="A46" s="8" t="s">
        <v>544</v>
      </c>
      <c r="B46" s="6" t="s">
        <v>15</v>
      </c>
      <c r="C46" s="6"/>
      <c r="D46" s="6"/>
      <c r="E46" s="13" t="s">
        <v>545</v>
      </c>
      <c r="F46" s="13" t="s">
        <v>546</v>
      </c>
      <c r="G46" s="13" t="s">
        <v>77</v>
      </c>
      <c r="H46" s="6" t="s">
        <v>547</v>
      </c>
      <c r="I46" s="14" t="s">
        <v>548</v>
      </c>
      <c r="J46" s="6" t="s">
        <v>549</v>
      </c>
      <c r="K46" s="6" t="s">
        <v>550</v>
      </c>
      <c r="L46" s="6" t="s">
        <v>551</v>
      </c>
      <c r="M46" s="6" t="s">
        <v>552</v>
      </c>
      <c r="N46" s="6" t="s">
        <v>553</v>
      </c>
      <c r="O46" s="6" t="s">
        <v>554</v>
      </c>
      <c r="P46" s="6" t="s">
        <v>555</v>
      </c>
      <c r="Q46" s="8"/>
    </row>
    <row r="47" spans="1:17" ht="409.6" x14ac:dyDescent="0.2">
      <c r="A47" s="8" t="s">
        <v>556</v>
      </c>
      <c r="B47" s="73" t="s">
        <v>557</v>
      </c>
      <c r="C47" s="73"/>
      <c r="D47" s="73"/>
      <c r="E47" s="3" t="s">
        <v>558</v>
      </c>
      <c r="F47" s="3" t="s">
        <v>559</v>
      </c>
      <c r="G47" s="5" t="s">
        <v>560</v>
      </c>
      <c r="H47" s="6" t="s">
        <v>561</v>
      </c>
      <c r="I47" s="7" t="s">
        <v>562</v>
      </c>
      <c r="J47" s="6" t="s">
        <v>563</v>
      </c>
      <c r="K47" s="6" t="s">
        <v>564</v>
      </c>
      <c r="L47" s="6" t="s">
        <v>565</v>
      </c>
      <c r="M47" s="6" t="s">
        <v>566</v>
      </c>
      <c r="N47" s="6" t="s">
        <v>567</v>
      </c>
      <c r="O47" s="2" t="s">
        <v>568</v>
      </c>
      <c r="P47" s="6" t="s">
        <v>569</v>
      </c>
      <c r="Q47" s="8"/>
    </row>
    <row r="48" spans="1:17" ht="409.6" x14ac:dyDescent="0.2">
      <c r="A48" s="8" t="s">
        <v>570</v>
      </c>
      <c r="B48" s="73" t="s">
        <v>571</v>
      </c>
      <c r="C48" s="73"/>
      <c r="D48" s="73"/>
      <c r="E48" s="3" t="s">
        <v>129</v>
      </c>
      <c r="F48" s="3" t="s">
        <v>130</v>
      </c>
      <c r="G48" s="5" t="s">
        <v>572</v>
      </c>
      <c r="H48" s="7" t="s">
        <v>573</v>
      </c>
      <c r="I48" s="7" t="s">
        <v>574</v>
      </c>
      <c r="J48" s="7" t="s">
        <v>575</v>
      </c>
      <c r="K48" s="2" t="s">
        <v>576</v>
      </c>
      <c r="L48" s="7" t="s">
        <v>237</v>
      </c>
      <c r="M48" s="2" t="s">
        <v>577</v>
      </c>
      <c r="N48" s="3" t="s">
        <v>578</v>
      </c>
      <c r="O48" s="2" t="s">
        <v>579</v>
      </c>
      <c r="P48" s="3" t="s">
        <v>580</v>
      </c>
      <c r="Q48" s="8"/>
    </row>
    <row r="49" spans="1:17" ht="409.6" x14ac:dyDescent="0.2">
      <c r="A49" s="8" t="s">
        <v>581</v>
      </c>
      <c r="B49" s="73" t="s">
        <v>128</v>
      </c>
      <c r="C49" s="73"/>
      <c r="D49" s="73"/>
      <c r="E49" s="3" t="s">
        <v>156</v>
      </c>
      <c r="F49" s="3" t="s">
        <v>582</v>
      </c>
      <c r="G49" s="5" t="s">
        <v>18</v>
      </c>
      <c r="H49" s="6" t="s">
        <v>158</v>
      </c>
      <c r="I49" s="6" t="s">
        <v>159</v>
      </c>
      <c r="J49" s="6" t="s">
        <v>160</v>
      </c>
      <c r="K49" s="6" t="s">
        <v>161</v>
      </c>
      <c r="L49" s="6" t="s">
        <v>162</v>
      </c>
      <c r="M49" s="6" t="s">
        <v>583</v>
      </c>
      <c r="N49" s="6" t="s">
        <v>164</v>
      </c>
      <c r="O49" s="6" t="s">
        <v>165</v>
      </c>
      <c r="P49" s="6" t="s">
        <v>166</v>
      </c>
      <c r="Q49" s="6"/>
    </row>
    <row r="50" spans="1:17" ht="409.6" x14ac:dyDescent="0.2">
      <c r="A50" s="8" t="s">
        <v>584</v>
      </c>
      <c r="B50" s="73" t="s">
        <v>128</v>
      </c>
      <c r="C50" s="73"/>
      <c r="D50" s="73"/>
      <c r="E50" s="2" t="s">
        <v>168</v>
      </c>
      <c r="F50" s="2" t="s">
        <v>585</v>
      </c>
      <c r="G50" s="2" t="s">
        <v>586</v>
      </c>
      <c r="H50" s="2" t="s">
        <v>171</v>
      </c>
      <c r="I50" s="2" t="s">
        <v>172</v>
      </c>
      <c r="J50" s="2" t="s">
        <v>173</v>
      </c>
      <c r="K50" s="2" t="s">
        <v>174</v>
      </c>
      <c r="L50" s="2" t="s">
        <v>175</v>
      </c>
      <c r="M50" s="2" t="s">
        <v>587</v>
      </c>
      <c r="N50" s="2" t="s">
        <v>177</v>
      </c>
      <c r="O50" s="2" t="s">
        <v>178</v>
      </c>
      <c r="P50" s="6" t="s">
        <v>179</v>
      </c>
      <c r="Q50" s="2"/>
    </row>
    <row r="51" spans="1:17" ht="409.6" x14ac:dyDescent="0.2">
      <c r="A51" s="8" t="s">
        <v>588</v>
      </c>
      <c r="B51" s="73" t="s">
        <v>418</v>
      </c>
      <c r="C51" s="73"/>
      <c r="D51" s="73"/>
      <c r="E51" s="2" t="s">
        <v>589</v>
      </c>
      <c r="F51" s="2" t="s">
        <v>590</v>
      </c>
      <c r="G51" s="2" t="s">
        <v>591</v>
      </c>
      <c r="H51" s="2" t="s">
        <v>592</v>
      </c>
      <c r="I51" s="2" t="s">
        <v>593</v>
      </c>
      <c r="J51" s="2" t="s">
        <v>594</v>
      </c>
      <c r="K51" s="2" t="s">
        <v>595</v>
      </c>
      <c r="L51" s="2" t="s">
        <v>596</v>
      </c>
      <c r="M51" s="2" t="s">
        <v>597</v>
      </c>
      <c r="N51" s="2" t="s">
        <v>598</v>
      </c>
      <c r="O51" s="2" t="s">
        <v>599</v>
      </c>
      <c r="P51" s="2" t="s">
        <v>600</v>
      </c>
      <c r="Q51" s="6" t="s">
        <v>53</v>
      </c>
    </row>
    <row r="52" spans="1:17" ht="409.6" x14ac:dyDescent="0.2">
      <c r="A52" s="8" t="s">
        <v>601</v>
      </c>
      <c r="B52" s="6" t="s">
        <v>602</v>
      </c>
      <c r="C52" s="6"/>
      <c r="D52" s="6"/>
      <c r="E52" s="2" t="s">
        <v>603</v>
      </c>
      <c r="F52" s="2" t="s">
        <v>604</v>
      </c>
      <c r="G52" s="15" t="s">
        <v>605</v>
      </c>
      <c r="H52" s="2" t="s">
        <v>606</v>
      </c>
      <c r="I52" s="2" t="s">
        <v>607</v>
      </c>
      <c r="J52" s="2" t="s">
        <v>608</v>
      </c>
      <c r="K52" s="2" t="s">
        <v>609</v>
      </c>
      <c r="L52" s="2" t="s">
        <v>610</v>
      </c>
      <c r="M52" s="2" t="s">
        <v>611</v>
      </c>
      <c r="N52" s="10" t="s">
        <v>612</v>
      </c>
      <c r="O52" s="2" t="s">
        <v>613</v>
      </c>
      <c r="P52" s="2" t="s">
        <v>614</v>
      </c>
      <c r="Q52" s="8"/>
    </row>
    <row r="53" spans="1:17" ht="409.6" x14ac:dyDescent="0.2">
      <c r="A53" s="8" t="s">
        <v>615</v>
      </c>
      <c r="B53" s="6" t="s">
        <v>616</v>
      </c>
      <c r="C53" s="6"/>
      <c r="D53" s="6"/>
      <c r="E53" s="9" t="s">
        <v>617</v>
      </c>
      <c r="F53" s="9" t="s">
        <v>618</v>
      </c>
      <c r="G53" s="14" t="s">
        <v>619</v>
      </c>
      <c r="H53" s="9" t="s">
        <v>620</v>
      </c>
      <c r="I53" s="9" t="s">
        <v>621</v>
      </c>
      <c r="J53" s="9" t="s">
        <v>622</v>
      </c>
      <c r="K53" s="9" t="s">
        <v>623</v>
      </c>
      <c r="L53" s="9" t="s">
        <v>624</v>
      </c>
      <c r="M53" s="9" t="s">
        <v>625</v>
      </c>
      <c r="N53" s="10" t="s">
        <v>626</v>
      </c>
      <c r="O53" s="9" t="s">
        <v>627</v>
      </c>
      <c r="P53" s="9" t="s">
        <v>628</v>
      </c>
      <c r="Q53" s="9"/>
    </row>
    <row r="54" spans="1:17" ht="409.6" x14ac:dyDescent="0.2">
      <c r="A54" s="8" t="s">
        <v>629</v>
      </c>
      <c r="B54" s="6"/>
      <c r="C54" s="6"/>
      <c r="D54" s="6"/>
      <c r="E54" s="2" t="s">
        <v>630</v>
      </c>
      <c r="F54" s="2" t="s">
        <v>631</v>
      </c>
      <c r="G54" s="15" t="s">
        <v>619</v>
      </c>
      <c r="H54" s="2" t="s">
        <v>632</v>
      </c>
      <c r="I54" s="2" t="s">
        <v>633</v>
      </c>
      <c r="J54" s="2" t="s">
        <v>634</v>
      </c>
      <c r="K54" s="2" t="s">
        <v>635</v>
      </c>
      <c r="L54" s="2" t="s">
        <v>636</v>
      </c>
      <c r="M54" s="2" t="s">
        <v>637</v>
      </c>
      <c r="N54" s="10" t="s">
        <v>190</v>
      </c>
      <c r="O54" s="2" t="s">
        <v>638</v>
      </c>
      <c r="P54" s="2" t="s">
        <v>639</v>
      </c>
      <c r="Q54" s="8"/>
    </row>
    <row r="55" spans="1:17" ht="409.6" x14ac:dyDescent="0.2">
      <c r="A55" s="8" t="s">
        <v>640</v>
      </c>
      <c r="B55" s="73" t="s">
        <v>641</v>
      </c>
      <c r="C55" s="73"/>
      <c r="D55" s="73"/>
      <c r="E55" s="2" t="s">
        <v>642</v>
      </c>
      <c r="F55" s="2" t="s">
        <v>643</v>
      </c>
      <c r="G55" s="15" t="s">
        <v>619</v>
      </c>
      <c r="H55" s="2" t="s">
        <v>644</v>
      </c>
      <c r="I55" s="2" t="s">
        <v>645</v>
      </c>
      <c r="J55" s="2" t="s">
        <v>646</v>
      </c>
      <c r="K55" s="2" t="s">
        <v>647</v>
      </c>
      <c r="L55" s="2" t="s">
        <v>648</v>
      </c>
      <c r="M55" s="2" t="s">
        <v>370</v>
      </c>
      <c r="N55" s="10" t="s">
        <v>649</v>
      </c>
      <c r="O55" s="2" t="s">
        <v>650</v>
      </c>
      <c r="P55" s="2" t="s">
        <v>651</v>
      </c>
      <c r="Q55" s="8"/>
    </row>
    <row r="56" spans="1:17" ht="409.6" x14ac:dyDescent="0.2">
      <c r="A56" s="8" t="s">
        <v>652</v>
      </c>
      <c r="B56" s="6" t="s">
        <v>418</v>
      </c>
      <c r="C56" s="6"/>
      <c r="D56" s="6"/>
      <c r="E56" s="2" t="s">
        <v>630</v>
      </c>
      <c r="F56" s="9" t="s">
        <v>653</v>
      </c>
      <c r="G56" s="15" t="s">
        <v>619</v>
      </c>
      <c r="H56" s="9" t="s">
        <v>654</v>
      </c>
      <c r="I56" s="9" t="s">
        <v>655</v>
      </c>
      <c r="J56" s="9" t="s">
        <v>656</v>
      </c>
      <c r="K56" s="9" t="s">
        <v>657</v>
      </c>
      <c r="L56" s="9" t="s">
        <v>658</v>
      </c>
      <c r="M56" s="9" t="s">
        <v>659</v>
      </c>
      <c r="N56" s="10" t="s">
        <v>660</v>
      </c>
      <c r="O56" s="9" t="s">
        <v>661</v>
      </c>
      <c r="P56" s="9" t="s">
        <v>662</v>
      </c>
      <c r="Q56" s="9"/>
    </row>
    <row r="57" spans="1:17" ht="409.6" x14ac:dyDescent="0.2">
      <c r="A57" s="8" t="s">
        <v>663</v>
      </c>
      <c r="B57" s="6" t="s">
        <v>155</v>
      </c>
      <c r="C57" s="6"/>
      <c r="D57" s="6"/>
      <c r="E57" s="9" t="s">
        <v>664</v>
      </c>
      <c r="F57" s="9" t="s">
        <v>665</v>
      </c>
      <c r="G57" s="14" t="s">
        <v>666</v>
      </c>
      <c r="H57" s="9" t="s">
        <v>654</v>
      </c>
      <c r="I57" s="9" t="s">
        <v>667</v>
      </c>
      <c r="J57" s="9" t="s">
        <v>668</v>
      </c>
      <c r="K57" s="9" t="s">
        <v>669</v>
      </c>
      <c r="L57" s="9" t="s">
        <v>670</v>
      </c>
      <c r="M57" s="9" t="s">
        <v>671</v>
      </c>
      <c r="N57" s="10" t="s">
        <v>672</v>
      </c>
      <c r="O57" s="9" t="s">
        <v>673</v>
      </c>
      <c r="P57" s="9" t="s">
        <v>674</v>
      </c>
      <c r="Q57" s="9"/>
    </row>
    <row r="58" spans="1:17" ht="409.6" x14ac:dyDescent="0.2">
      <c r="A58" s="26" t="s">
        <v>675</v>
      </c>
      <c r="B58" s="75" t="s">
        <v>418</v>
      </c>
      <c r="C58" s="75"/>
      <c r="D58" s="75"/>
      <c r="E58" s="23" t="s">
        <v>642</v>
      </c>
      <c r="F58" s="23" t="s">
        <v>643</v>
      </c>
      <c r="G58" s="24" t="s">
        <v>619</v>
      </c>
      <c r="H58" s="23" t="s">
        <v>644</v>
      </c>
      <c r="I58" s="23" t="s">
        <v>645</v>
      </c>
      <c r="J58" s="23" t="s">
        <v>646</v>
      </c>
      <c r="K58" s="23" t="s">
        <v>647</v>
      </c>
      <c r="L58" s="23" t="s">
        <v>648</v>
      </c>
      <c r="M58" s="23" t="s">
        <v>370</v>
      </c>
      <c r="N58" s="25" t="s">
        <v>649</v>
      </c>
      <c r="O58" s="23" t="s">
        <v>650</v>
      </c>
      <c r="P58" s="23" t="s">
        <v>651</v>
      </c>
      <c r="Q58" s="26"/>
    </row>
    <row r="59" spans="1:17" ht="409.6" x14ac:dyDescent="0.2">
      <c r="A59" s="26" t="s">
        <v>676</v>
      </c>
      <c r="B59" s="76" t="s">
        <v>155</v>
      </c>
      <c r="C59" s="76"/>
      <c r="D59" s="76"/>
      <c r="E59" s="23" t="s">
        <v>677</v>
      </c>
      <c r="F59" s="23" t="s">
        <v>678</v>
      </c>
      <c r="G59" s="24" t="s">
        <v>53</v>
      </c>
      <c r="H59" s="23" t="s">
        <v>679</v>
      </c>
      <c r="I59" s="23" t="s">
        <v>680</v>
      </c>
      <c r="J59" s="23" t="s">
        <v>681</v>
      </c>
      <c r="K59" s="23" t="s">
        <v>682</v>
      </c>
      <c r="L59" s="23" t="s">
        <v>683</v>
      </c>
      <c r="M59" s="23" t="s">
        <v>684</v>
      </c>
      <c r="N59" s="25" t="s">
        <v>649</v>
      </c>
      <c r="O59" s="23" t="s">
        <v>685</v>
      </c>
      <c r="P59" s="23" t="s">
        <v>686</v>
      </c>
      <c r="Q59" s="26" t="s">
        <v>53</v>
      </c>
    </row>
    <row r="60" spans="1:17" ht="409.6" x14ac:dyDescent="0.2">
      <c r="A60" s="8" t="s">
        <v>687</v>
      </c>
      <c r="B60" s="6" t="s">
        <v>688</v>
      </c>
      <c r="C60" s="6"/>
      <c r="D60" s="6"/>
      <c r="E60" s="9" t="s">
        <v>689</v>
      </c>
      <c r="F60" s="9" t="s">
        <v>690</v>
      </c>
      <c r="G60" s="14" t="s">
        <v>691</v>
      </c>
      <c r="H60" s="9" t="s">
        <v>692</v>
      </c>
      <c r="I60" s="9" t="s">
        <v>435</v>
      </c>
      <c r="J60" s="9" t="s">
        <v>693</v>
      </c>
      <c r="K60" s="9" t="s">
        <v>694</v>
      </c>
      <c r="L60" s="9" t="s">
        <v>695</v>
      </c>
      <c r="M60" s="9" t="s">
        <v>696</v>
      </c>
      <c r="N60" s="10" t="s">
        <v>697</v>
      </c>
      <c r="O60" s="9" t="s">
        <v>698</v>
      </c>
      <c r="P60" s="9" t="s">
        <v>699</v>
      </c>
      <c r="Q60" s="9"/>
    </row>
    <row r="61" spans="1:17" ht="409.6" x14ac:dyDescent="0.2">
      <c r="A61" s="8" t="s">
        <v>700</v>
      </c>
      <c r="B61" s="73" t="s">
        <v>701</v>
      </c>
      <c r="C61" s="73"/>
      <c r="D61" s="73"/>
      <c r="E61" s="3" t="s">
        <v>156</v>
      </c>
      <c r="F61" s="3" t="s">
        <v>702</v>
      </c>
      <c r="G61" s="5" t="s">
        <v>703</v>
      </c>
      <c r="H61" s="6" t="s">
        <v>704</v>
      </c>
      <c r="I61" s="6" t="s">
        <v>705</v>
      </c>
      <c r="J61" s="6" t="s">
        <v>706</v>
      </c>
      <c r="K61" s="6" t="s">
        <v>707</v>
      </c>
      <c r="L61" s="6" t="s">
        <v>708</v>
      </c>
      <c r="M61" s="6" t="s">
        <v>709</v>
      </c>
      <c r="N61" s="6" t="s">
        <v>494</v>
      </c>
      <c r="O61" s="6" t="s">
        <v>53</v>
      </c>
      <c r="P61" s="6" t="s">
        <v>710</v>
      </c>
      <c r="Q61" s="6"/>
    </row>
    <row r="62" spans="1:17" ht="409.6" x14ac:dyDescent="0.2">
      <c r="A62" s="8" t="s">
        <v>711</v>
      </c>
      <c r="B62" s="76" t="s">
        <v>418</v>
      </c>
      <c r="C62" s="76"/>
      <c r="D62" s="76"/>
      <c r="E62" s="2" t="s">
        <v>712</v>
      </c>
      <c r="F62" s="2" t="s">
        <v>713</v>
      </c>
      <c r="G62" s="2" t="s">
        <v>18</v>
      </c>
      <c r="H62" s="2" t="s">
        <v>19</v>
      </c>
      <c r="I62" s="2" t="s">
        <v>714</v>
      </c>
      <c r="J62" s="2" t="s">
        <v>715</v>
      </c>
      <c r="K62" s="2" t="s">
        <v>716</v>
      </c>
      <c r="L62" s="2" t="s">
        <v>717</v>
      </c>
      <c r="M62" s="2" t="s">
        <v>718</v>
      </c>
      <c r="N62" s="2" t="s">
        <v>598</v>
      </c>
      <c r="O62" s="2" t="s">
        <v>719</v>
      </c>
      <c r="P62" s="2" t="s">
        <v>600</v>
      </c>
      <c r="Q62" s="2"/>
    </row>
    <row r="63" spans="1:17" ht="409.6" x14ac:dyDescent="0.2">
      <c r="A63" s="8" t="s">
        <v>720</v>
      </c>
      <c r="B63" s="73" t="s">
        <v>75</v>
      </c>
      <c r="C63" s="73"/>
      <c r="D63" s="73"/>
      <c r="E63" s="2" t="s">
        <v>712</v>
      </c>
      <c r="F63" s="2" t="s">
        <v>721</v>
      </c>
      <c r="G63" s="2" t="s">
        <v>722</v>
      </c>
      <c r="H63" s="2" t="s">
        <v>723</v>
      </c>
      <c r="I63" s="2" t="s">
        <v>724</v>
      </c>
      <c r="J63" s="2" t="s">
        <v>725</v>
      </c>
      <c r="K63" s="2" t="s">
        <v>726</v>
      </c>
      <c r="L63" s="2" t="s">
        <v>727</v>
      </c>
      <c r="M63" s="2" t="s">
        <v>728</v>
      </c>
      <c r="N63" s="2" t="s">
        <v>729</v>
      </c>
      <c r="O63" s="2" t="s">
        <v>730</v>
      </c>
      <c r="P63" s="2" t="s">
        <v>731</v>
      </c>
      <c r="Q63" s="9"/>
    </row>
    <row r="64" spans="1:17" ht="409.6" x14ac:dyDescent="0.2">
      <c r="A64" s="8" t="s">
        <v>732</v>
      </c>
      <c r="B64" s="73" t="s">
        <v>418</v>
      </c>
      <c r="C64" s="73"/>
      <c r="D64" s="73"/>
      <c r="E64" s="2" t="s">
        <v>353</v>
      </c>
      <c r="F64" s="2" t="s">
        <v>733</v>
      </c>
      <c r="G64" s="2" t="s">
        <v>734</v>
      </c>
      <c r="H64" s="2" t="s">
        <v>735</v>
      </c>
      <c r="I64" s="2" t="s">
        <v>736</v>
      </c>
      <c r="J64" s="2" t="s">
        <v>737</v>
      </c>
      <c r="K64" s="2" t="s">
        <v>738</v>
      </c>
      <c r="L64" s="2" t="s">
        <v>739</v>
      </c>
      <c r="M64" s="2" t="s">
        <v>740</v>
      </c>
      <c r="N64" s="2" t="s">
        <v>741</v>
      </c>
      <c r="O64" s="2" t="s">
        <v>742</v>
      </c>
      <c r="P64" s="2" t="s">
        <v>743</v>
      </c>
      <c r="Q64" s="2"/>
    </row>
    <row r="65" spans="1:17" ht="409.6" x14ac:dyDescent="0.2">
      <c r="A65" s="8" t="s">
        <v>744</v>
      </c>
      <c r="B65" s="73" t="s">
        <v>128</v>
      </c>
      <c r="C65" s="73"/>
      <c r="D65" s="73"/>
      <c r="E65" s="2" t="s">
        <v>745</v>
      </c>
      <c r="F65" s="2" t="s">
        <v>746</v>
      </c>
      <c r="G65" s="2" t="s">
        <v>747</v>
      </c>
      <c r="H65" s="2" t="s">
        <v>748</v>
      </c>
      <c r="I65" s="2" t="s">
        <v>749</v>
      </c>
      <c r="J65" s="2" t="s">
        <v>750</v>
      </c>
      <c r="K65" s="2" t="s">
        <v>751</v>
      </c>
      <c r="L65" s="2" t="s">
        <v>752</v>
      </c>
      <c r="M65" s="2" t="s">
        <v>753</v>
      </c>
      <c r="N65" s="2" t="s">
        <v>754</v>
      </c>
      <c r="O65" s="2" t="s">
        <v>755</v>
      </c>
      <c r="P65" s="2" t="s">
        <v>756</v>
      </c>
      <c r="Q65" s="2"/>
    </row>
    <row r="66" spans="1:17" ht="409.6" x14ac:dyDescent="0.2">
      <c r="A66" s="8" t="s">
        <v>757</v>
      </c>
      <c r="B66" s="73" t="s">
        <v>128</v>
      </c>
      <c r="C66" s="73"/>
      <c r="D66" s="73"/>
      <c r="E66" s="2" t="s">
        <v>758</v>
      </c>
      <c r="F66" s="2" t="s">
        <v>759</v>
      </c>
      <c r="G66" s="2" t="s">
        <v>760</v>
      </c>
      <c r="H66" s="2" t="s">
        <v>761</v>
      </c>
      <c r="I66" s="2" t="s">
        <v>762</v>
      </c>
      <c r="J66" s="2" t="s">
        <v>763</v>
      </c>
      <c r="K66" s="2" t="s">
        <v>764</v>
      </c>
      <c r="L66" s="2" t="s">
        <v>765</v>
      </c>
      <c r="M66" s="2" t="s">
        <v>766</v>
      </c>
      <c r="N66" s="2" t="s">
        <v>767</v>
      </c>
      <c r="O66" s="2" t="s">
        <v>768</v>
      </c>
      <c r="P66" s="2" t="s">
        <v>769</v>
      </c>
      <c r="Q66" s="2"/>
    </row>
    <row r="67" spans="1:17" ht="409.6" x14ac:dyDescent="0.2">
      <c r="A67" s="8" t="s">
        <v>770</v>
      </c>
      <c r="B67" s="73" t="s">
        <v>216</v>
      </c>
      <c r="C67" s="73"/>
      <c r="D67" s="73"/>
      <c r="E67" s="2" t="s">
        <v>771</v>
      </c>
      <c r="F67" s="2" t="s">
        <v>772</v>
      </c>
      <c r="G67" s="2" t="s">
        <v>722</v>
      </c>
      <c r="H67" s="2" t="s">
        <v>773</v>
      </c>
      <c r="I67" s="2" t="s">
        <v>774</v>
      </c>
      <c r="J67" s="2" t="s">
        <v>775</v>
      </c>
      <c r="K67" s="2" t="s">
        <v>776</v>
      </c>
      <c r="L67" s="2" t="s">
        <v>777</v>
      </c>
      <c r="M67" s="2" t="s">
        <v>778</v>
      </c>
      <c r="N67" s="2" t="s">
        <v>779</v>
      </c>
      <c r="O67" s="2" t="s">
        <v>780</v>
      </c>
      <c r="P67" s="2" t="s">
        <v>781</v>
      </c>
      <c r="Q67" s="9"/>
    </row>
    <row r="68" spans="1:17" ht="409.6" x14ac:dyDescent="0.2">
      <c r="A68" s="8" t="s">
        <v>782</v>
      </c>
      <c r="B68" s="73" t="s">
        <v>418</v>
      </c>
      <c r="C68" s="73"/>
      <c r="D68" s="73"/>
      <c r="E68" s="3" t="s">
        <v>677</v>
      </c>
      <c r="F68" s="3" t="s">
        <v>783</v>
      </c>
      <c r="G68" s="5" t="s">
        <v>784</v>
      </c>
      <c r="H68" s="6" t="s">
        <v>785</v>
      </c>
      <c r="I68" s="6" t="s">
        <v>786</v>
      </c>
      <c r="J68" s="6" t="s">
        <v>787</v>
      </c>
      <c r="K68" s="6" t="s">
        <v>788</v>
      </c>
      <c r="L68" s="6" t="s">
        <v>789</v>
      </c>
      <c r="M68" s="6" t="s">
        <v>790</v>
      </c>
      <c r="N68" s="6" t="s">
        <v>791</v>
      </c>
      <c r="O68" s="6" t="s">
        <v>792</v>
      </c>
      <c r="P68" s="6" t="s">
        <v>793</v>
      </c>
      <c r="Q68" s="6"/>
    </row>
    <row r="69" spans="1:17" ht="409.6" x14ac:dyDescent="0.2">
      <c r="A69" s="8" t="s">
        <v>794</v>
      </c>
      <c r="B69" s="73" t="s">
        <v>128</v>
      </c>
      <c r="C69" s="73"/>
      <c r="D69" s="73"/>
      <c r="E69" s="3" t="s">
        <v>795</v>
      </c>
      <c r="F69" s="3" t="s">
        <v>796</v>
      </c>
      <c r="G69" s="5" t="s">
        <v>797</v>
      </c>
      <c r="H69" s="6" t="s">
        <v>798</v>
      </c>
      <c r="I69" s="6" t="s">
        <v>799</v>
      </c>
      <c r="J69" s="6" t="s">
        <v>800</v>
      </c>
      <c r="K69" s="6" t="s">
        <v>801</v>
      </c>
      <c r="L69" s="6" t="s">
        <v>802</v>
      </c>
      <c r="M69" s="6" t="s">
        <v>803</v>
      </c>
      <c r="N69" s="6" t="s">
        <v>804</v>
      </c>
      <c r="O69" s="6" t="s">
        <v>805</v>
      </c>
      <c r="P69" s="6" t="s">
        <v>806</v>
      </c>
      <c r="Q69" s="6"/>
    </row>
    <row r="70" spans="1:17" ht="409.6" x14ac:dyDescent="0.2">
      <c r="A70" s="8" t="s">
        <v>807</v>
      </c>
      <c r="B70" s="73" t="s">
        <v>51</v>
      </c>
      <c r="C70" s="73"/>
      <c r="D70" s="73"/>
      <c r="E70" s="9" t="s">
        <v>808</v>
      </c>
      <c r="F70" s="9" t="s">
        <v>809</v>
      </c>
      <c r="G70" s="14" t="s">
        <v>194</v>
      </c>
      <c r="H70" s="9" t="s">
        <v>810</v>
      </c>
      <c r="I70" s="9" t="s">
        <v>811</v>
      </c>
      <c r="J70" s="9" t="s">
        <v>812</v>
      </c>
      <c r="K70" s="9" t="s">
        <v>813</v>
      </c>
      <c r="L70" s="9" t="s">
        <v>814</v>
      </c>
      <c r="M70" s="9" t="s">
        <v>815</v>
      </c>
      <c r="N70" s="9" t="s">
        <v>816</v>
      </c>
      <c r="O70" s="6" t="s">
        <v>817</v>
      </c>
      <c r="P70" s="9" t="s">
        <v>818</v>
      </c>
      <c r="Q70" s="9"/>
    </row>
    <row r="71" spans="1:17" ht="409.6" x14ac:dyDescent="0.2">
      <c r="A71" s="8" t="s">
        <v>819</v>
      </c>
      <c r="B71" s="6" t="s">
        <v>51</v>
      </c>
      <c r="C71" s="6"/>
      <c r="D71" s="6"/>
      <c r="E71" s="13" t="s">
        <v>820</v>
      </c>
      <c r="F71" s="9" t="s">
        <v>821</v>
      </c>
      <c r="G71" s="14" t="s">
        <v>822</v>
      </c>
      <c r="H71" s="9" t="s">
        <v>810</v>
      </c>
      <c r="I71" s="9" t="s">
        <v>811</v>
      </c>
      <c r="J71" s="9" t="s">
        <v>812</v>
      </c>
      <c r="K71" s="9" t="s">
        <v>813</v>
      </c>
      <c r="L71" s="9" t="s">
        <v>814</v>
      </c>
      <c r="M71" s="9" t="s">
        <v>823</v>
      </c>
      <c r="N71" s="9" t="s">
        <v>816</v>
      </c>
      <c r="O71" s="6" t="s">
        <v>817</v>
      </c>
      <c r="P71" s="9" t="s">
        <v>818</v>
      </c>
      <c r="Q71" s="9" t="s">
        <v>53</v>
      </c>
    </row>
    <row r="72" spans="1:17" ht="409.6" x14ac:dyDescent="0.2">
      <c r="A72" s="8" t="s">
        <v>824</v>
      </c>
      <c r="B72" s="73" t="s">
        <v>825</v>
      </c>
      <c r="C72" s="73"/>
      <c r="D72" s="73"/>
      <c r="E72" s="2" t="s">
        <v>353</v>
      </c>
      <c r="F72" s="2" t="s">
        <v>182</v>
      </c>
      <c r="G72" s="15" t="s">
        <v>364</v>
      </c>
      <c r="H72" s="2" t="s">
        <v>365</v>
      </c>
      <c r="I72" s="2" t="s">
        <v>366</v>
      </c>
      <c r="J72" s="2" t="s">
        <v>367</v>
      </c>
      <c r="K72" s="2" t="s">
        <v>368</v>
      </c>
      <c r="L72" s="2" t="s">
        <v>369</v>
      </c>
      <c r="M72" s="2" t="s">
        <v>370</v>
      </c>
      <c r="N72" s="2" t="s">
        <v>371</v>
      </c>
      <c r="O72" s="6" t="s">
        <v>372</v>
      </c>
      <c r="P72" s="2" t="s">
        <v>373</v>
      </c>
      <c r="Q72" s="2"/>
    </row>
    <row r="73" spans="1:17" ht="409.6" x14ac:dyDescent="0.2">
      <c r="A73" s="8" t="s">
        <v>675</v>
      </c>
      <c r="B73" s="73" t="s">
        <v>826</v>
      </c>
      <c r="C73" s="73"/>
      <c r="D73" s="73"/>
      <c r="E73" s="2" t="s">
        <v>642</v>
      </c>
      <c r="F73" s="2" t="s">
        <v>643</v>
      </c>
      <c r="G73" s="15" t="s">
        <v>619</v>
      </c>
      <c r="H73" s="2" t="s">
        <v>644</v>
      </c>
      <c r="I73" s="2" t="s">
        <v>645</v>
      </c>
      <c r="J73" s="2" t="s">
        <v>646</v>
      </c>
      <c r="K73" s="2" t="s">
        <v>647</v>
      </c>
      <c r="L73" s="2" t="s">
        <v>648</v>
      </c>
      <c r="M73" s="2" t="s">
        <v>370</v>
      </c>
      <c r="N73" s="10" t="s">
        <v>649</v>
      </c>
      <c r="O73" s="2" t="s">
        <v>650</v>
      </c>
      <c r="P73" s="2" t="s">
        <v>651</v>
      </c>
      <c r="Q73" s="8"/>
    </row>
    <row r="74" spans="1:17" ht="409.6" x14ac:dyDescent="0.2">
      <c r="A74" s="8" t="s">
        <v>265</v>
      </c>
      <c r="B74" s="6" t="s">
        <v>827</v>
      </c>
      <c r="C74" s="6"/>
      <c r="D74" s="6"/>
      <c r="E74" s="2" t="s">
        <v>266</v>
      </c>
      <c r="F74" s="2" t="s">
        <v>267</v>
      </c>
      <c r="G74" s="15" t="s">
        <v>268</v>
      </c>
      <c r="H74" s="2" t="s">
        <v>269</v>
      </c>
      <c r="I74" s="2" t="s">
        <v>270</v>
      </c>
      <c r="J74" s="2" t="s">
        <v>271</v>
      </c>
      <c r="K74" s="2" t="s">
        <v>272</v>
      </c>
      <c r="L74" s="2" t="s">
        <v>273</v>
      </c>
      <c r="M74" s="2" t="s">
        <v>274</v>
      </c>
      <c r="N74" s="10" t="s">
        <v>275</v>
      </c>
      <c r="O74" s="2" t="s">
        <v>276</v>
      </c>
      <c r="P74" s="2" t="s">
        <v>277</v>
      </c>
    </row>
    <row r="75" spans="1:17" ht="409.6" x14ac:dyDescent="0.2">
      <c r="A75" s="8" t="s">
        <v>291</v>
      </c>
      <c r="B75" s="6" t="s">
        <v>828</v>
      </c>
      <c r="C75" s="6"/>
      <c r="D75" s="6"/>
      <c r="E75" s="9" t="s">
        <v>293</v>
      </c>
      <c r="F75" s="9" t="s">
        <v>294</v>
      </c>
      <c r="G75" s="14" t="s">
        <v>295</v>
      </c>
      <c r="H75" s="9" t="s">
        <v>296</v>
      </c>
      <c r="I75" s="9" t="s">
        <v>297</v>
      </c>
      <c r="J75" s="9" t="s">
        <v>298</v>
      </c>
      <c r="K75" s="9" t="s">
        <v>299</v>
      </c>
      <c r="L75" s="9" t="s">
        <v>300</v>
      </c>
      <c r="M75" s="9" t="s">
        <v>301</v>
      </c>
      <c r="N75" s="10" t="s">
        <v>302</v>
      </c>
      <c r="O75" s="9" t="s">
        <v>303</v>
      </c>
      <c r="P75" s="9" t="s">
        <v>304</v>
      </c>
      <c r="Q75" s="9"/>
    </row>
    <row r="76" spans="1:17" ht="409.6" x14ac:dyDescent="0.2">
      <c r="A76" s="8" t="s">
        <v>687</v>
      </c>
      <c r="B76" s="6" t="s">
        <v>829</v>
      </c>
      <c r="C76" s="6"/>
      <c r="D76" s="6"/>
      <c r="E76" s="9" t="s">
        <v>689</v>
      </c>
      <c r="F76" s="9" t="s">
        <v>690</v>
      </c>
      <c r="G76" s="14" t="s">
        <v>691</v>
      </c>
      <c r="H76" s="9" t="s">
        <v>692</v>
      </c>
      <c r="I76" s="9" t="s">
        <v>435</v>
      </c>
      <c r="J76" s="9" t="s">
        <v>693</v>
      </c>
      <c r="K76" s="9" t="s">
        <v>694</v>
      </c>
      <c r="L76" s="9" t="s">
        <v>695</v>
      </c>
      <c r="M76" s="9" t="s">
        <v>696</v>
      </c>
      <c r="N76" s="10" t="s">
        <v>697</v>
      </c>
      <c r="O76" s="9" t="s">
        <v>698</v>
      </c>
      <c r="P76" s="9" t="s">
        <v>699</v>
      </c>
      <c r="Q76" s="9"/>
    </row>
    <row r="77" spans="1:17" ht="409.6" x14ac:dyDescent="0.2">
      <c r="A77" s="8" t="s">
        <v>496</v>
      </c>
      <c r="B77" s="73" t="s">
        <v>830</v>
      </c>
      <c r="C77" s="73"/>
      <c r="D77" s="73"/>
      <c r="E77" s="3" t="s">
        <v>498</v>
      </c>
      <c r="F77" s="3" t="s">
        <v>499</v>
      </c>
      <c r="G77" s="5" t="s">
        <v>53</v>
      </c>
      <c r="H77" s="6" t="s">
        <v>500</v>
      </c>
      <c r="I77" s="7" t="s">
        <v>501</v>
      </c>
      <c r="J77" s="6" t="s">
        <v>502</v>
      </c>
      <c r="K77" s="6" t="s">
        <v>503</v>
      </c>
      <c r="L77" s="6" t="s">
        <v>504</v>
      </c>
      <c r="M77" s="6" t="s">
        <v>505</v>
      </c>
      <c r="N77" s="6" t="s">
        <v>506</v>
      </c>
      <c r="O77" s="2" t="s">
        <v>507</v>
      </c>
      <c r="P77" s="6" t="s">
        <v>508</v>
      </c>
      <c r="Q77" s="8" t="s">
        <v>53</v>
      </c>
    </row>
    <row r="78" spans="1:17" ht="49" customHeight="1" x14ac:dyDescent="0.2">
      <c r="A78" s="82" t="s">
        <v>99</v>
      </c>
      <c r="B78" s="83"/>
      <c r="C78" s="73"/>
      <c r="D78" s="73"/>
      <c r="E78" s="84" t="s">
        <v>52</v>
      </c>
      <c r="F78" s="84" t="s">
        <v>831</v>
      </c>
      <c r="G78" s="85" t="s">
        <v>832</v>
      </c>
      <c r="H78" s="81" t="s">
        <v>833</v>
      </c>
      <c r="I78" s="88" t="s">
        <v>834</v>
      </c>
      <c r="J78" s="81" t="s">
        <v>835</v>
      </c>
      <c r="K78" s="81" t="s">
        <v>836</v>
      </c>
      <c r="L78" s="81" t="s">
        <v>837</v>
      </c>
      <c r="M78" s="81" t="s">
        <v>838</v>
      </c>
      <c r="N78" s="81" t="s">
        <v>839</v>
      </c>
      <c r="O78" s="86" t="s">
        <v>840</v>
      </c>
      <c r="P78" s="81" t="s">
        <v>841</v>
      </c>
      <c r="Q78" s="82"/>
    </row>
    <row r="79" spans="1:17" ht="251" customHeight="1" x14ac:dyDescent="0.2">
      <c r="A79" s="82"/>
      <c r="B79" s="83"/>
      <c r="C79" s="73"/>
      <c r="D79" s="73"/>
      <c r="E79" s="84"/>
      <c r="F79" s="84"/>
      <c r="G79" s="85"/>
      <c r="H79" s="81"/>
      <c r="I79" s="88"/>
      <c r="J79" s="81"/>
      <c r="K79" s="81"/>
      <c r="L79" s="81"/>
      <c r="M79" s="81"/>
      <c r="N79" s="81"/>
      <c r="O79" s="87"/>
      <c r="P79" s="81"/>
      <c r="Q79" s="82"/>
    </row>
    <row r="80" spans="1:17" ht="409.6" x14ac:dyDescent="0.2">
      <c r="A80" s="8" t="s">
        <v>50</v>
      </c>
      <c r="B80" s="73"/>
      <c r="C80" s="73"/>
      <c r="D80" s="73"/>
      <c r="E80" s="3" t="s">
        <v>52</v>
      </c>
      <c r="G80" s="5" t="s">
        <v>53</v>
      </c>
      <c r="H80" s="6" t="s">
        <v>54</v>
      </c>
      <c r="I80" s="7" t="s">
        <v>55</v>
      </c>
      <c r="J80" s="6" t="s">
        <v>56</v>
      </c>
      <c r="K80" s="6" t="s">
        <v>57</v>
      </c>
      <c r="L80" s="6" t="s">
        <v>58</v>
      </c>
      <c r="M80" s="6" t="s">
        <v>59</v>
      </c>
      <c r="N80" s="6" t="s">
        <v>53</v>
      </c>
      <c r="O80" s="2" t="s">
        <v>53</v>
      </c>
      <c r="P80" s="6" t="s">
        <v>60</v>
      </c>
      <c r="Q80" s="8" t="s">
        <v>53</v>
      </c>
    </row>
    <row r="81" spans="1:17" ht="409.6" x14ac:dyDescent="0.2">
      <c r="A81" s="8" t="s">
        <v>473</v>
      </c>
      <c r="B81" s="73"/>
      <c r="C81" s="73"/>
      <c r="D81" s="73"/>
      <c r="E81" s="3" t="s">
        <v>52</v>
      </c>
      <c r="F81" s="3" t="s">
        <v>475</v>
      </c>
      <c r="G81" s="5" t="s">
        <v>476</v>
      </c>
      <c r="H81" s="6" t="s">
        <v>477</v>
      </c>
      <c r="I81" s="7" t="s">
        <v>478</v>
      </c>
      <c r="J81" s="6" t="s">
        <v>479</v>
      </c>
      <c r="K81" s="6" t="s">
        <v>480</v>
      </c>
      <c r="L81" s="6" t="s">
        <v>481</v>
      </c>
      <c r="M81" s="6" t="s">
        <v>482</v>
      </c>
      <c r="N81" s="6" t="s">
        <v>483</v>
      </c>
      <c r="O81" s="2" t="s">
        <v>484</v>
      </c>
      <c r="P81" s="6" t="s">
        <v>485</v>
      </c>
      <c r="Q81" s="8"/>
    </row>
    <row r="82" spans="1:17" ht="409.6" x14ac:dyDescent="0.2">
      <c r="A82" s="8" t="s">
        <v>255</v>
      </c>
      <c r="B82" s="73"/>
      <c r="C82" s="73"/>
      <c r="D82" s="73"/>
      <c r="E82" s="3" t="s">
        <v>156</v>
      </c>
      <c r="F82" s="3" t="s">
        <v>256</v>
      </c>
      <c r="G82" s="5" t="s">
        <v>53</v>
      </c>
      <c r="H82" s="6" t="s">
        <v>257</v>
      </c>
      <c r="I82" s="6" t="s">
        <v>258</v>
      </c>
      <c r="J82" s="6" t="s">
        <v>259</v>
      </c>
      <c r="K82" s="6" t="s">
        <v>260</v>
      </c>
      <c r="L82" s="6" t="s">
        <v>261</v>
      </c>
      <c r="M82" s="6" t="s">
        <v>262</v>
      </c>
      <c r="N82" s="6" t="s">
        <v>263</v>
      </c>
      <c r="O82" s="6" t="s">
        <v>53</v>
      </c>
      <c r="P82" s="6" t="s">
        <v>264</v>
      </c>
      <c r="Q82" s="6" t="s">
        <v>53</v>
      </c>
    </row>
    <row r="83" spans="1:17" ht="409.6" x14ac:dyDescent="0.2">
      <c r="A83" s="8" t="s">
        <v>532</v>
      </c>
      <c r="B83" s="73"/>
      <c r="C83" s="73"/>
      <c r="D83" s="73"/>
      <c r="E83" s="3" t="s">
        <v>156</v>
      </c>
      <c r="F83" s="3" t="s">
        <v>533</v>
      </c>
      <c r="G83" s="5" t="s">
        <v>534</v>
      </c>
      <c r="H83" s="6" t="s">
        <v>535</v>
      </c>
      <c r="I83" s="6" t="s">
        <v>536</v>
      </c>
      <c r="J83" s="6" t="s">
        <v>537</v>
      </c>
      <c r="K83" s="6" t="s">
        <v>538</v>
      </c>
      <c r="L83" s="6" t="s">
        <v>539</v>
      </c>
      <c r="M83" s="6" t="s">
        <v>540</v>
      </c>
      <c r="N83" s="6" t="s">
        <v>541</v>
      </c>
      <c r="O83" s="6" t="s">
        <v>542</v>
      </c>
      <c r="P83" s="6" t="s">
        <v>543</v>
      </c>
      <c r="Q83" s="6"/>
    </row>
    <row r="84" spans="1:17" ht="409.6" x14ac:dyDescent="0.2">
      <c r="A84" s="8" t="s">
        <v>842</v>
      </c>
      <c r="B84" s="73"/>
      <c r="C84" s="73"/>
      <c r="D84" s="73"/>
      <c r="E84" s="3" t="s">
        <v>677</v>
      </c>
      <c r="F84" s="3" t="s">
        <v>783</v>
      </c>
      <c r="G84" s="5" t="s">
        <v>784</v>
      </c>
      <c r="H84" s="6" t="s">
        <v>785</v>
      </c>
      <c r="I84" s="6" t="s">
        <v>786</v>
      </c>
      <c r="J84" s="6" t="s">
        <v>787</v>
      </c>
      <c r="K84" s="6" t="s">
        <v>788</v>
      </c>
      <c r="L84" s="6" t="s">
        <v>789</v>
      </c>
      <c r="M84" s="6" t="s">
        <v>790</v>
      </c>
      <c r="N84" s="6" t="s">
        <v>791</v>
      </c>
      <c r="O84" s="6" t="s">
        <v>792</v>
      </c>
      <c r="P84" s="6" t="s">
        <v>793</v>
      </c>
      <c r="Q84" s="6"/>
    </row>
    <row r="85" spans="1:17" ht="409.6" x14ac:dyDescent="0.2">
      <c r="A85" s="8" t="s">
        <v>794</v>
      </c>
      <c r="B85" s="73"/>
      <c r="C85" s="73"/>
      <c r="D85" s="73"/>
      <c r="E85" s="3" t="s">
        <v>795</v>
      </c>
      <c r="F85" s="3" t="s">
        <v>796</v>
      </c>
      <c r="G85" s="5" t="s">
        <v>797</v>
      </c>
      <c r="H85" s="6" t="s">
        <v>798</v>
      </c>
      <c r="I85" s="6" t="s">
        <v>799</v>
      </c>
      <c r="J85" s="6" t="s">
        <v>800</v>
      </c>
      <c r="K85" s="6" t="s">
        <v>801</v>
      </c>
      <c r="L85" s="6" t="s">
        <v>802</v>
      </c>
      <c r="M85" s="6" t="s">
        <v>803</v>
      </c>
      <c r="N85" s="6" t="s">
        <v>804</v>
      </c>
      <c r="O85" s="6" t="s">
        <v>805</v>
      </c>
      <c r="P85" s="6" t="s">
        <v>806</v>
      </c>
      <c r="Q85" s="6"/>
    </row>
    <row r="86" spans="1:17" ht="409.6" x14ac:dyDescent="0.2">
      <c r="A86" s="8" t="s">
        <v>843</v>
      </c>
      <c r="B86" s="73"/>
      <c r="C86" s="73"/>
      <c r="D86" s="73"/>
      <c r="E86" s="3" t="s">
        <v>844</v>
      </c>
      <c r="F86" s="3" t="s">
        <v>845</v>
      </c>
      <c r="G86" s="5" t="s">
        <v>846</v>
      </c>
      <c r="H86" s="6" t="s">
        <v>847</v>
      </c>
      <c r="I86" s="6" t="s">
        <v>848</v>
      </c>
      <c r="J86" s="6" t="s">
        <v>849</v>
      </c>
      <c r="K86" s="6" t="s">
        <v>850</v>
      </c>
      <c r="L86" s="6" t="s">
        <v>851</v>
      </c>
      <c r="M86" s="6" t="s">
        <v>852</v>
      </c>
      <c r="N86" s="6" t="s">
        <v>853</v>
      </c>
      <c r="O86" s="6" t="s">
        <v>854</v>
      </c>
      <c r="P86" s="6" t="s">
        <v>855</v>
      </c>
      <c r="Q86" s="6"/>
    </row>
    <row r="87" spans="1:17" ht="409.6" x14ac:dyDescent="0.2">
      <c r="A87" s="8" t="s">
        <v>856</v>
      </c>
      <c r="B87" s="73"/>
      <c r="C87" s="73"/>
      <c r="D87" s="73"/>
      <c r="E87" s="3" t="s">
        <v>857</v>
      </c>
      <c r="F87" s="3" t="s">
        <v>858</v>
      </c>
      <c r="G87" s="5" t="s">
        <v>859</v>
      </c>
      <c r="H87" s="6" t="s">
        <v>860</v>
      </c>
      <c r="I87" s="6" t="s">
        <v>861</v>
      </c>
      <c r="J87" s="6" t="s">
        <v>862</v>
      </c>
      <c r="K87" s="6" t="s">
        <v>863</v>
      </c>
      <c r="L87" s="6" t="s">
        <v>864</v>
      </c>
      <c r="M87" s="6" t="s">
        <v>865</v>
      </c>
      <c r="N87" s="6" t="s">
        <v>866</v>
      </c>
      <c r="O87" s="6" t="s">
        <v>867</v>
      </c>
      <c r="P87" s="6" t="s">
        <v>868</v>
      </c>
      <c r="Q87" s="6"/>
    </row>
    <row r="88" spans="1:17" ht="395" x14ac:dyDescent="0.2">
      <c r="A88" s="8" t="s">
        <v>869</v>
      </c>
      <c r="B88" s="73"/>
      <c r="C88" s="73"/>
      <c r="D88" s="73"/>
      <c r="E88" s="3" t="s">
        <v>870</v>
      </c>
      <c r="F88" s="27" t="s">
        <v>871</v>
      </c>
      <c r="G88" s="5" t="s">
        <v>872</v>
      </c>
      <c r="H88" s="6" t="s">
        <v>873</v>
      </c>
      <c r="I88" s="6" t="s">
        <v>874</v>
      </c>
      <c r="J88" s="6" t="s">
        <v>875</v>
      </c>
      <c r="K88" s="6" t="s">
        <v>876</v>
      </c>
      <c r="L88" s="6" t="s">
        <v>877</v>
      </c>
      <c r="M88" s="6" t="s">
        <v>878</v>
      </c>
      <c r="N88" s="6" t="s">
        <v>879</v>
      </c>
      <c r="O88" s="6" t="s">
        <v>880</v>
      </c>
      <c r="P88" s="6" t="s">
        <v>881</v>
      </c>
      <c r="Q88" s="6"/>
    </row>
    <row r="89" spans="1:17" ht="409.6" x14ac:dyDescent="0.2">
      <c r="A89" s="8" t="s">
        <v>882</v>
      </c>
      <c r="B89" s="73"/>
      <c r="C89" s="73"/>
      <c r="D89" s="73"/>
      <c r="E89" s="3" t="s">
        <v>883</v>
      </c>
      <c r="F89" s="3" t="s">
        <v>884</v>
      </c>
      <c r="G89" s="5" t="s">
        <v>885</v>
      </c>
      <c r="H89" s="6" t="s">
        <v>886</v>
      </c>
      <c r="I89" s="6" t="s">
        <v>887</v>
      </c>
      <c r="J89" s="6" t="s">
        <v>888</v>
      </c>
      <c r="K89" s="6" t="s">
        <v>889</v>
      </c>
      <c r="L89" s="6" t="s">
        <v>877</v>
      </c>
      <c r="M89" s="6" t="s">
        <v>890</v>
      </c>
      <c r="N89" s="6" t="s">
        <v>879</v>
      </c>
      <c r="O89" s="6" t="s">
        <v>891</v>
      </c>
      <c r="P89" s="6" t="s">
        <v>881</v>
      </c>
      <c r="Q89" s="6"/>
    </row>
    <row r="90" spans="1:17" ht="409.6" x14ac:dyDescent="0.2">
      <c r="A90" s="8" t="s">
        <v>892</v>
      </c>
      <c r="B90" s="73"/>
      <c r="C90" s="73"/>
      <c r="D90" s="73"/>
      <c r="E90" s="3" t="s">
        <v>893</v>
      </c>
      <c r="F90" s="28" t="s">
        <v>884</v>
      </c>
      <c r="G90" s="5" t="s">
        <v>885</v>
      </c>
      <c r="H90" s="6" t="s">
        <v>886</v>
      </c>
      <c r="I90" s="6" t="s">
        <v>894</v>
      </c>
      <c r="J90" s="6" t="s">
        <v>895</v>
      </c>
      <c r="K90" s="6" t="s">
        <v>889</v>
      </c>
      <c r="L90" s="6" t="s">
        <v>896</v>
      </c>
      <c r="M90" s="6" t="s">
        <v>897</v>
      </c>
      <c r="N90" s="6" t="s">
        <v>879</v>
      </c>
      <c r="O90" s="6" t="s">
        <v>891</v>
      </c>
      <c r="P90" s="6" t="s">
        <v>881</v>
      </c>
      <c r="Q90" s="6"/>
    </row>
    <row r="91" spans="1:17" ht="409.6" x14ac:dyDescent="0.2">
      <c r="A91" s="8" t="s">
        <v>898</v>
      </c>
      <c r="B91" s="73"/>
      <c r="C91" s="73"/>
      <c r="D91" s="73"/>
      <c r="E91" s="27" t="s">
        <v>899</v>
      </c>
      <c r="F91" s="3" t="s">
        <v>900</v>
      </c>
      <c r="G91" s="5" t="s">
        <v>901</v>
      </c>
      <c r="H91" s="6" t="s">
        <v>902</v>
      </c>
      <c r="I91" s="6" t="s">
        <v>903</v>
      </c>
      <c r="J91" s="6" t="s">
        <v>904</v>
      </c>
      <c r="K91" s="6" t="s">
        <v>905</v>
      </c>
      <c r="L91" s="6" t="s">
        <v>906</v>
      </c>
      <c r="M91" s="6" t="s">
        <v>907</v>
      </c>
      <c r="N91" s="6" t="s">
        <v>908</v>
      </c>
      <c r="O91" s="6" t="s">
        <v>909</v>
      </c>
      <c r="P91" s="6" t="s">
        <v>910</v>
      </c>
      <c r="Q91" s="6"/>
    </row>
    <row r="92" spans="1:17" ht="409.6" x14ac:dyDescent="0.2">
      <c r="A92" s="8" t="s">
        <v>911</v>
      </c>
      <c r="B92" s="73"/>
      <c r="C92" s="73"/>
      <c r="D92" s="73"/>
      <c r="E92" s="3" t="s">
        <v>912</v>
      </c>
      <c r="F92" s="3" t="s">
        <v>913</v>
      </c>
      <c r="G92" s="5" t="s">
        <v>914</v>
      </c>
      <c r="H92" s="6" t="s">
        <v>915</v>
      </c>
      <c r="I92" s="6" t="s">
        <v>916</v>
      </c>
      <c r="J92" s="6" t="s">
        <v>917</v>
      </c>
      <c r="K92" s="6" t="s">
        <v>918</v>
      </c>
      <c r="L92" s="6" t="s">
        <v>919</v>
      </c>
      <c r="M92" s="6" t="s">
        <v>920</v>
      </c>
      <c r="N92" s="6" t="s">
        <v>921</v>
      </c>
      <c r="O92" s="6" t="s">
        <v>922</v>
      </c>
      <c r="P92" s="6" t="s">
        <v>923</v>
      </c>
      <c r="Q92" s="6"/>
    </row>
    <row r="93" spans="1:17" ht="409.6" x14ac:dyDescent="0.2">
      <c r="A93" s="8" t="s">
        <v>924</v>
      </c>
      <c r="B93" s="73"/>
      <c r="C93" s="73"/>
      <c r="D93" s="73"/>
      <c r="E93" s="3" t="s">
        <v>925</v>
      </c>
      <c r="F93" s="3" t="s">
        <v>926</v>
      </c>
      <c r="G93" s="5" t="s">
        <v>927</v>
      </c>
      <c r="H93" s="6" t="s">
        <v>928</v>
      </c>
      <c r="I93" s="6" t="s">
        <v>929</v>
      </c>
      <c r="J93" s="6" t="s">
        <v>930</v>
      </c>
      <c r="K93" s="6" t="s">
        <v>931</v>
      </c>
      <c r="L93" s="6" t="s">
        <v>932</v>
      </c>
      <c r="M93" s="6" t="s">
        <v>933</v>
      </c>
      <c r="N93" s="6" t="s">
        <v>934</v>
      </c>
      <c r="O93" s="6" t="s">
        <v>935</v>
      </c>
      <c r="P93" s="6" t="s">
        <v>936</v>
      </c>
      <c r="Q93" s="6"/>
    </row>
    <row r="94" spans="1:17" ht="409.6" x14ac:dyDescent="0.2">
      <c r="A94" s="8" t="s">
        <v>937</v>
      </c>
      <c r="B94" s="73"/>
      <c r="C94" s="73"/>
      <c r="D94" s="73"/>
      <c r="E94" s="29" t="s">
        <v>938</v>
      </c>
      <c r="F94" s="3" t="s">
        <v>939</v>
      </c>
      <c r="G94" s="30" t="s">
        <v>940</v>
      </c>
      <c r="H94" s="6" t="s">
        <v>941</v>
      </c>
      <c r="I94" s="6" t="s">
        <v>942</v>
      </c>
      <c r="J94" s="6" t="s">
        <v>943</v>
      </c>
      <c r="K94" s="6" t="s">
        <v>944</v>
      </c>
      <c r="L94" s="6" t="s">
        <v>945</v>
      </c>
      <c r="M94" s="31" t="s">
        <v>946</v>
      </c>
      <c r="N94" s="6" t="s">
        <v>947</v>
      </c>
      <c r="O94" s="6" t="s">
        <v>948</v>
      </c>
      <c r="P94" s="6" t="s">
        <v>949</v>
      </c>
      <c r="Q94" s="6"/>
    </row>
    <row r="95" spans="1:17" ht="409.6" x14ac:dyDescent="0.2">
      <c r="A95" s="8" t="s">
        <v>950</v>
      </c>
      <c r="B95" s="73"/>
      <c r="C95" s="73"/>
      <c r="D95" s="73"/>
      <c r="E95" s="3" t="s">
        <v>951</v>
      </c>
      <c r="F95" s="3" t="s">
        <v>952</v>
      </c>
      <c r="G95" s="5" t="s">
        <v>953</v>
      </c>
      <c r="H95" s="6" t="s">
        <v>954</v>
      </c>
      <c r="I95" s="6" t="s">
        <v>955</v>
      </c>
      <c r="J95" s="6" t="s">
        <v>956</v>
      </c>
      <c r="K95" s="6" t="s">
        <v>957</v>
      </c>
      <c r="L95" s="6" t="s">
        <v>958</v>
      </c>
      <c r="M95" s="6" t="s">
        <v>959</v>
      </c>
      <c r="N95" s="6" t="s">
        <v>960</v>
      </c>
      <c r="O95" s="6" t="s">
        <v>961</v>
      </c>
      <c r="P95" s="6" t="s">
        <v>962</v>
      </c>
      <c r="Q95" s="6"/>
    </row>
    <row r="96" spans="1:17" ht="409.6" x14ac:dyDescent="0.2">
      <c r="A96" s="67" t="s">
        <v>687</v>
      </c>
      <c r="B96" s="6" t="s">
        <v>829</v>
      </c>
      <c r="C96" s="6"/>
      <c r="D96" s="6"/>
      <c r="E96" s="9" t="s">
        <v>689</v>
      </c>
      <c r="F96" s="9" t="s">
        <v>690</v>
      </c>
      <c r="G96" s="14" t="s">
        <v>691</v>
      </c>
      <c r="H96" s="9" t="s">
        <v>692</v>
      </c>
      <c r="I96" s="9" t="s">
        <v>435</v>
      </c>
      <c r="J96" s="9" t="s">
        <v>693</v>
      </c>
      <c r="K96" s="9" t="s">
        <v>694</v>
      </c>
      <c r="L96" s="9" t="s">
        <v>695</v>
      </c>
      <c r="M96" s="9" t="s">
        <v>696</v>
      </c>
      <c r="N96" s="10" t="s">
        <v>697</v>
      </c>
      <c r="O96" s="9" t="s">
        <v>698</v>
      </c>
      <c r="P96" s="9" t="s">
        <v>699</v>
      </c>
      <c r="Q96" s="22"/>
    </row>
    <row r="97" spans="1:17" ht="409.6" x14ac:dyDescent="0.2">
      <c r="A97" s="67" t="s">
        <v>113</v>
      </c>
      <c r="B97" s="6" t="s">
        <v>963</v>
      </c>
      <c r="C97" s="6"/>
      <c r="D97" s="6"/>
      <c r="E97" s="13" t="s">
        <v>115</v>
      </c>
      <c r="F97" s="13" t="s">
        <v>116</v>
      </c>
      <c r="G97" s="13" t="s">
        <v>117</v>
      </c>
      <c r="H97" s="14" t="s">
        <v>118</v>
      </c>
      <c r="I97" s="14" t="s">
        <v>119</v>
      </c>
      <c r="J97" s="14" t="s">
        <v>120</v>
      </c>
      <c r="K97" s="6" t="s">
        <v>121</v>
      </c>
      <c r="L97" s="14" t="s">
        <v>122</v>
      </c>
      <c r="M97" s="9" t="s">
        <v>123</v>
      </c>
      <c r="N97" s="13" t="s">
        <v>124</v>
      </c>
      <c r="O97" s="9" t="s">
        <v>125</v>
      </c>
      <c r="P97" s="13" t="s">
        <v>126</v>
      </c>
      <c r="Q97" s="16" t="s">
        <v>53</v>
      </c>
    </row>
    <row r="98" spans="1:17" ht="409.6" x14ac:dyDescent="0.2">
      <c r="A98" s="67" t="s">
        <v>338</v>
      </c>
      <c r="B98" s="6" t="s">
        <v>964</v>
      </c>
      <c r="C98" s="6"/>
      <c r="D98" s="6"/>
      <c r="E98" s="13" t="s">
        <v>340</v>
      </c>
      <c r="F98" s="13" t="s">
        <v>341</v>
      </c>
      <c r="G98" s="13" t="s">
        <v>342</v>
      </c>
      <c r="H98" s="14" t="s">
        <v>343</v>
      </c>
      <c r="I98" s="14" t="s">
        <v>344</v>
      </c>
      <c r="J98" s="14" t="s">
        <v>345</v>
      </c>
      <c r="K98" s="9" t="s">
        <v>346</v>
      </c>
      <c r="L98" s="14" t="s">
        <v>347</v>
      </c>
      <c r="M98" s="9" t="s">
        <v>348</v>
      </c>
      <c r="N98" s="13" t="s">
        <v>349</v>
      </c>
      <c r="O98" s="9" t="s">
        <v>350</v>
      </c>
      <c r="P98" s="13" t="s">
        <v>351</v>
      </c>
      <c r="Q98" s="16"/>
    </row>
    <row r="99" spans="1:17" ht="409.6" x14ac:dyDescent="0.2">
      <c r="A99" s="67" t="s">
        <v>965</v>
      </c>
      <c r="B99" s="73" t="s">
        <v>966</v>
      </c>
      <c r="C99" s="73"/>
      <c r="D99" s="73"/>
      <c r="E99" s="13" t="s">
        <v>375</v>
      </c>
      <c r="F99" s="13" t="s">
        <v>376</v>
      </c>
      <c r="G99" s="13" t="s">
        <v>53</v>
      </c>
      <c r="H99" s="6" t="s">
        <v>377</v>
      </c>
      <c r="I99" s="14" t="s">
        <v>378</v>
      </c>
      <c r="J99" s="6" t="s">
        <v>379</v>
      </c>
      <c r="K99" s="6" t="s">
        <v>380</v>
      </c>
      <c r="L99" s="6" t="s">
        <v>381</v>
      </c>
      <c r="M99" s="6" t="s">
        <v>382</v>
      </c>
      <c r="N99" s="6" t="s">
        <v>383</v>
      </c>
      <c r="O99" s="9" t="s">
        <v>384</v>
      </c>
      <c r="P99" s="6" t="s">
        <v>385</v>
      </c>
      <c r="Q99" s="16" t="s">
        <v>53</v>
      </c>
    </row>
    <row r="100" spans="1:17" ht="409.6" thickBot="1" x14ac:dyDescent="0.25">
      <c r="A100" s="68" t="s">
        <v>967</v>
      </c>
      <c r="B100" s="77" t="s">
        <v>968</v>
      </c>
      <c r="C100" s="77"/>
      <c r="D100" s="77"/>
      <c r="E100" s="32" t="s">
        <v>521</v>
      </c>
      <c r="F100" s="32" t="s">
        <v>522</v>
      </c>
      <c r="G100" s="32" t="s">
        <v>77</v>
      </c>
      <c r="H100" s="33" t="s">
        <v>523</v>
      </c>
      <c r="I100" s="34" t="s">
        <v>524</v>
      </c>
      <c r="J100" s="33" t="s">
        <v>525</v>
      </c>
      <c r="K100" s="33" t="s">
        <v>526</v>
      </c>
      <c r="L100" s="33" t="s">
        <v>527</v>
      </c>
      <c r="M100" s="33" t="s">
        <v>528</v>
      </c>
      <c r="N100" s="33" t="s">
        <v>529</v>
      </c>
      <c r="O100" s="33" t="s">
        <v>530</v>
      </c>
      <c r="P100" s="33" t="s">
        <v>531</v>
      </c>
      <c r="Q100" s="35"/>
    </row>
    <row r="101" spans="1:17" ht="409.6" x14ac:dyDescent="0.2">
      <c r="A101" s="8" t="s">
        <v>687</v>
      </c>
      <c r="B101" s="6"/>
      <c r="C101" s="6"/>
      <c r="D101" s="6"/>
      <c r="E101" s="9" t="s">
        <v>689</v>
      </c>
      <c r="F101" s="9" t="s">
        <v>690</v>
      </c>
      <c r="G101" s="14" t="s">
        <v>691</v>
      </c>
      <c r="H101" s="9" t="s">
        <v>692</v>
      </c>
      <c r="I101" s="9" t="s">
        <v>435</v>
      </c>
      <c r="J101" s="9" t="s">
        <v>693</v>
      </c>
      <c r="K101" s="9" t="s">
        <v>694</v>
      </c>
      <c r="L101" s="9" t="s">
        <v>695</v>
      </c>
      <c r="M101" s="9" t="s">
        <v>696</v>
      </c>
      <c r="N101" s="10" t="s">
        <v>697</v>
      </c>
      <c r="O101" s="9" t="s">
        <v>698</v>
      </c>
      <c r="P101" s="9" t="s">
        <v>699</v>
      </c>
      <c r="Q101" s="9"/>
    </row>
    <row r="102" spans="1:17" ht="409.6" x14ac:dyDescent="0.2">
      <c r="A102" s="8" t="s">
        <v>113</v>
      </c>
      <c r="B102" s="6"/>
      <c r="C102" s="6"/>
      <c r="D102" s="6"/>
      <c r="E102" s="3" t="s">
        <v>115</v>
      </c>
      <c r="F102" s="3" t="s">
        <v>116</v>
      </c>
      <c r="G102" s="5" t="s">
        <v>117</v>
      </c>
      <c r="H102" s="7" t="s">
        <v>118</v>
      </c>
      <c r="I102" s="7" t="s">
        <v>119</v>
      </c>
      <c r="J102" s="7" t="s">
        <v>120</v>
      </c>
      <c r="K102" s="6" t="s">
        <v>121</v>
      </c>
      <c r="L102" s="7" t="s">
        <v>122</v>
      </c>
      <c r="M102" s="2" t="s">
        <v>123</v>
      </c>
      <c r="N102" s="3" t="s">
        <v>124</v>
      </c>
      <c r="O102" s="2" t="s">
        <v>125</v>
      </c>
      <c r="P102" s="3" t="s">
        <v>126</v>
      </c>
      <c r="Q102" s="8" t="s">
        <v>53</v>
      </c>
    </row>
    <row r="103" spans="1:17" ht="409.6" x14ac:dyDescent="0.2">
      <c r="A103" s="8" t="s">
        <v>338</v>
      </c>
      <c r="B103" s="6"/>
      <c r="C103" s="6"/>
      <c r="D103" s="6"/>
      <c r="E103" s="3" t="s">
        <v>340</v>
      </c>
      <c r="F103" s="3" t="s">
        <v>341</v>
      </c>
      <c r="G103" s="5" t="s">
        <v>342</v>
      </c>
      <c r="H103" s="7" t="s">
        <v>343</v>
      </c>
      <c r="I103" s="7" t="s">
        <v>344</v>
      </c>
      <c r="J103" s="7" t="s">
        <v>345</v>
      </c>
      <c r="K103" s="2" t="s">
        <v>346</v>
      </c>
      <c r="L103" s="7" t="s">
        <v>347</v>
      </c>
      <c r="M103" s="2" t="s">
        <v>348</v>
      </c>
      <c r="N103" s="3" t="s">
        <v>349</v>
      </c>
      <c r="O103" s="2" t="s">
        <v>350</v>
      </c>
      <c r="P103" s="3" t="s">
        <v>351</v>
      </c>
      <c r="Q103" s="8"/>
    </row>
    <row r="104" spans="1:17" ht="409.6" x14ac:dyDescent="0.2">
      <c r="A104" s="8" t="s">
        <v>61</v>
      </c>
      <c r="B104" s="6"/>
      <c r="C104" s="6"/>
      <c r="D104" s="6"/>
      <c r="E104" s="6" t="s">
        <v>62</v>
      </c>
      <c r="F104" s="6" t="s">
        <v>63</v>
      </c>
      <c r="G104" s="6" t="s">
        <v>64</v>
      </c>
      <c r="H104" s="6" t="s">
        <v>65</v>
      </c>
      <c r="I104" s="7" t="s">
        <v>66</v>
      </c>
      <c r="J104" s="6" t="s">
        <v>67</v>
      </c>
      <c r="K104" s="6" t="s">
        <v>68</v>
      </c>
      <c r="L104" s="6" t="s">
        <v>69</v>
      </c>
      <c r="M104" s="6" t="s">
        <v>70</v>
      </c>
      <c r="N104" s="6" t="s">
        <v>71</v>
      </c>
      <c r="O104" s="6" t="s">
        <v>72</v>
      </c>
      <c r="P104" s="6" t="s">
        <v>73</v>
      </c>
      <c r="Q104" s="8"/>
    </row>
    <row r="105" spans="1:17" ht="409.6" x14ac:dyDescent="0.2">
      <c r="A105" s="8" t="s">
        <v>443</v>
      </c>
      <c r="B105" s="73"/>
      <c r="C105" s="73"/>
      <c r="D105" s="73"/>
      <c r="E105" s="3" t="s">
        <v>445</v>
      </c>
      <c r="F105" s="3" t="s">
        <v>446</v>
      </c>
      <c r="G105" s="5" t="s">
        <v>447</v>
      </c>
      <c r="H105" s="6" t="s">
        <v>448</v>
      </c>
      <c r="I105" s="7" t="s">
        <v>449</v>
      </c>
      <c r="J105" s="6" t="s">
        <v>450</v>
      </c>
      <c r="K105" s="6" t="s">
        <v>451</v>
      </c>
      <c r="L105" s="6" t="s">
        <v>452</v>
      </c>
      <c r="M105" s="6" t="s">
        <v>453</v>
      </c>
      <c r="N105" s="6" t="s">
        <v>454</v>
      </c>
      <c r="O105" s="2" t="s">
        <v>455</v>
      </c>
      <c r="P105" s="6" t="s">
        <v>456</v>
      </c>
      <c r="Q105" s="8"/>
    </row>
    <row r="106" spans="1:17" ht="409.6" x14ac:dyDescent="0.2">
      <c r="A106" s="8" t="s">
        <v>965</v>
      </c>
      <c r="B106" s="73"/>
      <c r="C106" s="73"/>
      <c r="D106" s="73"/>
      <c r="E106" s="3" t="s">
        <v>375</v>
      </c>
      <c r="F106" s="3" t="s">
        <v>376</v>
      </c>
      <c r="G106" s="5" t="s">
        <v>53</v>
      </c>
      <c r="H106" s="6" t="s">
        <v>377</v>
      </c>
      <c r="I106" s="7" t="s">
        <v>378</v>
      </c>
      <c r="J106" s="6" t="s">
        <v>379</v>
      </c>
      <c r="K106" s="6" t="s">
        <v>380</v>
      </c>
      <c r="L106" s="6" t="s">
        <v>381</v>
      </c>
      <c r="M106" s="6" t="s">
        <v>382</v>
      </c>
      <c r="N106" s="6" t="s">
        <v>383</v>
      </c>
      <c r="O106" s="2" t="s">
        <v>384</v>
      </c>
      <c r="P106" s="6" t="s">
        <v>385</v>
      </c>
      <c r="Q106" s="8" t="s">
        <v>53</v>
      </c>
    </row>
    <row r="107" spans="1:17" ht="409.6" x14ac:dyDescent="0.2">
      <c r="A107" s="8" t="s">
        <v>967</v>
      </c>
      <c r="B107" s="73"/>
      <c r="C107" s="73"/>
      <c r="D107" s="73"/>
      <c r="E107" s="3" t="s">
        <v>521</v>
      </c>
      <c r="F107" s="3" t="s">
        <v>522</v>
      </c>
      <c r="G107" s="5" t="s">
        <v>77</v>
      </c>
      <c r="H107" s="6" t="s">
        <v>523</v>
      </c>
      <c r="I107" s="7" t="s">
        <v>524</v>
      </c>
      <c r="J107" s="6" t="s">
        <v>525</v>
      </c>
      <c r="K107" s="6" t="s">
        <v>526</v>
      </c>
      <c r="L107" s="6" t="s">
        <v>527</v>
      </c>
      <c r="M107" s="6" t="s">
        <v>528</v>
      </c>
      <c r="N107" s="6" t="s">
        <v>529</v>
      </c>
      <c r="O107" s="6" t="s">
        <v>530</v>
      </c>
      <c r="P107" s="6" t="s">
        <v>531</v>
      </c>
      <c r="Q107" s="8"/>
    </row>
    <row r="108" spans="1:17" ht="409.6" x14ac:dyDescent="0.2">
      <c r="A108" s="8" t="s">
        <v>242</v>
      </c>
      <c r="B108" s="6"/>
      <c r="C108" s="6"/>
      <c r="D108" s="6"/>
      <c r="E108" s="2" t="s">
        <v>243</v>
      </c>
      <c r="F108" s="2" t="s">
        <v>244</v>
      </c>
      <c r="G108" s="15" t="s">
        <v>245</v>
      </c>
      <c r="H108" s="2" t="s">
        <v>246</v>
      </c>
      <c r="I108" s="2" t="s">
        <v>247</v>
      </c>
      <c r="J108" s="2" t="s">
        <v>248</v>
      </c>
      <c r="K108" s="2" t="s">
        <v>249</v>
      </c>
      <c r="L108" s="2" t="s">
        <v>969</v>
      </c>
      <c r="M108" s="2" t="s">
        <v>251</v>
      </c>
      <c r="N108" s="10" t="s">
        <v>252</v>
      </c>
      <c r="O108" s="2" t="s">
        <v>253</v>
      </c>
      <c r="P108" s="2" t="s">
        <v>254</v>
      </c>
      <c r="Q108" s="8"/>
    </row>
    <row r="109" spans="1:17" ht="409.6" x14ac:dyDescent="0.2">
      <c r="A109" s="8" t="s">
        <v>663</v>
      </c>
      <c r="B109" s="6"/>
      <c r="C109" s="6"/>
      <c r="D109" s="6"/>
      <c r="E109" s="9" t="s">
        <v>664</v>
      </c>
      <c r="F109" s="9" t="s">
        <v>665</v>
      </c>
      <c r="G109" s="14" t="s">
        <v>666</v>
      </c>
      <c r="H109" s="9" t="s">
        <v>654</v>
      </c>
      <c r="I109" s="9" t="s">
        <v>667</v>
      </c>
      <c r="J109" s="9" t="s">
        <v>668</v>
      </c>
      <c r="K109" s="9" t="s">
        <v>669</v>
      </c>
      <c r="L109" s="9" t="s">
        <v>670</v>
      </c>
      <c r="M109" s="9" t="s">
        <v>671</v>
      </c>
      <c r="N109" s="10" t="s">
        <v>672</v>
      </c>
      <c r="O109" s="9" t="s">
        <v>673</v>
      </c>
      <c r="P109" s="9" t="s">
        <v>674</v>
      </c>
      <c r="Q109" s="9"/>
    </row>
    <row r="110" spans="1:17" ht="409.6" x14ac:dyDescent="0.2">
      <c r="A110" s="8" t="s">
        <v>318</v>
      </c>
      <c r="B110" s="6"/>
      <c r="C110" s="6"/>
      <c r="D110" s="6"/>
      <c r="E110" s="2" t="s">
        <v>320</v>
      </c>
      <c r="F110" s="2" t="s">
        <v>53</v>
      </c>
      <c r="G110" s="15" t="s">
        <v>321</v>
      </c>
      <c r="H110" s="2" t="s">
        <v>322</v>
      </c>
      <c r="I110" s="2" t="s">
        <v>323</v>
      </c>
      <c r="J110" s="2" t="s">
        <v>324</v>
      </c>
      <c r="K110" s="2" t="s">
        <v>325</v>
      </c>
      <c r="L110" s="2" t="s">
        <v>326</v>
      </c>
      <c r="M110" s="2" t="s">
        <v>327</v>
      </c>
      <c r="N110" s="10" t="s">
        <v>328</v>
      </c>
      <c r="O110" s="2" t="s">
        <v>53</v>
      </c>
      <c r="P110" s="2" t="s">
        <v>329</v>
      </c>
      <c r="Q110" s="2"/>
    </row>
    <row r="111" spans="1:17" ht="409.6" x14ac:dyDescent="0.2">
      <c r="A111" s="8" t="s">
        <v>291</v>
      </c>
      <c r="B111" s="6"/>
      <c r="C111" s="6"/>
      <c r="D111" s="6"/>
      <c r="E111" s="9" t="s">
        <v>293</v>
      </c>
      <c r="F111" s="9" t="s">
        <v>294</v>
      </c>
      <c r="G111" s="14" t="s">
        <v>295</v>
      </c>
      <c r="H111" s="9" t="s">
        <v>296</v>
      </c>
      <c r="I111" s="9" t="s">
        <v>297</v>
      </c>
      <c r="J111" s="9" t="s">
        <v>298</v>
      </c>
      <c r="K111" s="9" t="s">
        <v>299</v>
      </c>
      <c r="L111" s="9" t="s">
        <v>300</v>
      </c>
      <c r="M111" s="9" t="s">
        <v>301</v>
      </c>
      <c r="N111" s="10" t="s">
        <v>302</v>
      </c>
      <c r="O111" s="9" t="s">
        <v>303</v>
      </c>
      <c r="P111" s="9" t="s">
        <v>304</v>
      </c>
      <c r="Q111" s="9"/>
    </row>
    <row r="112" spans="1:17" ht="409.6" x14ac:dyDescent="0.2">
      <c r="A112" s="8" t="s">
        <v>99</v>
      </c>
      <c r="B112" s="73" t="s">
        <v>970</v>
      </c>
      <c r="C112" s="73"/>
      <c r="D112" s="73"/>
      <c r="E112" s="13" t="s">
        <v>101</v>
      </c>
      <c r="F112" s="3" t="s">
        <v>102</v>
      </c>
      <c r="G112" s="5" t="s">
        <v>103</v>
      </c>
      <c r="H112" s="6" t="s">
        <v>104</v>
      </c>
      <c r="I112" s="7" t="s">
        <v>105</v>
      </c>
      <c r="J112" s="6" t="s">
        <v>106</v>
      </c>
      <c r="K112" s="6" t="s">
        <v>107</v>
      </c>
      <c r="L112" s="6" t="s">
        <v>108</v>
      </c>
      <c r="M112" s="6" t="s">
        <v>109</v>
      </c>
      <c r="N112" s="6" t="s">
        <v>110</v>
      </c>
      <c r="O112" s="2" t="s">
        <v>111</v>
      </c>
      <c r="P112" s="6" t="s">
        <v>112</v>
      </c>
      <c r="Q112" s="8"/>
    </row>
    <row r="113" spans="1:17" ht="409.6" x14ac:dyDescent="0.2">
      <c r="A113" s="8" t="s">
        <v>405</v>
      </c>
      <c r="B113" s="73"/>
      <c r="C113" s="73"/>
      <c r="D113" s="73"/>
      <c r="E113" s="3" t="s">
        <v>406</v>
      </c>
      <c r="F113" s="3" t="s">
        <v>407</v>
      </c>
      <c r="G113" s="5" t="s">
        <v>53</v>
      </c>
      <c r="H113" s="6" t="s">
        <v>408</v>
      </c>
      <c r="I113" s="7" t="s">
        <v>409</v>
      </c>
      <c r="J113" s="6" t="s">
        <v>410</v>
      </c>
      <c r="K113" s="6" t="s">
        <v>411</v>
      </c>
      <c r="L113" s="6" t="s">
        <v>412</v>
      </c>
      <c r="M113" s="6" t="s">
        <v>413</v>
      </c>
      <c r="N113" s="6" t="s">
        <v>414</v>
      </c>
      <c r="O113" s="2" t="s">
        <v>415</v>
      </c>
      <c r="P113" s="6" t="s">
        <v>416</v>
      </c>
      <c r="Q113" s="8" t="s">
        <v>53</v>
      </c>
    </row>
    <row r="114" spans="1:17" ht="409.6" x14ac:dyDescent="0.2">
      <c r="A114" s="8" t="s">
        <v>305</v>
      </c>
      <c r="B114" s="73"/>
      <c r="C114" s="73"/>
      <c r="D114" s="73"/>
      <c r="E114" s="3" t="s">
        <v>307</v>
      </c>
      <c r="F114" s="3" t="s">
        <v>308</v>
      </c>
      <c r="G114" s="5" t="s">
        <v>309</v>
      </c>
      <c r="H114" s="6" t="s">
        <v>310</v>
      </c>
      <c r="I114" s="7" t="s">
        <v>311</v>
      </c>
      <c r="J114" s="6" t="s">
        <v>312</v>
      </c>
      <c r="K114" s="6" t="s">
        <v>313</v>
      </c>
      <c r="L114" s="6" t="s">
        <v>314</v>
      </c>
      <c r="M114" s="6" t="s">
        <v>315</v>
      </c>
      <c r="N114" s="6" t="s">
        <v>316</v>
      </c>
      <c r="O114" s="2" t="s">
        <v>317</v>
      </c>
      <c r="P114" s="6" t="s">
        <v>317</v>
      </c>
      <c r="Q114" s="8"/>
    </row>
    <row r="115" spans="1:17" ht="409.6" x14ac:dyDescent="0.2">
      <c r="A115" s="8" t="s">
        <v>971</v>
      </c>
      <c r="B115" s="6"/>
      <c r="C115" s="6"/>
      <c r="D115" s="6"/>
      <c r="E115" s="9" t="s">
        <v>972</v>
      </c>
      <c r="F115" s="9" t="s">
        <v>973</v>
      </c>
      <c r="G115" s="14" t="s">
        <v>974</v>
      </c>
      <c r="H115" s="9" t="s">
        <v>975</v>
      </c>
      <c r="I115" s="9" t="s">
        <v>976</v>
      </c>
      <c r="J115" s="9" t="s">
        <v>977</v>
      </c>
      <c r="K115" s="9" t="s">
        <v>978</v>
      </c>
      <c r="L115" s="9" t="s">
        <v>979</v>
      </c>
      <c r="M115" s="9" t="s">
        <v>980</v>
      </c>
      <c r="N115" s="9" t="s">
        <v>981</v>
      </c>
      <c r="O115" s="6" t="s">
        <v>982</v>
      </c>
      <c r="P115" s="9" t="s">
        <v>983</v>
      </c>
      <c r="Q115" s="36" t="s">
        <v>984</v>
      </c>
    </row>
    <row r="116" spans="1:17" ht="409.6" x14ac:dyDescent="0.2">
      <c r="A116" s="8" t="s">
        <v>985</v>
      </c>
      <c r="B116" s="6"/>
      <c r="C116" s="6"/>
      <c r="D116" s="6"/>
      <c r="E116" s="9" t="s">
        <v>129</v>
      </c>
      <c r="F116" s="9" t="s">
        <v>463</v>
      </c>
      <c r="G116" s="14" t="s">
        <v>131</v>
      </c>
      <c r="H116" s="9" t="s">
        <v>464</v>
      </c>
      <c r="I116" s="9" t="s">
        <v>465</v>
      </c>
      <c r="J116" s="9" t="s">
        <v>466</v>
      </c>
      <c r="K116" s="9" t="s">
        <v>467</v>
      </c>
      <c r="L116" s="9" t="s">
        <v>468</v>
      </c>
      <c r="M116" s="9" t="s">
        <v>469</v>
      </c>
      <c r="N116" s="9" t="s">
        <v>470</v>
      </c>
      <c r="O116" s="6" t="s">
        <v>471</v>
      </c>
      <c r="P116" s="9" t="s">
        <v>472</v>
      </c>
      <c r="Q116" s="9"/>
    </row>
    <row r="117" spans="1:17" ht="409.6" x14ac:dyDescent="0.2">
      <c r="A117" s="8" t="s">
        <v>496</v>
      </c>
      <c r="B117" s="73"/>
      <c r="C117" s="73"/>
      <c r="D117" s="73"/>
      <c r="E117" s="3" t="s">
        <v>498</v>
      </c>
      <c r="F117" s="3" t="s">
        <v>499</v>
      </c>
      <c r="G117" s="5" t="s">
        <v>53</v>
      </c>
      <c r="H117" s="6" t="s">
        <v>500</v>
      </c>
      <c r="I117" s="7" t="s">
        <v>501</v>
      </c>
      <c r="J117" s="6" t="s">
        <v>502</v>
      </c>
      <c r="K117" s="6" t="s">
        <v>503</v>
      </c>
      <c r="L117" s="6" t="s">
        <v>504</v>
      </c>
      <c r="M117" s="6" t="s">
        <v>505</v>
      </c>
      <c r="N117" s="6" t="s">
        <v>506</v>
      </c>
      <c r="O117" s="2" t="s">
        <v>507</v>
      </c>
      <c r="P117" s="6" t="s">
        <v>508</v>
      </c>
      <c r="Q117" s="8" t="s">
        <v>53</v>
      </c>
    </row>
    <row r="118" spans="1:17" ht="409.6" x14ac:dyDescent="0.2">
      <c r="A118" s="8" t="s">
        <v>255</v>
      </c>
      <c r="B118" s="73"/>
      <c r="C118" s="73"/>
      <c r="D118" s="73"/>
      <c r="E118" s="3" t="s">
        <v>156</v>
      </c>
      <c r="F118" s="3" t="s">
        <v>256</v>
      </c>
      <c r="G118" s="5" t="s">
        <v>53</v>
      </c>
      <c r="H118" s="6" t="s">
        <v>257</v>
      </c>
      <c r="I118" s="6" t="s">
        <v>258</v>
      </c>
      <c r="J118" s="6" t="s">
        <v>259</v>
      </c>
      <c r="K118" s="6" t="s">
        <v>260</v>
      </c>
      <c r="L118" s="6" t="s">
        <v>261</v>
      </c>
      <c r="M118" s="6" t="s">
        <v>262</v>
      </c>
      <c r="N118" s="6" t="s">
        <v>263</v>
      </c>
      <c r="O118" s="6" t="s">
        <v>53</v>
      </c>
      <c r="P118" s="6" t="s">
        <v>264</v>
      </c>
      <c r="Q118" s="6" t="s">
        <v>53</v>
      </c>
    </row>
    <row r="119" spans="1:17" ht="409.6" x14ac:dyDescent="0.2">
      <c r="A119" s="8" t="s">
        <v>986</v>
      </c>
      <c r="B119" s="6"/>
      <c r="C119" s="6"/>
      <c r="D119" s="6"/>
      <c r="E119" s="37" t="s">
        <v>987</v>
      </c>
      <c r="F119" s="38" t="s">
        <v>988</v>
      </c>
      <c r="G119" s="14" t="s">
        <v>989</v>
      </c>
      <c r="H119" s="38" t="s">
        <v>990</v>
      </c>
      <c r="I119" s="9" t="s">
        <v>991</v>
      </c>
      <c r="J119" s="9" t="s">
        <v>992</v>
      </c>
      <c r="K119" s="38" t="s">
        <v>993</v>
      </c>
      <c r="L119" s="39" t="s">
        <v>994</v>
      </c>
      <c r="M119" s="9" t="s">
        <v>995</v>
      </c>
      <c r="N119" s="9" t="s">
        <v>996</v>
      </c>
      <c r="O119" s="40" t="s">
        <v>997</v>
      </c>
      <c r="P119" s="9" t="s">
        <v>998</v>
      </c>
      <c r="Q119" s="9"/>
    </row>
    <row r="120" spans="1:17" ht="409.6" x14ac:dyDescent="0.2">
      <c r="A120" s="8" t="s">
        <v>999</v>
      </c>
      <c r="B120" s="6"/>
      <c r="C120" s="6"/>
      <c r="D120" s="6"/>
      <c r="E120" s="37" t="s">
        <v>1000</v>
      </c>
      <c r="F120" s="38" t="s">
        <v>1001</v>
      </c>
      <c r="G120" s="14" t="s">
        <v>1002</v>
      </c>
      <c r="H120" s="38" t="s">
        <v>1003</v>
      </c>
      <c r="I120" s="9" t="s">
        <v>1004</v>
      </c>
      <c r="J120" s="9" t="s">
        <v>1005</v>
      </c>
      <c r="K120" s="38" t="s">
        <v>1006</v>
      </c>
      <c r="L120" s="39" t="s">
        <v>1007</v>
      </c>
      <c r="M120" s="9" t="s">
        <v>1008</v>
      </c>
      <c r="N120" s="9" t="s">
        <v>1009</v>
      </c>
      <c r="O120" s="40" t="s">
        <v>1010</v>
      </c>
      <c r="P120" s="9" t="s">
        <v>1011</v>
      </c>
      <c r="Q120" s="9"/>
    </row>
    <row r="121" spans="1:17" ht="397" x14ac:dyDescent="0.2">
      <c r="A121" s="8" t="s">
        <v>1012</v>
      </c>
      <c r="B121" s="6"/>
      <c r="C121" s="6"/>
      <c r="D121" s="6"/>
      <c r="E121" s="37" t="s">
        <v>1013</v>
      </c>
      <c r="F121" s="38" t="s">
        <v>1014</v>
      </c>
      <c r="G121" s="14" t="s">
        <v>1015</v>
      </c>
      <c r="H121" s="38" t="s">
        <v>1016</v>
      </c>
      <c r="I121" s="9" t="s">
        <v>1017</v>
      </c>
      <c r="J121" s="9" t="s">
        <v>1018</v>
      </c>
      <c r="K121" s="38" t="s">
        <v>1019</v>
      </c>
      <c r="L121" s="38" t="s">
        <v>1020</v>
      </c>
      <c r="M121" s="9" t="s">
        <v>1021</v>
      </c>
      <c r="N121" s="9" t="s">
        <v>1022</v>
      </c>
      <c r="O121" s="41" t="s">
        <v>1023</v>
      </c>
      <c r="P121" s="9" t="s">
        <v>1024</v>
      </c>
      <c r="Q121" s="9" t="s">
        <v>984</v>
      </c>
    </row>
    <row r="122" spans="1:17" ht="409.6" x14ac:dyDescent="0.2">
      <c r="A122" s="8" t="s">
        <v>462</v>
      </c>
      <c r="B122" s="6"/>
      <c r="C122" s="6"/>
      <c r="D122" s="6"/>
      <c r="E122" s="9" t="s">
        <v>129</v>
      </c>
      <c r="F122" s="9" t="s">
        <v>463</v>
      </c>
      <c r="G122" s="14" t="s">
        <v>131</v>
      </c>
      <c r="H122" s="9" t="s">
        <v>464</v>
      </c>
      <c r="I122" s="9" t="s">
        <v>465</v>
      </c>
      <c r="J122" s="9" t="s">
        <v>466</v>
      </c>
      <c r="K122" s="9" t="s">
        <v>467</v>
      </c>
      <c r="L122" s="9" t="s">
        <v>468</v>
      </c>
      <c r="M122" s="9" t="s">
        <v>469</v>
      </c>
      <c r="N122" s="9" t="s">
        <v>470</v>
      </c>
      <c r="O122" s="6" t="s">
        <v>471</v>
      </c>
      <c r="P122" s="9" t="s">
        <v>472</v>
      </c>
      <c r="Q122" s="42"/>
    </row>
    <row r="123" spans="1:17" ht="409.6" x14ac:dyDescent="0.2">
      <c r="A123" s="70" t="s">
        <v>687</v>
      </c>
      <c r="B123" s="78"/>
      <c r="C123" s="78"/>
      <c r="D123" s="78"/>
      <c r="E123" s="43" t="s">
        <v>689</v>
      </c>
      <c r="F123" s="43" t="s">
        <v>690</v>
      </c>
      <c r="G123" s="44" t="s">
        <v>691</v>
      </c>
      <c r="H123" s="43" t="s">
        <v>692</v>
      </c>
      <c r="I123" s="43" t="s">
        <v>435</v>
      </c>
      <c r="J123" s="43" t="s">
        <v>693</v>
      </c>
      <c r="K123" s="43" t="s">
        <v>694</v>
      </c>
      <c r="L123" s="43" t="s">
        <v>695</v>
      </c>
      <c r="M123" s="43" t="s">
        <v>696</v>
      </c>
      <c r="N123" s="45" t="s">
        <v>697</v>
      </c>
      <c r="O123" s="43" t="s">
        <v>698</v>
      </c>
      <c r="P123" s="43" t="s">
        <v>699</v>
      </c>
      <c r="Q123" s="43"/>
    </row>
    <row r="124" spans="1:17" ht="409.6" x14ac:dyDescent="0.2">
      <c r="A124" s="8" t="s">
        <v>338</v>
      </c>
      <c r="B124" s="6"/>
      <c r="C124" s="6"/>
      <c r="D124" s="6"/>
      <c r="E124" s="13" t="s">
        <v>340</v>
      </c>
      <c r="F124" s="13" t="s">
        <v>341</v>
      </c>
      <c r="G124" s="13" t="s">
        <v>342</v>
      </c>
      <c r="H124" s="14" t="s">
        <v>343</v>
      </c>
      <c r="I124" s="14" t="s">
        <v>344</v>
      </c>
      <c r="J124" s="14" t="s">
        <v>345</v>
      </c>
      <c r="K124" s="9" t="s">
        <v>346</v>
      </c>
      <c r="L124" s="14" t="s">
        <v>347</v>
      </c>
      <c r="M124" s="9" t="s">
        <v>348</v>
      </c>
      <c r="N124" s="13" t="s">
        <v>349</v>
      </c>
      <c r="O124" s="9" t="s">
        <v>350</v>
      </c>
      <c r="P124" s="13" t="s">
        <v>351</v>
      </c>
      <c r="Q124" s="8"/>
    </row>
    <row r="125" spans="1:17" ht="409.6" x14ac:dyDescent="0.2">
      <c r="A125" s="8" t="s">
        <v>1025</v>
      </c>
      <c r="B125" s="6"/>
      <c r="C125" s="6"/>
      <c r="D125" s="6"/>
      <c r="E125" s="9" t="s">
        <v>1026</v>
      </c>
      <c r="F125" s="9" t="s">
        <v>1027</v>
      </c>
      <c r="G125" s="14" t="s">
        <v>1028</v>
      </c>
      <c r="H125" s="9" t="s">
        <v>1029</v>
      </c>
      <c r="I125" s="9" t="s">
        <v>1030</v>
      </c>
      <c r="J125" s="9" t="s">
        <v>1031</v>
      </c>
      <c r="K125" s="9" t="s">
        <v>1032</v>
      </c>
      <c r="L125" s="9" t="s">
        <v>1033</v>
      </c>
      <c r="M125" s="9" t="s">
        <v>1034</v>
      </c>
      <c r="N125" s="10" t="s">
        <v>1035</v>
      </c>
      <c r="O125" s="9" t="s">
        <v>1036</v>
      </c>
      <c r="P125" s="9" t="s">
        <v>1037</v>
      </c>
      <c r="Q125" s="8"/>
    </row>
    <row r="126" spans="1:17" ht="409.6" x14ac:dyDescent="0.2">
      <c r="A126" s="8" t="s">
        <v>1038</v>
      </c>
      <c r="B126" s="6"/>
      <c r="C126" s="6"/>
      <c r="D126" s="6"/>
      <c r="E126" s="9" t="s">
        <v>1039</v>
      </c>
      <c r="F126" s="9" t="s">
        <v>1040</v>
      </c>
      <c r="G126" s="14" t="s">
        <v>1041</v>
      </c>
      <c r="H126" s="9" t="s">
        <v>1042</v>
      </c>
      <c r="I126" s="9" t="s">
        <v>1043</v>
      </c>
      <c r="J126" s="9" t="s">
        <v>1044</v>
      </c>
      <c r="K126" s="9" t="s">
        <v>1045</v>
      </c>
      <c r="L126" s="9" t="s">
        <v>1046</v>
      </c>
      <c r="M126" s="9" t="s">
        <v>1047</v>
      </c>
      <c r="N126" s="10" t="s">
        <v>1048</v>
      </c>
      <c r="O126" s="9" t="s">
        <v>1049</v>
      </c>
      <c r="P126" s="9" t="s">
        <v>1050</v>
      </c>
      <c r="Q126" s="8" t="s">
        <v>984</v>
      </c>
    </row>
    <row r="127" spans="1:17" ht="409.6" x14ac:dyDescent="0.2">
      <c r="A127" s="8" t="s">
        <v>1051</v>
      </c>
      <c r="B127" s="6"/>
      <c r="C127" s="6"/>
      <c r="D127" s="6"/>
      <c r="E127" s="9" t="s">
        <v>1052</v>
      </c>
      <c r="F127" s="9" t="s">
        <v>1053</v>
      </c>
      <c r="G127" s="14" t="s">
        <v>1054</v>
      </c>
      <c r="H127" s="9" t="s">
        <v>1029</v>
      </c>
      <c r="I127" s="9" t="s">
        <v>1055</v>
      </c>
      <c r="J127" s="9" t="s">
        <v>1031</v>
      </c>
      <c r="K127" s="9" t="s">
        <v>1056</v>
      </c>
      <c r="L127" s="9" t="s">
        <v>1057</v>
      </c>
      <c r="M127" s="9" t="s">
        <v>1058</v>
      </c>
      <c r="N127" s="10" t="s">
        <v>1059</v>
      </c>
      <c r="O127" s="9" t="s">
        <v>1060</v>
      </c>
      <c r="P127" s="9" t="s">
        <v>1037</v>
      </c>
      <c r="Q127" s="8"/>
    </row>
    <row r="128" spans="1:17" ht="409.6" x14ac:dyDescent="0.2">
      <c r="A128" s="8" t="s">
        <v>1061</v>
      </c>
      <c r="B128" s="6"/>
      <c r="C128" s="6"/>
      <c r="D128" s="6"/>
      <c r="E128" s="9" t="s">
        <v>1062</v>
      </c>
      <c r="F128" s="9" t="s">
        <v>1063</v>
      </c>
      <c r="G128" s="14" t="s">
        <v>1064</v>
      </c>
      <c r="H128" s="9" t="s">
        <v>1065</v>
      </c>
      <c r="I128" s="9" t="s">
        <v>1030</v>
      </c>
      <c r="J128" s="9" t="s">
        <v>1044</v>
      </c>
      <c r="K128" s="9" t="s">
        <v>1045</v>
      </c>
      <c r="L128" s="9" t="s">
        <v>1046</v>
      </c>
      <c r="M128" s="9" t="s">
        <v>1066</v>
      </c>
      <c r="N128" s="10" t="s">
        <v>1048</v>
      </c>
      <c r="O128" s="9" t="s">
        <v>1067</v>
      </c>
      <c r="P128" s="9" t="s">
        <v>1068</v>
      </c>
      <c r="Q128" s="8" t="s">
        <v>984</v>
      </c>
    </row>
    <row r="129" spans="1:17" ht="409.6" x14ac:dyDescent="0.2">
      <c r="A129" s="67" t="s">
        <v>1069</v>
      </c>
      <c r="B129" s="6"/>
      <c r="C129" s="6"/>
      <c r="D129" s="6"/>
      <c r="E129" s="3" t="s">
        <v>1070</v>
      </c>
      <c r="F129" s="3" t="s">
        <v>1071</v>
      </c>
      <c r="G129" s="5" t="s">
        <v>1072</v>
      </c>
      <c r="H129" s="7" t="s">
        <v>1073</v>
      </c>
      <c r="I129" s="7" t="s">
        <v>1074</v>
      </c>
      <c r="J129" s="7" t="s">
        <v>1075</v>
      </c>
      <c r="K129" s="2" t="s">
        <v>1076</v>
      </c>
      <c r="L129" s="7" t="s">
        <v>1077</v>
      </c>
      <c r="M129" s="2" t="s">
        <v>1078</v>
      </c>
      <c r="N129" s="3" t="s">
        <v>1079</v>
      </c>
      <c r="O129" s="2" t="s">
        <v>1080</v>
      </c>
      <c r="P129" s="3" t="s">
        <v>1081</v>
      </c>
      <c r="Q129" s="8" t="s">
        <v>984</v>
      </c>
    </row>
    <row r="130" spans="1:17" ht="409.6" x14ac:dyDescent="0.2">
      <c r="A130" s="67" t="s">
        <v>1082</v>
      </c>
      <c r="B130" s="6"/>
      <c r="C130" s="6"/>
      <c r="D130" s="6"/>
      <c r="E130" s="9" t="s">
        <v>1083</v>
      </c>
      <c r="F130" s="9" t="s">
        <v>1084</v>
      </c>
      <c r="G130" s="14" t="s">
        <v>1085</v>
      </c>
      <c r="H130" s="9" t="s">
        <v>1086</v>
      </c>
      <c r="I130" s="9" t="s">
        <v>1087</v>
      </c>
      <c r="J130" s="9" t="s">
        <v>1088</v>
      </c>
      <c r="K130" s="9" t="s">
        <v>1089</v>
      </c>
      <c r="L130" s="9" t="s">
        <v>1090</v>
      </c>
      <c r="M130" s="9" t="s">
        <v>1091</v>
      </c>
      <c r="N130" s="9" t="s">
        <v>1092</v>
      </c>
      <c r="O130" s="6" t="s">
        <v>1093</v>
      </c>
      <c r="P130" s="9" t="s">
        <v>1094</v>
      </c>
      <c r="Q130" s="8"/>
    </row>
    <row r="131" spans="1:17" ht="409.6" x14ac:dyDescent="0.2">
      <c r="A131" s="71" t="s">
        <v>1095</v>
      </c>
      <c r="B131" s="79"/>
      <c r="C131" s="79"/>
      <c r="D131" s="79"/>
      <c r="E131" s="46" t="s">
        <v>1096</v>
      </c>
      <c r="F131" s="46" t="s">
        <v>1097</v>
      </c>
      <c r="G131" s="47" t="s">
        <v>1098</v>
      </c>
      <c r="H131" s="48" t="s">
        <v>1099</v>
      </c>
      <c r="I131" s="48" t="s">
        <v>1100</v>
      </c>
      <c r="J131" s="48" t="s">
        <v>1101</v>
      </c>
      <c r="K131" s="49" t="s">
        <v>1102</v>
      </c>
      <c r="L131" s="48" t="s">
        <v>1103</v>
      </c>
      <c r="M131" s="49" t="s">
        <v>1104</v>
      </c>
      <c r="N131" s="46" t="s">
        <v>1105</v>
      </c>
      <c r="O131" s="49" t="s">
        <v>1106</v>
      </c>
      <c r="P131" s="46" t="s">
        <v>1107</v>
      </c>
      <c r="Q131" s="8" t="s">
        <v>984</v>
      </c>
    </row>
    <row r="132" spans="1:17" ht="409.6" x14ac:dyDescent="0.2">
      <c r="A132" s="71" t="s">
        <v>1108</v>
      </c>
      <c r="B132" s="79"/>
      <c r="C132" s="79"/>
      <c r="D132" s="79"/>
      <c r="E132" s="46" t="s">
        <v>1109</v>
      </c>
      <c r="F132" s="46" t="s">
        <v>1110</v>
      </c>
      <c r="G132" s="47" t="s">
        <v>1111</v>
      </c>
      <c r="H132" s="48" t="s">
        <v>1112</v>
      </c>
      <c r="I132" s="48" t="s">
        <v>1113</v>
      </c>
      <c r="J132" s="48" t="s">
        <v>1114</v>
      </c>
      <c r="K132" s="49" t="s">
        <v>1115</v>
      </c>
      <c r="L132" s="48" t="s">
        <v>1114</v>
      </c>
      <c r="M132" s="49" t="s">
        <v>1116</v>
      </c>
      <c r="N132" s="46" t="s">
        <v>1117</v>
      </c>
      <c r="O132" s="49" t="s">
        <v>1118</v>
      </c>
      <c r="P132" s="46" t="s">
        <v>1119</v>
      </c>
      <c r="Q132" s="8" t="s">
        <v>984</v>
      </c>
    </row>
    <row r="133" spans="1:17" ht="409.6" x14ac:dyDescent="0.2">
      <c r="A133" s="71" t="s">
        <v>1120</v>
      </c>
      <c r="B133" s="79"/>
      <c r="C133" s="79"/>
      <c r="D133" s="79"/>
      <c r="E133" s="46" t="s">
        <v>1121</v>
      </c>
      <c r="F133" s="46" t="s">
        <v>1122</v>
      </c>
      <c r="G133" s="47" t="s">
        <v>1123</v>
      </c>
      <c r="H133" s="48" t="s">
        <v>1124</v>
      </c>
      <c r="I133" s="48" t="s">
        <v>1125</v>
      </c>
      <c r="J133" s="48" t="s">
        <v>1126</v>
      </c>
      <c r="K133" s="49" t="s">
        <v>1089</v>
      </c>
      <c r="L133" s="48" t="s">
        <v>1127</v>
      </c>
      <c r="M133" s="49" t="s">
        <v>1128</v>
      </c>
      <c r="N133" s="46" t="s">
        <v>1129</v>
      </c>
      <c r="O133" s="49" t="s">
        <v>1130</v>
      </c>
      <c r="P133" s="46" t="s">
        <v>1131</v>
      </c>
      <c r="Q133" s="8"/>
    </row>
    <row r="134" spans="1:17" ht="409.6" x14ac:dyDescent="0.2">
      <c r="A134" s="71" t="s">
        <v>1132</v>
      </c>
      <c r="B134" s="79"/>
      <c r="C134" s="79"/>
      <c r="D134" s="79"/>
      <c r="E134" s="46" t="s">
        <v>1133</v>
      </c>
      <c r="F134" s="46" t="s">
        <v>1134</v>
      </c>
      <c r="G134" s="47" t="s">
        <v>1135</v>
      </c>
      <c r="H134" s="48" t="s">
        <v>1136</v>
      </c>
      <c r="I134" s="48" t="s">
        <v>1137</v>
      </c>
      <c r="J134" s="48" t="s">
        <v>1138</v>
      </c>
      <c r="K134" s="49" t="s">
        <v>1139</v>
      </c>
      <c r="L134" s="48" t="s">
        <v>1140</v>
      </c>
      <c r="M134" s="49" t="s">
        <v>1141</v>
      </c>
      <c r="N134" s="46" t="s">
        <v>1142</v>
      </c>
      <c r="O134" s="49" t="s">
        <v>1143</v>
      </c>
      <c r="P134" s="46" t="s">
        <v>1144</v>
      </c>
      <c r="Q134" s="8"/>
    </row>
    <row r="135" spans="1:17" ht="409.6" x14ac:dyDescent="0.2">
      <c r="A135" s="71" t="s">
        <v>1145</v>
      </c>
      <c r="B135" s="79"/>
      <c r="C135" s="79"/>
      <c r="D135" s="79"/>
      <c r="E135" s="46" t="s">
        <v>1146</v>
      </c>
      <c r="F135" s="46" t="s">
        <v>1147</v>
      </c>
      <c r="G135" s="47" t="s">
        <v>1148</v>
      </c>
      <c r="H135" s="48" t="s">
        <v>1149</v>
      </c>
      <c r="I135" s="48" t="s">
        <v>1125</v>
      </c>
      <c r="J135" s="48" t="s">
        <v>1126</v>
      </c>
      <c r="K135" s="49" t="s">
        <v>1150</v>
      </c>
      <c r="L135" s="48" t="s">
        <v>1151</v>
      </c>
      <c r="M135" s="49" t="s">
        <v>1152</v>
      </c>
      <c r="N135" s="46" t="s">
        <v>1153</v>
      </c>
      <c r="O135" s="49" t="s">
        <v>1154</v>
      </c>
      <c r="P135" s="46" t="s">
        <v>1131</v>
      </c>
      <c r="Q135" s="8"/>
    </row>
    <row r="136" spans="1:17" ht="409.6" x14ac:dyDescent="0.2">
      <c r="A136" s="71" t="s">
        <v>1155</v>
      </c>
      <c r="B136" s="79"/>
      <c r="C136" s="79"/>
      <c r="D136" s="79"/>
      <c r="E136" s="46" t="s">
        <v>1156</v>
      </c>
      <c r="F136" s="46" t="s">
        <v>1157</v>
      </c>
      <c r="G136" s="47" t="s">
        <v>1158</v>
      </c>
      <c r="H136" s="48" t="s">
        <v>1159</v>
      </c>
      <c r="I136" s="48" t="s">
        <v>1125</v>
      </c>
      <c r="J136" s="48" t="s">
        <v>1126</v>
      </c>
      <c r="K136" s="49" t="s">
        <v>1160</v>
      </c>
      <c r="L136" s="48" t="s">
        <v>1161</v>
      </c>
      <c r="M136" s="49" t="s">
        <v>1162</v>
      </c>
      <c r="N136" s="46" t="s">
        <v>1153</v>
      </c>
      <c r="O136" s="49" t="s">
        <v>1163</v>
      </c>
      <c r="P136" s="46" t="s">
        <v>1131</v>
      </c>
      <c r="Q136" s="8"/>
    </row>
    <row r="137" spans="1:17" ht="409.6" x14ac:dyDescent="0.2">
      <c r="A137" s="71" t="s">
        <v>1164</v>
      </c>
      <c r="B137" s="79"/>
      <c r="C137" s="79"/>
      <c r="D137" s="79"/>
      <c r="E137" s="46" t="s">
        <v>1146</v>
      </c>
      <c r="F137" s="46" t="s">
        <v>1165</v>
      </c>
      <c r="G137" s="47" t="s">
        <v>1166</v>
      </c>
      <c r="H137" s="48" t="s">
        <v>1167</v>
      </c>
      <c r="I137" s="48" t="s">
        <v>1125</v>
      </c>
      <c r="J137" s="48" t="s">
        <v>1126</v>
      </c>
      <c r="K137" s="49" t="s">
        <v>1168</v>
      </c>
      <c r="L137" s="48" t="s">
        <v>1169</v>
      </c>
      <c r="M137" s="49" t="s">
        <v>1116</v>
      </c>
      <c r="N137" s="46" t="s">
        <v>1153</v>
      </c>
      <c r="O137" s="49" t="s">
        <v>1170</v>
      </c>
      <c r="P137" s="46" t="s">
        <v>1131</v>
      </c>
      <c r="Q137" s="8"/>
    </row>
    <row r="138" spans="1:17" ht="409.6" x14ac:dyDescent="0.2">
      <c r="A138" s="71" t="s">
        <v>1171</v>
      </c>
      <c r="B138" s="79"/>
      <c r="C138" s="79"/>
      <c r="D138" s="79"/>
      <c r="E138" s="46" t="s">
        <v>1146</v>
      </c>
      <c r="F138" s="46" t="s">
        <v>1165</v>
      </c>
      <c r="G138" s="47" t="s">
        <v>1172</v>
      </c>
      <c r="H138" s="48" t="s">
        <v>1167</v>
      </c>
      <c r="I138" s="48" t="s">
        <v>1125</v>
      </c>
      <c r="J138" s="48" t="s">
        <v>1126</v>
      </c>
      <c r="K138" s="49" t="s">
        <v>1168</v>
      </c>
      <c r="L138" s="48" t="s">
        <v>1169</v>
      </c>
      <c r="M138" s="49" t="s">
        <v>1173</v>
      </c>
      <c r="N138" s="46" t="s">
        <v>1153</v>
      </c>
      <c r="O138" s="49" t="s">
        <v>1170</v>
      </c>
      <c r="P138" s="46" t="s">
        <v>1131</v>
      </c>
      <c r="Q138" s="8"/>
    </row>
    <row r="139" spans="1:17" ht="409.6" x14ac:dyDescent="0.2">
      <c r="A139" s="71" t="s">
        <v>1174</v>
      </c>
      <c r="B139" s="79"/>
      <c r="C139" s="79"/>
      <c r="D139" s="79"/>
      <c r="E139" s="46" t="s">
        <v>1146</v>
      </c>
      <c r="F139" s="46" t="s">
        <v>1165</v>
      </c>
      <c r="G139" s="47" t="s">
        <v>1166</v>
      </c>
      <c r="H139" s="48" t="s">
        <v>1167</v>
      </c>
      <c r="I139" s="48" t="s">
        <v>1125</v>
      </c>
      <c r="J139" s="48" t="s">
        <v>1126</v>
      </c>
      <c r="K139" s="49" t="s">
        <v>1168</v>
      </c>
      <c r="L139" s="48" t="s">
        <v>1169</v>
      </c>
      <c r="M139" s="49" t="s">
        <v>1173</v>
      </c>
      <c r="N139" s="46" t="s">
        <v>1153</v>
      </c>
      <c r="O139" s="49" t="s">
        <v>1170</v>
      </c>
      <c r="P139" s="46" t="s">
        <v>1131</v>
      </c>
      <c r="Q139" s="8"/>
    </row>
    <row r="140" spans="1:17" ht="409.6" x14ac:dyDescent="0.2">
      <c r="A140" s="71" t="s">
        <v>1175</v>
      </c>
      <c r="B140" s="79"/>
      <c r="C140" s="79"/>
      <c r="D140" s="79"/>
      <c r="E140" s="46" t="s">
        <v>1176</v>
      </c>
      <c r="F140" s="46" t="s">
        <v>1177</v>
      </c>
      <c r="G140" s="47" t="s">
        <v>1178</v>
      </c>
      <c r="H140" s="48" t="s">
        <v>1179</v>
      </c>
      <c r="I140" s="48" t="s">
        <v>1125</v>
      </c>
      <c r="J140" s="48" t="s">
        <v>1126</v>
      </c>
      <c r="K140" s="49" t="s">
        <v>1180</v>
      </c>
      <c r="L140" s="48" t="s">
        <v>1181</v>
      </c>
      <c r="M140" s="49" t="s">
        <v>1182</v>
      </c>
      <c r="N140" s="46" t="s">
        <v>1153</v>
      </c>
      <c r="O140" s="49" t="s">
        <v>1183</v>
      </c>
      <c r="P140" s="46" t="s">
        <v>1184</v>
      </c>
      <c r="Q140" s="8"/>
    </row>
    <row r="141" spans="1:17" ht="409.6" x14ac:dyDescent="0.2">
      <c r="A141" s="71" t="s">
        <v>1185</v>
      </c>
      <c r="B141" s="79"/>
      <c r="C141" s="79"/>
      <c r="D141" s="79"/>
      <c r="E141" s="46" t="s">
        <v>1186</v>
      </c>
      <c r="F141" s="46" t="s">
        <v>1187</v>
      </c>
      <c r="G141" s="47" t="s">
        <v>1188</v>
      </c>
      <c r="H141" s="48" t="s">
        <v>1189</v>
      </c>
      <c r="I141" s="48" t="s">
        <v>1125</v>
      </c>
      <c r="J141" s="48" t="s">
        <v>1126</v>
      </c>
      <c r="K141" s="49" t="s">
        <v>1190</v>
      </c>
      <c r="L141" s="48" t="s">
        <v>1191</v>
      </c>
      <c r="M141" s="49" t="s">
        <v>1192</v>
      </c>
      <c r="N141" s="46" t="s">
        <v>1193</v>
      </c>
      <c r="O141" s="49" t="s">
        <v>1194</v>
      </c>
      <c r="P141" s="46" t="s">
        <v>1131</v>
      </c>
      <c r="Q141" s="8"/>
    </row>
    <row r="142" spans="1:17" ht="409.6" x14ac:dyDescent="0.2">
      <c r="A142" s="71" t="s">
        <v>1195</v>
      </c>
      <c r="B142" s="79"/>
      <c r="C142" s="79"/>
      <c r="D142" s="79"/>
      <c r="E142" s="46" t="s">
        <v>1196</v>
      </c>
      <c r="F142" s="46" t="s">
        <v>1197</v>
      </c>
      <c r="G142" s="47" t="s">
        <v>1198</v>
      </c>
      <c r="H142" s="48" t="s">
        <v>1199</v>
      </c>
      <c r="I142" s="48" t="s">
        <v>1125</v>
      </c>
      <c r="J142" s="48" t="s">
        <v>1200</v>
      </c>
      <c r="K142" s="49" t="s">
        <v>1201</v>
      </c>
      <c r="L142" s="48" t="s">
        <v>1202</v>
      </c>
      <c r="M142" s="49" t="s">
        <v>1203</v>
      </c>
      <c r="N142" s="46" t="s">
        <v>1204</v>
      </c>
      <c r="O142" s="49" t="s">
        <v>1205</v>
      </c>
      <c r="P142" s="46" t="s">
        <v>1206</v>
      </c>
      <c r="Q142" s="8"/>
    </row>
    <row r="143" spans="1:17" ht="409.6" x14ac:dyDescent="0.2">
      <c r="A143" s="71" t="s">
        <v>1207</v>
      </c>
      <c r="B143" s="79"/>
      <c r="C143" s="79"/>
      <c r="D143" s="79"/>
      <c r="E143" s="46" t="s">
        <v>1208</v>
      </c>
      <c r="F143" s="46" t="s">
        <v>1209</v>
      </c>
      <c r="G143" s="47" t="s">
        <v>1210</v>
      </c>
      <c r="H143" s="48" t="s">
        <v>1211</v>
      </c>
      <c r="I143" s="48" t="s">
        <v>1125</v>
      </c>
      <c r="J143" s="48" t="s">
        <v>1200</v>
      </c>
      <c r="K143" s="49" t="s">
        <v>1212</v>
      </c>
      <c r="L143" s="48" t="s">
        <v>1213</v>
      </c>
      <c r="M143" s="49" t="s">
        <v>1214</v>
      </c>
      <c r="N143" s="46" t="s">
        <v>1215</v>
      </c>
      <c r="O143" s="49" t="s">
        <v>1216</v>
      </c>
      <c r="P143" s="46" t="s">
        <v>984</v>
      </c>
      <c r="Q143" s="8"/>
    </row>
    <row r="144" spans="1:17" ht="409.6" x14ac:dyDescent="0.2">
      <c r="A144" s="71" t="s">
        <v>1217</v>
      </c>
      <c r="B144" s="79"/>
      <c r="C144" s="79"/>
      <c r="D144" s="79"/>
      <c r="E144" s="46" t="s">
        <v>1218</v>
      </c>
      <c r="F144" s="46" t="s">
        <v>1219</v>
      </c>
      <c r="G144" s="47" t="s">
        <v>1220</v>
      </c>
      <c r="H144" s="48" t="s">
        <v>1211</v>
      </c>
      <c r="I144" s="48" t="s">
        <v>1125</v>
      </c>
      <c r="J144" s="48" t="s">
        <v>1200</v>
      </c>
      <c r="K144" s="49" t="s">
        <v>1221</v>
      </c>
      <c r="L144" s="48" t="s">
        <v>1222</v>
      </c>
      <c r="M144" s="49" t="s">
        <v>1223</v>
      </c>
      <c r="N144" s="46" t="s">
        <v>1215</v>
      </c>
      <c r="O144" s="49" t="s">
        <v>1224</v>
      </c>
      <c r="P144" s="46" t="s">
        <v>1225</v>
      </c>
      <c r="Q144" s="8"/>
    </row>
    <row r="145" spans="1:17" ht="409.6" x14ac:dyDescent="0.2">
      <c r="A145" s="71" t="s">
        <v>1226</v>
      </c>
      <c r="B145" s="79"/>
      <c r="C145" s="79"/>
      <c r="D145" s="79"/>
      <c r="E145" s="46" t="s">
        <v>1227</v>
      </c>
      <c r="F145" s="46" t="s">
        <v>1228</v>
      </c>
      <c r="G145" s="47" t="s">
        <v>1229</v>
      </c>
      <c r="H145" s="48" t="s">
        <v>1230</v>
      </c>
      <c r="I145" s="48" t="s">
        <v>1125</v>
      </c>
      <c r="J145" s="48" t="s">
        <v>1126</v>
      </c>
      <c r="K145" s="49" t="s">
        <v>1231</v>
      </c>
      <c r="L145" s="48" t="s">
        <v>1232</v>
      </c>
      <c r="M145" s="49" t="s">
        <v>1233</v>
      </c>
      <c r="N145" s="46" t="s">
        <v>1153</v>
      </c>
      <c r="O145" s="49" t="s">
        <v>1234</v>
      </c>
      <c r="P145" s="46" t="s">
        <v>1235</v>
      </c>
      <c r="Q145" s="8"/>
    </row>
    <row r="146" spans="1:17" ht="409.6" x14ac:dyDescent="0.2">
      <c r="A146" s="71" t="s">
        <v>1236</v>
      </c>
      <c r="B146" s="79"/>
      <c r="C146" s="79"/>
      <c r="D146" s="79"/>
      <c r="E146" s="46" t="s">
        <v>1237</v>
      </c>
      <c r="F146" s="46" t="s">
        <v>1238</v>
      </c>
      <c r="G146" s="47" t="s">
        <v>1239</v>
      </c>
      <c r="H146" s="48" t="s">
        <v>1240</v>
      </c>
      <c r="I146" s="48" t="s">
        <v>1125</v>
      </c>
      <c r="J146" s="48" t="s">
        <v>1126</v>
      </c>
      <c r="K146" s="49" t="s">
        <v>1241</v>
      </c>
      <c r="L146" s="48" t="s">
        <v>1242</v>
      </c>
      <c r="M146" s="49" t="s">
        <v>1243</v>
      </c>
      <c r="N146" s="46" t="s">
        <v>1244</v>
      </c>
      <c r="O146" s="49" t="s">
        <v>1245</v>
      </c>
      <c r="P146" s="46" t="s">
        <v>1246</v>
      </c>
      <c r="Q146" s="8"/>
    </row>
    <row r="147" spans="1:17" ht="409.6" x14ac:dyDescent="0.2">
      <c r="A147" s="71" t="s">
        <v>1247</v>
      </c>
      <c r="B147" s="79"/>
      <c r="C147" s="79"/>
      <c r="D147" s="79"/>
      <c r="E147" s="46" t="s">
        <v>1248</v>
      </c>
      <c r="F147" s="46" t="s">
        <v>1249</v>
      </c>
      <c r="G147" s="47" t="s">
        <v>1250</v>
      </c>
      <c r="H147" s="48" t="s">
        <v>1251</v>
      </c>
      <c r="I147" s="48" t="s">
        <v>1252</v>
      </c>
      <c r="J147" s="48" t="s">
        <v>1253</v>
      </c>
      <c r="K147" s="49" t="s">
        <v>1254</v>
      </c>
      <c r="L147" s="48" t="s">
        <v>1255</v>
      </c>
      <c r="M147" s="49" t="s">
        <v>1256</v>
      </c>
      <c r="N147" s="46" t="s">
        <v>1257</v>
      </c>
      <c r="O147" s="49" t="s">
        <v>1258</v>
      </c>
      <c r="P147" s="46" t="s">
        <v>1259</v>
      </c>
      <c r="Q147" s="8"/>
    </row>
    <row r="148" spans="1:17" ht="409.6" x14ac:dyDescent="0.2">
      <c r="A148" s="71" t="s">
        <v>1260</v>
      </c>
      <c r="B148" s="79"/>
      <c r="C148" s="79"/>
      <c r="D148" s="79"/>
      <c r="E148" s="46" t="s">
        <v>1261</v>
      </c>
      <c r="F148" s="46" t="s">
        <v>1262</v>
      </c>
      <c r="G148" s="47" t="s">
        <v>1263</v>
      </c>
      <c r="H148" s="48" t="s">
        <v>1251</v>
      </c>
      <c r="I148" s="48" t="s">
        <v>1264</v>
      </c>
      <c r="J148" s="48" t="s">
        <v>1265</v>
      </c>
      <c r="K148" s="49" t="s">
        <v>1266</v>
      </c>
      <c r="L148" s="48" t="s">
        <v>1267</v>
      </c>
      <c r="M148" s="49" t="s">
        <v>1268</v>
      </c>
      <c r="N148" s="46" t="s">
        <v>1269</v>
      </c>
      <c r="O148" s="49" t="s">
        <v>1270</v>
      </c>
      <c r="P148" s="46" t="s">
        <v>1271</v>
      </c>
      <c r="Q148" s="8"/>
    </row>
    <row r="149" spans="1:17" ht="409.6" x14ac:dyDescent="0.2">
      <c r="A149" s="71" t="s">
        <v>1272</v>
      </c>
      <c r="B149" s="79"/>
      <c r="C149" s="79"/>
      <c r="D149" s="79"/>
      <c r="E149" s="46" t="s">
        <v>1273</v>
      </c>
      <c r="F149" s="46" t="s">
        <v>1274</v>
      </c>
      <c r="G149" s="47" t="s">
        <v>1275</v>
      </c>
      <c r="H149" s="48" t="s">
        <v>1276</v>
      </c>
      <c r="I149" s="48" t="s">
        <v>1277</v>
      </c>
      <c r="J149" s="48" t="s">
        <v>1278</v>
      </c>
      <c r="K149" s="49" t="s">
        <v>1279</v>
      </c>
      <c r="L149" s="48" t="s">
        <v>1280</v>
      </c>
      <c r="M149" s="49" t="s">
        <v>1281</v>
      </c>
      <c r="N149" s="46" t="s">
        <v>1282</v>
      </c>
      <c r="O149" s="49" t="s">
        <v>1283</v>
      </c>
      <c r="P149" s="46" t="s">
        <v>1284</v>
      </c>
      <c r="Q149" s="8"/>
    </row>
    <row r="150" spans="1:17" ht="409.6" x14ac:dyDescent="0.2">
      <c r="A150" s="71" t="s">
        <v>1285</v>
      </c>
      <c r="B150" s="79"/>
      <c r="C150" s="79"/>
      <c r="D150" s="79"/>
      <c r="E150" s="46" t="s">
        <v>1286</v>
      </c>
      <c r="F150" s="46" t="s">
        <v>1287</v>
      </c>
      <c r="G150" s="47" t="s">
        <v>1288</v>
      </c>
      <c r="H150" s="48" t="s">
        <v>1289</v>
      </c>
      <c r="I150" s="48" t="s">
        <v>1277</v>
      </c>
      <c r="J150" s="48" t="s">
        <v>1290</v>
      </c>
      <c r="K150" s="49" t="s">
        <v>1279</v>
      </c>
      <c r="L150" s="48" t="s">
        <v>1291</v>
      </c>
      <c r="M150" s="49" t="s">
        <v>1292</v>
      </c>
      <c r="N150" s="46" t="s">
        <v>1282</v>
      </c>
      <c r="O150" s="49" t="s">
        <v>1293</v>
      </c>
      <c r="P150" s="46" t="s">
        <v>1294</v>
      </c>
      <c r="Q150" s="8" t="s">
        <v>984</v>
      </c>
    </row>
    <row r="151" spans="1:17" ht="409.6" x14ac:dyDescent="0.2">
      <c r="A151" s="71" t="s">
        <v>1295</v>
      </c>
      <c r="B151" s="79"/>
      <c r="C151" s="79"/>
      <c r="D151" s="79"/>
      <c r="E151" s="46" t="s">
        <v>1296</v>
      </c>
      <c r="F151" s="46" t="s">
        <v>1297</v>
      </c>
      <c r="G151" s="47" t="s">
        <v>1298</v>
      </c>
      <c r="H151" s="48" t="s">
        <v>1251</v>
      </c>
      <c r="I151" s="48" t="s">
        <v>1264</v>
      </c>
      <c r="J151" s="48" t="s">
        <v>1265</v>
      </c>
      <c r="K151" s="49" t="s">
        <v>1279</v>
      </c>
      <c r="L151" s="48" t="s">
        <v>1299</v>
      </c>
      <c r="M151" s="49" t="s">
        <v>1300</v>
      </c>
      <c r="N151" s="46" t="s">
        <v>1301</v>
      </c>
      <c r="O151" s="49" t="s">
        <v>1302</v>
      </c>
      <c r="P151" s="46" t="s">
        <v>1271</v>
      </c>
      <c r="Q151" s="8"/>
    </row>
    <row r="152" spans="1:17" ht="409.6" x14ac:dyDescent="0.2">
      <c r="A152" s="71" t="s">
        <v>1303</v>
      </c>
      <c r="B152" s="79"/>
      <c r="C152" s="79"/>
      <c r="D152" s="79"/>
      <c r="E152" s="46" t="s">
        <v>1304</v>
      </c>
      <c r="F152" s="46" t="s">
        <v>1305</v>
      </c>
      <c r="G152" s="47" t="s">
        <v>1306</v>
      </c>
      <c r="H152" s="48" t="s">
        <v>1307</v>
      </c>
      <c r="I152" s="48" t="s">
        <v>1264</v>
      </c>
      <c r="J152" s="48" t="s">
        <v>1308</v>
      </c>
      <c r="K152" s="49" t="s">
        <v>1309</v>
      </c>
      <c r="L152" s="48" t="s">
        <v>1291</v>
      </c>
      <c r="M152" s="49" t="s">
        <v>1310</v>
      </c>
      <c r="N152" s="46" t="s">
        <v>1311</v>
      </c>
      <c r="O152" s="49" t="s">
        <v>1312</v>
      </c>
      <c r="P152" s="46" t="s">
        <v>1313</v>
      </c>
      <c r="Q152" s="8"/>
    </row>
    <row r="153" spans="1:17" ht="409.6" x14ac:dyDescent="0.2">
      <c r="A153" s="71" t="s">
        <v>1314</v>
      </c>
      <c r="B153" s="79"/>
      <c r="C153" s="79"/>
      <c r="D153" s="79"/>
      <c r="E153" s="46" t="s">
        <v>1315</v>
      </c>
      <c r="F153" s="46" t="s">
        <v>1316</v>
      </c>
      <c r="G153" s="47" t="s">
        <v>1317</v>
      </c>
      <c r="H153" s="48" t="s">
        <v>1318</v>
      </c>
      <c r="I153" s="48" t="s">
        <v>1319</v>
      </c>
      <c r="J153" s="48" t="s">
        <v>1320</v>
      </c>
      <c r="K153" s="49" t="s">
        <v>1321</v>
      </c>
      <c r="L153" s="48" t="s">
        <v>1322</v>
      </c>
      <c r="M153" s="49" t="s">
        <v>1323</v>
      </c>
      <c r="N153" s="46" t="s">
        <v>1324</v>
      </c>
      <c r="O153" s="49" t="s">
        <v>1325</v>
      </c>
      <c r="P153" s="46" t="s">
        <v>1284</v>
      </c>
      <c r="Q153" s="8"/>
    </row>
    <row r="154" spans="1:17" ht="409.6" x14ac:dyDescent="0.2">
      <c r="A154" s="71" t="s">
        <v>1326</v>
      </c>
      <c r="B154" s="79"/>
      <c r="C154" s="79"/>
      <c r="D154" s="79"/>
      <c r="E154" s="46" t="s">
        <v>1327</v>
      </c>
      <c r="F154" s="46" t="s">
        <v>1328</v>
      </c>
      <c r="G154" s="47" t="s">
        <v>1329</v>
      </c>
      <c r="H154" s="48" t="s">
        <v>1330</v>
      </c>
      <c r="I154" s="48" t="s">
        <v>1277</v>
      </c>
      <c r="J154" s="48" t="s">
        <v>1331</v>
      </c>
      <c r="K154" s="49" t="s">
        <v>1332</v>
      </c>
      <c r="L154" s="48" t="s">
        <v>1291</v>
      </c>
      <c r="M154" s="49" t="s">
        <v>1333</v>
      </c>
      <c r="N154" s="46" t="s">
        <v>1334</v>
      </c>
      <c r="O154" s="49" t="s">
        <v>1335</v>
      </c>
      <c r="P154" s="46" t="s">
        <v>1271</v>
      </c>
      <c r="Q154" s="8"/>
    </row>
    <row r="155" spans="1:17" ht="409.6" x14ac:dyDescent="0.2">
      <c r="A155" s="71" t="s">
        <v>1336</v>
      </c>
      <c r="B155" s="79"/>
      <c r="C155" s="79"/>
      <c r="D155" s="79"/>
      <c r="E155" s="46" t="s">
        <v>1337</v>
      </c>
      <c r="F155" s="46" t="s">
        <v>1338</v>
      </c>
      <c r="G155" s="47" t="s">
        <v>1339</v>
      </c>
      <c r="H155" s="48" t="s">
        <v>1340</v>
      </c>
      <c r="I155" s="48" t="s">
        <v>1277</v>
      </c>
      <c r="J155" s="48" t="s">
        <v>1320</v>
      </c>
      <c r="K155" s="49" t="s">
        <v>1341</v>
      </c>
      <c r="L155" s="48" t="s">
        <v>1291</v>
      </c>
      <c r="M155" s="49" t="s">
        <v>1342</v>
      </c>
      <c r="N155" s="46" t="s">
        <v>1334</v>
      </c>
      <c r="O155" s="49" t="s">
        <v>1343</v>
      </c>
      <c r="P155" s="46" t="s">
        <v>1344</v>
      </c>
      <c r="Q155" s="8"/>
    </row>
    <row r="156" spans="1:17" ht="409.6" x14ac:dyDescent="0.2">
      <c r="A156" s="71" t="s">
        <v>1345</v>
      </c>
      <c r="B156" s="79"/>
      <c r="C156" s="79"/>
      <c r="D156" s="79"/>
      <c r="E156" s="46" t="s">
        <v>1346</v>
      </c>
      <c r="F156" s="46" t="s">
        <v>1347</v>
      </c>
      <c r="G156" s="47" t="s">
        <v>1348</v>
      </c>
      <c r="H156" s="48" t="s">
        <v>1340</v>
      </c>
      <c r="I156" s="48" t="s">
        <v>1319</v>
      </c>
      <c r="J156" s="48" t="s">
        <v>1349</v>
      </c>
      <c r="K156" s="49" t="s">
        <v>1309</v>
      </c>
      <c r="L156" s="48" t="s">
        <v>1322</v>
      </c>
      <c r="M156" s="49" t="s">
        <v>1350</v>
      </c>
      <c r="N156" s="46" t="s">
        <v>1311</v>
      </c>
      <c r="O156" s="49" t="s">
        <v>1351</v>
      </c>
      <c r="P156" s="46" t="s">
        <v>1271</v>
      </c>
      <c r="Q156" s="8"/>
    </row>
    <row r="157" spans="1:17" ht="409.6" x14ac:dyDescent="0.2">
      <c r="A157" s="71" t="s">
        <v>1352</v>
      </c>
      <c r="B157" s="79"/>
      <c r="C157" s="79"/>
      <c r="D157" s="79"/>
      <c r="E157" s="46" t="s">
        <v>1353</v>
      </c>
      <c r="F157" s="46" t="s">
        <v>1354</v>
      </c>
      <c r="G157" s="47" t="s">
        <v>1306</v>
      </c>
      <c r="H157" s="48" t="s">
        <v>1307</v>
      </c>
      <c r="I157" s="48" t="s">
        <v>1264</v>
      </c>
      <c r="J157" s="48" t="s">
        <v>1308</v>
      </c>
      <c r="K157" s="49" t="s">
        <v>1309</v>
      </c>
      <c r="L157" s="48" t="s">
        <v>1291</v>
      </c>
      <c r="M157" s="49" t="s">
        <v>1355</v>
      </c>
      <c r="N157" s="46" t="s">
        <v>1311</v>
      </c>
      <c r="O157" s="49" t="s">
        <v>1356</v>
      </c>
      <c r="P157" s="46" t="s">
        <v>1313</v>
      </c>
      <c r="Q157" s="8"/>
    </row>
    <row r="158" spans="1:17" ht="409.6" x14ac:dyDescent="0.2">
      <c r="A158" s="71" t="s">
        <v>1357</v>
      </c>
      <c r="B158" s="79"/>
      <c r="C158" s="79"/>
      <c r="D158" s="79"/>
      <c r="E158" s="46" t="s">
        <v>1358</v>
      </c>
      <c r="F158" s="46" t="s">
        <v>1359</v>
      </c>
      <c r="G158" s="47" t="s">
        <v>1360</v>
      </c>
      <c r="H158" s="48" t="s">
        <v>1159</v>
      </c>
      <c r="I158" s="48" t="s">
        <v>1361</v>
      </c>
      <c r="J158" s="48" t="s">
        <v>1362</v>
      </c>
      <c r="K158" s="49" t="s">
        <v>1363</v>
      </c>
      <c r="L158" s="48" t="s">
        <v>1364</v>
      </c>
      <c r="M158" s="49" t="s">
        <v>1365</v>
      </c>
      <c r="N158" s="46" t="s">
        <v>1366</v>
      </c>
      <c r="O158" s="49" t="s">
        <v>1367</v>
      </c>
      <c r="P158" s="46" t="s">
        <v>1368</v>
      </c>
      <c r="Q158" s="8"/>
    </row>
    <row r="159" spans="1:17" ht="409.6" x14ac:dyDescent="0.2">
      <c r="A159" s="71" t="s">
        <v>1369</v>
      </c>
      <c r="B159" s="79"/>
      <c r="C159" s="79"/>
      <c r="D159" s="79"/>
      <c r="E159" s="46" t="s">
        <v>1370</v>
      </c>
      <c r="F159" s="46" t="s">
        <v>1371</v>
      </c>
      <c r="G159" s="47" t="s">
        <v>1372</v>
      </c>
      <c r="H159" s="48" t="s">
        <v>1373</v>
      </c>
      <c r="I159" s="48" t="s">
        <v>1374</v>
      </c>
      <c r="J159" s="48" t="s">
        <v>1375</v>
      </c>
      <c r="K159" s="49" t="s">
        <v>1376</v>
      </c>
      <c r="L159" s="48" t="s">
        <v>1377</v>
      </c>
      <c r="M159" s="49" t="s">
        <v>1378</v>
      </c>
      <c r="N159" s="46" t="s">
        <v>1379</v>
      </c>
      <c r="O159" s="49" t="s">
        <v>1380</v>
      </c>
      <c r="P159" s="46" t="s">
        <v>1381</v>
      </c>
      <c r="Q159" s="8"/>
    </row>
    <row r="160" spans="1:17" ht="409.6" x14ac:dyDescent="0.2">
      <c r="A160" s="71" t="s">
        <v>1382</v>
      </c>
      <c r="B160" s="79"/>
      <c r="C160" s="79"/>
      <c r="D160" s="79"/>
      <c r="E160" s="46" t="s">
        <v>1383</v>
      </c>
      <c r="F160" s="46" t="s">
        <v>1384</v>
      </c>
      <c r="G160" s="47" t="s">
        <v>1385</v>
      </c>
      <c r="H160" s="48" t="s">
        <v>1159</v>
      </c>
      <c r="I160" s="48" t="s">
        <v>1386</v>
      </c>
      <c r="J160" s="48" t="s">
        <v>1387</v>
      </c>
      <c r="K160" s="49" t="s">
        <v>1388</v>
      </c>
      <c r="L160" s="48" t="s">
        <v>1389</v>
      </c>
      <c r="M160" s="49" t="s">
        <v>1390</v>
      </c>
      <c r="N160" s="46" t="s">
        <v>1391</v>
      </c>
      <c r="O160" s="49" t="s">
        <v>1392</v>
      </c>
      <c r="P160" s="46" t="s">
        <v>1381</v>
      </c>
      <c r="Q160" s="8"/>
    </row>
    <row r="161" spans="1:17" ht="409.6" x14ac:dyDescent="0.2">
      <c r="A161" s="71" t="s">
        <v>1393</v>
      </c>
      <c r="B161" s="79"/>
      <c r="C161" s="79"/>
      <c r="D161" s="79"/>
      <c r="E161" s="46" t="s">
        <v>1383</v>
      </c>
      <c r="F161" s="46" t="s">
        <v>1394</v>
      </c>
      <c r="G161" s="47" t="s">
        <v>1395</v>
      </c>
      <c r="H161" s="48" t="s">
        <v>1396</v>
      </c>
      <c r="I161" s="48" t="s">
        <v>1397</v>
      </c>
      <c r="J161" s="48" t="s">
        <v>1387</v>
      </c>
      <c r="K161" s="49" t="s">
        <v>1398</v>
      </c>
      <c r="L161" s="48" t="s">
        <v>1399</v>
      </c>
      <c r="M161" s="49" t="s">
        <v>1400</v>
      </c>
      <c r="N161" s="46" t="s">
        <v>1401</v>
      </c>
      <c r="O161" s="49" t="s">
        <v>1402</v>
      </c>
      <c r="P161" s="46" t="s">
        <v>1403</v>
      </c>
      <c r="Q161" s="8"/>
    </row>
    <row r="162" spans="1:17" ht="409.6" x14ac:dyDescent="0.2">
      <c r="A162" s="71" t="s">
        <v>1404</v>
      </c>
      <c r="B162" s="79"/>
      <c r="C162" s="79"/>
      <c r="D162" s="79"/>
      <c r="E162" s="46" t="s">
        <v>1405</v>
      </c>
      <c r="F162" s="46" t="s">
        <v>1406</v>
      </c>
      <c r="G162" s="47" t="s">
        <v>1407</v>
      </c>
      <c r="H162" s="48" t="s">
        <v>1159</v>
      </c>
      <c r="I162" s="48" t="s">
        <v>1408</v>
      </c>
      <c r="J162" s="48" t="s">
        <v>1362</v>
      </c>
      <c r="K162" s="49" t="s">
        <v>1409</v>
      </c>
      <c r="L162" s="48" t="s">
        <v>1410</v>
      </c>
      <c r="M162" s="49" t="s">
        <v>1411</v>
      </c>
      <c r="N162" s="46" t="s">
        <v>1412</v>
      </c>
      <c r="O162" s="49" t="s">
        <v>1413</v>
      </c>
      <c r="P162" s="46" t="s">
        <v>1381</v>
      </c>
      <c r="Q162" s="8"/>
    </row>
    <row r="163" spans="1:17" ht="409.6" x14ac:dyDescent="0.2">
      <c r="A163" s="71" t="s">
        <v>1414</v>
      </c>
      <c r="B163" s="79"/>
      <c r="C163" s="79"/>
      <c r="D163" s="79"/>
      <c r="E163" s="46" t="s">
        <v>1415</v>
      </c>
      <c r="F163" s="46" t="s">
        <v>1416</v>
      </c>
      <c r="G163" s="47" t="s">
        <v>1417</v>
      </c>
      <c r="H163" s="48" t="s">
        <v>1230</v>
      </c>
      <c r="I163" s="48" t="s">
        <v>1418</v>
      </c>
      <c r="J163" s="48" t="s">
        <v>1362</v>
      </c>
      <c r="K163" s="49" t="s">
        <v>1419</v>
      </c>
      <c r="L163" s="48" t="s">
        <v>1420</v>
      </c>
      <c r="M163" s="49" t="s">
        <v>1421</v>
      </c>
      <c r="N163" s="46" t="s">
        <v>1412</v>
      </c>
      <c r="O163" s="49" t="s">
        <v>1422</v>
      </c>
      <c r="P163" s="46" t="s">
        <v>1423</v>
      </c>
      <c r="Q163" s="8" t="s">
        <v>984</v>
      </c>
    </row>
    <row r="164" spans="1:17" ht="409.6" x14ac:dyDescent="0.2">
      <c r="A164" s="71" t="s">
        <v>1424</v>
      </c>
      <c r="B164" s="79"/>
      <c r="C164" s="79"/>
      <c r="D164" s="79"/>
      <c r="E164" s="46" t="s">
        <v>1425</v>
      </c>
      <c r="F164" s="46" t="s">
        <v>1426</v>
      </c>
      <c r="G164" s="47" t="s">
        <v>1427</v>
      </c>
      <c r="H164" s="48" t="s">
        <v>1230</v>
      </c>
      <c r="I164" s="48" t="s">
        <v>1428</v>
      </c>
      <c r="J164" s="48" t="s">
        <v>1362</v>
      </c>
      <c r="K164" s="49" t="s">
        <v>1429</v>
      </c>
      <c r="L164" s="48" t="s">
        <v>1420</v>
      </c>
      <c r="M164" s="49" t="s">
        <v>1430</v>
      </c>
      <c r="N164" s="46" t="s">
        <v>1431</v>
      </c>
      <c r="O164" s="49" t="s">
        <v>1432</v>
      </c>
      <c r="P164" s="46" t="s">
        <v>1433</v>
      </c>
      <c r="Q164" s="8" t="s">
        <v>984</v>
      </c>
    </row>
    <row r="165" spans="1:17" ht="409.6" x14ac:dyDescent="0.2">
      <c r="A165" s="71" t="s">
        <v>1434</v>
      </c>
      <c r="B165" s="79"/>
      <c r="C165" s="79"/>
      <c r="D165" s="79"/>
      <c r="E165" s="46" t="s">
        <v>1415</v>
      </c>
      <c r="F165" s="46" t="s">
        <v>1435</v>
      </c>
      <c r="G165" s="47" t="s">
        <v>1436</v>
      </c>
      <c r="H165" s="48" t="s">
        <v>1373</v>
      </c>
      <c r="I165" s="48" t="s">
        <v>1437</v>
      </c>
      <c r="J165" s="48" t="s">
        <v>1387</v>
      </c>
      <c r="K165" s="49" t="s">
        <v>1438</v>
      </c>
      <c r="L165" s="48" t="s">
        <v>1439</v>
      </c>
      <c r="M165" s="49" t="s">
        <v>1440</v>
      </c>
      <c r="N165" s="46" t="s">
        <v>1441</v>
      </c>
      <c r="O165" s="49" t="s">
        <v>1442</v>
      </c>
      <c r="P165" s="46" t="s">
        <v>1443</v>
      </c>
      <c r="Q165" s="8"/>
    </row>
    <row r="166" spans="1:17" ht="409.6" x14ac:dyDescent="0.2">
      <c r="A166" s="71" t="s">
        <v>1444</v>
      </c>
      <c r="B166" s="79"/>
      <c r="C166" s="79"/>
      <c r="D166" s="79"/>
      <c r="E166" s="46" t="s">
        <v>1445</v>
      </c>
      <c r="F166" s="46" t="s">
        <v>1446</v>
      </c>
      <c r="G166" s="47" t="s">
        <v>1447</v>
      </c>
      <c r="H166" s="48" t="s">
        <v>1448</v>
      </c>
      <c r="I166" s="48" t="s">
        <v>1449</v>
      </c>
      <c r="J166" s="48" t="s">
        <v>1450</v>
      </c>
      <c r="K166" s="49" t="s">
        <v>1451</v>
      </c>
      <c r="L166" s="48" t="s">
        <v>1452</v>
      </c>
      <c r="M166" s="49" t="s">
        <v>1453</v>
      </c>
      <c r="N166" s="46" t="s">
        <v>1454</v>
      </c>
      <c r="O166" s="49" t="s">
        <v>1455</v>
      </c>
      <c r="P166" s="46" t="s">
        <v>1443</v>
      </c>
      <c r="Q166" s="8"/>
    </row>
    <row r="167" spans="1:17" ht="409.6" x14ac:dyDescent="0.2">
      <c r="A167" s="71" t="s">
        <v>1456</v>
      </c>
      <c r="B167" s="79"/>
      <c r="C167" s="79"/>
      <c r="D167" s="79"/>
      <c r="E167" s="46" t="s">
        <v>1457</v>
      </c>
      <c r="F167" s="46" t="s">
        <v>1458</v>
      </c>
      <c r="G167" s="47" t="s">
        <v>1459</v>
      </c>
      <c r="H167" s="48" t="s">
        <v>1230</v>
      </c>
      <c r="I167" s="48" t="s">
        <v>1460</v>
      </c>
      <c r="J167" s="48" t="s">
        <v>1387</v>
      </c>
      <c r="K167" s="49" t="s">
        <v>1461</v>
      </c>
      <c r="L167" s="48" t="s">
        <v>1420</v>
      </c>
      <c r="M167" s="49" t="s">
        <v>1462</v>
      </c>
      <c r="N167" s="46" t="s">
        <v>1463</v>
      </c>
      <c r="O167" s="49" t="s">
        <v>1464</v>
      </c>
      <c r="P167" s="46" t="s">
        <v>1423</v>
      </c>
      <c r="Q167" s="8" t="s">
        <v>984</v>
      </c>
    </row>
    <row r="168" spans="1:17" ht="409.6" x14ac:dyDescent="0.2">
      <c r="A168" s="71" t="s">
        <v>1465</v>
      </c>
      <c r="B168" s="79"/>
      <c r="C168" s="79"/>
      <c r="D168" s="79"/>
      <c r="E168" s="46" t="s">
        <v>1466</v>
      </c>
      <c r="F168" s="46" t="s">
        <v>1467</v>
      </c>
      <c r="G168" s="47" t="s">
        <v>1468</v>
      </c>
      <c r="H168" s="48" t="s">
        <v>1469</v>
      </c>
      <c r="I168" s="48" t="s">
        <v>1470</v>
      </c>
      <c r="J168" s="48" t="s">
        <v>1471</v>
      </c>
      <c r="K168" s="49" t="s">
        <v>1472</v>
      </c>
      <c r="L168" s="48" t="s">
        <v>1473</v>
      </c>
      <c r="M168" s="49" t="s">
        <v>1474</v>
      </c>
      <c r="N168" s="46" t="s">
        <v>1475</v>
      </c>
      <c r="O168" s="49" t="s">
        <v>1476</v>
      </c>
      <c r="P168" s="46" t="s">
        <v>1477</v>
      </c>
      <c r="Q168" s="8"/>
    </row>
    <row r="169" spans="1:17" ht="409.6" x14ac:dyDescent="0.2">
      <c r="A169" s="71" t="s">
        <v>1478</v>
      </c>
      <c r="B169" s="79"/>
      <c r="C169" s="79"/>
      <c r="D169" s="79"/>
      <c r="E169" s="46" t="s">
        <v>1479</v>
      </c>
      <c r="F169" s="46" t="s">
        <v>1480</v>
      </c>
      <c r="G169" s="47" t="s">
        <v>1481</v>
      </c>
      <c r="H169" s="48" t="s">
        <v>1469</v>
      </c>
      <c r="I169" s="48" t="s">
        <v>1361</v>
      </c>
      <c r="J169" s="48" t="s">
        <v>1450</v>
      </c>
      <c r="K169" s="49" t="s">
        <v>1482</v>
      </c>
      <c r="L169" s="48" t="s">
        <v>1483</v>
      </c>
      <c r="M169" s="49" t="s">
        <v>1484</v>
      </c>
      <c r="N169" s="46" t="s">
        <v>1454</v>
      </c>
      <c r="O169" s="49" t="s">
        <v>1485</v>
      </c>
      <c r="P169" s="46" t="s">
        <v>1443</v>
      </c>
      <c r="Q169" s="8"/>
    </row>
    <row r="170" spans="1:17" ht="409.6" x14ac:dyDescent="0.2">
      <c r="A170" s="71" t="s">
        <v>1486</v>
      </c>
      <c r="B170" s="79"/>
      <c r="C170" s="79"/>
      <c r="D170" s="79"/>
      <c r="E170" s="46" t="s">
        <v>1487</v>
      </c>
      <c r="F170" s="46" t="s">
        <v>1488</v>
      </c>
      <c r="G170" s="47" t="s">
        <v>1489</v>
      </c>
      <c r="H170" s="48" t="s">
        <v>1490</v>
      </c>
      <c r="I170" s="48" t="s">
        <v>1418</v>
      </c>
      <c r="J170" s="48" t="s">
        <v>1450</v>
      </c>
      <c r="K170" s="49" t="s">
        <v>1491</v>
      </c>
      <c r="L170" s="48" t="s">
        <v>1492</v>
      </c>
      <c r="M170" s="49" t="s">
        <v>1493</v>
      </c>
      <c r="N170" s="46" t="s">
        <v>1494</v>
      </c>
      <c r="O170" s="49" t="s">
        <v>1495</v>
      </c>
      <c r="P170" s="46" t="s">
        <v>1443</v>
      </c>
      <c r="Q170" s="8"/>
    </row>
    <row r="171" spans="1:17" ht="409.6" x14ac:dyDescent="0.2">
      <c r="A171" s="71" t="s">
        <v>1496</v>
      </c>
      <c r="B171" s="79"/>
      <c r="C171" s="79"/>
      <c r="D171" s="79"/>
      <c r="E171" s="46" t="s">
        <v>1445</v>
      </c>
      <c r="F171" s="46" t="s">
        <v>1497</v>
      </c>
      <c r="G171" s="47" t="s">
        <v>1498</v>
      </c>
      <c r="H171" s="48" t="s">
        <v>1230</v>
      </c>
      <c r="I171" s="48" t="s">
        <v>1499</v>
      </c>
      <c r="J171" s="48" t="s">
        <v>1362</v>
      </c>
      <c r="K171" s="49" t="s">
        <v>1500</v>
      </c>
      <c r="L171" s="48" t="s">
        <v>1420</v>
      </c>
      <c r="M171" s="49" t="s">
        <v>1501</v>
      </c>
      <c r="N171" s="46" t="s">
        <v>1431</v>
      </c>
      <c r="O171" s="49" t="s">
        <v>1502</v>
      </c>
      <c r="P171" s="46" t="s">
        <v>1443</v>
      </c>
      <c r="Q171" s="8"/>
    </row>
    <row r="172" spans="1:17" ht="409.6" x14ac:dyDescent="0.2">
      <c r="A172" s="8" t="s">
        <v>629</v>
      </c>
      <c r="B172" s="6"/>
      <c r="C172" s="6"/>
      <c r="D172" s="6"/>
      <c r="E172" s="2" t="s">
        <v>630</v>
      </c>
      <c r="F172" s="2" t="s">
        <v>631</v>
      </c>
      <c r="G172" s="15" t="s">
        <v>619</v>
      </c>
      <c r="H172" s="2" t="s">
        <v>632</v>
      </c>
      <c r="I172" s="2" t="s">
        <v>633</v>
      </c>
      <c r="J172" s="2" t="s">
        <v>634</v>
      </c>
      <c r="K172" s="2" t="s">
        <v>635</v>
      </c>
      <c r="L172" s="2" t="s">
        <v>636</v>
      </c>
      <c r="M172" s="2" t="s">
        <v>637</v>
      </c>
      <c r="N172" s="10" t="s">
        <v>190</v>
      </c>
      <c r="O172" s="2" t="s">
        <v>638</v>
      </c>
      <c r="P172" s="2" t="s">
        <v>639</v>
      </c>
      <c r="Q172" s="8"/>
    </row>
    <row r="173" spans="1:17" ht="409.6" x14ac:dyDescent="0.2">
      <c r="A173" s="8" t="s">
        <v>676</v>
      </c>
      <c r="B173" s="6"/>
      <c r="C173" s="6"/>
      <c r="D173" s="6"/>
      <c r="E173" s="2" t="s">
        <v>677</v>
      </c>
      <c r="F173" s="2" t="s">
        <v>678</v>
      </c>
      <c r="G173" s="15" t="s">
        <v>53</v>
      </c>
      <c r="H173" s="2" t="s">
        <v>679</v>
      </c>
      <c r="I173" s="2" t="s">
        <v>680</v>
      </c>
      <c r="J173" s="2" t="s">
        <v>681</v>
      </c>
      <c r="K173" s="2" t="s">
        <v>682</v>
      </c>
      <c r="L173" s="2" t="s">
        <v>683</v>
      </c>
      <c r="M173" s="2" t="s">
        <v>684</v>
      </c>
      <c r="N173" s="10" t="s">
        <v>649</v>
      </c>
      <c r="O173" s="2" t="s">
        <v>685</v>
      </c>
      <c r="P173" s="2" t="s">
        <v>686</v>
      </c>
      <c r="Q173" s="8"/>
    </row>
    <row r="174" spans="1:17" ht="409.6" x14ac:dyDescent="0.2">
      <c r="A174" s="8" t="s">
        <v>39</v>
      </c>
      <c r="B174" s="73"/>
      <c r="C174" s="73"/>
      <c r="D174" s="73"/>
      <c r="E174" s="2" t="s">
        <v>16</v>
      </c>
      <c r="F174" s="2" t="s">
        <v>41</v>
      </c>
      <c r="G174" s="2" t="s">
        <v>18</v>
      </c>
      <c r="H174" s="2" t="s">
        <v>30</v>
      </c>
      <c r="I174" s="2" t="s">
        <v>42</v>
      </c>
      <c r="J174" s="2" t="s">
        <v>43</v>
      </c>
      <c r="K174" s="2" t="s">
        <v>44</v>
      </c>
      <c r="L174" s="2" t="s">
        <v>45</v>
      </c>
      <c r="M174" s="2" t="s">
        <v>46</v>
      </c>
      <c r="N174" s="2" t="s">
        <v>47</v>
      </c>
      <c r="O174" s="2" t="s">
        <v>48</v>
      </c>
      <c r="P174" s="2" t="s">
        <v>49</v>
      </c>
      <c r="Q174" s="2"/>
    </row>
    <row r="175" spans="1:17" ht="409.6" x14ac:dyDescent="0.2">
      <c r="A175" s="8" t="s">
        <v>588</v>
      </c>
      <c r="B175" s="73"/>
      <c r="C175" s="73"/>
      <c r="D175" s="73"/>
      <c r="E175" s="2" t="s">
        <v>589</v>
      </c>
      <c r="F175" s="2" t="s">
        <v>590</v>
      </c>
      <c r="G175" s="2" t="s">
        <v>591</v>
      </c>
      <c r="H175" s="2" t="s">
        <v>592</v>
      </c>
      <c r="I175" s="2" t="s">
        <v>593</v>
      </c>
      <c r="J175" s="2" t="s">
        <v>594</v>
      </c>
      <c r="K175" s="2" t="s">
        <v>595</v>
      </c>
      <c r="L175" s="2" t="s">
        <v>596</v>
      </c>
      <c r="M175" s="2" t="s">
        <v>597</v>
      </c>
      <c r="N175" s="2" t="s">
        <v>598</v>
      </c>
      <c r="O175" s="2" t="s">
        <v>599</v>
      </c>
      <c r="P175" s="2" t="s">
        <v>600</v>
      </c>
      <c r="Q175" s="2" t="s">
        <v>53</v>
      </c>
    </row>
    <row r="176" spans="1:17" ht="409.6" x14ac:dyDescent="0.2">
      <c r="A176" s="8" t="s">
        <v>985</v>
      </c>
      <c r="B176" s="6"/>
      <c r="C176" s="6"/>
      <c r="D176" s="6"/>
      <c r="E176" s="9" t="s">
        <v>129</v>
      </c>
      <c r="F176" s="9" t="s">
        <v>463</v>
      </c>
      <c r="G176" s="14" t="s">
        <v>131</v>
      </c>
      <c r="H176" s="9" t="s">
        <v>464</v>
      </c>
      <c r="I176" s="9" t="s">
        <v>465</v>
      </c>
      <c r="J176" s="9" t="s">
        <v>466</v>
      </c>
      <c r="K176" s="9" t="s">
        <v>467</v>
      </c>
      <c r="L176" s="9" t="s">
        <v>468</v>
      </c>
      <c r="M176" s="9" t="s">
        <v>469</v>
      </c>
      <c r="N176" s="9" t="s">
        <v>470</v>
      </c>
      <c r="O176" s="6" t="s">
        <v>471</v>
      </c>
      <c r="P176" s="9" t="s">
        <v>472</v>
      </c>
      <c r="Q176" s="9"/>
    </row>
    <row r="177" spans="1:17" ht="409.6" x14ac:dyDescent="0.2">
      <c r="A177" s="8" t="s">
        <v>1503</v>
      </c>
      <c r="B177" s="6"/>
      <c r="C177" s="6"/>
      <c r="D177" s="6"/>
      <c r="E177" s="9" t="s">
        <v>972</v>
      </c>
      <c r="F177" s="9" t="s">
        <v>973</v>
      </c>
      <c r="G177" s="14" t="s">
        <v>974</v>
      </c>
      <c r="H177" s="9" t="s">
        <v>975</v>
      </c>
      <c r="I177" s="9" t="s">
        <v>976</v>
      </c>
      <c r="J177" s="9" t="s">
        <v>977</v>
      </c>
      <c r="K177" s="9" t="s">
        <v>978</v>
      </c>
      <c r="L177" s="9" t="s">
        <v>979</v>
      </c>
      <c r="M177" s="9" t="s">
        <v>980</v>
      </c>
      <c r="N177" s="9" t="s">
        <v>981</v>
      </c>
      <c r="O177" s="6" t="s">
        <v>982</v>
      </c>
      <c r="P177" s="9" t="s">
        <v>983</v>
      </c>
      <c r="Q177" s="36" t="s">
        <v>984</v>
      </c>
    </row>
    <row r="178" spans="1:17" ht="409.6" x14ac:dyDescent="0.2">
      <c r="A178" s="8" t="s">
        <v>971</v>
      </c>
      <c r="B178" s="6"/>
      <c r="C178" s="6"/>
      <c r="D178" s="6"/>
      <c r="E178" s="9" t="s">
        <v>972</v>
      </c>
      <c r="F178" s="9" t="s">
        <v>973</v>
      </c>
      <c r="G178" s="14" t="s">
        <v>974</v>
      </c>
      <c r="H178" s="9" t="s">
        <v>975</v>
      </c>
      <c r="I178" s="9" t="s">
        <v>976</v>
      </c>
      <c r="J178" s="9" t="s">
        <v>977</v>
      </c>
      <c r="K178" s="9" t="s">
        <v>978</v>
      </c>
      <c r="L178" s="9" t="s">
        <v>979</v>
      </c>
      <c r="M178" s="9" t="s">
        <v>980</v>
      </c>
      <c r="N178" s="9" t="s">
        <v>981</v>
      </c>
      <c r="O178" s="6" t="s">
        <v>982</v>
      </c>
      <c r="P178" s="9" t="s">
        <v>983</v>
      </c>
      <c r="Q178" s="36" t="s">
        <v>984</v>
      </c>
    </row>
    <row r="179" spans="1:17" ht="409.6" x14ac:dyDescent="0.2">
      <c r="A179" s="8" t="s">
        <v>687</v>
      </c>
      <c r="B179" s="6"/>
      <c r="C179" s="6"/>
      <c r="D179" s="6"/>
      <c r="E179" s="9" t="s">
        <v>689</v>
      </c>
      <c r="F179" s="9" t="s">
        <v>690</v>
      </c>
      <c r="G179" s="14" t="s">
        <v>691</v>
      </c>
      <c r="H179" s="9" t="s">
        <v>692</v>
      </c>
      <c r="I179" s="9" t="s">
        <v>435</v>
      </c>
      <c r="J179" s="9" t="s">
        <v>693</v>
      </c>
      <c r="K179" s="9" t="s">
        <v>694</v>
      </c>
      <c r="L179" s="9" t="s">
        <v>695</v>
      </c>
      <c r="M179" s="9" t="s">
        <v>696</v>
      </c>
      <c r="N179" s="10" t="s">
        <v>697</v>
      </c>
      <c r="O179" s="9" t="s">
        <v>698</v>
      </c>
      <c r="P179" s="9" t="s">
        <v>699</v>
      </c>
      <c r="Q179" s="9"/>
    </row>
    <row r="180" spans="1:17" ht="409.6" x14ac:dyDescent="0.2">
      <c r="A180" s="8" t="s">
        <v>113</v>
      </c>
      <c r="B180" s="6"/>
      <c r="C180" s="6"/>
      <c r="D180" s="6"/>
      <c r="E180" s="3" t="s">
        <v>115</v>
      </c>
      <c r="F180" s="3" t="s">
        <v>116</v>
      </c>
      <c r="G180" s="5" t="s">
        <v>117</v>
      </c>
      <c r="H180" s="7" t="s">
        <v>118</v>
      </c>
      <c r="I180" s="7" t="s">
        <v>119</v>
      </c>
      <c r="J180" s="7" t="s">
        <v>120</v>
      </c>
      <c r="K180" s="6" t="s">
        <v>121</v>
      </c>
      <c r="L180" s="7" t="s">
        <v>122</v>
      </c>
      <c r="M180" s="2" t="s">
        <v>123</v>
      </c>
      <c r="N180" s="3" t="s">
        <v>124</v>
      </c>
      <c r="O180" s="2" t="s">
        <v>125</v>
      </c>
      <c r="P180" s="3" t="s">
        <v>126</v>
      </c>
      <c r="Q180" s="8" t="s">
        <v>53</v>
      </c>
    </row>
    <row r="181" spans="1:17" ht="409.6" x14ac:dyDescent="0.2">
      <c r="A181" s="8" t="s">
        <v>338</v>
      </c>
      <c r="B181" s="6"/>
      <c r="C181" s="6"/>
      <c r="D181" s="6"/>
      <c r="E181" s="3" t="s">
        <v>340</v>
      </c>
      <c r="F181" s="3" t="s">
        <v>341</v>
      </c>
      <c r="G181" s="5" t="s">
        <v>342</v>
      </c>
      <c r="H181" s="7" t="s">
        <v>343</v>
      </c>
      <c r="I181" s="7" t="s">
        <v>344</v>
      </c>
      <c r="J181" s="7" t="s">
        <v>345</v>
      </c>
      <c r="K181" s="2" t="s">
        <v>346</v>
      </c>
      <c r="L181" s="7" t="s">
        <v>347</v>
      </c>
      <c r="M181" s="2" t="s">
        <v>348</v>
      </c>
      <c r="N181" s="3" t="s">
        <v>349</v>
      </c>
      <c r="O181" s="2" t="s">
        <v>350</v>
      </c>
      <c r="P181" s="3" t="s">
        <v>351</v>
      </c>
      <c r="Q181" s="8"/>
    </row>
    <row r="182" spans="1:17" ht="409.6" x14ac:dyDescent="0.2">
      <c r="A182" s="8" t="s">
        <v>61</v>
      </c>
      <c r="B182" s="6"/>
      <c r="C182" s="6"/>
      <c r="D182" s="6"/>
      <c r="E182" s="6" t="s">
        <v>62</v>
      </c>
      <c r="F182" s="6" t="s">
        <v>63</v>
      </c>
      <c r="G182" s="6" t="s">
        <v>64</v>
      </c>
      <c r="H182" s="6" t="s">
        <v>65</v>
      </c>
      <c r="I182" s="7" t="s">
        <v>66</v>
      </c>
      <c r="J182" s="6" t="s">
        <v>67</v>
      </c>
      <c r="K182" s="6" t="s">
        <v>68</v>
      </c>
      <c r="L182" s="6" t="s">
        <v>69</v>
      </c>
      <c r="M182" s="6" t="s">
        <v>70</v>
      </c>
      <c r="N182" s="6" t="s">
        <v>71</v>
      </c>
      <c r="O182" s="6" t="s">
        <v>72</v>
      </c>
      <c r="P182" s="6" t="s">
        <v>73</v>
      </c>
      <c r="Q182" s="8"/>
    </row>
    <row r="183" spans="1:17" ht="409.6" x14ac:dyDescent="0.2">
      <c r="A183" s="8" t="s">
        <v>443</v>
      </c>
      <c r="B183" s="73"/>
      <c r="C183" s="73"/>
      <c r="D183" s="73"/>
      <c r="E183" s="3" t="s">
        <v>445</v>
      </c>
      <c r="F183" s="3" t="s">
        <v>446</v>
      </c>
      <c r="G183" s="5" t="s">
        <v>447</v>
      </c>
      <c r="H183" s="6" t="s">
        <v>448</v>
      </c>
      <c r="I183" s="7" t="s">
        <v>449</v>
      </c>
      <c r="J183" s="6" t="s">
        <v>450</v>
      </c>
      <c r="K183" s="6" t="s">
        <v>451</v>
      </c>
      <c r="L183" s="6" t="s">
        <v>452</v>
      </c>
      <c r="M183" s="6" t="s">
        <v>453</v>
      </c>
      <c r="N183" s="6" t="s">
        <v>454</v>
      </c>
      <c r="O183" s="2" t="s">
        <v>455</v>
      </c>
      <c r="P183" s="6" t="s">
        <v>456</v>
      </c>
      <c r="Q183" s="8"/>
    </row>
    <row r="184" spans="1:17" ht="409.6" x14ac:dyDescent="0.2">
      <c r="A184" s="8" t="s">
        <v>965</v>
      </c>
      <c r="B184" s="73"/>
      <c r="C184" s="73"/>
      <c r="D184" s="73"/>
      <c r="E184" s="3" t="s">
        <v>375</v>
      </c>
      <c r="F184" s="3" t="s">
        <v>376</v>
      </c>
      <c r="G184" s="5" t="s">
        <v>53</v>
      </c>
      <c r="H184" s="6" t="s">
        <v>377</v>
      </c>
      <c r="I184" s="7" t="s">
        <v>378</v>
      </c>
      <c r="J184" s="6" t="s">
        <v>379</v>
      </c>
      <c r="K184" s="6" t="s">
        <v>380</v>
      </c>
      <c r="L184" s="6" t="s">
        <v>381</v>
      </c>
      <c r="M184" s="6" t="s">
        <v>382</v>
      </c>
      <c r="N184" s="6" t="s">
        <v>383</v>
      </c>
      <c r="O184" s="2" t="s">
        <v>384</v>
      </c>
      <c r="P184" s="6" t="s">
        <v>385</v>
      </c>
      <c r="Q184" s="8" t="s">
        <v>53</v>
      </c>
    </row>
    <row r="185" spans="1:17" ht="409.6" x14ac:dyDescent="0.2">
      <c r="A185" s="8" t="s">
        <v>967</v>
      </c>
      <c r="B185" s="73"/>
      <c r="C185" s="73"/>
      <c r="D185" s="73"/>
      <c r="E185" s="3" t="s">
        <v>521</v>
      </c>
      <c r="F185" s="3" t="s">
        <v>522</v>
      </c>
      <c r="G185" s="5" t="s">
        <v>77</v>
      </c>
      <c r="H185" s="6" t="s">
        <v>523</v>
      </c>
      <c r="I185" s="7" t="s">
        <v>524</v>
      </c>
      <c r="J185" s="6" t="s">
        <v>525</v>
      </c>
      <c r="K185" s="6" t="s">
        <v>526</v>
      </c>
      <c r="L185" s="6" t="s">
        <v>527</v>
      </c>
      <c r="M185" s="6" t="s">
        <v>528</v>
      </c>
      <c r="N185" s="6" t="s">
        <v>529</v>
      </c>
      <c r="O185" s="6" t="s">
        <v>530</v>
      </c>
      <c r="P185" s="6" t="s">
        <v>531</v>
      </c>
      <c r="Q185" s="8"/>
    </row>
    <row r="186" spans="1:17" ht="409.6" x14ac:dyDescent="0.2">
      <c r="A186" s="8" t="s">
        <v>242</v>
      </c>
      <c r="B186" s="6"/>
      <c r="C186" s="6"/>
      <c r="D186" s="6"/>
      <c r="E186" s="2" t="s">
        <v>243</v>
      </c>
      <c r="F186" s="2" t="s">
        <v>244</v>
      </c>
      <c r="G186" s="15" t="s">
        <v>245</v>
      </c>
      <c r="H186" s="2" t="s">
        <v>246</v>
      </c>
      <c r="I186" s="2" t="s">
        <v>247</v>
      </c>
      <c r="J186" s="2" t="s">
        <v>248</v>
      </c>
      <c r="K186" s="2" t="s">
        <v>249</v>
      </c>
      <c r="L186" s="2" t="s">
        <v>969</v>
      </c>
      <c r="M186" s="2" t="s">
        <v>251</v>
      </c>
      <c r="N186" s="10" t="s">
        <v>252</v>
      </c>
      <c r="O186" s="2" t="s">
        <v>253</v>
      </c>
      <c r="P186" s="2" t="s">
        <v>254</v>
      </c>
      <c r="Q186" s="8"/>
    </row>
    <row r="187" spans="1:17" ht="409.6" x14ac:dyDescent="0.2">
      <c r="A187" s="8" t="s">
        <v>663</v>
      </c>
      <c r="B187" s="6"/>
      <c r="C187" s="6"/>
      <c r="D187" s="6"/>
      <c r="E187" s="9" t="s">
        <v>664</v>
      </c>
      <c r="F187" s="9" t="s">
        <v>665</v>
      </c>
      <c r="G187" s="14" t="s">
        <v>666</v>
      </c>
      <c r="H187" s="9" t="s">
        <v>654</v>
      </c>
      <c r="I187" s="9" t="s">
        <v>667</v>
      </c>
      <c r="J187" s="9" t="s">
        <v>668</v>
      </c>
      <c r="K187" s="9" t="s">
        <v>669</v>
      </c>
      <c r="L187" s="9" t="s">
        <v>670</v>
      </c>
      <c r="M187" s="9" t="s">
        <v>671</v>
      </c>
      <c r="N187" s="10" t="s">
        <v>672</v>
      </c>
      <c r="O187" s="9" t="s">
        <v>673</v>
      </c>
      <c r="P187" s="9" t="s">
        <v>674</v>
      </c>
      <c r="Q187" s="9"/>
    </row>
    <row r="188" spans="1:17" ht="409.6" x14ac:dyDescent="0.2">
      <c r="A188" s="8" t="s">
        <v>318</v>
      </c>
      <c r="B188" s="6"/>
      <c r="C188" s="6"/>
      <c r="D188" s="6"/>
      <c r="E188" s="2" t="s">
        <v>320</v>
      </c>
      <c r="F188" s="2" t="s">
        <v>53</v>
      </c>
      <c r="G188" s="15" t="s">
        <v>321</v>
      </c>
      <c r="H188" s="2" t="s">
        <v>322</v>
      </c>
      <c r="I188" s="2" t="s">
        <v>323</v>
      </c>
      <c r="J188" s="2" t="s">
        <v>324</v>
      </c>
      <c r="K188" s="2" t="s">
        <v>325</v>
      </c>
      <c r="L188" s="2" t="s">
        <v>326</v>
      </c>
      <c r="M188" s="2" t="s">
        <v>327</v>
      </c>
      <c r="N188" s="10" t="s">
        <v>328</v>
      </c>
      <c r="O188" s="2" t="s">
        <v>53</v>
      </c>
      <c r="P188" s="2" t="s">
        <v>329</v>
      </c>
      <c r="Q188" s="2"/>
    </row>
    <row r="189" spans="1:17" ht="409.6" x14ac:dyDescent="0.2">
      <c r="A189" s="8" t="s">
        <v>291</v>
      </c>
      <c r="B189" s="6"/>
      <c r="C189" s="6"/>
      <c r="D189" s="6"/>
      <c r="E189" s="9" t="s">
        <v>293</v>
      </c>
      <c r="F189" s="9" t="s">
        <v>294</v>
      </c>
      <c r="G189" s="14" t="s">
        <v>295</v>
      </c>
      <c r="H189" s="9" t="s">
        <v>296</v>
      </c>
      <c r="I189" s="9" t="s">
        <v>297</v>
      </c>
      <c r="J189" s="9" t="s">
        <v>298</v>
      </c>
      <c r="K189" s="9" t="s">
        <v>299</v>
      </c>
      <c r="L189" s="9" t="s">
        <v>300</v>
      </c>
      <c r="M189" s="9" t="s">
        <v>301</v>
      </c>
      <c r="N189" s="10" t="s">
        <v>302</v>
      </c>
      <c r="O189" s="9" t="s">
        <v>303</v>
      </c>
      <c r="P189" s="9" t="s">
        <v>304</v>
      </c>
      <c r="Q189" s="9"/>
    </row>
    <row r="190" spans="1:17" ht="409.6" x14ac:dyDescent="0.2">
      <c r="A190" s="8" t="s">
        <v>99</v>
      </c>
      <c r="B190" s="73" t="s">
        <v>970</v>
      </c>
      <c r="C190" s="73"/>
      <c r="D190" s="73"/>
      <c r="E190" s="13" t="s">
        <v>101</v>
      </c>
      <c r="F190" s="3" t="s">
        <v>102</v>
      </c>
      <c r="G190" s="5" t="s">
        <v>103</v>
      </c>
      <c r="H190" s="6" t="s">
        <v>104</v>
      </c>
      <c r="I190" s="7" t="s">
        <v>105</v>
      </c>
      <c r="J190" s="6" t="s">
        <v>106</v>
      </c>
      <c r="K190" s="6" t="s">
        <v>107</v>
      </c>
      <c r="L190" s="6" t="s">
        <v>108</v>
      </c>
      <c r="M190" s="6" t="s">
        <v>109</v>
      </c>
      <c r="N190" s="6" t="s">
        <v>110</v>
      </c>
      <c r="O190" s="2" t="s">
        <v>111</v>
      </c>
      <c r="P190" s="6" t="s">
        <v>112</v>
      </c>
      <c r="Q190" s="8"/>
    </row>
    <row r="191" spans="1:17" ht="409.6" x14ac:dyDescent="0.2">
      <c r="A191" s="8" t="s">
        <v>405</v>
      </c>
      <c r="B191" s="73"/>
      <c r="C191" s="73"/>
      <c r="D191" s="73"/>
      <c r="E191" s="3" t="s">
        <v>406</v>
      </c>
      <c r="F191" s="3" t="s">
        <v>407</v>
      </c>
      <c r="G191" s="5" t="s">
        <v>53</v>
      </c>
      <c r="H191" s="6" t="s">
        <v>408</v>
      </c>
      <c r="I191" s="7" t="s">
        <v>409</v>
      </c>
      <c r="J191" s="6" t="s">
        <v>410</v>
      </c>
      <c r="K191" s="6" t="s">
        <v>411</v>
      </c>
      <c r="L191" s="6" t="s">
        <v>412</v>
      </c>
      <c r="M191" s="6" t="s">
        <v>413</v>
      </c>
      <c r="N191" s="6" t="s">
        <v>414</v>
      </c>
      <c r="O191" s="2" t="s">
        <v>415</v>
      </c>
      <c r="P191" s="6" t="s">
        <v>416</v>
      </c>
      <c r="Q191" s="8" t="s">
        <v>53</v>
      </c>
    </row>
    <row r="192" spans="1:17" ht="409.6" x14ac:dyDescent="0.2">
      <c r="A192" s="8" t="s">
        <v>305</v>
      </c>
      <c r="B192" s="73"/>
      <c r="C192" s="73"/>
      <c r="D192" s="73"/>
      <c r="E192" s="3" t="s">
        <v>307</v>
      </c>
      <c r="F192" s="3" t="s">
        <v>308</v>
      </c>
      <c r="G192" s="5" t="s">
        <v>309</v>
      </c>
      <c r="H192" s="6" t="s">
        <v>310</v>
      </c>
      <c r="I192" s="7" t="s">
        <v>311</v>
      </c>
      <c r="J192" s="6" t="s">
        <v>312</v>
      </c>
      <c r="K192" s="6" t="s">
        <v>313</v>
      </c>
      <c r="L192" s="6" t="s">
        <v>314</v>
      </c>
      <c r="M192" s="6" t="s">
        <v>315</v>
      </c>
      <c r="N192" s="6" t="s">
        <v>316</v>
      </c>
      <c r="O192" s="2" t="s">
        <v>317</v>
      </c>
      <c r="P192" s="6" t="s">
        <v>317</v>
      </c>
      <c r="Q192" s="8"/>
    </row>
    <row r="193" spans="1:17" ht="409.6" x14ac:dyDescent="0.2">
      <c r="A193" s="8" t="s">
        <v>971</v>
      </c>
      <c r="B193" s="6"/>
      <c r="C193" s="6"/>
      <c r="D193" s="6"/>
      <c r="E193" s="9" t="s">
        <v>972</v>
      </c>
      <c r="F193" s="9" t="s">
        <v>973</v>
      </c>
      <c r="G193" s="14" t="s">
        <v>974</v>
      </c>
      <c r="H193" s="9" t="s">
        <v>975</v>
      </c>
      <c r="I193" s="9" t="s">
        <v>976</v>
      </c>
      <c r="J193" s="9" t="s">
        <v>977</v>
      </c>
      <c r="K193" s="9" t="s">
        <v>978</v>
      </c>
      <c r="L193" s="9" t="s">
        <v>979</v>
      </c>
      <c r="M193" s="9" t="s">
        <v>980</v>
      </c>
      <c r="N193" s="9" t="s">
        <v>981</v>
      </c>
      <c r="O193" s="6" t="s">
        <v>982</v>
      </c>
      <c r="P193" s="9" t="s">
        <v>983</v>
      </c>
      <c r="Q193" s="36" t="s">
        <v>984</v>
      </c>
    </row>
    <row r="194" spans="1:17" ht="409.6" x14ac:dyDescent="0.2">
      <c r="A194" s="8" t="s">
        <v>985</v>
      </c>
      <c r="B194" s="6"/>
      <c r="C194" s="6"/>
      <c r="D194" s="6"/>
      <c r="E194" s="9" t="s">
        <v>129</v>
      </c>
      <c r="F194" s="9" t="s">
        <v>463</v>
      </c>
      <c r="G194" s="14" t="s">
        <v>131</v>
      </c>
      <c r="H194" s="9" t="s">
        <v>464</v>
      </c>
      <c r="I194" s="9" t="s">
        <v>465</v>
      </c>
      <c r="J194" s="9" t="s">
        <v>466</v>
      </c>
      <c r="K194" s="9" t="s">
        <v>467</v>
      </c>
      <c r="L194" s="9" t="s">
        <v>468</v>
      </c>
      <c r="M194" s="9" t="s">
        <v>469</v>
      </c>
      <c r="N194" s="9" t="s">
        <v>470</v>
      </c>
      <c r="O194" s="6" t="s">
        <v>471</v>
      </c>
      <c r="P194" s="9" t="s">
        <v>472</v>
      </c>
      <c r="Q194" s="9"/>
    </row>
    <row r="195" spans="1:17" ht="409.6" x14ac:dyDescent="0.2">
      <c r="A195" s="8" t="s">
        <v>496</v>
      </c>
      <c r="B195" s="73"/>
      <c r="C195" s="73"/>
      <c r="D195" s="73"/>
      <c r="E195" s="3" t="s">
        <v>498</v>
      </c>
      <c r="F195" s="3" t="s">
        <v>499</v>
      </c>
      <c r="G195" s="5" t="s">
        <v>53</v>
      </c>
      <c r="H195" s="6" t="s">
        <v>500</v>
      </c>
      <c r="I195" s="7" t="s">
        <v>501</v>
      </c>
      <c r="J195" s="6" t="s">
        <v>502</v>
      </c>
      <c r="K195" s="6" t="s">
        <v>503</v>
      </c>
      <c r="L195" s="6" t="s">
        <v>504</v>
      </c>
      <c r="M195" s="6" t="s">
        <v>505</v>
      </c>
      <c r="N195" s="6" t="s">
        <v>506</v>
      </c>
      <c r="O195" s="2" t="s">
        <v>507</v>
      </c>
      <c r="P195" s="6" t="s">
        <v>508</v>
      </c>
      <c r="Q195" s="8" t="s">
        <v>53</v>
      </c>
    </row>
    <row r="196" spans="1:17" ht="409.6" x14ac:dyDescent="0.2">
      <c r="A196" s="8" t="s">
        <v>255</v>
      </c>
      <c r="B196" s="73"/>
      <c r="C196" s="73"/>
      <c r="D196" s="73"/>
      <c r="E196" s="3" t="s">
        <v>156</v>
      </c>
      <c r="F196" s="3" t="s">
        <v>256</v>
      </c>
      <c r="G196" s="5" t="s">
        <v>53</v>
      </c>
      <c r="H196" s="6" t="s">
        <v>257</v>
      </c>
      <c r="I196" s="6" t="s">
        <v>258</v>
      </c>
      <c r="J196" s="6" t="s">
        <v>259</v>
      </c>
      <c r="K196" s="6" t="s">
        <v>260</v>
      </c>
      <c r="L196" s="6" t="s">
        <v>261</v>
      </c>
      <c r="M196" s="6" t="s">
        <v>262</v>
      </c>
      <c r="N196" s="6" t="s">
        <v>263</v>
      </c>
      <c r="O196" s="6" t="s">
        <v>53</v>
      </c>
      <c r="P196" s="6" t="s">
        <v>264</v>
      </c>
      <c r="Q196" s="6" t="s">
        <v>53</v>
      </c>
    </row>
    <row r="197" spans="1:17" ht="409.6" x14ac:dyDescent="0.2">
      <c r="A197" s="8" t="s">
        <v>986</v>
      </c>
      <c r="B197" s="6"/>
      <c r="C197" s="6"/>
      <c r="D197" s="6"/>
      <c r="E197" s="37" t="s">
        <v>987</v>
      </c>
      <c r="F197" s="38" t="s">
        <v>988</v>
      </c>
      <c r="G197" s="14" t="s">
        <v>989</v>
      </c>
      <c r="H197" s="38" t="s">
        <v>990</v>
      </c>
      <c r="I197" s="9" t="s">
        <v>991</v>
      </c>
      <c r="J197" s="9" t="s">
        <v>992</v>
      </c>
      <c r="K197" s="38" t="s">
        <v>993</v>
      </c>
      <c r="L197" s="39" t="s">
        <v>994</v>
      </c>
      <c r="M197" s="9" t="s">
        <v>995</v>
      </c>
      <c r="N197" s="9" t="s">
        <v>996</v>
      </c>
      <c r="O197" s="40" t="s">
        <v>997</v>
      </c>
      <c r="P197" s="9" t="s">
        <v>998</v>
      </c>
      <c r="Q197" s="9"/>
    </row>
    <row r="198" spans="1:17" ht="409.6" x14ac:dyDescent="0.2">
      <c r="A198" s="8" t="s">
        <v>999</v>
      </c>
      <c r="B198" s="6"/>
      <c r="C198" s="6"/>
      <c r="D198" s="6"/>
      <c r="E198" s="37" t="s">
        <v>1000</v>
      </c>
      <c r="F198" s="38" t="s">
        <v>1001</v>
      </c>
      <c r="G198" s="14" t="s">
        <v>1002</v>
      </c>
      <c r="H198" s="38" t="s">
        <v>1003</v>
      </c>
      <c r="I198" s="9" t="s">
        <v>1004</v>
      </c>
      <c r="J198" s="9" t="s">
        <v>1005</v>
      </c>
      <c r="K198" s="38" t="s">
        <v>1006</v>
      </c>
      <c r="L198" s="39" t="s">
        <v>1007</v>
      </c>
      <c r="M198" s="9" t="s">
        <v>1008</v>
      </c>
      <c r="N198" s="9" t="s">
        <v>1009</v>
      </c>
      <c r="O198" s="40" t="s">
        <v>1010</v>
      </c>
      <c r="P198" s="9" t="s">
        <v>1011</v>
      </c>
      <c r="Q198" s="9"/>
    </row>
    <row r="199" spans="1:17" ht="397" x14ac:dyDescent="0.2">
      <c r="A199" s="8" t="s">
        <v>1012</v>
      </c>
      <c r="B199" s="6"/>
      <c r="C199" s="6"/>
      <c r="D199" s="6"/>
      <c r="E199" s="37" t="s">
        <v>1013</v>
      </c>
      <c r="F199" s="38" t="s">
        <v>1014</v>
      </c>
      <c r="G199" s="14" t="s">
        <v>1015</v>
      </c>
      <c r="H199" s="38" t="s">
        <v>1016</v>
      </c>
      <c r="I199" s="9" t="s">
        <v>1017</v>
      </c>
      <c r="J199" s="9" t="s">
        <v>1018</v>
      </c>
      <c r="K199" s="38" t="s">
        <v>1019</v>
      </c>
      <c r="L199" s="39" t="s">
        <v>1020</v>
      </c>
      <c r="M199" s="9" t="s">
        <v>1021</v>
      </c>
      <c r="N199" s="9" t="s">
        <v>1022</v>
      </c>
      <c r="O199" s="40" t="s">
        <v>1023</v>
      </c>
      <c r="P199" s="9" t="s">
        <v>1024</v>
      </c>
      <c r="Q199" s="9" t="s">
        <v>984</v>
      </c>
    </row>
    <row r="200" spans="1:17" ht="409.6" x14ac:dyDescent="0.2">
      <c r="A200" s="8" t="s">
        <v>1504</v>
      </c>
      <c r="B200" s="8"/>
      <c r="C200" s="8"/>
      <c r="D200" s="8"/>
      <c r="E200" s="9" t="s">
        <v>1505</v>
      </c>
      <c r="F200" s="9" t="s">
        <v>1506</v>
      </c>
      <c r="G200" s="15" t="s">
        <v>1507</v>
      </c>
      <c r="H200" s="9" t="s">
        <v>1508</v>
      </c>
      <c r="I200" s="9" t="s">
        <v>1509</v>
      </c>
      <c r="J200" s="9" t="s">
        <v>1510</v>
      </c>
      <c r="K200" s="9" t="s">
        <v>1511</v>
      </c>
      <c r="L200" s="9" t="s">
        <v>1512</v>
      </c>
      <c r="M200" s="9" t="s">
        <v>1513</v>
      </c>
      <c r="N200" s="10" t="s">
        <v>1514</v>
      </c>
      <c r="O200" s="9" t="s">
        <v>1515</v>
      </c>
      <c r="P200" s="9" t="s">
        <v>1516</v>
      </c>
      <c r="Q200" s="9"/>
    </row>
    <row r="201" spans="1:17" ht="409.6" x14ac:dyDescent="0.2">
      <c r="A201" s="8" t="s">
        <v>1517</v>
      </c>
      <c r="B201" s="8"/>
      <c r="C201" s="8"/>
      <c r="D201" s="8"/>
      <c r="E201" s="3" t="s">
        <v>1518</v>
      </c>
      <c r="F201" s="3" t="s">
        <v>1519</v>
      </c>
      <c r="G201" s="15" t="s">
        <v>1507</v>
      </c>
      <c r="H201" s="9" t="s">
        <v>1508</v>
      </c>
      <c r="I201" s="9" t="s">
        <v>1509</v>
      </c>
      <c r="J201" s="9" t="s">
        <v>1510</v>
      </c>
      <c r="K201" s="2" t="s">
        <v>1520</v>
      </c>
      <c r="L201" s="7" t="s">
        <v>1521</v>
      </c>
      <c r="M201" s="9" t="s">
        <v>1513</v>
      </c>
      <c r="N201" s="10" t="s">
        <v>1514</v>
      </c>
      <c r="O201" s="9" t="s">
        <v>1515</v>
      </c>
      <c r="P201" s="3" t="s">
        <v>456</v>
      </c>
      <c r="Q201" s="8"/>
    </row>
    <row r="202" spans="1:17" ht="409.6" x14ac:dyDescent="0.2">
      <c r="A202" s="8" t="s">
        <v>1522</v>
      </c>
      <c r="B202" s="8"/>
      <c r="C202" s="8"/>
      <c r="D202" s="8"/>
      <c r="E202" s="6" t="s">
        <v>1523</v>
      </c>
      <c r="F202" s="6" t="s">
        <v>1519</v>
      </c>
      <c r="G202" s="6" t="s">
        <v>1524</v>
      </c>
      <c r="H202" s="6" t="s">
        <v>1525</v>
      </c>
      <c r="I202" s="7" t="s">
        <v>1526</v>
      </c>
      <c r="J202" s="6" t="s">
        <v>1527</v>
      </c>
      <c r="K202" s="6" t="s">
        <v>1528</v>
      </c>
      <c r="L202" s="6" t="s">
        <v>1529</v>
      </c>
      <c r="M202" s="6" t="s">
        <v>1530</v>
      </c>
      <c r="N202" s="6" t="s">
        <v>1531</v>
      </c>
      <c r="O202" s="6" t="s">
        <v>1532</v>
      </c>
      <c r="P202" s="6" t="s">
        <v>1533</v>
      </c>
      <c r="Q202" s="8"/>
    </row>
    <row r="203" spans="1:17" ht="409.6" x14ac:dyDescent="0.2">
      <c r="A203" s="8" t="s">
        <v>831</v>
      </c>
      <c r="B203" s="8"/>
      <c r="C203" s="8"/>
      <c r="D203" s="8"/>
      <c r="E203" s="13" t="s">
        <v>101</v>
      </c>
      <c r="F203" s="3" t="s">
        <v>102</v>
      </c>
      <c r="G203" s="5" t="s">
        <v>103</v>
      </c>
      <c r="H203" s="6" t="s">
        <v>104</v>
      </c>
      <c r="I203" s="7" t="s">
        <v>105</v>
      </c>
      <c r="J203" s="6" t="s">
        <v>106</v>
      </c>
      <c r="K203" s="6" t="s">
        <v>107</v>
      </c>
      <c r="L203" s="6" t="s">
        <v>108</v>
      </c>
      <c r="M203" s="6" t="s">
        <v>109</v>
      </c>
      <c r="N203" s="6" t="s">
        <v>110</v>
      </c>
      <c r="O203" s="2" t="s">
        <v>111</v>
      </c>
      <c r="P203" s="6" t="s">
        <v>112</v>
      </c>
      <c r="Q203" s="8"/>
    </row>
    <row r="204" spans="1:17" ht="409.6" x14ac:dyDescent="0.2">
      <c r="A204" s="8" t="s">
        <v>1534</v>
      </c>
      <c r="B204" s="8"/>
      <c r="C204" s="8"/>
      <c r="D204" s="8"/>
      <c r="E204" s="2" t="s">
        <v>1535</v>
      </c>
      <c r="F204" s="2" t="s">
        <v>1536</v>
      </c>
      <c r="G204" s="15" t="s">
        <v>1537</v>
      </c>
      <c r="H204" s="2" t="s">
        <v>1538</v>
      </c>
      <c r="I204" s="2" t="s">
        <v>1539</v>
      </c>
      <c r="J204" s="2" t="s">
        <v>1540</v>
      </c>
      <c r="K204" s="2" t="s">
        <v>1541</v>
      </c>
      <c r="L204" s="2" t="s">
        <v>1542</v>
      </c>
      <c r="M204" s="2" t="s">
        <v>1543</v>
      </c>
      <c r="N204" s="10" t="s">
        <v>1544</v>
      </c>
      <c r="O204" s="2" t="s">
        <v>1545</v>
      </c>
      <c r="P204" s="2" t="s">
        <v>1546</v>
      </c>
      <c r="Q204" s="2"/>
    </row>
    <row r="205" spans="1:17" ht="409.6" x14ac:dyDescent="0.2">
      <c r="A205" s="8" t="s">
        <v>1547</v>
      </c>
      <c r="B205" s="8"/>
      <c r="C205" s="8"/>
      <c r="D205" s="8"/>
      <c r="E205" s="2" t="s">
        <v>1548</v>
      </c>
      <c r="F205" s="2" t="s">
        <v>1549</v>
      </c>
      <c r="G205" s="15" t="s">
        <v>1550</v>
      </c>
      <c r="H205" s="2" t="s">
        <v>1551</v>
      </c>
      <c r="I205" s="2" t="s">
        <v>1552</v>
      </c>
      <c r="J205" s="2" t="s">
        <v>1553</v>
      </c>
      <c r="K205" s="2" t="s">
        <v>1554</v>
      </c>
      <c r="L205" s="2" t="s">
        <v>1555</v>
      </c>
      <c r="M205" s="2" t="s">
        <v>1556</v>
      </c>
      <c r="N205" s="10" t="s">
        <v>1557</v>
      </c>
      <c r="O205" s="2" t="s">
        <v>1558</v>
      </c>
      <c r="P205" s="2" t="s">
        <v>1559</v>
      </c>
      <c r="Q205" s="2"/>
    </row>
    <row r="206" spans="1:17" ht="409.6" x14ac:dyDescent="0.2">
      <c r="A206" s="8" t="s">
        <v>1560</v>
      </c>
      <c r="B206" s="8"/>
      <c r="C206" s="8"/>
      <c r="D206" s="8"/>
      <c r="E206" s="2" t="s">
        <v>1561</v>
      </c>
      <c r="F206" s="2" t="s">
        <v>1562</v>
      </c>
      <c r="G206" s="15" t="s">
        <v>1563</v>
      </c>
      <c r="H206" s="2" t="s">
        <v>1551</v>
      </c>
      <c r="I206" s="2" t="s">
        <v>1552</v>
      </c>
      <c r="J206" s="2" t="s">
        <v>1553</v>
      </c>
      <c r="K206" s="2" t="s">
        <v>1554</v>
      </c>
      <c r="L206" s="2" t="s">
        <v>1555</v>
      </c>
      <c r="M206" s="2" t="s">
        <v>1556</v>
      </c>
      <c r="N206" s="10" t="s">
        <v>1557</v>
      </c>
      <c r="O206" s="2" t="s">
        <v>1558</v>
      </c>
      <c r="P206" s="2" t="s">
        <v>1559</v>
      </c>
      <c r="Q206" s="2"/>
    </row>
    <row r="207" spans="1:17" ht="409.6" x14ac:dyDescent="0.2">
      <c r="A207" s="8" t="s">
        <v>1564</v>
      </c>
      <c r="B207" s="8"/>
      <c r="C207" s="8"/>
      <c r="D207" s="8"/>
      <c r="E207" s="2" t="s">
        <v>1565</v>
      </c>
      <c r="F207" s="2" t="s">
        <v>1566</v>
      </c>
      <c r="G207" s="15" t="s">
        <v>1567</v>
      </c>
      <c r="H207" s="2" t="s">
        <v>1551</v>
      </c>
      <c r="I207" s="2" t="s">
        <v>1552</v>
      </c>
      <c r="J207" s="2" t="s">
        <v>1553</v>
      </c>
      <c r="K207" s="2" t="s">
        <v>1554</v>
      </c>
      <c r="L207" s="2" t="s">
        <v>1555</v>
      </c>
      <c r="M207" s="2" t="s">
        <v>1556</v>
      </c>
      <c r="N207" s="10" t="s">
        <v>1557</v>
      </c>
      <c r="O207" s="2" t="s">
        <v>1558</v>
      </c>
      <c r="P207" s="2" t="s">
        <v>1559</v>
      </c>
      <c r="Q207" s="2"/>
    </row>
    <row r="208" spans="1:17" ht="409.6" x14ac:dyDescent="0.2">
      <c r="A208" s="8" t="s">
        <v>1568</v>
      </c>
      <c r="B208" s="8"/>
      <c r="C208" s="8"/>
      <c r="D208" s="8"/>
      <c r="E208" s="2" t="s">
        <v>1565</v>
      </c>
      <c r="F208" s="2" t="s">
        <v>1566</v>
      </c>
      <c r="G208" s="15" t="s">
        <v>1567</v>
      </c>
      <c r="H208" s="2" t="s">
        <v>1551</v>
      </c>
      <c r="I208" s="2" t="s">
        <v>1552</v>
      </c>
      <c r="J208" s="2" t="s">
        <v>1553</v>
      </c>
      <c r="K208" s="2" t="s">
        <v>1554</v>
      </c>
      <c r="L208" s="2" t="s">
        <v>1555</v>
      </c>
      <c r="M208" s="2" t="s">
        <v>1556</v>
      </c>
      <c r="N208" s="10" t="s">
        <v>1557</v>
      </c>
      <c r="O208" s="2" t="s">
        <v>1558</v>
      </c>
      <c r="P208" s="2" t="s">
        <v>1559</v>
      </c>
      <c r="Q208" s="2"/>
    </row>
    <row r="209" spans="1:17" ht="409.6" x14ac:dyDescent="0.2">
      <c r="A209" s="8" t="s">
        <v>1569</v>
      </c>
      <c r="B209" s="8"/>
      <c r="C209" s="8"/>
      <c r="D209" s="8"/>
      <c r="E209" s="2" t="s">
        <v>1570</v>
      </c>
      <c r="F209" s="2" t="s">
        <v>1571</v>
      </c>
      <c r="G209" s="15" t="s">
        <v>1572</v>
      </c>
      <c r="H209" s="2" t="s">
        <v>1551</v>
      </c>
      <c r="I209" s="2" t="s">
        <v>1552</v>
      </c>
      <c r="J209" s="2" t="s">
        <v>1553</v>
      </c>
      <c r="K209" s="2" t="s">
        <v>1554</v>
      </c>
      <c r="L209" s="2" t="s">
        <v>1555</v>
      </c>
      <c r="M209" s="2" t="s">
        <v>1556</v>
      </c>
      <c r="N209" s="10" t="s">
        <v>1557</v>
      </c>
      <c r="O209" s="2" t="s">
        <v>1558</v>
      </c>
      <c r="P209" s="2" t="s">
        <v>1559</v>
      </c>
      <c r="Q209" s="2"/>
    </row>
    <row r="210" spans="1:17" ht="409.6" x14ac:dyDescent="0.2">
      <c r="A210" s="8" t="s">
        <v>1573</v>
      </c>
      <c r="B210" s="8"/>
      <c r="C210" s="8"/>
      <c r="D210" s="8"/>
      <c r="E210" s="2" t="s">
        <v>1574</v>
      </c>
      <c r="F210" s="3" t="s">
        <v>1575</v>
      </c>
      <c r="G210" s="5" t="s">
        <v>103</v>
      </c>
      <c r="H210" s="6" t="s">
        <v>104</v>
      </c>
      <c r="I210" s="7" t="s">
        <v>105</v>
      </c>
      <c r="J210" s="6" t="s">
        <v>106</v>
      </c>
      <c r="K210" s="6" t="s">
        <v>107</v>
      </c>
      <c r="L210" s="6" t="s">
        <v>108</v>
      </c>
      <c r="M210" s="6" t="s">
        <v>109</v>
      </c>
      <c r="N210" s="6" t="s">
        <v>110</v>
      </c>
      <c r="O210" s="2" t="s">
        <v>111</v>
      </c>
      <c r="P210" s="6" t="s">
        <v>112</v>
      </c>
      <c r="Q210" s="8"/>
    </row>
    <row r="211" spans="1:17" ht="409.6" x14ac:dyDescent="0.2">
      <c r="A211" s="8" t="s">
        <v>1576</v>
      </c>
      <c r="B211" s="8"/>
      <c r="C211" s="8"/>
      <c r="D211" s="8"/>
      <c r="E211" s="2" t="s">
        <v>1577</v>
      </c>
      <c r="F211" s="3" t="s">
        <v>1578</v>
      </c>
      <c r="G211" s="5" t="s">
        <v>1579</v>
      </c>
      <c r="H211" s="6" t="s">
        <v>1580</v>
      </c>
      <c r="I211" s="7" t="s">
        <v>1581</v>
      </c>
      <c r="J211" s="6" t="s">
        <v>1582</v>
      </c>
      <c r="K211" s="41" t="s">
        <v>1583</v>
      </c>
      <c r="L211" s="6" t="s">
        <v>1584</v>
      </c>
      <c r="M211" s="6" t="s">
        <v>1585</v>
      </c>
      <c r="N211" s="6" t="s">
        <v>1586</v>
      </c>
      <c r="O211" s="2" t="s">
        <v>1587</v>
      </c>
      <c r="P211" s="6" t="s">
        <v>1588</v>
      </c>
      <c r="Q211" s="8"/>
    </row>
    <row r="212" spans="1:17" ht="409.6" x14ac:dyDescent="0.2">
      <c r="A212" s="8" t="s">
        <v>1589</v>
      </c>
      <c r="B212" s="8"/>
      <c r="C212" s="8"/>
      <c r="D212" s="8"/>
      <c r="E212" s="2" t="s">
        <v>1590</v>
      </c>
      <c r="F212" s="3" t="s">
        <v>1591</v>
      </c>
      <c r="G212" s="50" t="s">
        <v>1592</v>
      </c>
      <c r="H212" s="6" t="s">
        <v>1593</v>
      </c>
      <c r="I212" s="7" t="s">
        <v>1594</v>
      </c>
      <c r="J212" s="6" t="s">
        <v>1595</v>
      </c>
      <c r="K212" s="6" t="s">
        <v>1596</v>
      </c>
      <c r="L212" s="6" t="s">
        <v>1597</v>
      </c>
      <c r="M212" s="6" t="s">
        <v>1598</v>
      </c>
      <c r="N212" s="6" t="s">
        <v>1599</v>
      </c>
      <c r="O212" s="2" t="s">
        <v>1600</v>
      </c>
      <c r="P212" s="6" t="s">
        <v>1601</v>
      </c>
      <c r="Q212" s="8"/>
    </row>
    <row r="213" spans="1:17" ht="409.6" x14ac:dyDescent="0.2">
      <c r="A213" s="8" t="s">
        <v>1602</v>
      </c>
      <c r="B213" s="8"/>
      <c r="C213" s="8"/>
      <c r="D213" s="8"/>
      <c r="E213" s="2" t="s">
        <v>1603</v>
      </c>
      <c r="F213" s="3" t="s">
        <v>1604</v>
      </c>
      <c r="G213" s="50" t="s">
        <v>1605</v>
      </c>
      <c r="H213" s="6" t="s">
        <v>1606</v>
      </c>
      <c r="I213" s="7" t="s">
        <v>1607</v>
      </c>
      <c r="J213" s="6" t="s">
        <v>1608</v>
      </c>
      <c r="K213" s="6" t="s">
        <v>1609</v>
      </c>
      <c r="L213" s="6" t="s">
        <v>1610</v>
      </c>
      <c r="M213" s="6" t="s">
        <v>1611</v>
      </c>
      <c r="N213" s="6" t="s">
        <v>1612</v>
      </c>
      <c r="O213" s="2" t="s">
        <v>1613</v>
      </c>
      <c r="P213" s="6" t="s">
        <v>1614</v>
      </c>
      <c r="Q213" s="8"/>
    </row>
    <row r="214" spans="1:17" ht="409.6" x14ac:dyDescent="0.2">
      <c r="A214" s="8" t="s">
        <v>1615</v>
      </c>
      <c r="B214" s="8"/>
      <c r="C214" s="8"/>
      <c r="D214" s="8"/>
      <c r="E214" s="2" t="s">
        <v>1616</v>
      </c>
      <c r="F214" s="3" t="s">
        <v>1617</v>
      </c>
      <c r="G214" s="30" t="s">
        <v>1618</v>
      </c>
      <c r="H214" s="6" t="s">
        <v>1619</v>
      </c>
      <c r="I214" s="7" t="s">
        <v>1620</v>
      </c>
      <c r="J214" s="6" t="s">
        <v>1621</v>
      </c>
      <c r="K214" s="6" t="s">
        <v>1622</v>
      </c>
      <c r="L214" s="6" t="s">
        <v>1623</v>
      </c>
      <c r="M214" s="6" t="s">
        <v>1624</v>
      </c>
      <c r="N214" s="51" t="s">
        <v>1625</v>
      </c>
      <c r="O214" s="2" t="s">
        <v>1626</v>
      </c>
      <c r="P214" s="6" t="s">
        <v>1627</v>
      </c>
      <c r="Q214" s="8"/>
    </row>
    <row r="215" spans="1:17" ht="409.6" x14ac:dyDescent="0.2">
      <c r="A215" s="8" t="s">
        <v>1628</v>
      </c>
      <c r="B215" s="8"/>
      <c r="C215" s="8"/>
      <c r="D215" s="8"/>
      <c r="E215" s="2" t="s">
        <v>1629</v>
      </c>
      <c r="F215" s="27" t="s">
        <v>1630</v>
      </c>
      <c r="G215" s="30" t="s">
        <v>1631</v>
      </c>
      <c r="H215" s="6" t="s">
        <v>1632</v>
      </c>
      <c r="I215" s="52" t="s">
        <v>1633</v>
      </c>
      <c r="J215" s="31" t="s">
        <v>1634</v>
      </c>
      <c r="K215" s="6" t="s">
        <v>1635</v>
      </c>
      <c r="L215" s="51" t="s">
        <v>1636</v>
      </c>
      <c r="M215" s="6" t="s">
        <v>1637</v>
      </c>
      <c r="N215" s="41" t="s">
        <v>1638</v>
      </c>
      <c r="O215" s="2" t="s">
        <v>1639</v>
      </c>
      <c r="P215" s="41" t="s">
        <v>1640</v>
      </c>
      <c r="Q215" s="8"/>
    </row>
    <row r="216" spans="1:17" ht="409.6" x14ac:dyDescent="0.2">
      <c r="A216" s="8" t="s">
        <v>1628</v>
      </c>
      <c r="B216" s="8"/>
      <c r="C216" s="8"/>
      <c r="D216" s="8"/>
      <c r="E216" s="2" t="s">
        <v>1629</v>
      </c>
      <c r="F216" s="27" t="s">
        <v>1630</v>
      </c>
      <c r="G216" s="30" t="s">
        <v>1631</v>
      </c>
      <c r="H216" s="6" t="s">
        <v>1632</v>
      </c>
      <c r="I216" s="52" t="s">
        <v>1633</v>
      </c>
      <c r="J216" s="31" t="s">
        <v>1634</v>
      </c>
      <c r="K216" s="6" t="s">
        <v>1635</v>
      </c>
      <c r="L216" s="51" t="s">
        <v>1636</v>
      </c>
      <c r="M216" s="6" t="s">
        <v>1637</v>
      </c>
      <c r="N216" s="41" t="s">
        <v>1638</v>
      </c>
      <c r="O216" s="2" t="s">
        <v>1639</v>
      </c>
      <c r="P216" s="41" t="s">
        <v>1640</v>
      </c>
      <c r="Q216" s="8"/>
    </row>
    <row r="217" spans="1:17" ht="409.6" x14ac:dyDescent="0.2">
      <c r="A217" s="8" t="s">
        <v>807</v>
      </c>
      <c r="B217" s="73"/>
      <c r="C217" s="73"/>
      <c r="D217" s="73"/>
      <c r="E217" s="9" t="s">
        <v>808</v>
      </c>
      <c r="F217" s="9" t="s">
        <v>809</v>
      </c>
      <c r="G217" s="14" t="s">
        <v>194</v>
      </c>
      <c r="H217" s="9" t="s">
        <v>810</v>
      </c>
      <c r="I217" s="9" t="s">
        <v>811</v>
      </c>
      <c r="J217" s="9" t="s">
        <v>812</v>
      </c>
      <c r="K217" s="9" t="s">
        <v>813</v>
      </c>
      <c r="L217" s="9" t="s">
        <v>814</v>
      </c>
      <c r="M217" s="9" t="s">
        <v>815</v>
      </c>
      <c r="N217" s="9" t="s">
        <v>816</v>
      </c>
      <c r="O217" s="6" t="s">
        <v>817</v>
      </c>
      <c r="P217" s="9" t="s">
        <v>818</v>
      </c>
      <c r="Q217" s="9"/>
    </row>
    <row r="218" spans="1:17" ht="409.6" x14ac:dyDescent="0.2">
      <c r="A218" s="8" t="s">
        <v>819</v>
      </c>
      <c r="B218" s="6"/>
      <c r="C218" s="6"/>
      <c r="D218" s="6"/>
      <c r="E218" s="13" t="s">
        <v>820</v>
      </c>
      <c r="F218" s="9" t="s">
        <v>821</v>
      </c>
      <c r="G218" s="14" t="s">
        <v>822</v>
      </c>
      <c r="H218" s="9" t="s">
        <v>810</v>
      </c>
      <c r="I218" s="9" t="s">
        <v>811</v>
      </c>
      <c r="J218" s="9" t="s">
        <v>812</v>
      </c>
      <c r="K218" s="9" t="s">
        <v>813</v>
      </c>
      <c r="L218" s="9" t="s">
        <v>814</v>
      </c>
      <c r="M218" s="9" t="s">
        <v>823</v>
      </c>
      <c r="N218" s="9" t="s">
        <v>816</v>
      </c>
      <c r="O218" s="6" t="s">
        <v>817</v>
      </c>
      <c r="P218" s="9" t="s">
        <v>818</v>
      </c>
      <c r="Q218" s="9" t="s">
        <v>53</v>
      </c>
    </row>
    <row r="219" spans="1:17" ht="409.6" x14ac:dyDescent="0.2">
      <c r="A219" s="8" t="s">
        <v>1641</v>
      </c>
      <c r="B219" s="6"/>
      <c r="C219" s="6"/>
      <c r="D219" s="6"/>
      <c r="E219" s="13" t="s">
        <v>1642</v>
      </c>
      <c r="F219" s="38" t="s">
        <v>1643</v>
      </c>
      <c r="G219" s="14" t="s">
        <v>1644</v>
      </c>
      <c r="H219" s="9" t="s">
        <v>1645</v>
      </c>
      <c r="I219" s="9" t="s">
        <v>1646</v>
      </c>
      <c r="J219" s="9" t="s">
        <v>1647</v>
      </c>
      <c r="K219" s="9" t="s">
        <v>1648</v>
      </c>
      <c r="L219" s="53" t="s">
        <v>1649</v>
      </c>
      <c r="M219" s="9" t="s">
        <v>1650</v>
      </c>
      <c r="N219" s="9" t="s">
        <v>1651</v>
      </c>
      <c r="O219" s="54" t="s">
        <v>1652</v>
      </c>
      <c r="P219" s="9" t="s">
        <v>1653</v>
      </c>
      <c r="Q219" s="9"/>
    </row>
    <row r="220" spans="1:17" ht="409.6" x14ac:dyDescent="0.2">
      <c r="A220" s="8" t="s">
        <v>1654</v>
      </c>
      <c r="B220" s="6"/>
      <c r="C220" s="6"/>
      <c r="D220" s="6"/>
      <c r="E220" s="13" t="s">
        <v>1655</v>
      </c>
      <c r="F220" s="38" t="s">
        <v>1656</v>
      </c>
      <c r="G220" s="14" t="s">
        <v>1657</v>
      </c>
      <c r="H220" s="9" t="s">
        <v>1658</v>
      </c>
      <c r="I220" s="9" t="s">
        <v>1659</v>
      </c>
      <c r="J220" s="9" t="s">
        <v>1660</v>
      </c>
      <c r="K220" s="55" t="s">
        <v>1661</v>
      </c>
      <c r="L220" s="53" t="s">
        <v>1662</v>
      </c>
      <c r="M220" s="9" t="s">
        <v>1663</v>
      </c>
      <c r="N220" s="9" t="s">
        <v>1664</v>
      </c>
      <c r="O220" s="54" t="s">
        <v>1665</v>
      </c>
      <c r="P220" s="9" t="s">
        <v>1666</v>
      </c>
      <c r="Q220" s="9"/>
    </row>
    <row r="221" spans="1:17" ht="409.6" x14ac:dyDescent="0.2">
      <c r="A221" s="8" t="s">
        <v>1667</v>
      </c>
      <c r="B221" s="6"/>
      <c r="C221" s="6"/>
      <c r="D221" s="6"/>
      <c r="E221" s="13" t="s">
        <v>1668</v>
      </c>
      <c r="F221" s="38" t="s">
        <v>1656</v>
      </c>
      <c r="G221" s="14" t="s">
        <v>1669</v>
      </c>
      <c r="H221" s="9" t="s">
        <v>1670</v>
      </c>
      <c r="I221" s="9" t="s">
        <v>1659</v>
      </c>
      <c r="J221" s="9" t="s">
        <v>1671</v>
      </c>
      <c r="K221" s="38" t="s">
        <v>1672</v>
      </c>
      <c r="L221" s="56" t="s">
        <v>1673</v>
      </c>
      <c r="M221" s="9" t="s">
        <v>1674</v>
      </c>
      <c r="N221" s="9" t="s">
        <v>1664</v>
      </c>
      <c r="O221" s="57" t="s">
        <v>1675</v>
      </c>
      <c r="P221" s="9" t="s">
        <v>1666</v>
      </c>
      <c r="Q221" s="9"/>
    </row>
    <row r="222" spans="1:17" ht="409.6" x14ac:dyDescent="0.2">
      <c r="A222" s="8" t="s">
        <v>1676</v>
      </c>
      <c r="B222" s="6"/>
      <c r="C222" s="80"/>
      <c r="D222" s="80"/>
      <c r="E222" s="58" t="s">
        <v>1677</v>
      </c>
      <c r="F222" s="38" t="s">
        <v>1678</v>
      </c>
      <c r="G222" s="14" t="s">
        <v>1679</v>
      </c>
      <c r="H222" s="9" t="s">
        <v>1680</v>
      </c>
      <c r="I222" s="9" t="s">
        <v>1659</v>
      </c>
      <c r="J222" s="9" t="s">
        <v>1681</v>
      </c>
      <c r="K222" s="38" t="s">
        <v>1682</v>
      </c>
      <c r="L222" s="56" t="s">
        <v>1683</v>
      </c>
      <c r="M222" s="9" t="s">
        <v>1684</v>
      </c>
      <c r="N222" s="9" t="s">
        <v>1685</v>
      </c>
      <c r="O222" s="54" t="s">
        <v>1686</v>
      </c>
      <c r="P222" s="9" t="s">
        <v>1687</v>
      </c>
      <c r="Q222" s="9"/>
    </row>
    <row r="223" spans="1:17" ht="409.6" x14ac:dyDescent="0.2">
      <c r="A223" s="8" t="s">
        <v>1688</v>
      </c>
      <c r="B223" s="6"/>
      <c r="C223" s="80"/>
      <c r="D223" s="80"/>
      <c r="E223" s="58" t="s">
        <v>1677</v>
      </c>
      <c r="F223" s="38" t="s">
        <v>1689</v>
      </c>
      <c r="G223" s="14" t="s">
        <v>1690</v>
      </c>
      <c r="H223" s="9" t="s">
        <v>1691</v>
      </c>
      <c r="I223" s="9" t="s">
        <v>1692</v>
      </c>
      <c r="J223" s="9" t="s">
        <v>1693</v>
      </c>
      <c r="K223" s="38" t="s">
        <v>1694</v>
      </c>
      <c r="L223" s="59" t="s">
        <v>1695</v>
      </c>
      <c r="M223" s="9" t="s">
        <v>1696</v>
      </c>
      <c r="N223" s="9" t="s">
        <v>996</v>
      </c>
      <c r="O223" s="54" t="s">
        <v>1697</v>
      </c>
      <c r="P223" s="9" t="s">
        <v>1687</v>
      </c>
      <c r="Q223" s="9"/>
    </row>
    <row r="224" spans="1:17" ht="409.6" x14ac:dyDescent="0.2">
      <c r="A224" s="8" t="s">
        <v>1698</v>
      </c>
      <c r="B224" s="6"/>
      <c r="C224" s="80"/>
      <c r="D224" s="80"/>
      <c r="E224" s="58" t="s">
        <v>1699</v>
      </c>
      <c r="F224" s="38" t="s">
        <v>1700</v>
      </c>
      <c r="G224" s="14" t="s">
        <v>1701</v>
      </c>
      <c r="H224" s="38" t="s">
        <v>1702</v>
      </c>
      <c r="I224" s="9" t="s">
        <v>1692</v>
      </c>
      <c r="J224" s="9" t="s">
        <v>1703</v>
      </c>
      <c r="K224" s="53" t="s">
        <v>1704</v>
      </c>
      <c r="L224" s="59" t="s">
        <v>1705</v>
      </c>
      <c r="M224" s="9" t="s">
        <v>1706</v>
      </c>
      <c r="N224" s="9" t="s">
        <v>1707</v>
      </c>
      <c r="O224" s="40" t="s">
        <v>1708</v>
      </c>
      <c r="P224" s="9" t="s">
        <v>1709</v>
      </c>
      <c r="Q224" s="9"/>
    </row>
    <row r="225" spans="1:17" ht="409.6" x14ac:dyDescent="0.2">
      <c r="A225" s="8" t="s">
        <v>1710</v>
      </c>
      <c r="B225" s="6"/>
      <c r="C225" s="80"/>
      <c r="D225" s="80"/>
      <c r="E225" s="58" t="s">
        <v>1711</v>
      </c>
      <c r="F225" s="38" t="s">
        <v>1712</v>
      </c>
      <c r="G225" s="14" t="s">
        <v>1713</v>
      </c>
      <c r="H225" s="38" t="s">
        <v>1714</v>
      </c>
      <c r="I225" s="9" t="s">
        <v>1692</v>
      </c>
      <c r="J225" s="9" t="s">
        <v>1715</v>
      </c>
      <c r="K225" s="53" t="s">
        <v>1716</v>
      </c>
      <c r="L225" s="59" t="s">
        <v>1717</v>
      </c>
      <c r="M225" s="9" t="s">
        <v>1718</v>
      </c>
      <c r="N225" s="9" t="s">
        <v>1719</v>
      </c>
      <c r="O225" s="40" t="s">
        <v>1720</v>
      </c>
      <c r="P225" s="9" t="s">
        <v>1721</v>
      </c>
      <c r="Q225" s="9"/>
    </row>
    <row r="226" spans="1:17" ht="409.6" x14ac:dyDescent="0.2">
      <c r="A226" s="8" t="s">
        <v>1722</v>
      </c>
      <c r="B226" s="6"/>
      <c r="C226" s="80"/>
      <c r="D226" s="80"/>
      <c r="E226" s="58" t="s">
        <v>1723</v>
      </c>
      <c r="F226" s="38" t="s">
        <v>1724</v>
      </c>
      <c r="G226" s="14" t="s">
        <v>1725</v>
      </c>
      <c r="H226" s="38" t="s">
        <v>1726</v>
      </c>
      <c r="I226" s="9" t="s">
        <v>1692</v>
      </c>
      <c r="J226" s="9" t="s">
        <v>1727</v>
      </c>
      <c r="K226" s="55" t="s">
        <v>1728</v>
      </c>
      <c r="L226" s="59" t="s">
        <v>1729</v>
      </c>
      <c r="M226" s="9" t="s">
        <v>1730</v>
      </c>
      <c r="N226" s="9" t="s">
        <v>996</v>
      </c>
      <c r="O226" s="40" t="s">
        <v>1731</v>
      </c>
      <c r="P226" s="9" t="s">
        <v>1732</v>
      </c>
      <c r="Q226" s="9"/>
    </row>
    <row r="227" spans="1:17" ht="409.6" x14ac:dyDescent="0.2">
      <c r="A227" s="8" t="s">
        <v>1733</v>
      </c>
      <c r="B227" s="6"/>
      <c r="C227" s="80"/>
      <c r="D227" s="80"/>
      <c r="E227" s="58" t="s">
        <v>1734</v>
      </c>
      <c r="F227" s="38" t="s">
        <v>1735</v>
      </c>
      <c r="G227" s="14" t="s">
        <v>1736</v>
      </c>
      <c r="H227" s="38" t="s">
        <v>1737</v>
      </c>
      <c r="I227" s="9" t="s">
        <v>1738</v>
      </c>
      <c r="J227" s="9" t="s">
        <v>1739</v>
      </c>
      <c r="K227" s="55" t="s">
        <v>1740</v>
      </c>
      <c r="L227" s="39" t="s">
        <v>1741</v>
      </c>
      <c r="M227" s="9" t="s">
        <v>1742</v>
      </c>
      <c r="N227" s="9" t="s">
        <v>996</v>
      </c>
      <c r="O227" s="40" t="s">
        <v>1743</v>
      </c>
      <c r="P227" s="9" t="s">
        <v>1744</v>
      </c>
      <c r="Q227" s="9"/>
    </row>
    <row r="228" spans="1:17" ht="409.6" x14ac:dyDescent="0.2">
      <c r="A228" s="8" t="s">
        <v>1745</v>
      </c>
      <c r="B228" s="6"/>
      <c r="C228" s="80"/>
      <c r="D228" s="80"/>
      <c r="E228" s="58" t="s">
        <v>1746</v>
      </c>
      <c r="F228" s="38" t="s">
        <v>1747</v>
      </c>
      <c r="G228" s="14" t="s">
        <v>1748</v>
      </c>
      <c r="H228" s="38" t="s">
        <v>1749</v>
      </c>
      <c r="I228" s="9" t="s">
        <v>991</v>
      </c>
      <c r="J228" s="9" t="s">
        <v>1750</v>
      </c>
      <c r="K228" s="38" t="s">
        <v>1751</v>
      </c>
      <c r="L228" s="39" t="s">
        <v>1752</v>
      </c>
      <c r="M228" s="9" t="s">
        <v>1753</v>
      </c>
      <c r="N228" s="9" t="s">
        <v>1754</v>
      </c>
      <c r="O228" s="40" t="s">
        <v>1755</v>
      </c>
      <c r="P228" s="9" t="s">
        <v>1756</v>
      </c>
      <c r="Q228" s="9"/>
    </row>
    <row r="229" spans="1:17" ht="409.6" x14ac:dyDescent="0.2">
      <c r="A229" s="8" t="s">
        <v>1757</v>
      </c>
      <c r="B229" s="6"/>
      <c r="C229" s="80"/>
      <c r="D229" s="80"/>
      <c r="E229" s="58" t="s">
        <v>1758</v>
      </c>
      <c r="F229" s="38" t="s">
        <v>1759</v>
      </c>
      <c r="G229" s="14" t="s">
        <v>1759</v>
      </c>
      <c r="H229" s="38" t="s">
        <v>1760</v>
      </c>
      <c r="I229" s="9" t="s">
        <v>991</v>
      </c>
      <c r="J229" s="9" t="s">
        <v>1761</v>
      </c>
      <c r="K229" s="38" t="s">
        <v>1762</v>
      </c>
      <c r="L229" s="39" t="s">
        <v>1763</v>
      </c>
      <c r="M229" s="9" t="s">
        <v>1764</v>
      </c>
      <c r="N229" s="9" t="s">
        <v>1765</v>
      </c>
      <c r="O229" s="40" t="s">
        <v>1766</v>
      </c>
      <c r="P229" s="9" t="s">
        <v>1767</v>
      </c>
      <c r="Q229" s="9"/>
    </row>
    <row r="230" spans="1:17" ht="409.6" x14ac:dyDescent="0.2">
      <c r="A230" s="8" t="s">
        <v>1768</v>
      </c>
      <c r="B230" s="6"/>
      <c r="C230" s="80"/>
      <c r="D230" s="80"/>
      <c r="E230" s="58" t="s">
        <v>1769</v>
      </c>
      <c r="F230" s="38" t="s">
        <v>1770</v>
      </c>
      <c r="G230" s="14" t="s">
        <v>1771</v>
      </c>
      <c r="H230" s="38" t="s">
        <v>1772</v>
      </c>
      <c r="I230" s="9" t="s">
        <v>991</v>
      </c>
      <c r="J230" s="9" t="s">
        <v>1773</v>
      </c>
      <c r="K230" s="38" t="s">
        <v>1774</v>
      </c>
      <c r="L230" s="39" t="s">
        <v>1775</v>
      </c>
      <c r="M230" s="9" t="s">
        <v>1776</v>
      </c>
      <c r="N230" s="9" t="s">
        <v>1777</v>
      </c>
      <c r="O230" s="40" t="s">
        <v>1778</v>
      </c>
      <c r="P230" s="9" t="s">
        <v>998</v>
      </c>
      <c r="Q230" s="9"/>
    </row>
    <row r="231" spans="1:17" ht="409.6" x14ac:dyDescent="0.2">
      <c r="A231" s="8" t="s">
        <v>1779</v>
      </c>
      <c r="B231" s="6"/>
      <c r="C231" s="80"/>
      <c r="D231" s="80"/>
      <c r="E231" s="58" t="s">
        <v>987</v>
      </c>
      <c r="F231" s="38" t="s">
        <v>988</v>
      </c>
      <c r="G231" s="14" t="s">
        <v>989</v>
      </c>
      <c r="H231" s="38" t="s">
        <v>990</v>
      </c>
      <c r="I231" s="9" t="s">
        <v>991</v>
      </c>
      <c r="J231" s="9" t="s">
        <v>992</v>
      </c>
      <c r="K231" s="38" t="s">
        <v>993</v>
      </c>
      <c r="L231" s="39" t="s">
        <v>994</v>
      </c>
      <c r="M231" s="9" t="s">
        <v>995</v>
      </c>
      <c r="N231" s="9" t="s">
        <v>996</v>
      </c>
      <c r="O231" s="40" t="s">
        <v>997</v>
      </c>
      <c r="P231" s="9" t="s">
        <v>998</v>
      </c>
      <c r="Q231" s="9"/>
    </row>
    <row r="232" spans="1:17" ht="409.6" x14ac:dyDescent="0.2">
      <c r="A232" s="8" t="s">
        <v>1780</v>
      </c>
      <c r="B232" s="6"/>
      <c r="C232" s="80"/>
      <c r="D232" s="80"/>
      <c r="E232" s="58" t="s">
        <v>1781</v>
      </c>
      <c r="F232" s="38" t="s">
        <v>1782</v>
      </c>
      <c r="G232" s="14" t="s">
        <v>1783</v>
      </c>
      <c r="H232" s="38" t="s">
        <v>1784</v>
      </c>
      <c r="I232" s="9" t="s">
        <v>991</v>
      </c>
      <c r="J232" s="9" t="s">
        <v>1785</v>
      </c>
      <c r="K232" s="38" t="s">
        <v>1786</v>
      </c>
      <c r="L232" s="39" t="s">
        <v>1787</v>
      </c>
      <c r="M232" s="9" t="s">
        <v>1788</v>
      </c>
      <c r="N232" s="9" t="s">
        <v>996</v>
      </c>
      <c r="O232" s="40" t="s">
        <v>1789</v>
      </c>
      <c r="P232" s="9" t="s">
        <v>1790</v>
      </c>
      <c r="Q232" s="9" t="s">
        <v>984</v>
      </c>
    </row>
    <row r="233" spans="1:17" ht="409.6" x14ac:dyDescent="0.2">
      <c r="A233" s="8" t="s">
        <v>1791</v>
      </c>
      <c r="B233" s="6"/>
      <c r="C233" s="80"/>
      <c r="D233" s="80"/>
      <c r="E233" s="58" t="s">
        <v>1792</v>
      </c>
      <c r="F233" s="38" t="s">
        <v>1793</v>
      </c>
      <c r="G233" s="14" t="s">
        <v>1794</v>
      </c>
      <c r="H233" s="38" t="s">
        <v>1795</v>
      </c>
      <c r="I233" s="9" t="s">
        <v>991</v>
      </c>
      <c r="J233" s="9" t="s">
        <v>992</v>
      </c>
      <c r="K233" s="38" t="s">
        <v>1796</v>
      </c>
      <c r="L233" s="39" t="s">
        <v>1797</v>
      </c>
      <c r="M233" s="9" t="s">
        <v>1798</v>
      </c>
      <c r="N233" s="9" t="s">
        <v>996</v>
      </c>
      <c r="O233" s="40" t="s">
        <v>1799</v>
      </c>
      <c r="P233" s="9" t="s">
        <v>1790</v>
      </c>
      <c r="Q233" s="9"/>
    </row>
    <row r="234" spans="1:17" ht="409.6" x14ac:dyDescent="0.2">
      <c r="A234" s="8" t="s">
        <v>1800</v>
      </c>
      <c r="B234" s="6"/>
      <c r="C234" s="80"/>
      <c r="D234" s="80"/>
      <c r="E234" s="58" t="s">
        <v>1801</v>
      </c>
      <c r="F234" s="38" t="s">
        <v>1802</v>
      </c>
      <c r="G234" s="14" t="s">
        <v>1803</v>
      </c>
      <c r="H234" s="38" t="s">
        <v>1804</v>
      </c>
      <c r="I234" s="9" t="s">
        <v>991</v>
      </c>
      <c r="J234" s="9" t="s">
        <v>1693</v>
      </c>
      <c r="K234" s="38" t="s">
        <v>1805</v>
      </c>
      <c r="L234" s="39" t="s">
        <v>1806</v>
      </c>
      <c r="M234" s="9" t="s">
        <v>1807</v>
      </c>
      <c r="N234" s="9" t="s">
        <v>996</v>
      </c>
      <c r="O234" s="40" t="s">
        <v>1808</v>
      </c>
      <c r="P234" s="9" t="s">
        <v>1790</v>
      </c>
      <c r="Q234" s="9"/>
    </row>
    <row r="235" spans="1:17" ht="409.6" x14ac:dyDescent="0.2">
      <c r="A235" s="8" t="s">
        <v>824</v>
      </c>
      <c r="B235" s="73" t="s">
        <v>826</v>
      </c>
      <c r="C235" s="73"/>
      <c r="D235" s="73"/>
      <c r="E235" s="9" t="s">
        <v>353</v>
      </c>
      <c r="F235" s="9" t="s">
        <v>182</v>
      </c>
      <c r="G235" s="14" t="s">
        <v>364</v>
      </c>
      <c r="H235" s="9" t="s">
        <v>365</v>
      </c>
      <c r="I235" s="9" t="s">
        <v>366</v>
      </c>
      <c r="J235" s="9" t="s">
        <v>367</v>
      </c>
      <c r="K235" s="9" t="s">
        <v>368</v>
      </c>
      <c r="L235" s="9" t="s">
        <v>369</v>
      </c>
      <c r="M235" s="9" t="s">
        <v>370</v>
      </c>
      <c r="N235" s="9" t="s">
        <v>371</v>
      </c>
      <c r="O235" s="6" t="s">
        <v>372</v>
      </c>
      <c r="P235" s="9" t="s">
        <v>373</v>
      </c>
      <c r="Q235" s="9"/>
    </row>
    <row r="236" spans="1:17" ht="409.6" x14ac:dyDescent="0.2">
      <c r="A236" s="8" t="s">
        <v>1809</v>
      </c>
      <c r="B236" s="6"/>
      <c r="C236" s="6"/>
      <c r="D236" s="6"/>
      <c r="E236" s="13" t="s">
        <v>1810</v>
      </c>
      <c r="F236" s="13" t="s">
        <v>1811</v>
      </c>
      <c r="G236" s="13" t="s">
        <v>1812</v>
      </c>
      <c r="H236" s="14" t="s">
        <v>1813</v>
      </c>
      <c r="I236" s="14" t="s">
        <v>1814</v>
      </c>
      <c r="J236" s="14" t="s">
        <v>1815</v>
      </c>
      <c r="K236" s="9" t="s">
        <v>1816</v>
      </c>
      <c r="L236" s="14" t="s">
        <v>1817</v>
      </c>
      <c r="M236" s="9" t="s">
        <v>1818</v>
      </c>
      <c r="N236" s="13" t="s">
        <v>1819</v>
      </c>
      <c r="O236" s="9" t="s">
        <v>1820</v>
      </c>
      <c r="P236" s="13" t="s">
        <v>1821</v>
      </c>
      <c r="Q236" s="9"/>
    </row>
    <row r="237" spans="1:17" ht="409.6" x14ac:dyDescent="0.2">
      <c r="A237" s="8" t="s">
        <v>1822</v>
      </c>
      <c r="B237" s="6"/>
      <c r="C237" s="6"/>
      <c r="D237" s="6"/>
      <c r="E237" s="13" t="s">
        <v>1823</v>
      </c>
      <c r="F237" s="13" t="s">
        <v>1824</v>
      </c>
      <c r="G237" s="13" t="s">
        <v>1825</v>
      </c>
      <c r="H237" s="14" t="s">
        <v>1826</v>
      </c>
      <c r="I237" s="14" t="s">
        <v>1827</v>
      </c>
      <c r="J237" s="14" t="s">
        <v>1828</v>
      </c>
      <c r="K237" s="9" t="s">
        <v>1829</v>
      </c>
      <c r="L237" s="14" t="s">
        <v>896</v>
      </c>
      <c r="M237" s="9" t="s">
        <v>1830</v>
      </c>
      <c r="N237" s="13" t="s">
        <v>879</v>
      </c>
      <c r="O237" s="9" t="s">
        <v>1831</v>
      </c>
      <c r="P237" s="13" t="s">
        <v>1832</v>
      </c>
      <c r="Q237" s="8"/>
    </row>
    <row r="238" spans="1:17" ht="409.6" x14ac:dyDescent="0.2">
      <c r="A238" s="8" t="s">
        <v>1833</v>
      </c>
      <c r="B238" s="6"/>
      <c r="C238" s="6"/>
      <c r="D238" s="6"/>
      <c r="E238" s="13" t="s">
        <v>1834</v>
      </c>
      <c r="F238" s="13" t="s">
        <v>1835</v>
      </c>
      <c r="G238" s="13" t="s">
        <v>1836</v>
      </c>
      <c r="H238" s="14" t="s">
        <v>1837</v>
      </c>
      <c r="I238" s="14" t="s">
        <v>1827</v>
      </c>
      <c r="J238" s="14" t="s">
        <v>1838</v>
      </c>
      <c r="K238" s="9" t="s">
        <v>1839</v>
      </c>
      <c r="L238" s="14" t="s">
        <v>896</v>
      </c>
      <c r="M238" s="9" t="s">
        <v>1840</v>
      </c>
      <c r="N238" s="13" t="s">
        <v>1841</v>
      </c>
      <c r="O238" s="9" t="s">
        <v>1842</v>
      </c>
      <c r="P238" s="13" t="s">
        <v>1832</v>
      </c>
      <c r="Q238" s="8"/>
    </row>
    <row r="239" spans="1:17" ht="409.6" x14ac:dyDescent="0.2">
      <c r="A239" s="8" t="s">
        <v>1843</v>
      </c>
      <c r="B239" s="6"/>
      <c r="C239" s="6"/>
      <c r="D239" s="6"/>
      <c r="E239" s="13" t="s">
        <v>1844</v>
      </c>
      <c r="F239" s="13" t="s">
        <v>1845</v>
      </c>
      <c r="G239" s="13" t="s">
        <v>1846</v>
      </c>
      <c r="H239" s="14" t="s">
        <v>1847</v>
      </c>
      <c r="I239" s="14" t="s">
        <v>1827</v>
      </c>
      <c r="J239" s="14" t="s">
        <v>1838</v>
      </c>
      <c r="K239" s="9" t="s">
        <v>1848</v>
      </c>
      <c r="L239" s="14" t="s">
        <v>896</v>
      </c>
      <c r="M239" s="9" t="s">
        <v>1849</v>
      </c>
      <c r="N239" s="13" t="s">
        <v>1850</v>
      </c>
      <c r="O239" s="9" t="s">
        <v>1851</v>
      </c>
      <c r="P239" s="13" t="s">
        <v>1832</v>
      </c>
      <c r="Q239" s="8"/>
    </row>
    <row r="240" spans="1:17" ht="409.6" x14ac:dyDescent="0.2">
      <c r="A240" s="8" t="s">
        <v>1852</v>
      </c>
      <c r="B240" s="6"/>
      <c r="C240" s="6"/>
      <c r="D240" s="6"/>
      <c r="E240" s="13" t="s">
        <v>1853</v>
      </c>
      <c r="F240" s="13" t="s">
        <v>1854</v>
      </c>
      <c r="G240" s="13" t="s">
        <v>1855</v>
      </c>
      <c r="H240" s="14" t="s">
        <v>1856</v>
      </c>
      <c r="I240" s="14" t="s">
        <v>1857</v>
      </c>
      <c r="J240" s="14" t="s">
        <v>1858</v>
      </c>
      <c r="K240" s="9" t="s">
        <v>1859</v>
      </c>
      <c r="L240" s="14" t="s">
        <v>1860</v>
      </c>
      <c r="M240" s="9" t="s">
        <v>1861</v>
      </c>
      <c r="N240" s="13" t="s">
        <v>1862</v>
      </c>
      <c r="O240" s="9" t="s">
        <v>1863</v>
      </c>
      <c r="P240" s="13" t="s">
        <v>1832</v>
      </c>
      <c r="Q240" s="8"/>
    </row>
    <row r="241" spans="1:17" ht="380" x14ac:dyDescent="0.2">
      <c r="A241" s="8" t="s">
        <v>395</v>
      </c>
      <c r="B241" s="74"/>
      <c r="C241" s="74"/>
      <c r="D241" s="74"/>
      <c r="E241" s="11" t="s">
        <v>142</v>
      </c>
      <c r="F241" s="11" t="s">
        <v>396</v>
      </c>
      <c r="G241" s="12" t="s">
        <v>397</v>
      </c>
      <c r="H241" s="11" t="s">
        <v>398</v>
      </c>
      <c r="I241" s="11" t="s">
        <v>399</v>
      </c>
      <c r="J241" s="11" t="s">
        <v>147</v>
      </c>
      <c r="K241" s="11" t="s">
        <v>400</v>
      </c>
      <c r="L241" s="11" t="s">
        <v>401</v>
      </c>
      <c r="M241" s="11" t="s">
        <v>402</v>
      </c>
      <c r="N241" s="11" t="s">
        <v>403</v>
      </c>
      <c r="O241" s="11" t="s">
        <v>152</v>
      </c>
      <c r="P241" s="11" t="s">
        <v>404</v>
      </c>
      <c r="Q241" s="8"/>
    </row>
    <row r="242" spans="1:17" ht="409.6" x14ac:dyDescent="0.2">
      <c r="A242" s="8" t="s">
        <v>87</v>
      </c>
      <c r="B242" s="74"/>
      <c r="C242" s="74"/>
      <c r="D242" s="74"/>
      <c r="E242" s="11" t="s">
        <v>89</v>
      </c>
      <c r="F242" s="11"/>
      <c r="G242" s="12" t="s">
        <v>53</v>
      </c>
      <c r="H242" s="11" t="s">
        <v>90</v>
      </c>
      <c r="I242" s="11" t="s">
        <v>91</v>
      </c>
      <c r="J242" s="11" t="s">
        <v>92</v>
      </c>
      <c r="K242" s="11" t="s">
        <v>93</v>
      </c>
      <c r="L242" s="11" t="s">
        <v>94</v>
      </c>
      <c r="M242" s="11" t="s">
        <v>95</v>
      </c>
      <c r="N242" s="11" t="s">
        <v>96</v>
      </c>
      <c r="O242" s="11" t="s">
        <v>97</v>
      </c>
      <c r="P242" s="11" t="s">
        <v>98</v>
      </c>
      <c r="Q242" s="8" t="s">
        <v>53</v>
      </c>
    </row>
    <row r="243" spans="1:17" ht="409.6" x14ac:dyDescent="0.2">
      <c r="A243" s="8" t="s">
        <v>457</v>
      </c>
      <c r="B243" s="74"/>
      <c r="C243" s="74"/>
      <c r="D243" s="74"/>
      <c r="E243" s="11" t="s">
        <v>89</v>
      </c>
      <c r="F243" s="11"/>
      <c r="G243" s="12" t="s">
        <v>331</v>
      </c>
      <c r="H243" s="11" t="s">
        <v>332</v>
      </c>
      <c r="I243" s="11" t="s">
        <v>333</v>
      </c>
      <c r="J243" s="11" t="s">
        <v>458</v>
      </c>
      <c r="K243" s="11" t="s">
        <v>93</v>
      </c>
      <c r="L243" s="11" t="s">
        <v>459</v>
      </c>
      <c r="M243" s="11" t="s">
        <v>460</v>
      </c>
      <c r="N243" s="11" t="s">
        <v>96</v>
      </c>
      <c r="O243" s="11" t="s">
        <v>461</v>
      </c>
      <c r="P243" s="11" t="s">
        <v>98</v>
      </c>
      <c r="Q243" s="8" t="s">
        <v>53</v>
      </c>
    </row>
    <row r="244" spans="1:17" ht="409.6" x14ac:dyDescent="0.2">
      <c r="A244" s="8" t="s">
        <v>330</v>
      </c>
      <c r="B244" s="74"/>
      <c r="C244" s="74"/>
      <c r="D244" s="74"/>
      <c r="E244" s="11" t="s">
        <v>89</v>
      </c>
      <c r="F244" s="11"/>
      <c r="G244" s="12" t="s">
        <v>331</v>
      </c>
      <c r="H244" s="11" t="s">
        <v>332</v>
      </c>
      <c r="I244" s="11" t="s">
        <v>333</v>
      </c>
      <c r="J244" s="11" t="s">
        <v>334</v>
      </c>
      <c r="K244" s="11" t="s">
        <v>93</v>
      </c>
      <c r="L244" s="11" t="s">
        <v>335</v>
      </c>
      <c r="M244" s="11" t="s">
        <v>336</v>
      </c>
      <c r="N244" s="11" t="s">
        <v>96</v>
      </c>
      <c r="O244" s="11" t="s">
        <v>337</v>
      </c>
      <c r="P244" s="11" t="s">
        <v>98</v>
      </c>
      <c r="Q244" s="8" t="s">
        <v>53</v>
      </c>
    </row>
    <row r="245" spans="1:17" ht="380" x14ac:dyDescent="0.2">
      <c r="A245" s="8" t="s">
        <v>395</v>
      </c>
      <c r="B245" s="74"/>
      <c r="C245" s="74"/>
      <c r="D245" s="74"/>
      <c r="E245" s="11" t="s">
        <v>142</v>
      </c>
      <c r="F245" s="11" t="s">
        <v>396</v>
      </c>
      <c r="G245" s="12" t="s">
        <v>397</v>
      </c>
      <c r="H245" s="11" t="s">
        <v>398</v>
      </c>
      <c r="I245" s="11" t="s">
        <v>399</v>
      </c>
      <c r="J245" s="11" t="s">
        <v>147</v>
      </c>
      <c r="K245" s="11" t="s">
        <v>400</v>
      </c>
      <c r="L245" s="11" t="s">
        <v>401</v>
      </c>
      <c r="M245" s="11" t="s">
        <v>402</v>
      </c>
      <c r="N245" s="11" t="s">
        <v>403</v>
      </c>
      <c r="O245" s="11" t="s">
        <v>152</v>
      </c>
      <c r="P245" s="11" t="s">
        <v>404</v>
      </c>
      <c r="Q245" s="8"/>
    </row>
    <row r="246" spans="1:17" ht="409.6" x14ac:dyDescent="0.2">
      <c r="A246" s="8" t="s">
        <v>141</v>
      </c>
      <c r="B246" s="74"/>
      <c r="C246" s="74"/>
      <c r="D246" s="74"/>
      <c r="E246" s="11" t="s">
        <v>142</v>
      </c>
      <c r="F246" s="11" t="s">
        <v>143</v>
      </c>
      <c r="G246" s="12" t="s">
        <v>144</v>
      </c>
      <c r="H246" s="11" t="s">
        <v>145</v>
      </c>
      <c r="I246" s="11" t="s">
        <v>146</v>
      </c>
      <c r="J246" s="11" t="s">
        <v>147</v>
      </c>
      <c r="K246" s="11" t="s">
        <v>148</v>
      </c>
      <c r="L246" s="11" t="s">
        <v>149</v>
      </c>
      <c r="M246" s="11" t="s">
        <v>150</v>
      </c>
      <c r="N246" s="11" t="s">
        <v>151</v>
      </c>
      <c r="O246" s="11" t="s">
        <v>152</v>
      </c>
      <c r="P246" s="11" t="s">
        <v>153</v>
      </c>
      <c r="Q246" s="8"/>
    </row>
    <row r="247" spans="1:17" ht="409.6" x14ac:dyDescent="0.2">
      <c r="A247" s="60" t="s">
        <v>1864</v>
      </c>
      <c r="B247" s="74"/>
      <c r="C247" s="74"/>
      <c r="D247" s="74"/>
      <c r="E247" s="11" t="s">
        <v>1865</v>
      </c>
      <c r="F247" s="11" t="s">
        <v>1866</v>
      </c>
      <c r="G247" s="12" t="s">
        <v>1867</v>
      </c>
      <c r="H247" s="11" t="s">
        <v>1868</v>
      </c>
      <c r="I247" s="11" t="s">
        <v>1869</v>
      </c>
      <c r="J247" s="11" t="s">
        <v>1870</v>
      </c>
      <c r="K247" s="11" t="s">
        <v>1871</v>
      </c>
      <c r="L247" s="61" t="s">
        <v>1872</v>
      </c>
      <c r="M247" s="11" t="s">
        <v>1873</v>
      </c>
      <c r="N247" s="11" t="s">
        <v>1874</v>
      </c>
      <c r="O247" s="11" t="s">
        <v>1875</v>
      </c>
      <c r="P247" s="11" t="s">
        <v>1876</v>
      </c>
      <c r="Q247" s="8" t="s">
        <v>984</v>
      </c>
    </row>
    <row r="248" spans="1:17" ht="409.6" x14ac:dyDescent="0.2">
      <c r="A248" s="8" t="s">
        <v>1877</v>
      </c>
      <c r="B248" s="74"/>
      <c r="C248" s="74"/>
      <c r="D248" s="74"/>
      <c r="E248" s="11" t="s">
        <v>1878</v>
      </c>
      <c r="F248" s="2" t="s">
        <v>1879</v>
      </c>
      <c r="G248" s="12" t="s">
        <v>1880</v>
      </c>
      <c r="H248" s="11" t="s">
        <v>1881</v>
      </c>
      <c r="I248" s="11" t="s">
        <v>1882</v>
      </c>
      <c r="J248" s="11" t="s">
        <v>1883</v>
      </c>
      <c r="K248" s="11" t="s">
        <v>1884</v>
      </c>
      <c r="L248" s="11" t="s">
        <v>1885</v>
      </c>
      <c r="M248" s="11" t="s">
        <v>1886</v>
      </c>
      <c r="N248" s="11" t="s">
        <v>1887</v>
      </c>
      <c r="O248" s="11" t="s">
        <v>1888</v>
      </c>
      <c r="P248" s="11" t="s">
        <v>1889</v>
      </c>
      <c r="Q248" s="8" t="s">
        <v>984</v>
      </c>
    </row>
    <row r="249" spans="1:17" ht="409.6" x14ac:dyDescent="0.2">
      <c r="A249" s="8" t="s">
        <v>1890</v>
      </c>
      <c r="B249" s="74"/>
      <c r="C249" s="74"/>
      <c r="D249" s="74"/>
      <c r="E249" s="11" t="s">
        <v>1878</v>
      </c>
      <c r="F249" s="11" t="s">
        <v>1891</v>
      </c>
      <c r="G249" s="12" t="s">
        <v>1880</v>
      </c>
      <c r="H249" s="11" t="s">
        <v>1881</v>
      </c>
      <c r="I249" s="11" t="s">
        <v>1882</v>
      </c>
      <c r="J249" s="11" t="s">
        <v>1892</v>
      </c>
      <c r="K249" s="11" t="s">
        <v>1884</v>
      </c>
      <c r="L249" s="11" t="s">
        <v>1885</v>
      </c>
      <c r="M249" s="11" t="s">
        <v>1893</v>
      </c>
      <c r="N249" s="11" t="s">
        <v>1887</v>
      </c>
      <c r="O249" s="11" t="s">
        <v>1888</v>
      </c>
      <c r="P249" s="11" t="s">
        <v>1889</v>
      </c>
      <c r="Q249" s="8" t="s">
        <v>984</v>
      </c>
    </row>
    <row r="250" spans="1:17" ht="409.6" x14ac:dyDescent="0.2">
      <c r="A250" s="8" t="s">
        <v>1894</v>
      </c>
      <c r="B250" s="74"/>
      <c r="C250" s="74"/>
      <c r="D250" s="74"/>
      <c r="E250" s="11" t="s">
        <v>1895</v>
      </c>
      <c r="F250" s="2" t="s">
        <v>1896</v>
      </c>
      <c r="G250" s="15" t="s">
        <v>1897</v>
      </c>
      <c r="H250" s="2" t="s">
        <v>1898</v>
      </c>
      <c r="I250" s="11" t="s">
        <v>1899</v>
      </c>
      <c r="J250" s="11" t="s">
        <v>1900</v>
      </c>
      <c r="K250" s="11" t="s">
        <v>1901</v>
      </c>
      <c r="L250" s="11" t="s">
        <v>1902</v>
      </c>
      <c r="M250" s="11" t="s">
        <v>1903</v>
      </c>
      <c r="N250" s="11" t="s">
        <v>1904</v>
      </c>
      <c r="O250" s="11" t="s">
        <v>1905</v>
      </c>
      <c r="P250" s="11" t="s">
        <v>1906</v>
      </c>
      <c r="Q250" s="8"/>
    </row>
    <row r="251" spans="1:17" ht="409.6" x14ac:dyDescent="0.2">
      <c r="A251" s="8" t="s">
        <v>1907</v>
      </c>
      <c r="B251" s="74"/>
      <c r="C251" s="74"/>
      <c r="D251" s="74"/>
      <c r="E251" s="11" t="s">
        <v>1908</v>
      </c>
      <c r="F251" s="11" t="s">
        <v>1909</v>
      </c>
      <c r="G251" s="12" t="s">
        <v>1910</v>
      </c>
      <c r="H251" s="11" t="s">
        <v>1911</v>
      </c>
      <c r="I251" s="11" t="s">
        <v>1912</v>
      </c>
      <c r="J251" s="11" t="s">
        <v>1913</v>
      </c>
      <c r="K251" s="11" t="s">
        <v>1914</v>
      </c>
      <c r="L251" s="11" t="s">
        <v>1915</v>
      </c>
      <c r="M251" s="11" t="s">
        <v>1916</v>
      </c>
      <c r="N251" s="11" t="s">
        <v>1917</v>
      </c>
      <c r="O251" s="11" t="s">
        <v>1918</v>
      </c>
      <c r="P251" s="11" t="s">
        <v>1919</v>
      </c>
      <c r="Q251" s="8" t="s">
        <v>984</v>
      </c>
    </row>
    <row r="252" spans="1:17" ht="409.6" x14ac:dyDescent="0.2">
      <c r="A252" s="8" t="s">
        <v>1920</v>
      </c>
      <c r="B252" s="74"/>
      <c r="C252" s="74"/>
      <c r="D252" s="74"/>
      <c r="E252" s="11" t="s">
        <v>1921</v>
      </c>
      <c r="F252" s="11" t="s">
        <v>1922</v>
      </c>
      <c r="G252" s="12" t="s">
        <v>1923</v>
      </c>
      <c r="H252" s="11" t="s">
        <v>1924</v>
      </c>
      <c r="I252" s="11" t="s">
        <v>1925</v>
      </c>
      <c r="J252" s="11" t="s">
        <v>1926</v>
      </c>
      <c r="K252" s="11" t="s">
        <v>1927</v>
      </c>
      <c r="L252" s="11" t="s">
        <v>1928</v>
      </c>
      <c r="M252" s="11" t="s">
        <v>1929</v>
      </c>
      <c r="N252" s="11" t="s">
        <v>1930</v>
      </c>
      <c r="O252" s="11" t="s">
        <v>1931</v>
      </c>
      <c r="P252" s="11" t="s">
        <v>1932</v>
      </c>
      <c r="Q252" s="8" t="s">
        <v>984</v>
      </c>
    </row>
    <row r="253" spans="1:17" ht="409.6" x14ac:dyDescent="0.2">
      <c r="A253" s="8" t="s">
        <v>1933</v>
      </c>
      <c r="B253" s="74"/>
      <c r="C253" s="74"/>
      <c r="D253" s="74"/>
      <c r="E253" s="11" t="s">
        <v>1934</v>
      </c>
      <c r="F253" s="11" t="s">
        <v>1935</v>
      </c>
      <c r="G253" s="12" t="s">
        <v>1936</v>
      </c>
      <c r="H253" s="11" t="s">
        <v>1937</v>
      </c>
      <c r="I253" s="11" t="s">
        <v>1938</v>
      </c>
      <c r="J253" s="11" t="s">
        <v>1939</v>
      </c>
      <c r="K253" s="11" t="s">
        <v>1940</v>
      </c>
      <c r="L253" s="11" t="s">
        <v>1941</v>
      </c>
      <c r="M253" s="11" t="s">
        <v>1942</v>
      </c>
      <c r="N253" s="11" t="s">
        <v>1943</v>
      </c>
      <c r="O253" s="11" t="s">
        <v>1944</v>
      </c>
      <c r="P253" s="11" t="s">
        <v>1945</v>
      </c>
      <c r="Q253" s="8"/>
    </row>
    <row r="254" spans="1:17" ht="409.6" x14ac:dyDescent="0.2">
      <c r="A254" s="8" t="s">
        <v>1946</v>
      </c>
      <c r="B254" s="74"/>
      <c r="C254" s="74"/>
      <c r="D254" s="74"/>
      <c r="E254" s="11" t="s">
        <v>1947</v>
      </c>
      <c r="F254" s="11" t="s">
        <v>1948</v>
      </c>
      <c r="G254" s="12" t="s">
        <v>1949</v>
      </c>
      <c r="H254" s="11" t="s">
        <v>1950</v>
      </c>
      <c r="I254" s="11" t="s">
        <v>1925</v>
      </c>
      <c r="J254" s="11" t="s">
        <v>1951</v>
      </c>
      <c r="K254" s="11" t="s">
        <v>1952</v>
      </c>
      <c r="L254" s="11" t="s">
        <v>1953</v>
      </c>
      <c r="M254" s="11" t="s">
        <v>1954</v>
      </c>
      <c r="N254" s="11" t="s">
        <v>1955</v>
      </c>
      <c r="O254" s="11" t="s">
        <v>1956</v>
      </c>
      <c r="P254" s="11" t="s">
        <v>1957</v>
      </c>
      <c r="Q254" s="8"/>
    </row>
    <row r="255" spans="1:17" ht="409.6" x14ac:dyDescent="0.2">
      <c r="A255" s="8" t="s">
        <v>1958</v>
      </c>
      <c r="B255" s="74"/>
      <c r="C255" s="74"/>
      <c r="D255" s="74"/>
      <c r="E255" s="11" t="s">
        <v>1959</v>
      </c>
      <c r="F255" s="11" t="s">
        <v>1960</v>
      </c>
      <c r="G255" s="12" t="s">
        <v>1961</v>
      </c>
      <c r="H255" s="11" t="s">
        <v>1962</v>
      </c>
      <c r="I255" s="11" t="s">
        <v>1963</v>
      </c>
      <c r="J255" s="11" t="s">
        <v>1964</v>
      </c>
      <c r="K255" s="11" t="s">
        <v>1965</v>
      </c>
      <c r="L255" s="11" t="s">
        <v>1966</v>
      </c>
      <c r="M255" s="11" t="s">
        <v>1967</v>
      </c>
      <c r="N255" s="11" t="s">
        <v>1968</v>
      </c>
      <c r="O255" s="11" t="s">
        <v>1969</v>
      </c>
      <c r="P255" s="11" t="s">
        <v>1970</v>
      </c>
      <c r="Q255" s="8" t="s">
        <v>984</v>
      </c>
    </row>
    <row r="256" spans="1:17" ht="409.6" x14ac:dyDescent="0.2">
      <c r="A256" s="8" t="s">
        <v>1971</v>
      </c>
      <c r="B256" s="74"/>
      <c r="C256" s="74"/>
      <c r="D256" s="74"/>
      <c r="E256" s="11" t="s">
        <v>1972</v>
      </c>
      <c r="F256" s="11" t="s">
        <v>1973</v>
      </c>
      <c r="G256" s="12" t="s">
        <v>1974</v>
      </c>
      <c r="H256" s="11" t="s">
        <v>1975</v>
      </c>
      <c r="I256" s="11" t="s">
        <v>1976</v>
      </c>
      <c r="J256" s="11" t="s">
        <v>1977</v>
      </c>
      <c r="K256" s="11" t="s">
        <v>1978</v>
      </c>
      <c r="L256" s="11" t="s">
        <v>1979</v>
      </c>
      <c r="M256" s="11" t="s">
        <v>1980</v>
      </c>
      <c r="N256" s="11" t="s">
        <v>1981</v>
      </c>
      <c r="O256" s="11" t="s">
        <v>1982</v>
      </c>
      <c r="P256" s="11" t="s">
        <v>1983</v>
      </c>
      <c r="Q256" s="8" t="s">
        <v>984</v>
      </c>
    </row>
    <row r="257" spans="1:17" ht="409.6" x14ac:dyDescent="0.2">
      <c r="A257" s="8" t="s">
        <v>1984</v>
      </c>
      <c r="B257" s="74"/>
      <c r="C257" s="74"/>
      <c r="D257" s="74"/>
      <c r="E257" s="11" t="s">
        <v>1985</v>
      </c>
      <c r="F257" s="11" t="s">
        <v>1986</v>
      </c>
      <c r="G257" s="12" t="s">
        <v>1987</v>
      </c>
      <c r="H257" s="11" t="s">
        <v>1988</v>
      </c>
      <c r="I257" s="11" t="s">
        <v>1989</v>
      </c>
      <c r="J257" s="11" t="s">
        <v>1990</v>
      </c>
      <c r="K257" s="11" t="s">
        <v>1991</v>
      </c>
      <c r="L257" s="11" t="s">
        <v>1992</v>
      </c>
      <c r="M257" s="11" t="s">
        <v>1993</v>
      </c>
      <c r="N257" s="11" t="s">
        <v>1994</v>
      </c>
      <c r="O257" s="11" t="s">
        <v>1995</v>
      </c>
      <c r="P257" s="11" t="s">
        <v>1996</v>
      </c>
      <c r="Q257" s="8" t="s">
        <v>984</v>
      </c>
    </row>
    <row r="258" spans="1:17" ht="409.6" x14ac:dyDescent="0.2">
      <c r="A258" s="8" t="s">
        <v>1997</v>
      </c>
      <c r="B258" s="74"/>
      <c r="C258" s="74"/>
      <c r="D258" s="74"/>
      <c r="E258" s="2" t="s">
        <v>1998</v>
      </c>
      <c r="F258" s="11" t="s">
        <v>1999</v>
      </c>
      <c r="G258" s="12" t="s">
        <v>2000</v>
      </c>
      <c r="H258" s="11" t="s">
        <v>2001</v>
      </c>
      <c r="I258" s="11" t="s">
        <v>2002</v>
      </c>
      <c r="J258" s="11" t="s">
        <v>2003</v>
      </c>
      <c r="K258" s="11" t="s">
        <v>2004</v>
      </c>
      <c r="L258" s="11" t="s">
        <v>2005</v>
      </c>
      <c r="M258" s="11" t="s">
        <v>2006</v>
      </c>
      <c r="N258" s="11" t="s">
        <v>2007</v>
      </c>
      <c r="O258" s="11" t="s">
        <v>2008</v>
      </c>
      <c r="P258" s="11" t="s">
        <v>2009</v>
      </c>
      <c r="Q258" s="8" t="s">
        <v>984</v>
      </c>
    </row>
    <row r="259" spans="1:17" ht="409.6" x14ac:dyDescent="0.2">
      <c r="A259" s="8" t="s">
        <v>2010</v>
      </c>
      <c r="B259" s="74"/>
      <c r="C259" s="74"/>
      <c r="D259" s="74"/>
      <c r="E259" s="2" t="s">
        <v>2011</v>
      </c>
      <c r="F259" s="62" t="s">
        <v>2012</v>
      </c>
      <c r="G259" s="12" t="s">
        <v>2013</v>
      </c>
      <c r="H259" s="11" t="s">
        <v>2014</v>
      </c>
      <c r="I259" s="11" t="s">
        <v>2015</v>
      </c>
      <c r="J259" s="11" t="s">
        <v>2016</v>
      </c>
      <c r="K259" s="11" t="s">
        <v>2017</v>
      </c>
      <c r="L259" s="11" t="s">
        <v>2018</v>
      </c>
      <c r="M259" s="11" t="s">
        <v>2019</v>
      </c>
      <c r="N259" s="11" t="s">
        <v>2020</v>
      </c>
      <c r="O259" s="11" t="s">
        <v>2021</v>
      </c>
      <c r="P259" s="11" t="s">
        <v>2022</v>
      </c>
      <c r="Q259" s="8" t="s">
        <v>984</v>
      </c>
    </row>
    <row r="260" spans="1:17" ht="409.6" x14ac:dyDescent="0.2">
      <c r="A260" s="8" t="s">
        <v>2023</v>
      </c>
      <c r="B260" s="74"/>
      <c r="C260" s="74"/>
      <c r="D260" s="74"/>
      <c r="E260" s="2" t="s">
        <v>2024</v>
      </c>
      <c r="F260" s="62" t="s">
        <v>2025</v>
      </c>
      <c r="G260" s="12" t="s">
        <v>2026</v>
      </c>
      <c r="H260" s="11" t="s">
        <v>2027</v>
      </c>
      <c r="I260" s="11" t="s">
        <v>2028</v>
      </c>
      <c r="J260" s="11" t="s">
        <v>2029</v>
      </c>
      <c r="K260" s="11" t="s">
        <v>2030</v>
      </c>
      <c r="L260" s="11" t="s">
        <v>2031</v>
      </c>
      <c r="M260" s="11" t="s">
        <v>2032</v>
      </c>
      <c r="N260" s="11" t="s">
        <v>2033</v>
      </c>
      <c r="O260" s="11" t="s">
        <v>2034</v>
      </c>
      <c r="P260" s="11" t="s">
        <v>2035</v>
      </c>
      <c r="Q260" s="8" t="s">
        <v>984</v>
      </c>
    </row>
    <row r="261" spans="1:17" ht="409.6" x14ac:dyDescent="0.2">
      <c r="A261" s="8" t="s">
        <v>2036</v>
      </c>
      <c r="B261" s="74"/>
      <c r="C261" s="74"/>
      <c r="D261" s="74"/>
      <c r="E261" s="2" t="s">
        <v>2037</v>
      </c>
      <c r="F261" s="62" t="s">
        <v>2038</v>
      </c>
      <c r="G261" s="12" t="s">
        <v>2039</v>
      </c>
      <c r="H261" s="11" t="s">
        <v>2040</v>
      </c>
      <c r="I261" s="11" t="s">
        <v>2041</v>
      </c>
      <c r="J261" s="11" t="s">
        <v>2042</v>
      </c>
      <c r="K261" s="11" t="s">
        <v>2043</v>
      </c>
      <c r="L261" s="11" t="s">
        <v>2044</v>
      </c>
      <c r="M261" s="11" t="s">
        <v>2045</v>
      </c>
      <c r="N261" s="11" t="s">
        <v>2046</v>
      </c>
      <c r="O261" s="11" t="s">
        <v>2047</v>
      </c>
      <c r="P261" s="11" t="s">
        <v>2048</v>
      </c>
      <c r="Q261" s="8"/>
    </row>
    <row r="262" spans="1:17" ht="409.6" x14ac:dyDescent="0.2">
      <c r="A262" s="8" t="s">
        <v>2049</v>
      </c>
      <c r="B262" s="74"/>
      <c r="C262" s="74"/>
      <c r="D262" s="74"/>
      <c r="E262" s="2" t="s">
        <v>2050</v>
      </c>
      <c r="F262" s="62" t="s">
        <v>2051</v>
      </c>
      <c r="G262" s="12" t="s">
        <v>2052</v>
      </c>
      <c r="H262" s="11" t="s">
        <v>2053</v>
      </c>
      <c r="I262" s="11" t="s">
        <v>2054</v>
      </c>
      <c r="J262" s="11" t="s">
        <v>2055</v>
      </c>
      <c r="K262" s="11" t="s">
        <v>2056</v>
      </c>
      <c r="L262" s="11" t="s">
        <v>2057</v>
      </c>
      <c r="M262" s="2" t="s">
        <v>2058</v>
      </c>
      <c r="N262" s="11" t="s">
        <v>2059</v>
      </c>
      <c r="O262" s="11" t="s">
        <v>2060</v>
      </c>
      <c r="P262" s="11" t="s">
        <v>2061</v>
      </c>
      <c r="Q262" s="8"/>
    </row>
    <row r="263" spans="1:17" ht="409.6" x14ac:dyDescent="0.2">
      <c r="A263" s="8" t="s">
        <v>2062</v>
      </c>
      <c r="B263" s="74"/>
      <c r="C263" s="74"/>
      <c r="D263" s="74"/>
      <c r="E263" s="2" t="s">
        <v>2063</v>
      </c>
      <c r="F263" s="62" t="s">
        <v>2064</v>
      </c>
      <c r="G263" s="12" t="s">
        <v>2065</v>
      </c>
      <c r="H263" s="11" t="s">
        <v>2066</v>
      </c>
      <c r="I263" s="11" t="s">
        <v>2067</v>
      </c>
      <c r="J263" s="11" t="s">
        <v>2068</v>
      </c>
      <c r="K263" s="11" t="s">
        <v>2069</v>
      </c>
      <c r="L263" s="11" t="s">
        <v>2070</v>
      </c>
      <c r="M263" s="11" t="s">
        <v>2071</v>
      </c>
      <c r="N263" s="11" t="s">
        <v>2072</v>
      </c>
      <c r="O263" s="11" t="s">
        <v>2073</v>
      </c>
      <c r="P263" s="11" t="s">
        <v>2074</v>
      </c>
      <c r="Q263" s="8" t="s">
        <v>984</v>
      </c>
    </row>
    <row r="264" spans="1:17" ht="409.6" x14ac:dyDescent="0.2">
      <c r="A264" s="8" t="s">
        <v>2075</v>
      </c>
      <c r="B264" s="74"/>
      <c r="C264" s="74"/>
      <c r="D264" s="74"/>
      <c r="E264" s="2" t="s">
        <v>2076</v>
      </c>
      <c r="F264" s="62" t="s">
        <v>2077</v>
      </c>
      <c r="G264" s="12" t="s">
        <v>2078</v>
      </c>
      <c r="H264" s="11" t="s">
        <v>2079</v>
      </c>
      <c r="I264" s="11" t="s">
        <v>2080</v>
      </c>
      <c r="J264" s="11" t="s">
        <v>2081</v>
      </c>
      <c r="K264" s="11" t="s">
        <v>2082</v>
      </c>
      <c r="L264" s="11" t="s">
        <v>2083</v>
      </c>
      <c r="M264" s="11" t="s">
        <v>2084</v>
      </c>
      <c r="N264" s="11" t="s">
        <v>2085</v>
      </c>
      <c r="O264" s="11" t="s">
        <v>2086</v>
      </c>
      <c r="P264" s="11" t="s">
        <v>2087</v>
      </c>
      <c r="Q264" s="8" t="s">
        <v>984</v>
      </c>
    </row>
    <row r="265" spans="1:17" ht="409.6" x14ac:dyDescent="0.2">
      <c r="A265" s="8" t="s">
        <v>2088</v>
      </c>
      <c r="B265" s="74"/>
      <c r="C265" s="74"/>
      <c r="D265" s="74"/>
      <c r="E265" s="2" t="s">
        <v>2089</v>
      </c>
      <c r="F265" s="62" t="s">
        <v>2090</v>
      </c>
      <c r="G265" s="12" t="s">
        <v>2091</v>
      </c>
      <c r="H265" s="11" t="s">
        <v>2092</v>
      </c>
      <c r="I265" s="11" t="s">
        <v>2093</v>
      </c>
      <c r="J265" s="11" t="s">
        <v>2094</v>
      </c>
      <c r="K265" s="11" t="s">
        <v>2095</v>
      </c>
      <c r="L265" s="11" t="s">
        <v>2096</v>
      </c>
      <c r="M265" s="11" t="s">
        <v>2097</v>
      </c>
      <c r="N265" s="11" t="s">
        <v>2098</v>
      </c>
      <c r="O265" s="11" t="s">
        <v>2099</v>
      </c>
      <c r="P265" s="11" t="s">
        <v>2100</v>
      </c>
      <c r="Q265" s="8" t="s">
        <v>984</v>
      </c>
    </row>
    <row r="266" spans="1:17" ht="409.6" x14ac:dyDescent="0.2">
      <c r="A266" s="8" t="s">
        <v>2101</v>
      </c>
      <c r="B266" s="74"/>
      <c r="C266" s="74"/>
      <c r="D266" s="74"/>
      <c r="E266" s="2" t="s">
        <v>2102</v>
      </c>
      <c r="F266" s="62" t="s">
        <v>2103</v>
      </c>
      <c r="G266" s="12" t="s">
        <v>2078</v>
      </c>
      <c r="H266" s="11" t="s">
        <v>2079</v>
      </c>
      <c r="I266" s="11" t="s">
        <v>2080</v>
      </c>
      <c r="J266" s="11" t="s">
        <v>2081</v>
      </c>
      <c r="K266" s="11" t="s">
        <v>2082</v>
      </c>
      <c r="L266" s="11" t="s">
        <v>2083</v>
      </c>
      <c r="M266" s="11" t="s">
        <v>2084</v>
      </c>
      <c r="N266" s="11" t="s">
        <v>2085</v>
      </c>
      <c r="O266" s="11" t="s">
        <v>2086</v>
      </c>
      <c r="P266" s="11" t="s">
        <v>2104</v>
      </c>
      <c r="Q266" s="8" t="s">
        <v>984</v>
      </c>
    </row>
    <row r="267" spans="1:17" ht="409.6" x14ac:dyDescent="0.2">
      <c r="A267" s="8" t="s">
        <v>2105</v>
      </c>
      <c r="B267" s="74"/>
      <c r="C267" s="74"/>
      <c r="D267" s="74"/>
      <c r="E267" s="2" t="s">
        <v>2106</v>
      </c>
      <c r="F267" s="62" t="s">
        <v>2107</v>
      </c>
      <c r="G267" s="12" t="s">
        <v>2108</v>
      </c>
      <c r="H267" s="11" t="s">
        <v>2109</v>
      </c>
      <c r="I267" s="11" t="s">
        <v>2110</v>
      </c>
      <c r="J267" s="11" t="s">
        <v>2111</v>
      </c>
      <c r="K267" s="11" t="s">
        <v>2082</v>
      </c>
      <c r="L267" s="11" t="s">
        <v>2112</v>
      </c>
      <c r="M267" s="11" t="s">
        <v>2113</v>
      </c>
      <c r="N267" s="11" t="s">
        <v>2114</v>
      </c>
      <c r="O267" s="11" t="s">
        <v>2115</v>
      </c>
      <c r="P267" s="11" t="s">
        <v>2104</v>
      </c>
      <c r="Q267" s="8" t="s">
        <v>984</v>
      </c>
    </row>
    <row r="268" spans="1:17" ht="409.6" x14ac:dyDescent="0.2">
      <c r="A268" s="8" t="s">
        <v>2116</v>
      </c>
      <c r="B268" s="74"/>
      <c r="C268" s="74"/>
      <c r="D268" s="74"/>
      <c r="E268" s="2" t="s">
        <v>2117</v>
      </c>
      <c r="F268" s="62" t="s">
        <v>2118</v>
      </c>
      <c r="G268" s="12" t="s">
        <v>2119</v>
      </c>
      <c r="H268" s="11" t="s">
        <v>2120</v>
      </c>
      <c r="I268" s="11" t="s">
        <v>2121</v>
      </c>
      <c r="J268" s="11" t="s">
        <v>2122</v>
      </c>
      <c r="K268" s="11" t="s">
        <v>2123</v>
      </c>
      <c r="L268" s="11" t="s">
        <v>2124</v>
      </c>
      <c r="M268" s="11" t="s">
        <v>2125</v>
      </c>
      <c r="N268" s="11" t="s">
        <v>2126</v>
      </c>
      <c r="O268" s="11" t="s">
        <v>2127</v>
      </c>
      <c r="P268" s="11" t="s">
        <v>2061</v>
      </c>
      <c r="Q268" s="8"/>
    </row>
    <row r="269" spans="1:17" ht="409.6" x14ac:dyDescent="0.2">
      <c r="A269" s="8" t="s">
        <v>2128</v>
      </c>
      <c r="B269" s="74"/>
      <c r="C269" s="74"/>
      <c r="D269" s="74"/>
      <c r="E269" s="2" t="s">
        <v>2129</v>
      </c>
      <c r="F269" s="62" t="s">
        <v>2130</v>
      </c>
      <c r="G269" s="12" t="s">
        <v>2131</v>
      </c>
      <c r="H269" s="11" t="s">
        <v>2132</v>
      </c>
      <c r="I269" s="11" t="s">
        <v>2133</v>
      </c>
      <c r="J269" s="11" t="s">
        <v>2134</v>
      </c>
      <c r="K269" s="11" t="s">
        <v>2135</v>
      </c>
      <c r="L269" s="11" t="s">
        <v>2136</v>
      </c>
      <c r="M269" s="11" t="s">
        <v>2137</v>
      </c>
      <c r="N269" s="11" t="s">
        <v>2138</v>
      </c>
      <c r="O269" s="11" t="s">
        <v>2139</v>
      </c>
      <c r="P269" s="11" t="s">
        <v>2140</v>
      </c>
      <c r="Q269" s="8"/>
    </row>
    <row r="270" spans="1:17" ht="409.6" x14ac:dyDescent="0.2">
      <c r="A270" s="8" t="s">
        <v>2141</v>
      </c>
      <c r="B270" s="74"/>
      <c r="C270" s="74"/>
      <c r="D270" s="74"/>
      <c r="E270" s="2" t="s">
        <v>2142</v>
      </c>
      <c r="F270" s="62" t="s">
        <v>2143</v>
      </c>
      <c r="G270" s="12" t="s">
        <v>2144</v>
      </c>
      <c r="H270" s="11" t="s">
        <v>2145</v>
      </c>
      <c r="I270" s="11" t="s">
        <v>2146</v>
      </c>
      <c r="J270" s="11" t="s">
        <v>2147</v>
      </c>
      <c r="K270" s="11" t="s">
        <v>2148</v>
      </c>
      <c r="L270" s="11" t="s">
        <v>2149</v>
      </c>
      <c r="M270" s="11" t="s">
        <v>2150</v>
      </c>
      <c r="N270" s="11" t="s">
        <v>2151</v>
      </c>
      <c r="O270" s="11" t="s">
        <v>2152</v>
      </c>
      <c r="P270" s="11" t="s">
        <v>2153</v>
      </c>
      <c r="Q270" s="8" t="s">
        <v>984</v>
      </c>
    </row>
    <row r="271" spans="1:17" ht="409.6" x14ac:dyDescent="0.2">
      <c r="A271" s="8" t="s">
        <v>2154</v>
      </c>
      <c r="B271" s="74"/>
      <c r="C271" s="74"/>
      <c r="D271" s="74"/>
      <c r="E271" s="2" t="s">
        <v>2155</v>
      </c>
      <c r="F271" s="62" t="s">
        <v>2156</v>
      </c>
      <c r="G271" s="12" t="s">
        <v>2157</v>
      </c>
      <c r="H271" s="11" t="s">
        <v>2158</v>
      </c>
      <c r="I271" s="11" t="s">
        <v>2159</v>
      </c>
      <c r="J271" s="11" t="s">
        <v>2081</v>
      </c>
      <c r="K271" s="11" t="s">
        <v>2082</v>
      </c>
      <c r="L271" s="11" t="s">
        <v>2083</v>
      </c>
      <c r="M271" s="11" t="s">
        <v>2160</v>
      </c>
      <c r="N271" s="11" t="s">
        <v>2161</v>
      </c>
      <c r="O271" s="11" t="s">
        <v>2086</v>
      </c>
      <c r="P271" s="11" t="s">
        <v>2104</v>
      </c>
      <c r="Q271" s="8" t="s">
        <v>984</v>
      </c>
    </row>
    <row r="272" spans="1:17" ht="409.6" x14ac:dyDescent="0.2">
      <c r="A272" s="8" t="s">
        <v>2162</v>
      </c>
      <c r="B272" s="74"/>
      <c r="C272" s="74"/>
      <c r="D272" s="74"/>
      <c r="E272" s="2" t="s">
        <v>2163</v>
      </c>
      <c r="F272" s="62" t="s">
        <v>2164</v>
      </c>
      <c r="G272" s="12" t="s">
        <v>2078</v>
      </c>
      <c r="H272" s="11" t="s">
        <v>2165</v>
      </c>
      <c r="I272" s="11" t="s">
        <v>2166</v>
      </c>
      <c r="J272" s="11" t="s">
        <v>2111</v>
      </c>
      <c r="K272" s="11" t="s">
        <v>2082</v>
      </c>
      <c r="L272" s="11" t="s">
        <v>2167</v>
      </c>
      <c r="M272" s="11" t="s">
        <v>2168</v>
      </c>
      <c r="N272" s="11" t="s">
        <v>2169</v>
      </c>
      <c r="O272" s="11" t="s">
        <v>2086</v>
      </c>
      <c r="P272" s="11" t="s">
        <v>2104</v>
      </c>
      <c r="Q272" s="8" t="s">
        <v>984</v>
      </c>
    </row>
    <row r="273" spans="1:17" ht="409.6" x14ac:dyDescent="0.2">
      <c r="A273" s="8" t="s">
        <v>2170</v>
      </c>
      <c r="B273" s="74"/>
      <c r="C273" s="74"/>
      <c r="D273" s="74"/>
      <c r="E273" s="2" t="s">
        <v>2171</v>
      </c>
      <c r="F273" s="62" t="s">
        <v>2172</v>
      </c>
      <c r="G273" s="12" t="s">
        <v>2078</v>
      </c>
      <c r="H273" s="11" t="s">
        <v>2165</v>
      </c>
      <c r="I273" s="11" t="s">
        <v>2166</v>
      </c>
      <c r="J273" s="11" t="s">
        <v>2111</v>
      </c>
      <c r="K273" s="11" t="s">
        <v>2082</v>
      </c>
      <c r="L273" s="11" t="s">
        <v>2167</v>
      </c>
      <c r="M273" s="11" t="s">
        <v>2173</v>
      </c>
      <c r="N273" s="11" t="s">
        <v>2169</v>
      </c>
      <c r="O273" s="11" t="s">
        <v>2086</v>
      </c>
      <c r="P273" s="11" t="s">
        <v>2104</v>
      </c>
      <c r="Q273" s="8" t="s">
        <v>984</v>
      </c>
    </row>
    <row r="274" spans="1:17" ht="409.6" x14ac:dyDescent="0.2">
      <c r="A274" s="8" t="s">
        <v>2174</v>
      </c>
      <c r="B274" s="74"/>
      <c r="C274" s="74"/>
      <c r="D274" s="74"/>
      <c r="E274" s="2" t="s">
        <v>2175</v>
      </c>
      <c r="F274" s="62" t="s">
        <v>2176</v>
      </c>
      <c r="G274" s="12" t="s">
        <v>2177</v>
      </c>
      <c r="H274" s="11" t="s">
        <v>2178</v>
      </c>
      <c r="I274" s="11" t="s">
        <v>2179</v>
      </c>
      <c r="J274" s="11" t="s">
        <v>2180</v>
      </c>
      <c r="K274" s="11" t="s">
        <v>2181</v>
      </c>
      <c r="L274" s="11" t="s">
        <v>2182</v>
      </c>
      <c r="M274" s="11" t="s">
        <v>2183</v>
      </c>
      <c r="N274" s="11" t="s">
        <v>2184</v>
      </c>
      <c r="O274" s="11" t="s">
        <v>2185</v>
      </c>
      <c r="P274" s="11" t="s">
        <v>2104</v>
      </c>
      <c r="Q274" s="8" t="s">
        <v>984</v>
      </c>
    </row>
    <row r="275" spans="1:17" ht="409.6" x14ac:dyDescent="0.2">
      <c r="A275" s="8" t="s">
        <v>2186</v>
      </c>
      <c r="B275" s="74"/>
      <c r="C275" s="74"/>
      <c r="D275" s="74"/>
      <c r="E275" s="2" t="s">
        <v>2187</v>
      </c>
      <c r="F275" s="62" t="s">
        <v>2188</v>
      </c>
      <c r="G275" s="12" t="s">
        <v>2189</v>
      </c>
      <c r="H275" s="11" t="s">
        <v>2190</v>
      </c>
      <c r="I275" s="11" t="s">
        <v>2191</v>
      </c>
      <c r="J275" s="11" t="s">
        <v>2192</v>
      </c>
      <c r="K275" s="11" t="s">
        <v>2193</v>
      </c>
      <c r="L275" s="11" t="s">
        <v>2194</v>
      </c>
      <c r="M275" s="11" t="s">
        <v>2195</v>
      </c>
      <c r="N275" s="11" t="s">
        <v>2196</v>
      </c>
      <c r="O275" s="11" t="s">
        <v>2197</v>
      </c>
      <c r="P275" s="11" t="s">
        <v>2198</v>
      </c>
      <c r="Q275" s="8"/>
    </row>
    <row r="276" spans="1:17" ht="409.6" x14ac:dyDescent="0.2">
      <c r="A276" s="8" t="s">
        <v>2199</v>
      </c>
      <c r="B276" s="74"/>
      <c r="C276" s="74"/>
      <c r="D276" s="74"/>
      <c r="E276" s="2" t="s">
        <v>2200</v>
      </c>
      <c r="F276" s="62" t="s">
        <v>2201</v>
      </c>
      <c r="G276" s="63" t="s">
        <v>2202</v>
      </c>
      <c r="H276" s="11" t="s">
        <v>2203</v>
      </c>
      <c r="I276" s="11" t="s">
        <v>2204</v>
      </c>
      <c r="J276" s="11" t="s">
        <v>2205</v>
      </c>
      <c r="K276" s="11" t="s">
        <v>2206</v>
      </c>
      <c r="L276" s="11" t="s">
        <v>2207</v>
      </c>
      <c r="M276" s="11" t="s">
        <v>2208</v>
      </c>
      <c r="N276" s="11" t="s">
        <v>2209</v>
      </c>
      <c r="O276" s="11" t="s">
        <v>2210</v>
      </c>
      <c r="P276" s="11" t="s">
        <v>2198</v>
      </c>
      <c r="Q276" s="8"/>
    </row>
    <row r="277" spans="1:17" ht="409.6" x14ac:dyDescent="0.2">
      <c r="A277" s="8" t="s">
        <v>2211</v>
      </c>
      <c r="B277" s="74"/>
      <c r="C277" s="74"/>
      <c r="D277" s="74"/>
      <c r="E277" s="2" t="s">
        <v>2212</v>
      </c>
      <c r="F277" s="62" t="s">
        <v>2213</v>
      </c>
      <c r="G277" s="12" t="s">
        <v>2078</v>
      </c>
      <c r="H277" s="11" t="s">
        <v>2165</v>
      </c>
      <c r="I277" s="11" t="s">
        <v>2214</v>
      </c>
      <c r="J277" s="11" t="s">
        <v>2111</v>
      </c>
      <c r="K277" s="11" t="s">
        <v>2082</v>
      </c>
      <c r="L277" s="11" t="s">
        <v>2215</v>
      </c>
      <c r="M277" s="11" t="s">
        <v>2216</v>
      </c>
      <c r="N277" s="11" t="s">
        <v>2217</v>
      </c>
      <c r="O277" s="11" t="s">
        <v>2218</v>
      </c>
      <c r="P277" s="11" t="s">
        <v>2104</v>
      </c>
      <c r="Q277" s="8" t="s">
        <v>984</v>
      </c>
    </row>
    <row r="278" spans="1:17" ht="409.6" x14ac:dyDescent="0.2">
      <c r="A278" s="8" t="s">
        <v>2219</v>
      </c>
      <c r="B278" s="74"/>
      <c r="C278" s="74"/>
      <c r="D278" s="74"/>
      <c r="E278" s="2" t="s">
        <v>2220</v>
      </c>
      <c r="F278" s="62" t="s">
        <v>2221</v>
      </c>
      <c r="G278" s="12" t="s">
        <v>2177</v>
      </c>
      <c r="H278" s="11" t="s">
        <v>2178</v>
      </c>
      <c r="I278" s="11" t="s">
        <v>2222</v>
      </c>
      <c r="J278" s="11" t="s">
        <v>2180</v>
      </c>
      <c r="K278" s="11" t="s">
        <v>2181</v>
      </c>
      <c r="L278" s="11" t="s">
        <v>2182</v>
      </c>
      <c r="M278" s="11" t="s">
        <v>2223</v>
      </c>
      <c r="N278" s="11" t="s">
        <v>2224</v>
      </c>
      <c r="O278" s="11" t="s">
        <v>2225</v>
      </c>
      <c r="P278" s="11" t="s">
        <v>2104</v>
      </c>
      <c r="Q278" s="8" t="s">
        <v>984</v>
      </c>
    </row>
    <row r="279" spans="1:17" ht="409.6" x14ac:dyDescent="0.2">
      <c r="A279" s="8" t="s">
        <v>2226</v>
      </c>
      <c r="B279" s="74"/>
      <c r="C279" s="74"/>
      <c r="D279" s="74"/>
      <c r="E279" s="2" t="s">
        <v>2227</v>
      </c>
      <c r="F279" s="62" t="s">
        <v>2228</v>
      </c>
      <c r="G279" s="12" t="s">
        <v>2229</v>
      </c>
      <c r="H279" s="11" t="s">
        <v>2230</v>
      </c>
      <c r="I279" s="11" t="s">
        <v>2231</v>
      </c>
      <c r="J279" s="11" t="s">
        <v>2180</v>
      </c>
      <c r="K279" s="11" t="s">
        <v>2181</v>
      </c>
      <c r="L279" s="11" t="s">
        <v>2232</v>
      </c>
      <c r="M279" s="11" t="s">
        <v>2233</v>
      </c>
      <c r="N279" s="11" t="s">
        <v>2234</v>
      </c>
      <c r="O279" s="11" t="s">
        <v>2235</v>
      </c>
      <c r="P279" s="11" t="s">
        <v>2104</v>
      </c>
      <c r="Q279" s="8"/>
    </row>
    <row r="280" spans="1:17" ht="409.6" x14ac:dyDescent="0.2">
      <c r="A280" s="8" t="s">
        <v>2236</v>
      </c>
      <c r="B280" s="74"/>
      <c r="C280" s="74"/>
      <c r="D280" s="74"/>
      <c r="E280" s="2" t="s">
        <v>2237</v>
      </c>
      <c r="F280" s="62" t="s">
        <v>2238</v>
      </c>
      <c r="G280" s="63" t="s">
        <v>2239</v>
      </c>
      <c r="H280" s="11" t="s">
        <v>2240</v>
      </c>
      <c r="I280" s="11" t="s">
        <v>2241</v>
      </c>
      <c r="J280" s="11" t="s">
        <v>2242</v>
      </c>
      <c r="K280" s="11" t="s">
        <v>2243</v>
      </c>
      <c r="L280" s="11" t="s">
        <v>2244</v>
      </c>
      <c r="M280" s="11" t="s">
        <v>2245</v>
      </c>
      <c r="N280" s="11" t="s">
        <v>2246</v>
      </c>
      <c r="O280" s="11" t="s">
        <v>2247</v>
      </c>
      <c r="P280" s="11" t="s">
        <v>2248</v>
      </c>
      <c r="Q280" s="8"/>
    </row>
    <row r="281" spans="1:17" ht="409.6" x14ac:dyDescent="0.2">
      <c r="A281" s="8" t="s">
        <v>2249</v>
      </c>
      <c r="B281" s="74"/>
      <c r="C281" s="74"/>
      <c r="D281" s="74"/>
      <c r="E281" s="2" t="s">
        <v>2250</v>
      </c>
      <c r="F281" s="62" t="s">
        <v>2251</v>
      </c>
      <c r="G281" s="12" t="s">
        <v>2252</v>
      </c>
      <c r="H281" s="11" t="s">
        <v>2253</v>
      </c>
      <c r="I281" s="11" t="s">
        <v>2254</v>
      </c>
      <c r="J281" s="11" t="s">
        <v>2242</v>
      </c>
      <c r="K281" s="11" t="s">
        <v>2255</v>
      </c>
      <c r="L281" s="11" t="s">
        <v>2256</v>
      </c>
      <c r="M281" s="11" t="s">
        <v>2257</v>
      </c>
      <c r="N281" s="11" t="s">
        <v>2258</v>
      </c>
      <c r="O281" s="11" t="s">
        <v>2259</v>
      </c>
      <c r="P281" s="11" t="s">
        <v>2260</v>
      </c>
      <c r="Q281" s="8"/>
    </row>
    <row r="282" spans="1:17" ht="409.6" x14ac:dyDescent="0.2">
      <c r="A282" s="8" t="s">
        <v>61</v>
      </c>
      <c r="B282" s="74"/>
      <c r="C282" s="74"/>
      <c r="D282" s="74"/>
      <c r="E282" s="2" t="s">
        <v>2261</v>
      </c>
      <c r="F282" s="62" t="s">
        <v>2262</v>
      </c>
      <c r="G282" s="12" t="s">
        <v>2263</v>
      </c>
      <c r="H282" s="11" t="s">
        <v>2264</v>
      </c>
      <c r="I282" s="11" t="s">
        <v>2265</v>
      </c>
      <c r="J282" s="11" t="s">
        <v>2266</v>
      </c>
      <c r="K282" s="11" t="s">
        <v>2267</v>
      </c>
      <c r="L282" s="11" t="s">
        <v>2268</v>
      </c>
      <c r="M282" s="11" t="s">
        <v>2269</v>
      </c>
      <c r="N282" s="11" t="s">
        <v>2270</v>
      </c>
      <c r="O282" s="11" t="s">
        <v>2271</v>
      </c>
      <c r="P282" s="11" t="s">
        <v>2061</v>
      </c>
      <c r="Q282" s="8"/>
    </row>
    <row r="283" spans="1:17" ht="409.6" x14ac:dyDescent="0.2">
      <c r="A283" s="8" t="s">
        <v>2272</v>
      </c>
      <c r="B283" s="74"/>
      <c r="C283" s="74"/>
      <c r="D283" s="74"/>
      <c r="E283" s="2" t="s">
        <v>2273</v>
      </c>
      <c r="F283" s="62" t="s">
        <v>2274</v>
      </c>
      <c r="G283" s="12" t="s">
        <v>2275</v>
      </c>
      <c r="H283" s="11" t="s">
        <v>2276</v>
      </c>
      <c r="I283" s="11" t="s">
        <v>2277</v>
      </c>
      <c r="J283" s="11" t="s">
        <v>2278</v>
      </c>
      <c r="K283" s="11" t="s">
        <v>2279</v>
      </c>
      <c r="L283" s="11" t="s">
        <v>2280</v>
      </c>
      <c r="M283" s="11" t="s">
        <v>2281</v>
      </c>
      <c r="N283" s="11" t="s">
        <v>2282</v>
      </c>
      <c r="O283" s="11" t="s">
        <v>2283</v>
      </c>
      <c r="P283" s="11" t="s">
        <v>2284</v>
      </c>
      <c r="Q283" s="8" t="s">
        <v>984</v>
      </c>
    </row>
    <row r="284" spans="1:17" ht="409.6" x14ac:dyDescent="0.2">
      <c r="A284" s="8" t="s">
        <v>2285</v>
      </c>
      <c r="B284" s="74"/>
      <c r="C284" s="74"/>
      <c r="D284" s="74"/>
      <c r="E284" s="2" t="s">
        <v>2286</v>
      </c>
      <c r="F284" s="62" t="s">
        <v>2287</v>
      </c>
      <c r="G284" s="12" t="s">
        <v>2288</v>
      </c>
      <c r="H284" s="11" t="s">
        <v>2289</v>
      </c>
      <c r="I284" s="11" t="s">
        <v>2290</v>
      </c>
      <c r="J284" s="11" t="s">
        <v>2291</v>
      </c>
      <c r="K284" s="11" t="s">
        <v>2181</v>
      </c>
      <c r="L284" s="11" t="s">
        <v>2292</v>
      </c>
      <c r="M284" s="11" t="s">
        <v>2293</v>
      </c>
      <c r="N284" s="11" t="s">
        <v>2294</v>
      </c>
      <c r="O284" s="11" t="s">
        <v>2295</v>
      </c>
      <c r="P284" s="11" t="s">
        <v>2104</v>
      </c>
      <c r="Q284" s="8"/>
    </row>
    <row r="285" spans="1:17" ht="409.6" x14ac:dyDescent="0.2">
      <c r="A285" s="8" t="s">
        <v>2296</v>
      </c>
      <c r="B285" s="74"/>
      <c r="C285" s="74"/>
      <c r="D285" s="74"/>
      <c r="E285" s="2" t="s">
        <v>2297</v>
      </c>
      <c r="F285" s="62" t="s">
        <v>2298</v>
      </c>
      <c r="G285" s="12" t="s">
        <v>2299</v>
      </c>
      <c r="H285" s="11" t="s">
        <v>2300</v>
      </c>
      <c r="I285" s="11" t="s">
        <v>2301</v>
      </c>
      <c r="J285" s="11" t="s">
        <v>2302</v>
      </c>
      <c r="K285" s="11" t="s">
        <v>2303</v>
      </c>
      <c r="L285" s="11" t="s">
        <v>2304</v>
      </c>
      <c r="M285" s="11" t="s">
        <v>2305</v>
      </c>
      <c r="N285" s="11" t="s">
        <v>2306</v>
      </c>
      <c r="O285" s="11" t="s">
        <v>2307</v>
      </c>
      <c r="P285" s="11" t="s">
        <v>2308</v>
      </c>
      <c r="Q285" s="8"/>
    </row>
    <row r="286" spans="1:17" ht="409.6" x14ac:dyDescent="0.2">
      <c r="A286" s="8" t="s">
        <v>2309</v>
      </c>
      <c r="B286" s="74"/>
      <c r="C286" s="74"/>
      <c r="D286" s="74"/>
      <c r="E286" s="2" t="s">
        <v>2310</v>
      </c>
      <c r="F286" s="62" t="s">
        <v>2311</v>
      </c>
      <c r="G286" s="12" t="s">
        <v>2312</v>
      </c>
      <c r="H286" s="11" t="s">
        <v>2313</v>
      </c>
      <c r="I286" s="11" t="s">
        <v>2314</v>
      </c>
      <c r="J286" s="11" t="s">
        <v>2315</v>
      </c>
      <c r="K286" s="11" t="s">
        <v>2316</v>
      </c>
      <c r="L286" s="11" t="s">
        <v>2317</v>
      </c>
      <c r="M286" s="11" t="s">
        <v>2318</v>
      </c>
      <c r="N286" s="11" t="s">
        <v>2319</v>
      </c>
      <c r="O286" s="11" t="s">
        <v>2320</v>
      </c>
      <c r="P286" s="11" t="s">
        <v>2104</v>
      </c>
      <c r="Q286" s="8" t="s">
        <v>984</v>
      </c>
    </row>
    <row r="287" spans="1:17" ht="409.6" x14ac:dyDescent="0.2">
      <c r="A287" s="8" t="s">
        <v>2321</v>
      </c>
      <c r="B287" s="74"/>
      <c r="C287" s="74"/>
      <c r="D287" s="74"/>
      <c r="E287" s="2" t="s">
        <v>2322</v>
      </c>
      <c r="F287" s="62" t="s">
        <v>2323</v>
      </c>
      <c r="G287" s="12" t="s">
        <v>2324</v>
      </c>
      <c r="H287" s="11" t="s">
        <v>2325</v>
      </c>
      <c r="I287" s="11" t="s">
        <v>2326</v>
      </c>
      <c r="J287" s="11" t="s">
        <v>2327</v>
      </c>
      <c r="K287" s="11" t="s">
        <v>2328</v>
      </c>
      <c r="L287" s="11" t="s">
        <v>2329</v>
      </c>
      <c r="M287" s="11" t="s">
        <v>2330</v>
      </c>
      <c r="N287" s="11" t="s">
        <v>2331</v>
      </c>
      <c r="O287" s="11" t="s">
        <v>2332</v>
      </c>
      <c r="P287" s="11" t="s">
        <v>2333</v>
      </c>
      <c r="Q287" s="8"/>
    </row>
    <row r="288" spans="1:17" ht="409.6" x14ac:dyDescent="0.2">
      <c r="A288" s="8" t="s">
        <v>1933</v>
      </c>
      <c r="B288" s="74"/>
      <c r="C288" s="74"/>
      <c r="D288" s="74"/>
      <c r="E288" s="2" t="s">
        <v>2334</v>
      </c>
      <c r="F288" s="62" t="s">
        <v>2335</v>
      </c>
      <c r="G288" s="12" t="s">
        <v>2336</v>
      </c>
      <c r="H288" s="11" t="s">
        <v>2337</v>
      </c>
      <c r="I288" s="11" t="s">
        <v>2338</v>
      </c>
      <c r="J288" s="11" t="s">
        <v>2339</v>
      </c>
      <c r="K288" s="11" t="s">
        <v>2316</v>
      </c>
      <c r="L288" s="11" t="s">
        <v>2340</v>
      </c>
      <c r="M288" s="11" t="s">
        <v>2341</v>
      </c>
      <c r="N288" s="11" t="s">
        <v>2342</v>
      </c>
      <c r="O288" s="11" t="s">
        <v>2343</v>
      </c>
      <c r="P288" s="11" t="s">
        <v>2104</v>
      </c>
      <c r="Q288" s="8"/>
    </row>
    <row r="289" spans="1:17" ht="409.6" x14ac:dyDescent="0.2">
      <c r="A289" s="8" t="s">
        <v>2344</v>
      </c>
      <c r="B289" s="74"/>
      <c r="C289" s="74"/>
      <c r="D289" s="74"/>
      <c r="E289" s="2" t="s">
        <v>2345</v>
      </c>
      <c r="F289" s="62" t="s">
        <v>2346</v>
      </c>
      <c r="G289" s="12" t="s">
        <v>2347</v>
      </c>
      <c r="H289" s="11" t="s">
        <v>2313</v>
      </c>
      <c r="I289" s="11" t="s">
        <v>2348</v>
      </c>
      <c r="J289" s="11" t="s">
        <v>2339</v>
      </c>
      <c r="K289" s="11" t="s">
        <v>2316</v>
      </c>
      <c r="L289" s="11" t="s">
        <v>2317</v>
      </c>
      <c r="M289" s="11" t="s">
        <v>2349</v>
      </c>
      <c r="N289" s="11" t="s">
        <v>2350</v>
      </c>
      <c r="O289" s="11" t="s">
        <v>2351</v>
      </c>
      <c r="P289" s="11" t="s">
        <v>2104</v>
      </c>
      <c r="Q289" s="8" t="s">
        <v>984</v>
      </c>
    </row>
    <row r="290" spans="1:17" ht="409.6" x14ac:dyDescent="0.2">
      <c r="A290" s="8" t="s">
        <v>2352</v>
      </c>
      <c r="B290" s="74"/>
      <c r="C290" s="74"/>
      <c r="D290" s="74"/>
      <c r="E290" s="2" t="s">
        <v>2353</v>
      </c>
      <c r="F290" s="62" t="s">
        <v>2354</v>
      </c>
      <c r="G290" s="12" t="s">
        <v>2355</v>
      </c>
      <c r="H290" s="11" t="s">
        <v>2356</v>
      </c>
      <c r="I290" s="11" t="s">
        <v>2357</v>
      </c>
      <c r="J290" s="11" t="s">
        <v>2358</v>
      </c>
      <c r="K290" s="11" t="s">
        <v>2359</v>
      </c>
      <c r="L290" s="11" t="s">
        <v>2360</v>
      </c>
      <c r="M290" s="11" t="s">
        <v>2361</v>
      </c>
      <c r="N290" s="11" t="s">
        <v>2362</v>
      </c>
      <c r="O290" s="11" t="s">
        <v>2363</v>
      </c>
      <c r="P290" s="11" t="s">
        <v>2364</v>
      </c>
      <c r="Q290" s="8" t="s">
        <v>984</v>
      </c>
    </row>
    <row r="291" spans="1:17" ht="409.6" x14ac:dyDescent="0.2">
      <c r="A291" s="8" t="s">
        <v>2365</v>
      </c>
      <c r="B291" s="74"/>
      <c r="C291" s="74"/>
      <c r="D291" s="74"/>
      <c r="E291" s="2" t="s">
        <v>2366</v>
      </c>
      <c r="F291" s="62" t="s">
        <v>2367</v>
      </c>
      <c r="G291" s="12" t="s">
        <v>2368</v>
      </c>
      <c r="H291" s="11" t="s">
        <v>2369</v>
      </c>
      <c r="I291" s="11" t="s">
        <v>2370</v>
      </c>
      <c r="J291" s="11" t="s">
        <v>2242</v>
      </c>
      <c r="K291" s="11" t="s">
        <v>2371</v>
      </c>
      <c r="L291" s="11" t="s">
        <v>2372</v>
      </c>
      <c r="M291" s="11" t="s">
        <v>2373</v>
      </c>
      <c r="N291" s="11" t="s">
        <v>2374</v>
      </c>
      <c r="O291" s="11" t="s">
        <v>2375</v>
      </c>
      <c r="P291" s="11" t="s">
        <v>2308</v>
      </c>
      <c r="Q291" s="8"/>
    </row>
    <row r="292" spans="1:17" ht="409.6" x14ac:dyDescent="0.2">
      <c r="A292" s="8" t="s">
        <v>2376</v>
      </c>
      <c r="B292" s="74"/>
      <c r="C292" s="74"/>
      <c r="D292" s="74"/>
      <c r="E292" s="2" t="s">
        <v>2377</v>
      </c>
      <c r="F292" s="62" t="s">
        <v>2378</v>
      </c>
      <c r="G292" s="12" t="s">
        <v>2379</v>
      </c>
      <c r="H292" s="11" t="s">
        <v>2380</v>
      </c>
      <c r="I292" s="11" t="s">
        <v>2381</v>
      </c>
      <c r="J292" s="11" t="s">
        <v>2382</v>
      </c>
      <c r="K292" s="11" t="s">
        <v>2383</v>
      </c>
      <c r="L292" s="11" t="s">
        <v>2384</v>
      </c>
      <c r="M292" s="11" t="s">
        <v>2385</v>
      </c>
      <c r="N292" s="11" t="s">
        <v>2386</v>
      </c>
      <c r="O292" s="11" t="s">
        <v>2387</v>
      </c>
      <c r="P292" s="11" t="s">
        <v>2388</v>
      </c>
      <c r="Q292" s="8"/>
    </row>
    <row r="293" spans="1:17" ht="409.6" x14ac:dyDescent="0.2">
      <c r="A293" s="8" t="s">
        <v>2389</v>
      </c>
      <c r="B293" s="74"/>
      <c r="C293" s="74"/>
      <c r="D293" s="74"/>
      <c r="E293" s="2" t="s">
        <v>2390</v>
      </c>
      <c r="F293" s="62" t="s">
        <v>2391</v>
      </c>
      <c r="G293" s="12" t="s">
        <v>2392</v>
      </c>
      <c r="H293" s="11" t="s">
        <v>2393</v>
      </c>
      <c r="I293" s="11" t="s">
        <v>2394</v>
      </c>
      <c r="J293" s="11" t="s">
        <v>2395</v>
      </c>
      <c r="K293" s="11" t="s">
        <v>2316</v>
      </c>
      <c r="L293" s="11" t="s">
        <v>2317</v>
      </c>
      <c r="M293" s="11" t="s">
        <v>2396</v>
      </c>
      <c r="N293" s="11" t="s">
        <v>2397</v>
      </c>
      <c r="O293" s="11" t="s">
        <v>2351</v>
      </c>
      <c r="P293" s="11" t="s">
        <v>2104</v>
      </c>
      <c r="Q293" s="8" t="s">
        <v>984</v>
      </c>
    </row>
    <row r="294" spans="1:17" ht="409.6" x14ac:dyDescent="0.2">
      <c r="A294" s="8" t="s">
        <v>2398</v>
      </c>
      <c r="B294" s="74"/>
      <c r="C294" s="74"/>
      <c r="D294" s="74"/>
      <c r="E294" s="2" t="s">
        <v>2399</v>
      </c>
      <c r="F294" s="62" t="s">
        <v>2400</v>
      </c>
      <c r="G294" s="12" t="s">
        <v>2401</v>
      </c>
      <c r="H294" s="11" t="s">
        <v>2402</v>
      </c>
      <c r="I294" s="11" t="s">
        <v>2403</v>
      </c>
      <c r="J294" s="11" t="s">
        <v>2404</v>
      </c>
      <c r="K294" s="11" t="s">
        <v>2405</v>
      </c>
      <c r="L294" s="11" t="s">
        <v>2406</v>
      </c>
      <c r="M294" s="11" t="s">
        <v>2407</v>
      </c>
      <c r="N294" s="11" t="s">
        <v>2408</v>
      </c>
      <c r="O294" s="11" t="s">
        <v>2409</v>
      </c>
      <c r="P294" s="11" t="s">
        <v>2308</v>
      </c>
      <c r="Q294" s="8" t="s">
        <v>984</v>
      </c>
    </row>
    <row r="295" spans="1:17" ht="409.6" x14ac:dyDescent="0.2">
      <c r="A295" s="8" t="s">
        <v>2410</v>
      </c>
      <c r="B295" s="74"/>
      <c r="C295" s="74"/>
      <c r="D295" s="74"/>
      <c r="E295" s="2" t="s">
        <v>2411</v>
      </c>
      <c r="F295" s="62" t="s">
        <v>2412</v>
      </c>
      <c r="G295" s="12" t="s">
        <v>2413</v>
      </c>
      <c r="H295" s="11" t="s">
        <v>2414</v>
      </c>
      <c r="I295" s="11" t="s">
        <v>2415</v>
      </c>
      <c r="J295" s="11" t="s">
        <v>2416</v>
      </c>
      <c r="K295" s="11" t="s">
        <v>2417</v>
      </c>
      <c r="L295" s="11" t="s">
        <v>2418</v>
      </c>
      <c r="M295" s="11" t="s">
        <v>2419</v>
      </c>
      <c r="N295" s="11" t="s">
        <v>2420</v>
      </c>
      <c r="O295" s="11" t="s">
        <v>2421</v>
      </c>
      <c r="P295" s="11" t="s">
        <v>2364</v>
      </c>
      <c r="Q295" s="8" t="s">
        <v>984</v>
      </c>
    </row>
    <row r="296" spans="1:17" ht="409.6" x14ac:dyDescent="0.2">
      <c r="A296" s="8" t="s">
        <v>2422</v>
      </c>
      <c r="B296" s="74"/>
      <c r="C296" s="74"/>
      <c r="D296" s="74"/>
      <c r="E296" s="2" t="s">
        <v>2423</v>
      </c>
      <c r="F296" s="62" t="s">
        <v>2424</v>
      </c>
      <c r="G296" s="12" t="s">
        <v>2425</v>
      </c>
      <c r="H296" s="11" t="s">
        <v>2426</v>
      </c>
      <c r="I296" s="11" t="s">
        <v>2427</v>
      </c>
      <c r="J296" s="11" t="s">
        <v>2428</v>
      </c>
      <c r="K296" s="11" t="s">
        <v>2429</v>
      </c>
      <c r="L296" s="11" t="s">
        <v>2430</v>
      </c>
      <c r="M296" s="11" t="s">
        <v>2431</v>
      </c>
      <c r="N296" s="11" t="s">
        <v>2432</v>
      </c>
      <c r="O296" s="11" t="s">
        <v>2433</v>
      </c>
      <c r="P296" s="11" t="s">
        <v>2434</v>
      </c>
      <c r="Q296" s="8"/>
    </row>
    <row r="297" spans="1:17" ht="409.6" x14ac:dyDescent="0.2">
      <c r="A297" s="8" t="s">
        <v>2435</v>
      </c>
      <c r="B297" s="74"/>
      <c r="C297" s="74"/>
      <c r="D297" s="74"/>
      <c r="E297" s="2" t="s">
        <v>2436</v>
      </c>
      <c r="F297" s="62" t="s">
        <v>2437</v>
      </c>
      <c r="G297" s="12" t="s">
        <v>2438</v>
      </c>
      <c r="H297" s="11" t="s">
        <v>2439</v>
      </c>
      <c r="I297" s="11" t="s">
        <v>2440</v>
      </c>
      <c r="J297" s="11" t="s">
        <v>2441</v>
      </c>
      <c r="K297" s="11" t="s">
        <v>2442</v>
      </c>
      <c r="L297" s="11" t="s">
        <v>2443</v>
      </c>
      <c r="M297" s="11" t="s">
        <v>2444</v>
      </c>
      <c r="N297" s="11" t="s">
        <v>2445</v>
      </c>
      <c r="O297" s="11" t="s">
        <v>2446</v>
      </c>
      <c r="P297" s="11" t="s">
        <v>2308</v>
      </c>
      <c r="Q297" s="8" t="s">
        <v>984</v>
      </c>
    </row>
    <row r="298" spans="1:17" ht="409.6" x14ac:dyDescent="0.2">
      <c r="A298" s="8" t="s">
        <v>2447</v>
      </c>
      <c r="B298" s="74"/>
      <c r="C298" s="74"/>
      <c r="D298" s="74"/>
      <c r="E298" s="2" t="s">
        <v>2448</v>
      </c>
      <c r="F298" s="62" t="s">
        <v>2449</v>
      </c>
      <c r="G298" s="12" t="s">
        <v>2450</v>
      </c>
      <c r="H298" s="11" t="s">
        <v>2451</v>
      </c>
      <c r="I298" s="11" t="s">
        <v>2452</v>
      </c>
      <c r="J298" s="11" t="s">
        <v>2453</v>
      </c>
      <c r="K298" s="11" t="s">
        <v>2454</v>
      </c>
      <c r="L298" s="11" t="s">
        <v>2455</v>
      </c>
      <c r="M298" s="11" t="s">
        <v>2456</v>
      </c>
      <c r="N298" s="11" t="s">
        <v>2457</v>
      </c>
      <c r="O298" s="11" t="s">
        <v>2458</v>
      </c>
      <c r="P298" s="11" t="s">
        <v>2459</v>
      </c>
      <c r="Q298" s="8"/>
    </row>
    <row r="299" spans="1:17" ht="409.6" x14ac:dyDescent="0.2">
      <c r="A299" s="8" t="s">
        <v>2460</v>
      </c>
      <c r="B299" s="74"/>
      <c r="C299" s="74"/>
      <c r="D299" s="74"/>
      <c r="E299" s="2" t="s">
        <v>2461</v>
      </c>
      <c r="F299" s="62" t="s">
        <v>2462</v>
      </c>
      <c r="G299" s="12" t="s">
        <v>2463</v>
      </c>
      <c r="H299" s="11" t="s">
        <v>2464</v>
      </c>
      <c r="I299" s="11" t="s">
        <v>2465</v>
      </c>
      <c r="J299" s="11" t="s">
        <v>2466</v>
      </c>
      <c r="K299" s="11" t="s">
        <v>2467</v>
      </c>
      <c r="L299" s="11" t="s">
        <v>2468</v>
      </c>
      <c r="M299" s="11" t="s">
        <v>2469</v>
      </c>
      <c r="N299" s="11" t="s">
        <v>2470</v>
      </c>
      <c r="O299" s="11" t="s">
        <v>2471</v>
      </c>
      <c r="P299" s="11" t="s">
        <v>2459</v>
      </c>
      <c r="Q299" s="8"/>
    </row>
    <row r="300" spans="1:17" ht="409.6" x14ac:dyDescent="0.2">
      <c r="A300" s="8" t="s">
        <v>2472</v>
      </c>
      <c r="B300" s="74"/>
      <c r="C300" s="74"/>
      <c r="D300" s="74"/>
      <c r="E300" s="2" t="s">
        <v>2473</v>
      </c>
      <c r="F300" s="62" t="s">
        <v>2474</v>
      </c>
      <c r="G300" s="15" t="s">
        <v>2475</v>
      </c>
      <c r="H300" s="11" t="s">
        <v>2476</v>
      </c>
      <c r="I300" s="11" t="s">
        <v>2477</v>
      </c>
      <c r="J300" s="11" t="s">
        <v>2478</v>
      </c>
      <c r="K300" s="11" t="s">
        <v>2479</v>
      </c>
      <c r="L300" s="11" t="s">
        <v>2480</v>
      </c>
      <c r="M300" s="11" t="s">
        <v>2481</v>
      </c>
      <c r="N300" s="11" t="s">
        <v>2482</v>
      </c>
      <c r="O300" s="11" t="s">
        <v>2483</v>
      </c>
      <c r="P300" s="11" t="s">
        <v>2484</v>
      </c>
      <c r="Q300" s="8"/>
    </row>
    <row r="301" spans="1:17" ht="409.6" x14ac:dyDescent="0.2">
      <c r="A301" s="8" t="s">
        <v>2485</v>
      </c>
      <c r="B301" s="74"/>
      <c r="C301" s="74"/>
      <c r="D301" s="74"/>
      <c r="E301" s="2" t="s">
        <v>2486</v>
      </c>
      <c r="F301" s="62" t="s">
        <v>2487</v>
      </c>
      <c r="G301" s="12" t="s">
        <v>2488</v>
      </c>
      <c r="H301" s="11" t="s">
        <v>2489</v>
      </c>
      <c r="I301" s="11" t="s">
        <v>2490</v>
      </c>
      <c r="J301" s="11" t="s">
        <v>2491</v>
      </c>
      <c r="K301" s="11" t="s">
        <v>2492</v>
      </c>
      <c r="L301" s="11" t="s">
        <v>2493</v>
      </c>
      <c r="M301" s="11" t="s">
        <v>2494</v>
      </c>
      <c r="N301" s="11" t="s">
        <v>2495</v>
      </c>
      <c r="O301" s="11" t="s">
        <v>2496</v>
      </c>
      <c r="P301" s="11" t="s">
        <v>2497</v>
      </c>
      <c r="Q301" s="8" t="s">
        <v>984</v>
      </c>
    </row>
    <row r="302" spans="1:17" ht="409.6" x14ac:dyDescent="0.2">
      <c r="A302" s="8" t="s">
        <v>2498</v>
      </c>
      <c r="B302" s="74"/>
      <c r="C302" s="74"/>
      <c r="D302" s="74"/>
      <c r="E302" s="2" t="s">
        <v>2499</v>
      </c>
      <c r="F302" s="62" t="s">
        <v>2500</v>
      </c>
      <c r="G302" s="12" t="s">
        <v>2501</v>
      </c>
      <c r="H302" s="11" t="s">
        <v>2502</v>
      </c>
      <c r="I302" s="11" t="s">
        <v>2452</v>
      </c>
      <c r="J302" s="11" t="s">
        <v>2503</v>
      </c>
      <c r="K302" s="11" t="s">
        <v>2454</v>
      </c>
      <c r="L302" s="11" t="s">
        <v>2455</v>
      </c>
      <c r="M302" s="11" t="s">
        <v>2504</v>
      </c>
      <c r="N302" s="11" t="s">
        <v>2505</v>
      </c>
      <c r="O302" s="11" t="s">
        <v>2506</v>
      </c>
      <c r="P302" s="11" t="s">
        <v>2459</v>
      </c>
      <c r="Q302" s="8" t="s">
        <v>984</v>
      </c>
    </row>
    <row r="303" spans="1:17" ht="409.6" x14ac:dyDescent="0.2">
      <c r="A303" s="8" t="s">
        <v>2507</v>
      </c>
      <c r="B303" s="74"/>
      <c r="C303" s="74"/>
      <c r="D303" s="74"/>
      <c r="E303" s="2" t="s">
        <v>2508</v>
      </c>
      <c r="F303" s="62" t="s">
        <v>2500</v>
      </c>
      <c r="G303" s="12" t="s">
        <v>2509</v>
      </c>
      <c r="H303" s="11" t="s">
        <v>2502</v>
      </c>
      <c r="I303" s="11" t="s">
        <v>2452</v>
      </c>
      <c r="J303" s="11" t="s">
        <v>2503</v>
      </c>
      <c r="K303" s="11" t="s">
        <v>2454</v>
      </c>
      <c r="L303" s="11" t="s">
        <v>2455</v>
      </c>
      <c r="M303" s="11" t="s">
        <v>2504</v>
      </c>
      <c r="N303" s="11" t="s">
        <v>2505</v>
      </c>
      <c r="O303" s="11" t="s">
        <v>2506</v>
      </c>
      <c r="P303" s="11" t="s">
        <v>2459</v>
      </c>
      <c r="Q303" s="8" t="s">
        <v>984</v>
      </c>
    </row>
    <row r="304" spans="1:17" ht="409.6" x14ac:dyDescent="0.2">
      <c r="A304" s="8" t="s">
        <v>2510</v>
      </c>
      <c r="B304" s="74"/>
      <c r="C304" s="74"/>
      <c r="D304" s="74"/>
      <c r="E304" s="2" t="s">
        <v>2511</v>
      </c>
      <c r="F304" s="62" t="s">
        <v>2512</v>
      </c>
      <c r="G304" s="12" t="s">
        <v>2488</v>
      </c>
      <c r="H304" s="11" t="s">
        <v>2513</v>
      </c>
      <c r="I304" s="11" t="s">
        <v>2514</v>
      </c>
      <c r="J304" s="11" t="s">
        <v>2515</v>
      </c>
      <c r="K304" s="11" t="s">
        <v>2516</v>
      </c>
      <c r="L304" s="11" t="s">
        <v>2517</v>
      </c>
      <c r="M304" s="11" t="s">
        <v>2518</v>
      </c>
      <c r="N304" s="11" t="s">
        <v>2519</v>
      </c>
      <c r="O304" s="11" t="s">
        <v>2520</v>
      </c>
      <c r="P304" s="11" t="s">
        <v>2484</v>
      </c>
      <c r="Q304" s="8" t="s">
        <v>984</v>
      </c>
    </row>
    <row r="305" spans="1:17" ht="409.6" x14ac:dyDescent="0.2">
      <c r="A305" s="8" t="s">
        <v>2521</v>
      </c>
      <c r="B305" s="74"/>
      <c r="C305" s="74"/>
      <c r="D305" s="74"/>
      <c r="E305" s="2" t="s">
        <v>2522</v>
      </c>
      <c r="F305" s="62" t="s">
        <v>2523</v>
      </c>
      <c r="G305" s="12" t="s">
        <v>2488</v>
      </c>
      <c r="H305" s="11" t="s">
        <v>2524</v>
      </c>
      <c r="I305" s="11" t="s">
        <v>2525</v>
      </c>
      <c r="J305" s="11" t="s">
        <v>2526</v>
      </c>
      <c r="K305" s="11" t="s">
        <v>2527</v>
      </c>
      <c r="L305" s="11" t="s">
        <v>2528</v>
      </c>
      <c r="M305" s="11" t="s">
        <v>2529</v>
      </c>
      <c r="N305" s="11" t="s">
        <v>2530</v>
      </c>
      <c r="O305" s="11" t="s">
        <v>2531</v>
      </c>
      <c r="P305" s="11" t="s">
        <v>2532</v>
      </c>
      <c r="Q305" s="8" t="s">
        <v>984</v>
      </c>
    </row>
    <row r="306" spans="1:17" ht="409.6" x14ac:dyDescent="0.2">
      <c r="A306" s="8" t="s">
        <v>2533</v>
      </c>
      <c r="B306" s="74"/>
      <c r="C306" s="74"/>
      <c r="D306" s="74"/>
      <c r="E306" s="2" t="s">
        <v>2534</v>
      </c>
      <c r="F306" s="62" t="s">
        <v>2535</v>
      </c>
      <c r="G306" s="12" t="s">
        <v>2536</v>
      </c>
      <c r="H306" s="11" t="s">
        <v>2537</v>
      </c>
      <c r="I306" s="11" t="s">
        <v>2538</v>
      </c>
      <c r="J306" s="11" t="s">
        <v>2539</v>
      </c>
      <c r="K306" s="11" t="s">
        <v>2540</v>
      </c>
      <c r="L306" s="11" t="s">
        <v>2541</v>
      </c>
      <c r="M306" s="11" t="s">
        <v>2542</v>
      </c>
      <c r="N306" s="11" t="s">
        <v>2543</v>
      </c>
      <c r="O306" s="11" t="s">
        <v>2544</v>
      </c>
      <c r="P306" s="11" t="s">
        <v>2484</v>
      </c>
      <c r="Q306" s="8"/>
    </row>
    <row r="307" spans="1:17" ht="409.6" x14ac:dyDescent="0.2">
      <c r="A307" s="8" t="s">
        <v>2545</v>
      </c>
      <c r="B307" s="74"/>
      <c r="C307" s="74"/>
      <c r="D307" s="74"/>
      <c r="E307" s="2" t="s">
        <v>2546</v>
      </c>
      <c r="F307" s="62" t="s">
        <v>2547</v>
      </c>
      <c r="G307" s="12" t="s">
        <v>2536</v>
      </c>
      <c r="H307" s="11" t="s">
        <v>2537</v>
      </c>
      <c r="I307" s="11" t="s">
        <v>2538</v>
      </c>
      <c r="J307" s="11" t="s">
        <v>2548</v>
      </c>
      <c r="K307" s="11" t="s">
        <v>2549</v>
      </c>
      <c r="L307" s="11" t="s">
        <v>2550</v>
      </c>
      <c r="M307" s="11" t="s">
        <v>2551</v>
      </c>
      <c r="N307" s="11" t="s">
        <v>2552</v>
      </c>
      <c r="O307" s="11" t="s">
        <v>2544</v>
      </c>
      <c r="P307" s="11" t="s">
        <v>2484</v>
      </c>
      <c r="Q307" s="8"/>
    </row>
    <row r="308" spans="1:17" ht="409.6" x14ac:dyDescent="0.2">
      <c r="A308" s="8" t="s">
        <v>2553</v>
      </c>
      <c r="B308" s="74"/>
      <c r="C308" s="74"/>
      <c r="D308" s="74"/>
      <c r="E308" s="2" t="s">
        <v>2554</v>
      </c>
      <c r="F308" s="62" t="s">
        <v>2555</v>
      </c>
      <c r="G308" s="12" t="s">
        <v>2488</v>
      </c>
      <c r="H308" s="11" t="s">
        <v>2556</v>
      </c>
      <c r="I308" s="11" t="s">
        <v>2557</v>
      </c>
      <c r="J308" s="11" t="s">
        <v>2558</v>
      </c>
      <c r="K308" s="11" t="s">
        <v>2559</v>
      </c>
      <c r="L308" s="11" t="s">
        <v>2560</v>
      </c>
      <c r="M308" s="11" t="s">
        <v>2561</v>
      </c>
      <c r="N308" s="11" t="s">
        <v>2495</v>
      </c>
      <c r="O308" s="11" t="s">
        <v>2562</v>
      </c>
      <c r="P308" s="11" t="s">
        <v>2563</v>
      </c>
      <c r="Q308" s="8" t="s">
        <v>984</v>
      </c>
    </row>
    <row r="309" spans="1:17" ht="409.6" x14ac:dyDescent="0.2">
      <c r="A309" s="8" t="s">
        <v>2564</v>
      </c>
      <c r="B309" s="74"/>
      <c r="C309" s="74"/>
      <c r="D309" s="74"/>
      <c r="E309" s="2" t="s">
        <v>2565</v>
      </c>
      <c r="F309" s="62" t="s">
        <v>2566</v>
      </c>
      <c r="G309" s="12" t="s">
        <v>2567</v>
      </c>
      <c r="H309" s="11" t="s">
        <v>2568</v>
      </c>
      <c r="I309" s="11" t="s">
        <v>2569</v>
      </c>
      <c r="J309" s="11" t="s">
        <v>2570</v>
      </c>
      <c r="K309" s="11" t="s">
        <v>2571</v>
      </c>
      <c r="L309" s="11" t="s">
        <v>2572</v>
      </c>
      <c r="M309" s="11" t="s">
        <v>2573</v>
      </c>
      <c r="N309" s="11" t="s">
        <v>2574</v>
      </c>
      <c r="O309" s="11" t="s">
        <v>2575</v>
      </c>
      <c r="P309" s="11" t="s">
        <v>2532</v>
      </c>
      <c r="Q309" s="8"/>
    </row>
    <row r="310" spans="1:17" ht="409.6" x14ac:dyDescent="0.2">
      <c r="A310" s="8" t="s">
        <v>2576</v>
      </c>
      <c r="B310" s="74"/>
      <c r="C310" s="74"/>
      <c r="D310" s="74"/>
      <c r="E310" s="2" t="s">
        <v>2577</v>
      </c>
      <c r="F310" s="62" t="s">
        <v>2578</v>
      </c>
      <c r="G310" s="12" t="s">
        <v>2579</v>
      </c>
      <c r="H310" s="11" t="s">
        <v>2537</v>
      </c>
      <c r="I310" s="11" t="s">
        <v>2580</v>
      </c>
      <c r="J310" s="11" t="s">
        <v>2581</v>
      </c>
      <c r="K310" s="11" t="s">
        <v>2582</v>
      </c>
      <c r="L310" s="11" t="s">
        <v>2583</v>
      </c>
      <c r="M310" s="11" t="s">
        <v>2584</v>
      </c>
      <c r="N310" s="11" t="s">
        <v>2585</v>
      </c>
      <c r="O310" s="11" t="s">
        <v>2586</v>
      </c>
      <c r="P310" s="11" t="s">
        <v>2532</v>
      </c>
      <c r="Q310" s="8"/>
    </row>
    <row r="311" spans="1:17" ht="409.6" x14ac:dyDescent="0.2">
      <c r="A311" s="8" t="s">
        <v>2587</v>
      </c>
      <c r="B311" s="74"/>
      <c r="C311" s="74"/>
      <c r="D311" s="74"/>
      <c r="E311" s="2" t="s">
        <v>2588</v>
      </c>
      <c r="F311" s="62" t="s">
        <v>2589</v>
      </c>
      <c r="G311" s="12" t="s">
        <v>2590</v>
      </c>
      <c r="H311" s="11" t="s">
        <v>2591</v>
      </c>
      <c r="I311" s="11" t="s">
        <v>2592</v>
      </c>
      <c r="J311" s="11" t="s">
        <v>2593</v>
      </c>
      <c r="K311" s="11" t="s">
        <v>2594</v>
      </c>
      <c r="L311" s="11" t="s">
        <v>2595</v>
      </c>
      <c r="M311" s="11" t="s">
        <v>2596</v>
      </c>
      <c r="N311" s="11" t="s">
        <v>2597</v>
      </c>
      <c r="O311" s="11" t="s">
        <v>2598</v>
      </c>
      <c r="P311" s="11" t="s">
        <v>2532</v>
      </c>
      <c r="Q311" s="8"/>
    </row>
    <row r="312" spans="1:17" ht="409.6" x14ac:dyDescent="0.2">
      <c r="A312" s="8" t="s">
        <v>2599</v>
      </c>
      <c r="B312" s="74"/>
      <c r="C312" s="74"/>
      <c r="D312" s="74"/>
      <c r="E312" s="2" t="s">
        <v>2600</v>
      </c>
      <c r="F312" s="62" t="s">
        <v>2601</v>
      </c>
      <c r="G312" s="12" t="s">
        <v>2602</v>
      </c>
      <c r="H312" s="11" t="s">
        <v>2603</v>
      </c>
      <c r="I312" s="11" t="s">
        <v>2604</v>
      </c>
      <c r="J312" s="11" t="s">
        <v>2605</v>
      </c>
      <c r="K312" s="11" t="s">
        <v>2606</v>
      </c>
      <c r="L312" s="11" t="s">
        <v>2607</v>
      </c>
      <c r="M312" s="11" t="s">
        <v>2608</v>
      </c>
      <c r="N312" s="11" t="s">
        <v>2609</v>
      </c>
      <c r="O312" s="11" t="s">
        <v>2610</v>
      </c>
      <c r="P312" s="11" t="s">
        <v>2611</v>
      </c>
      <c r="Q312" s="8" t="s">
        <v>984</v>
      </c>
    </row>
    <row r="313" spans="1:17" ht="409.6" x14ac:dyDescent="0.2">
      <c r="A313" s="8" t="s">
        <v>2612</v>
      </c>
      <c r="B313" s="74"/>
      <c r="C313" s="74"/>
      <c r="D313" s="74"/>
      <c r="E313" s="2" t="s">
        <v>2613</v>
      </c>
      <c r="F313" s="62" t="s">
        <v>2614</v>
      </c>
      <c r="G313" s="12" t="s">
        <v>2488</v>
      </c>
      <c r="H313" s="11" t="s">
        <v>2615</v>
      </c>
      <c r="I313" s="11" t="s">
        <v>2616</v>
      </c>
      <c r="J313" s="11" t="s">
        <v>2617</v>
      </c>
      <c r="K313" s="11" t="s">
        <v>2618</v>
      </c>
      <c r="L313" s="11" t="s">
        <v>2619</v>
      </c>
      <c r="M313" s="11" t="s">
        <v>2620</v>
      </c>
      <c r="N313" s="11" t="s">
        <v>2621</v>
      </c>
      <c r="O313" s="11" t="s">
        <v>2622</v>
      </c>
      <c r="P313" s="11" t="s">
        <v>2532</v>
      </c>
      <c r="Q313" s="8" t="s">
        <v>984</v>
      </c>
    </row>
    <row r="314" spans="1:17" ht="409.6" x14ac:dyDescent="0.2">
      <c r="A314" s="8" t="s">
        <v>2088</v>
      </c>
      <c r="B314" s="74"/>
      <c r="C314" s="74"/>
      <c r="D314" s="74"/>
      <c r="E314" s="2" t="s">
        <v>2623</v>
      </c>
      <c r="F314" s="62" t="s">
        <v>2624</v>
      </c>
      <c r="G314" s="12" t="s">
        <v>2625</v>
      </c>
      <c r="H314" s="11" t="s">
        <v>2626</v>
      </c>
      <c r="I314" s="11" t="s">
        <v>2627</v>
      </c>
      <c r="J314" s="11" t="s">
        <v>2617</v>
      </c>
      <c r="K314" s="11" t="s">
        <v>2628</v>
      </c>
      <c r="L314" s="11" t="s">
        <v>2629</v>
      </c>
      <c r="M314" s="11" t="s">
        <v>2630</v>
      </c>
      <c r="N314" s="11" t="s">
        <v>2631</v>
      </c>
      <c r="O314" s="11" t="s">
        <v>2632</v>
      </c>
      <c r="P314" s="11" t="s">
        <v>2629</v>
      </c>
      <c r="Q314" s="8" t="s">
        <v>984</v>
      </c>
    </row>
    <row r="315" spans="1:17" ht="409.6" x14ac:dyDescent="0.2">
      <c r="A315" s="8" t="s">
        <v>2633</v>
      </c>
      <c r="B315" s="74"/>
      <c r="C315" s="74"/>
      <c r="D315" s="74"/>
      <c r="E315" s="2" t="s">
        <v>2634</v>
      </c>
      <c r="F315" s="62" t="s">
        <v>2635</v>
      </c>
      <c r="G315" s="12" t="s">
        <v>2636</v>
      </c>
      <c r="H315" s="11" t="s">
        <v>2637</v>
      </c>
      <c r="I315" s="11" t="s">
        <v>2638</v>
      </c>
      <c r="J315" s="11" t="s">
        <v>2639</v>
      </c>
      <c r="K315" s="11" t="s">
        <v>2618</v>
      </c>
      <c r="L315" s="11" t="s">
        <v>2640</v>
      </c>
      <c r="M315" s="11" t="s">
        <v>2641</v>
      </c>
      <c r="N315" s="11" t="s">
        <v>2642</v>
      </c>
      <c r="O315" s="11" t="s">
        <v>2643</v>
      </c>
      <c r="P315" s="11" t="s">
        <v>2644</v>
      </c>
      <c r="Q315" s="8" t="s">
        <v>984</v>
      </c>
    </row>
    <row r="316" spans="1:17" ht="409.6" x14ac:dyDescent="0.2">
      <c r="A316" s="8" t="s">
        <v>2101</v>
      </c>
      <c r="B316" s="74"/>
      <c r="C316" s="74"/>
      <c r="D316" s="74"/>
      <c r="E316" s="2" t="s">
        <v>2645</v>
      </c>
      <c r="F316" s="62" t="s">
        <v>2646</v>
      </c>
      <c r="G316" s="12" t="s">
        <v>2625</v>
      </c>
      <c r="H316" s="11" t="s">
        <v>2647</v>
      </c>
      <c r="I316" s="11" t="s">
        <v>2648</v>
      </c>
      <c r="J316" s="11" t="s">
        <v>2649</v>
      </c>
      <c r="K316" s="11" t="s">
        <v>2650</v>
      </c>
      <c r="L316" s="11" t="s">
        <v>2651</v>
      </c>
      <c r="M316" s="11" t="s">
        <v>2652</v>
      </c>
      <c r="N316" s="11" t="s">
        <v>2653</v>
      </c>
      <c r="O316" s="11" t="s">
        <v>2654</v>
      </c>
      <c r="P316" s="11" t="s">
        <v>2655</v>
      </c>
      <c r="Q316" s="8" t="s">
        <v>984</v>
      </c>
    </row>
    <row r="317" spans="1:17" ht="409.6" x14ac:dyDescent="0.2">
      <c r="A317" s="8" t="s">
        <v>2656</v>
      </c>
      <c r="B317" s="74"/>
      <c r="C317" s="74"/>
      <c r="D317" s="74"/>
      <c r="E317" s="2" t="s">
        <v>2657</v>
      </c>
      <c r="F317" s="62" t="s">
        <v>2658</v>
      </c>
      <c r="G317" s="12" t="s">
        <v>2659</v>
      </c>
      <c r="H317" s="11" t="s">
        <v>2660</v>
      </c>
      <c r="I317" s="11" t="s">
        <v>2661</v>
      </c>
      <c r="J317" s="11" t="s">
        <v>2662</v>
      </c>
      <c r="K317" s="11" t="s">
        <v>2663</v>
      </c>
      <c r="L317" s="11" t="s">
        <v>2664</v>
      </c>
      <c r="M317" s="11" t="s">
        <v>2665</v>
      </c>
      <c r="N317" s="11" t="s">
        <v>2666</v>
      </c>
      <c r="O317" s="11" t="s">
        <v>2667</v>
      </c>
      <c r="P317" s="11" t="s">
        <v>2668</v>
      </c>
      <c r="Q317" s="8"/>
    </row>
    <row r="318" spans="1:17" ht="409.6" x14ac:dyDescent="0.2">
      <c r="A318" s="8" t="s">
        <v>2669</v>
      </c>
      <c r="B318" s="74"/>
      <c r="C318" s="74"/>
      <c r="D318" s="74"/>
      <c r="E318" s="2" t="s">
        <v>2670</v>
      </c>
      <c r="F318" s="62" t="s">
        <v>2671</v>
      </c>
      <c r="G318" s="12" t="s">
        <v>2672</v>
      </c>
      <c r="H318" s="11" t="s">
        <v>2673</v>
      </c>
      <c r="I318" s="11" t="s">
        <v>2674</v>
      </c>
      <c r="J318" s="11" t="s">
        <v>2675</v>
      </c>
      <c r="K318" s="11" t="s">
        <v>2676</v>
      </c>
      <c r="L318" s="11" t="s">
        <v>2677</v>
      </c>
      <c r="M318" s="11" t="s">
        <v>2678</v>
      </c>
      <c r="N318" s="11" t="s">
        <v>2679</v>
      </c>
      <c r="O318" s="11" t="s">
        <v>2680</v>
      </c>
      <c r="P318" s="11" t="s">
        <v>2681</v>
      </c>
      <c r="Q318" s="8"/>
    </row>
    <row r="319" spans="1:17" ht="409.6" x14ac:dyDescent="0.2">
      <c r="A319" s="8" t="s">
        <v>2682</v>
      </c>
      <c r="B319" s="74"/>
      <c r="C319" s="74"/>
      <c r="D319" s="74"/>
      <c r="E319" s="2" t="s">
        <v>2683</v>
      </c>
      <c r="F319" s="62" t="s">
        <v>2684</v>
      </c>
      <c r="G319" s="12" t="s">
        <v>2685</v>
      </c>
      <c r="H319" s="11" t="s">
        <v>2686</v>
      </c>
      <c r="I319" s="11" t="s">
        <v>2687</v>
      </c>
      <c r="J319" s="11" t="s">
        <v>2688</v>
      </c>
      <c r="K319" s="11" t="s">
        <v>2650</v>
      </c>
      <c r="L319" s="11" t="s">
        <v>2689</v>
      </c>
      <c r="M319" s="11" t="s">
        <v>2690</v>
      </c>
      <c r="N319" s="11" t="s">
        <v>2691</v>
      </c>
      <c r="O319" s="11" t="s">
        <v>2692</v>
      </c>
      <c r="P319" s="11" t="s">
        <v>2693</v>
      </c>
      <c r="Q319" s="8" t="s">
        <v>984</v>
      </c>
    </row>
    <row r="320" spans="1:17" ht="409.6" x14ac:dyDescent="0.2">
      <c r="A320" s="8" t="s">
        <v>2694</v>
      </c>
      <c r="B320" s="74"/>
      <c r="C320" s="74"/>
      <c r="D320" s="74"/>
      <c r="E320" s="2" t="s">
        <v>2683</v>
      </c>
      <c r="F320" s="62" t="s">
        <v>2695</v>
      </c>
      <c r="G320" s="12" t="s">
        <v>2685</v>
      </c>
      <c r="H320" s="11" t="s">
        <v>2686</v>
      </c>
      <c r="I320" s="11" t="s">
        <v>2687</v>
      </c>
      <c r="J320" s="11" t="s">
        <v>2688</v>
      </c>
      <c r="K320" s="11" t="s">
        <v>2650</v>
      </c>
      <c r="L320" s="11" t="s">
        <v>2689</v>
      </c>
      <c r="M320" s="11" t="s">
        <v>2696</v>
      </c>
      <c r="N320" s="11" t="s">
        <v>2691</v>
      </c>
      <c r="O320" s="11" t="s">
        <v>2697</v>
      </c>
      <c r="P320" s="11" t="s">
        <v>2693</v>
      </c>
      <c r="Q320" s="8" t="s">
        <v>984</v>
      </c>
    </row>
    <row r="321" spans="1:17" ht="409.6" x14ac:dyDescent="0.2">
      <c r="A321" s="8" t="s">
        <v>2698</v>
      </c>
      <c r="B321" s="74"/>
      <c r="C321" s="74"/>
      <c r="D321" s="74"/>
      <c r="E321" s="2" t="s">
        <v>2699</v>
      </c>
      <c r="F321" s="62" t="s">
        <v>2700</v>
      </c>
      <c r="G321" s="12" t="s">
        <v>2701</v>
      </c>
      <c r="H321" s="11" t="s">
        <v>2702</v>
      </c>
      <c r="I321" s="11" t="s">
        <v>2703</v>
      </c>
      <c r="J321" s="11" t="s">
        <v>2704</v>
      </c>
      <c r="K321" s="11" t="s">
        <v>2705</v>
      </c>
      <c r="L321" s="11" t="s">
        <v>2706</v>
      </c>
      <c r="M321" s="11" t="s">
        <v>2707</v>
      </c>
      <c r="N321" s="11" t="s">
        <v>2708</v>
      </c>
      <c r="O321" s="11" t="s">
        <v>2709</v>
      </c>
      <c r="P321" s="11" t="s">
        <v>2710</v>
      </c>
      <c r="Q321" s="8"/>
    </row>
    <row r="322" spans="1:17" ht="409.6" x14ac:dyDescent="0.2">
      <c r="A322" s="8" t="s">
        <v>2711</v>
      </c>
      <c r="B322" s="74"/>
      <c r="C322" s="74"/>
      <c r="D322" s="74"/>
      <c r="E322" s="2" t="s">
        <v>2712</v>
      </c>
      <c r="F322" s="62" t="s">
        <v>2713</v>
      </c>
      <c r="G322" s="12" t="s">
        <v>2714</v>
      </c>
      <c r="H322" s="11" t="s">
        <v>2715</v>
      </c>
      <c r="I322" s="11" t="s">
        <v>2716</v>
      </c>
      <c r="J322" s="11" t="s">
        <v>2717</v>
      </c>
      <c r="K322" s="11" t="s">
        <v>2718</v>
      </c>
      <c r="L322" s="11" t="s">
        <v>2719</v>
      </c>
      <c r="M322" s="11" t="s">
        <v>2720</v>
      </c>
      <c r="N322" s="11" t="s">
        <v>2721</v>
      </c>
      <c r="O322" s="11" t="s">
        <v>2722</v>
      </c>
      <c r="P322" s="11" t="s">
        <v>2723</v>
      </c>
      <c r="Q322" s="8"/>
    </row>
    <row r="323" spans="1:17" ht="409.6" x14ac:dyDescent="0.2">
      <c r="A323" s="8" t="s">
        <v>2724</v>
      </c>
      <c r="B323" s="74"/>
      <c r="C323" s="74"/>
      <c r="D323" s="74"/>
      <c r="E323" s="2" t="s">
        <v>2725</v>
      </c>
      <c r="F323" s="62" t="s">
        <v>2726</v>
      </c>
      <c r="G323" s="15" t="s">
        <v>2727</v>
      </c>
      <c r="H323" s="11" t="s">
        <v>2728</v>
      </c>
      <c r="I323" s="11" t="s">
        <v>2729</v>
      </c>
      <c r="J323" s="11" t="s">
        <v>2730</v>
      </c>
      <c r="K323" s="11" t="s">
        <v>2731</v>
      </c>
      <c r="L323" s="11" t="s">
        <v>2732</v>
      </c>
      <c r="M323" s="11" t="s">
        <v>2733</v>
      </c>
      <c r="N323" s="11" t="s">
        <v>2734</v>
      </c>
      <c r="O323" s="11" t="s">
        <v>2735</v>
      </c>
      <c r="P323" s="11" t="s">
        <v>2736</v>
      </c>
      <c r="Q323" s="8"/>
    </row>
    <row r="324" spans="1:17" ht="409.6" x14ac:dyDescent="0.2">
      <c r="A324" s="8" t="s">
        <v>2737</v>
      </c>
      <c r="B324" s="74"/>
      <c r="C324" s="74"/>
      <c r="D324" s="74"/>
      <c r="E324" s="2" t="s">
        <v>2738</v>
      </c>
      <c r="F324" s="62" t="s">
        <v>2739</v>
      </c>
      <c r="G324" s="12" t="s">
        <v>2625</v>
      </c>
      <c r="H324" s="11" t="s">
        <v>2740</v>
      </c>
      <c r="I324" s="11" t="s">
        <v>2741</v>
      </c>
      <c r="J324" s="11" t="s">
        <v>2742</v>
      </c>
      <c r="K324" s="11" t="s">
        <v>2743</v>
      </c>
      <c r="L324" s="11" t="s">
        <v>2744</v>
      </c>
      <c r="M324" s="11" t="s">
        <v>2745</v>
      </c>
      <c r="N324" s="11" t="s">
        <v>2746</v>
      </c>
      <c r="O324" s="11" t="s">
        <v>2747</v>
      </c>
      <c r="P324" s="11" t="s">
        <v>2748</v>
      </c>
      <c r="Q324" s="8" t="s">
        <v>984</v>
      </c>
    </row>
    <row r="325" spans="1:17" ht="409.6" x14ac:dyDescent="0.2">
      <c r="A325" s="8" t="s">
        <v>2749</v>
      </c>
      <c r="B325" s="74"/>
      <c r="C325" s="74"/>
      <c r="D325" s="74"/>
      <c r="E325" s="2" t="s">
        <v>2750</v>
      </c>
      <c r="F325" s="62" t="s">
        <v>2751</v>
      </c>
      <c r="G325" s="12" t="s">
        <v>2625</v>
      </c>
      <c r="H325" s="11" t="s">
        <v>2752</v>
      </c>
      <c r="I325" s="11" t="s">
        <v>2753</v>
      </c>
      <c r="J325" s="11" t="s">
        <v>2754</v>
      </c>
      <c r="K325" s="11" t="s">
        <v>2755</v>
      </c>
      <c r="L325" s="11" t="s">
        <v>2756</v>
      </c>
      <c r="M325" s="11" t="s">
        <v>2757</v>
      </c>
      <c r="N325" s="11" t="s">
        <v>2758</v>
      </c>
      <c r="O325" s="11" t="s">
        <v>2759</v>
      </c>
      <c r="P325" s="11" t="s">
        <v>2760</v>
      </c>
      <c r="Q325" s="8" t="s">
        <v>984</v>
      </c>
    </row>
    <row r="326" spans="1:17" ht="409.6" x14ac:dyDescent="0.2">
      <c r="A326" s="8" t="s">
        <v>2761</v>
      </c>
      <c r="B326" s="74"/>
      <c r="C326" s="74"/>
      <c r="D326" s="74"/>
      <c r="E326" s="2" t="s">
        <v>2762</v>
      </c>
      <c r="F326" s="62" t="s">
        <v>2763</v>
      </c>
      <c r="G326" s="12" t="s">
        <v>2764</v>
      </c>
      <c r="H326" s="11" t="s">
        <v>2765</v>
      </c>
      <c r="I326" s="11" t="s">
        <v>2766</v>
      </c>
      <c r="J326" s="11" t="s">
        <v>2767</v>
      </c>
      <c r="K326" s="11" t="s">
        <v>2768</v>
      </c>
      <c r="L326" s="11" t="s">
        <v>2769</v>
      </c>
      <c r="M326" s="11" t="s">
        <v>2770</v>
      </c>
      <c r="N326" s="11" t="s">
        <v>2771</v>
      </c>
      <c r="O326" s="11" t="s">
        <v>2772</v>
      </c>
      <c r="P326" s="11" t="s">
        <v>2773</v>
      </c>
      <c r="Q326" s="8"/>
    </row>
    <row r="327" spans="1:17" ht="409.6" x14ac:dyDescent="0.2">
      <c r="A327" s="8" t="s">
        <v>2774</v>
      </c>
      <c r="B327" s="74"/>
      <c r="C327" s="74"/>
      <c r="D327" s="74"/>
      <c r="E327" s="2" t="s">
        <v>2762</v>
      </c>
      <c r="F327" s="62" t="s">
        <v>2775</v>
      </c>
      <c r="G327" s="12" t="s">
        <v>2776</v>
      </c>
      <c r="H327" s="11" t="s">
        <v>2777</v>
      </c>
      <c r="I327" s="11" t="s">
        <v>2753</v>
      </c>
      <c r="J327" s="11" t="s">
        <v>2754</v>
      </c>
      <c r="K327" s="11" t="s">
        <v>2778</v>
      </c>
      <c r="L327" s="11" t="s">
        <v>2779</v>
      </c>
      <c r="M327" s="11" t="s">
        <v>2780</v>
      </c>
      <c r="N327" s="11" t="s">
        <v>2781</v>
      </c>
      <c r="O327" s="11" t="s">
        <v>2782</v>
      </c>
      <c r="P327" s="11" t="s">
        <v>2783</v>
      </c>
      <c r="Q327" s="8"/>
    </row>
    <row r="328" spans="1:17" ht="409.6" x14ac:dyDescent="0.2">
      <c r="A328" s="8" t="s">
        <v>2784</v>
      </c>
      <c r="B328" s="74"/>
      <c r="C328" s="74"/>
      <c r="D328" s="74"/>
      <c r="E328" s="2" t="s">
        <v>2785</v>
      </c>
      <c r="F328" s="62" t="s">
        <v>2786</v>
      </c>
      <c r="G328" s="12" t="s">
        <v>2787</v>
      </c>
      <c r="H328" s="11" t="s">
        <v>2788</v>
      </c>
      <c r="I328" s="11" t="s">
        <v>2789</v>
      </c>
      <c r="J328" s="11" t="s">
        <v>2790</v>
      </c>
      <c r="K328" s="11" t="s">
        <v>2791</v>
      </c>
      <c r="L328" s="11" t="s">
        <v>2689</v>
      </c>
      <c r="M328" s="11" t="s">
        <v>2792</v>
      </c>
      <c r="N328" s="11" t="s">
        <v>2793</v>
      </c>
      <c r="O328" s="11" t="s">
        <v>2794</v>
      </c>
      <c r="P328" s="11" t="s">
        <v>2795</v>
      </c>
      <c r="Q328" s="8" t="s">
        <v>984</v>
      </c>
    </row>
    <row r="329" spans="1:17" ht="409.6" x14ac:dyDescent="0.2">
      <c r="A329" s="8" t="s">
        <v>2796</v>
      </c>
      <c r="B329" s="74"/>
      <c r="C329" s="74"/>
      <c r="D329" s="74"/>
      <c r="E329" s="2" t="s">
        <v>2785</v>
      </c>
      <c r="F329" s="62" t="s">
        <v>2797</v>
      </c>
      <c r="G329" s="12" t="s">
        <v>2798</v>
      </c>
      <c r="H329" s="11" t="s">
        <v>2799</v>
      </c>
      <c r="I329" s="11" t="s">
        <v>2800</v>
      </c>
      <c r="J329" s="11" t="s">
        <v>2688</v>
      </c>
      <c r="K329" s="11" t="s">
        <v>2650</v>
      </c>
      <c r="L329" s="11" t="s">
        <v>2689</v>
      </c>
      <c r="M329" s="11" t="s">
        <v>2801</v>
      </c>
      <c r="N329" s="11" t="s">
        <v>2802</v>
      </c>
      <c r="O329" s="11" t="s">
        <v>2803</v>
      </c>
      <c r="P329" s="11" t="s">
        <v>2795</v>
      </c>
      <c r="Q329" s="8" t="s">
        <v>984</v>
      </c>
    </row>
    <row r="330" spans="1:17" ht="409.6" x14ac:dyDescent="0.2">
      <c r="A330" s="8" t="s">
        <v>2804</v>
      </c>
      <c r="B330" s="74"/>
      <c r="C330" s="74"/>
      <c r="D330" s="74"/>
      <c r="E330" s="2" t="s">
        <v>2785</v>
      </c>
      <c r="F330" s="62" t="s">
        <v>2805</v>
      </c>
      <c r="G330" s="12" t="s">
        <v>2806</v>
      </c>
      <c r="H330" s="11" t="s">
        <v>2807</v>
      </c>
      <c r="I330" s="11" t="s">
        <v>2808</v>
      </c>
      <c r="J330" s="11" t="s">
        <v>2688</v>
      </c>
      <c r="K330" s="11" t="s">
        <v>2650</v>
      </c>
      <c r="L330" s="11" t="s">
        <v>2689</v>
      </c>
      <c r="M330" s="11" t="s">
        <v>2809</v>
      </c>
      <c r="N330" s="11" t="s">
        <v>2810</v>
      </c>
      <c r="O330" s="11" t="s">
        <v>2794</v>
      </c>
      <c r="P330" s="11" t="s">
        <v>2795</v>
      </c>
      <c r="Q330" s="8" t="s">
        <v>984</v>
      </c>
    </row>
    <row r="331" spans="1:17" ht="409.6" x14ac:dyDescent="0.2">
      <c r="A331" s="8" t="s">
        <v>2811</v>
      </c>
      <c r="B331" s="74"/>
      <c r="C331" s="74"/>
      <c r="D331" s="74"/>
      <c r="E331" s="2" t="s">
        <v>2812</v>
      </c>
      <c r="F331" s="62" t="s">
        <v>2813</v>
      </c>
      <c r="G331" s="12" t="s">
        <v>2814</v>
      </c>
      <c r="H331" s="11" t="s">
        <v>2815</v>
      </c>
      <c r="I331" s="11" t="s">
        <v>2816</v>
      </c>
      <c r="J331" s="11" t="s">
        <v>2817</v>
      </c>
      <c r="K331" s="11" t="s">
        <v>2818</v>
      </c>
      <c r="L331" s="11" t="s">
        <v>2819</v>
      </c>
      <c r="M331" s="11" t="s">
        <v>2820</v>
      </c>
      <c r="N331" s="11" t="s">
        <v>2821</v>
      </c>
      <c r="O331" s="11" t="s">
        <v>2822</v>
      </c>
      <c r="P331" s="11" t="s">
        <v>2823</v>
      </c>
      <c r="Q331" s="8"/>
    </row>
    <row r="332" spans="1:17" ht="409.6" x14ac:dyDescent="0.2">
      <c r="A332" s="8" t="s">
        <v>2824</v>
      </c>
      <c r="B332" s="74"/>
      <c r="C332" s="74"/>
      <c r="D332" s="74"/>
      <c r="E332" s="2" t="s">
        <v>2812</v>
      </c>
      <c r="F332" s="62" t="s">
        <v>2813</v>
      </c>
      <c r="G332" s="12" t="s">
        <v>2814</v>
      </c>
      <c r="H332" s="11" t="s">
        <v>2815</v>
      </c>
      <c r="I332" s="11" t="s">
        <v>2816</v>
      </c>
      <c r="J332" s="11" t="s">
        <v>2817</v>
      </c>
      <c r="K332" s="11" t="s">
        <v>2818</v>
      </c>
      <c r="L332" s="11" t="s">
        <v>2819</v>
      </c>
      <c r="M332" s="11" t="s">
        <v>2820</v>
      </c>
      <c r="N332" s="11" t="s">
        <v>2821</v>
      </c>
      <c r="O332" s="11" t="s">
        <v>2822</v>
      </c>
      <c r="P332" s="11" t="s">
        <v>2823</v>
      </c>
      <c r="Q332" s="8"/>
    </row>
    <row r="333" spans="1:17" ht="409.6" x14ac:dyDescent="0.2">
      <c r="A333" s="8" t="s">
        <v>2825</v>
      </c>
      <c r="B333" s="74"/>
      <c r="C333" s="74"/>
      <c r="D333" s="74"/>
      <c r="E333" s="2" t="s">
        <v>2785</v>
      </c>
      <c r="F333" s="62" t="s">
        <v>2826</v>
      </c>
      <c r="G333" s="12" t="s">
        <v>2625</v>
      </c>
      <c r="H333" s="11" t="s">
        <v>2799</v>
      </c>
      <c r="I333" s="11" t="s">
        <v>2800</v>
      </c>
      <c r="J333" s="11" t="s">
        <v>2688</v>
      </c>
      <c r="K333" s="11" t="s">
        <v>2650</v>
      </c>
      <c r="L333" s="11" t="s">
        <v>2689</v>
      </c>
      <c r="M333" s="11" t="s">
        <v>2827</v>
      </c>
      <c r="N333" s="11" t="s">
        <v>2802</v>
      </c>
      <c r="O333" s="11" t="s">
        <v>2828</v>
      </c>
      <c r="P333" s="11" t="s">
        <v>2795</v>
      </c>
      <c r="Q333" s="8" t="s">
        <v>984</v>
      </c>
    </row>
    <row r="334" spans="1:17" ht="409.6" x14ac:dyDescent="0.2">
      <c r="A334" s="8" t="s">
        <v>2829</v>
      </c>
      <c r="B334" s="74"/>
      <c r="C334" s="74"/>
      <c r="D334" s="74"/>
      <c r="E334" s="2" t="s">
        <v>2785</v>
      </c>
      <c r="F334" s="62" t="s">
        <v>2826</v>
      </c>
      <c r="G334" s="12" t="s">
        <v>2625</v>
      </c>
      <c r="H334" s="11" t="s">
        <v>2799</v>
      </c>
      <c r="I334" s="11" t="s">
        <v>2800</v>
      </c>
      <c r="J334" s="11" t="s">
        <v>2688</v>
      </c>
      <c r="K334" s="11" t="s">
        <v>2650</v>
      </c>
      <c r="L334" s="11" t="s">
        <v>2689</v>
      </c>
      <c r="M334" s="11" t="s">
        <v>2827</v>
      </c>
      <c r="N334" s="11" t="s">
        <v>2802</v>
      </c>
      <c r="O334" s="11" t="s">
        <v>2802</v>
      </c>
      <c r="P334" s="11" t="s">
        <v>2795</v>
      </c>
      <c r="Q334" s="8" t="s">
        <v>984</v>
      </c>
    </row>
    <row r="335" spans="1:17" ht="409.6" x14ac:dyDescent="0.2">
      <c r="A335" s="8" t="s">
        <v>2830</v>
      </c>
      <c r="B335" s="74"/>
      <c r="C335" s="74"/>
      <c r="D335" s="74"/>
      <c r="E335" s="2" t="s">
        <v>2785</v>
      </c>
      <c r="F335" s="62" t="s">
        <v>2826</v>
      </c>
      <c r="G335" s="12" t="s">
        <v>2625</v>
      </c>
      <c r="H335" s="11" t="s">
        <v>2799</v>
      </c>
      <c r="I335" s="11" t="s">
        <v>2800</v>
      </c>
      <c r="J335" s="11" t="s">
        <v>2688</v>
      </c>
      <c r="K335" s="11" t="s">
        <v>2650</v>
      </c>
      <c r="L335" s="11" t="s">
        <v>2689</v>
      </c>
      <c r="M335" s="11" t="s">
        <v>2827</v>
      </c>
      <c r="N335" s="11" t="s">
        <v>2802</v>
      </c>
      <c r="O335" s="11" t="s">
        <v>2828</v>
      </c>
      <c r="P335" s="11" t="s">
        <v>2795</v>
      </c>
      <c r="Q335" s="8" t="s">
        <v>984</v>
      </c>
    </row>
    <row r="336" spans="1:17" ht="409.6" x14ac:dyDescent="0.2">
      <c r="A336" s="8" t="s">
        <v>2831</v>
      </c>
      <c r="B336" s="74"/>
      <c r="C336" s="74"/>
      <c r="D336" s="74"/>
      <c r="E336" s="2" t="s">
        <v>2785</v>
      </c>
      <c r="F336" s="62" t="s">
        <v>2826</v>
      </c>
      <c r="G336" s="12" t="s">
        <v>2798</v>
      </c>
      <c r="H336" s="11" t="s">
        <v>2799</v>
      </c>
      <c r="I336" s="11" t="s">
        <v>2800</v>
      </c>
      <c r="J336" s="11" t="s">
        <v>2688</v>
      </c>
      <c r="K336" s="11" t="s">
        <v>2650</v>
      </c>
      <c r="L336" s="11" t="s">
        <v>2689</v>
      </c>
      <c r="M336" s="11" t="s">
        <v>2827</v>
      </c>
      <c r="N336" s="11" t="s">
        <v>2802</v>
      </c>
      <c r="O336" s="11" t="s">
        <v>2828</v>
      </c>
      <c r="P336" s="11" t="s">
        <v>2795</v>
      </c>
      <c r="Q336" s="8" t="s">
        <v>984</v>
      </c>
    </row>
    <row r="337" spans="1:17" ht="409.6" x14ac:dyDescent="0.2">
      <c r="A337" s="8" t="s">
        <v>2832</v>
      </c>
      <c r="B337" s="74"/>
      <c r="C337" s="74"/>
      <c r="D337" s="74"/>
      <c r="E337" s="2" t="s">
        <v>2833</v>
      </c>
      <c r="F337" s="62" t="s">
        <v>2834</v>
      </c>
      <c r="G337" s="12" t="s">
        <v>2835</v>
      </c>
      <c r="H337" s="11" t="s">
        <v>2836</v>
      </c>
      <c r="I337" s="11" t="s">
        <v>2837</v>
      </c>
      <c r="J337" s="11" t="s">
        <v>2838</v>
      </c>
      <c r="K337" s="11" t="s">
        <v>2839</v>
      </c>
      <c r="L337" s="11" t="s">
        <v>2840</v>
      </c>
      <c r="M337" s="11" t="s">
        <v>2841</v>
      </c>
      <c r="N337" s="11" t="s">
        <v>2842</v>
      </c>
      <c r="O337" s="11" t="s">
        <v>2843</v>
      </c>
      <c r="P337" s="11" t="s">
        <v>2844</v>
      </c>
      <c r="Q337" s="8"/>
    </row>
    <row r="338" spans="1:17" ht="409.6" x14ac:dyDescent="0.2">
      <c r="A338" s="8" t="s">
        <v>2845</v>
      </c>
      <c r="B338" s="74"/>
      <c r="C338" s="74"/>
      <c r="D338" s="74"/>
      <c r="E338" s="2" t="s">
        <v>2846</v>
      </c>
      <c r="F338" s="62" t="s">
        <v>2847</v>
      </c>
      <c r="G338" s="12" t="s">
        <v>2848</v>
      </c>
      <c r="H338" s="11" t="s">
        <v>2849</v>
      </c>
      <c r="I338" s="11" t="s">
        <v>2850</v>
      </c>
      <c r="J338" s="11" t="s">
        <v>2851</v>
      </c>
      <c r="K338" s="2" t="s">
        <v>2852</v>
      </c>
      <c r="L338" s="11" t="s">
        <v>2853</v>
      </c>
      <c r="M338" s="11" t="s">
        <v>2854</v>
      </c>
      <c r="N338" s="11" t="s">
        <v>2855</v>
      </c>
      <c r="O338" s="11" t="s">
        <v>2856</v>
      </c>
      <c r="P338" s="11" t="s">
        <v>2857</v>
      </c>
      <c r="Q338" s="8"/>
    </row>
    <row r="339" spans="1:17" ht="409.6" x14ac:dyDescent="0.2">
      <c r="A339" s="8" t="s">
        <v>2858</v>
      </c>
      <c r="B339" s="74"/>
      <c r="C339" s="74"/>
      <c r="D339" s="74"/>
      <c r="E339" s="2" t="s">
        <v>2859</v>
      </c>
      <c r="F339" s="62" t="s">
        <v>2860</v>
      </c>
      <c r="G339" s="12" t="s">
        <v>2861</v>
      </c>
      <c r="H339" s="11" t="s">
        <v>2862</v>
      </c>
      <c r="I339" s="11" t="s">
        <v>2863</v>
      </c>
      <c r="J339" s="11" t="s">
        <v>2864</v>
      </c>
      <c r="K339" s="11" t="s">
        <v>2865</v>
      </c>
      <c r="L339" s="11" t="s">
        <v>2866</v>
      </c>
      <c r="M339" s="11" t="s">
        <v>2867</v>
      </c>
      <c r="N339" s="11" t="s">
        <v>2868</v>
      </c>
      <c r="O339" s="11" t="s">
        <v>2869</v>
      </c>
      <c r="P339" s="11" t="s">
        <v>2870</v>
      </c>
      <c r="Q339" s="8" t="s">
        <v>984</v>
      </c>
    </row>
    <row r="340" spans="1:17" ht="409.6" x14ac:dyDescent="0.2">
      <c r="A340" s="8" t="s">
        <v>2871</v>
      </c>
      <c r="B340" s="74"/>
      <c r="C340" s="74"/>
      <c r="D340" s="74"/>
      <c r="E340" s="2" t="s">
        <v>2872</v>
      </c>
      <c r="F340" s="62" t="s">
        <v>2873</v>
      </c>
      <c r="G340" s="12" t="s">
        <v>2874</v>
      </c>
      <c r="H340" s="11" t="s">
        <v>2875</v>
      </c>
      <c r="I340" s="11" t="s">
        <v>2876</v>
      </c>
      <c r="J340" s="11" t="s">
        <v>2864</v>
      </c>
      <c r="K340" s="11" t="s">
        <v>2877</v>
      </c>
      <c r="L340" s="11" t="s">
        <v>2878</v>
      </c>
      <c r="M340" s="11" t="s">
        <v>2879</v>
      </c>
      <c r="N340" s="11" t="s">
        <v>2880</v>
      </c>
      <c r="O340" s="11" t="s">
        <v>2881</v>
      </c>
      <c r="P340" s="11" t="s">
        <v>2882</v>
      </c>
      <c r="Q340" s="8" t="s">
        <v>984</v>
      </c>
    </row>
    <row r="341" spans="1:17" ht="409.6" x14ac:dyDescent="0.2">
      <c r="A341" s="8" t="s">
        <v>2883</v>
      </c>
      <c r="B341" s="74"/>
      <c r="C341" s="74"/>
      <c r="D341" s="74"/>
      <c r="E341" s="2" t="s">
        <v>2884</v>
      </c>
      <c r="F341" s="62" t="s">
        <v>2885</v>
      </c>
      <c r="G341" s="12" t="s">
        <v>2886</v>
      </c>
      <c r="H341" s="11" t="s">
        <v>2887</v>
      </c>
      <c r="I341" s="11" t="s">
        <v>2888</v>
      </c>
      <c r="J341" s="11" t="s">
        <v>2889</v>
      </c>
      <c r="K341" s="11" t="s">
        <v>2890</v>
      </c>
      <c r="L341" s="11" t="s">
        <v>2891</v>
      </c>
      <c r="M341" s="11" t="s">
        <v>2892</v>
      </c>
      <c r="N341" s="11" t="s">
        <v>2893</v>
      </c>
      <c r="O341" s="11" t="s">
        <v>2894</v>
      </c>
      <c r="P341" s="11" t="s">
        <v>2895</v>
      </c>
      <c r="Q341" s="8"/>
    </row>
    <row r="342" spans="1:17" ht="409.6" x14ac:dyDescent="0.2">
      <c r="A342" s="8" t="s">
        <v>2896</v>
      </c>
      <c r="B342" s="74"/>
      <c r="C342" s="74"/>
      <c r="D342" s="74"/>
      <c r="E342" s="2" t="s">
        <v>2897</v>
      </c>
      <c r="F342" s="62" t="s">
        <v>2898</v>
      </c>
      <c r="G342" s="12" t="s">
        <v>2899</v>
      </c>
      <c r="H342" s="11" t="s">
        <v>2900</v>
      </c>
      <c r="I342" s="11" t="s">
        <v>2901</v>
      </c>
      <c r="J342" s="11" t="s">
        <v>2902</v>
      </c>
      <c r="K342" s="11" t="s">
        <v>2903</v>
      </c>
      <c r="L342" s="11" t="s">
        <v>2904</v>
      </c>
      <c r="M342" s="11" t="s">
        <v>2905</v>
      </c>
      <c r="N342" s="11" t="s">
        <v>2906</v>
      </c>
      <c r="O342" s="11" t="s">
        <v>2907</v>
      </c>
      <c r="P342" s="11" t="s">
        <v>2908</v>
      </c>
      <c r="Q342" s="8" t="s">
        <v>984</v>
      </c>
    </row>
    <row r="343" spans="1:17" ht="409.6" x14ac:dyDescent="0.2">
      <c r="A343" s="8" t="s">
        <v>2909</v>
      </c>
      <c r="B343" s="74"/>
      <c r="C343" s="74"/>
      <c r="D343" s="74"/>
      <c r="E343" s="2" t="s">
        <v>2910</v>
      </c>
      <c r="F343" s="62" t="s">
        <v>2911</v>
      </c>
      <c r="G343" s="12" t="s">
        <v>2912</v>
      </c>
      <c r="H343" s="11" t="s">
        <v>2913</v>
      </c>
      <c r="I343" s="11" t="s">
        <v>2914</v>
      </c>
      <c r="J343" s="11" t="s">
        <v>2915</v>
      </c>
      <c r="K343" s="11" t="s">
        <v>2916</v>
      </c>
      <c r="L343" s="11" t="s">
        <v>2917</v>
      </c>
      <c r="M343" s="11" t="s">
        <v>2918</v>
      </c>
      <c r="N343" s="11" t="s">
        <v>2919</v>
      </c>
      <c r="O343" s="11" t="s">
        <v>2920</v>
      </c>
      <c r="P343" s="11" t="s">
        <v>2921</v>
      </c>
      <c r="Q343" s="8"/>
    </row>
    <row r="344" spans="1:17" ht="409.6" x14ac:dyDescent="0.2">
      <c r="A344" s="8" t="s">
        <v>2922</v>
      </c>
      <c r="B344" s="74"/>
      <c r="C344" s="74"/>
      <c r="D344" s="74"/>
      <c r="E344" s="2" t="s">
        <v>2923</v>
      </c>
      <c r="F344" s="62" t="s">
        <v>2924</v>
      </c>
      <c r="G344" s="15" t="s">
        <v>2925</v>
      </c>
      <c r="H344" s="11" t="s">
        <v>2926</v>
      </c>
      <c r="I344" s="11" t="s">
        <v>2927</v>
      </c>
      <c r="J344" s="11" t="s">
        <v>2928</v>
      </c>
      <c r="K344" s="11" t="s">
        <v>2929</v>
      </c>
      <c r="L344" s="11" t="s">
        <v>2930</v>
      </c>
      <c r="M344" s="11" t="s">
        <v>2931</v>
      </c>
      <c r="N344" s="11" t="s">
        <v>2932</v>
      </c>
      <c r="O344" s="11" t="s">
        <v>2933</v>
      </c>
      <c r="P344" s="11" t="s">
        <v>2934</v>
      </c>
      <c r="Q344" s="8"/>
    </row>
    <row r="345" spans="1:17" ht="409.6" x14ac:dyDescent="0.2">
      <c r="A345" s="8" t="s">
        <v>2935</v>
      </c>
      <c r="B345" s="74"/>
      <c r="C345" s="74"/>
      <c r="D345" s="74"/>
      <c r="E345" s="2" t="s">
        <v>2936</v>
      </c>
      <c r="F345" s="62" t="s">
        <v>2937</v>
      </c>
      <c r="G345" s="12" t="s">
        <v>2938</v>
      </c>
      <c r="H345" s="11" t="s">
        <v>2939</v>
      </c>
      <c r="I345" s="11" t="s">
        <v>2940</v>
      </c>
      <c r="J345" s="11" t="s">
        <v>2941</v>
      </c>
      <c r="K345" s="11" t="s">
        <v>2942</v>
      </c>
      <c r="L345" s="11" t="s">
        <v>2943</v>
      </c>
      <c r="M345" s="11" t="s">
        <v>2944</v>
      </c>
      <c r="N345" s="11" t="s">
        <v>2945</v>
      </c>
      <c r="O345" s="11" t="s">
        <v>2946</v>
      </c>
      <c r="P345" s="11" t="s">
        <v>2947</v>
      </c>
      <c r="Q345" s="8"/>
    </row>
    <row r="346" spans="1:17" ht="409.6" x14ac:dyDescent="0.2">
      <c r="A346" s="8" t="s">
        <v>2948</v>
      </c>
      <c r="B346" s="74"/>
      <c r="C346" s="74"/>
      <c r="D346" s="74"/>
      <c r="E346" s="2" t="s">
        <v>2949</v>
      </c>
      <c r="F346" s="62" t="s">
        <v>2950</v>
      </c>
      <c r="G346" s="12" t="s">
        <v>2951</v>
      </c>
      <c r="H346" s="11" t="s">
        <v>2952</v>
      </c>
      <c r="I346" s="11" t="s">
        <v>2953</v>
      </c>
      <c r="J346" s="11" t="s">
        <v>2954</v>
      </c>
      <c r="K346" s="11" t="s">
        <v>2955</v>
      </c>
      <c r="L346" s="11" t="s">
        <v>2956</v>
      </c>
      <c r="M346" s="11" t="s">
        <v>2957</v>
      </c>
      <c r="N346" s="11" t="s">
        <v>2958</v>
      </c>
      <c r="O346" s="11" t="s">
        <v>2959</v>
      </c>
      <c r="P346" s="11" t="s">
        <v>2960</v>
      </c>
      <c r="Q346" s="8" t="s">
        <v>984</v>
      </c>
    </row>
    <row r="347" spans="1:17" ht="409.6" x14ac:dyDescent="0.2">
      <c r="A347" s="8" t="s">
        <v>2961</v>
      </c>
      <c r="B347" s="74"/>
      <c r="C347" s="74"/>
      <c r="D347" s="74"/>
      <c r="E347" s="2" t="s">
        <v>2962</v>
      </c>
      <c r="F347" s="62" t="s">
        <v>2963</v>
      </c>
      <c r="G347" s="12" t="s">
        <v>2964</v>
      </c>
      <c r="H347" s="11" t="s">
        <v>2965</v>
      </c>
      <c r="I347" s="11" t="s">
        <v>2953</v>
      </c>
      <c r="J347" s="11" t="s">
        <v>2954</v>
      </c>
      <c r="K347" s="11" t="s">
        <v>2966</v>
      </c>
      <c r="L347" s="11" t="s">
        <v>2967</v>
      </c>
      <c r="M347" s="11" t="s">
        <v>2968</v>
      </c>
      <c r="N347" s="11" t="s">
        <v>2969</v>
      </c>
      <c r="O347" s="11" t="s">
        <v>2970</v>
      </c>
      <c r="P347" s="11" t="s">
        <v>2971</v>
      </c>
      <c r="Q347" s="8" t="s">
        <v>984</v>
      </c>
    </row>
    <row r="348" spans="1:17" ht="409.6" x14ac:dyDescent="0.2">
      <c r="A348" s="8" t="s">
        <v>2972</v>
      </c>
      <c r="B348" s="74"/>
      <c r="C348" s="74"/>
      <c r="D348" s="74"/>
      <c r="E348" s="2" t="s">
        <v>2973</v>
      </c>
      <c r="F348" s="62" t="s">
        <v>2974</v>
      </c>
      <c r="G348" s="63" t="s">
        <v>2975</v>
      </c>
      <c r="H348" s="11" t="s">
        <v>2976</v>
      </c>
      <c r="I348" s="11" t="s">
        <v>2977</v>
      </c>
      <c r="J348" s="11" t="s">
        <v>2978</v>
      </c>
      <c r="K348" s="11" t="s">
        <v>2979</v>
      </c>
      <c r="L348" s="11" t="s">
        <v>2980</v>
      </c>
      <c r="M348" s="11" t="s">
        <v>2981</v>
      </c>
      <c r="N348" s="11" t="s">
        <v>2982</v>
      </c>
      <c r="O348" s="11" t="s">
        <v>2983</v>
      </c>
      <c r="P348" s="11" t="s">
        <v>2984</v>
      </c>
      <c r="Q348" s="8"/>
    </row>
    <row r="349" spans="1:17" ht="409.6" x14ac:dyDescent="0.2">
      <c r="A349" s="8" t="s">
        <v>2985</v>
      </c>
      <c r="B349" s="74"/>
      <c r="C349" s="74"/>
      <c r="D349" s="74"/>
      <c r="E349" s="2" t="s">
        <v>2986</v>
      </c>
      <c r="F349" s="62" t="s">
        <v>2987</v>
      </c>
      <c r="G349" s="12" t="s">
        <v>2988</v>
      </c>
      <c r="H349" s="11" t="s">
        <v>2989</v>
      </c>
      <c r="I349" s="11" t="s">
        <v>2990</v>
      </c>
      <c r="J349" s="11" t="s">
        <v>2991</v>
      </c>
      <c r="K349" s="11" t="s">
        <v>2992</v>
      </c>
      <c r="L349" s="11" t="s">
        <v>2993</v>
      </c>
      <c r="M349" s="11" t="s">
        <v>2994</v>
      </c>
      <c r="N349" s="11" t="s">
        <v>2995</v>
      </c>
      <c r="O349" s="11" t="s">
        <v>2996</v>
      </c>
      <c r="P349" s="11" t="s">
        <v>2997</v>
      </c>
      <c r="Q349" s="8" t="s">
        <v>984</v>
      </c>
    </row>
    <row r="350" spans="1:17" ht="409.6" x14ac:dyDescent="0.2">
      <c r="A350" s="8" t="s">
        <v>2998</v>
      </c>
      <c r="B350" s="74"/>
      <c r="C350" s="74"/>
      <c r="D350" s="74"/>
      <c r="E350" s="2" t="s">
        <v>2999</v>
      </c>
      <c r="F350" s="62" t="s">
        <v>3000</v>
      </c>
      <c r="G350" s="12" t="s">
        <v>3001</v>
      </c>
      <c r="H350" s="11" t="s">
        <v>3002</v>
      </c>
      <c r="I350" s="11" t="s">
        <v>3003</v>
      </c>
      <c r="J350" s="11" t="s">
        <v>3004</v>
      </c>
      <c r="K350" s="11" t="s">
        <v>3005</v>
      </c>
      <c r="L350" s="11" t="s">
        <v>3006</v>
      </c>
      <c r="M350" s="11" t="s">
        <v>3007</v>
      </c>
      <c r="N350" s="11" t="s">
        <v>3008</v>
      </c>
      <c r="O350" s="11" t="s">
        <v>3009</v>
      </c>
      <c r="P350" s="11" t="s">
        <v>3010</v>
      </c>
      <c r="Q350" s="8" t="s">
        <v>984</v>
      </c>
    </row>
    <row r="351" spans="1:17" ht="409.6" x14ac:dyDescent="0.2">
      <c r="A351" s="8" t="s">
        <v>3011</v>
      </c>
      <c r="B351" s="74"/>
      <c r="C351" s="74"/>
      <c r="D351" s="74"/>
      <c r="E351" s="2" t="s">
        <v>3012</v>
      </c>
      <c r="F351" s="62" t="s">
        <v>3013</v>
      </c>
      <c r="G351" s="12" t="s">
        <v>3014</v>
      </c>
      <c r="H351" s="11" t="s">
        <v>3015</v>
      </c>
      <c r="I351" s="11" t="s">
        <v>3016</v>
      </c>
      <c r="J351" s="11" t="s">
        <v>3017</v>
      </c>
      <c r="K351" s="11" t="s">
        <v>3018</v>
      </c>
      <c r="L351" s="11" t="s">
        <v>3019</v>
      </c>
      <c r="M351" s="11" t="s">
        <v>3020</v>
      </c>
      <c r="N351" s="11" t="s">
        <v>3021</v>
      </c>
      <c r="O351" s="11" t="s">
        <v>3022</v>
      </c>
      <c r="P351" s="11" t="s">
        <v>3023</v>
      </c>
      <c r="Q351" s="8"/>
    </row>
    <row r="352" spans="1:17" ht="409.6" x14ac:dyDescent="0.2">
      <c r="A352" s="8" t="s">
        <v>3024</v>
      </c>
      <c r="B352" s="74"/>
      <c r="C352" s="74"/>
      <c r="D352" s="74"/>
      <c r="E352" s="2" t="s">
        <v>3025</v>
      </c>
      <c r="F352" s="62" t="s">
        <v>3026</v>
      </c>
      <c r="G352" s="12" t="s">
        <v>3027</v>
      </c>
      <c r="H352" s="11" t="s">
        <v>3028</v>
      </c>
      <c r="I352" s="11" t="s">
        <v>3029</v>
      </c>
      <c r="J352" s="11" t="s">
        <v>3030</v>
      </c>
      <c r="K352" s="11" t="s">
        <v>3031</v>
      </c>
      <c r="L352" s="11" t="s">
        <v>3032</v>
      </c>
      <c r="M352" s="11" t="s">
        <v>3033</v>
      </c>
      <c r="N352" s="11" t="s">
        <v>3034</v>
      </c>
      <c r="O352" s="11" t="s">
        <v>3035</v>
      </c>
      <c r="P352" s="11" t="s">
        <v>3036</v>
      </c>
      <c r="Q352" s="8"/>
    </row>
    <row r="353" spans="1:17" ht="409.6" x14ac:dyDescent="0.2">
      <c r="A353" s="8" t="s">
        <v>3037</v>
      </c>
      <c r="B353" s="74"/>
      <c r="C353" s="74"/>
      <c r="D353" s="74"/>
      <c r="E353" s="2" t="s">
        <v>3038</v>
      </c>
      <c r="F353" s="62" t="s">
        <v>3039</v>
      </c>
      <c r="G353" s="12" t="s">
        <v>3040</v>
      </c>
      <c r="H353" s="11" t="s">
        <v>3041</v>
      </c>
      <c r="I353" s="11" t="s">
        <v>3042</v>
      </c>
      <c r="J353" s="11" t="s">
        <v>3043</v>
      </c>
      <c r="K353" s="11" t="s">
        <v>3044</v>
      </c>
      <c r="L353" s="11" t="s">
        <v>3045</v>
      </c>
      <c r="M353" s="11" t="s">
        <v>3046</v>
      </c>
      <c r="N353" s="11" t="s">
        <v>3047</v>
      </c>
      <c r="O353" s="11" t="s">
        <v>3048</v>
      </c>
      <c r="P353" s="11" t="s">
        <v>3049</v>
      </c>
      <c r="Q353" s="8"/>
    </row>
    <row r="354" spans="1:17" ht="409.6" x14ac:dyDescent="0.2">
      <c r="A354" s="8" t="s">
        <v>3050</v>
      </c>
      <c r="B354" s="74"/>
      <c r="C354" s="74"/>
      <c r="D354" s="74"/>
      <c r="E354" s="2" t="s">
        <v>3051</v>
      </c>
      <c r="F354" s="62" t="s">
        <v>3052</v>
      </c>
      <c r="G354" s="12" t="s">
        <v>3053</v>
      </c>
      <c r="H354" s="11" t="s">
        <v>3054</v>
      </c>
      <c r="I354" s="11" t="s">
        <v>3055</v>
      </c>
      <c r="J354" s="11" t="s">
        <v>3056</v>
      </c>
      <c r="K354" s="11" t="s">
        <v>3057</v>
      </c>
      <c r="L354" s="11" t="s">
        <v>3058</v>
      </c>
      <c r="M354" s="11" t="s">
        <v>3059</v>
      </c>
      <c r="N354" s="11" t="s">
        <v>3060</v>
      </c>
      <c r="O354" s="11" t="s">
        <v>3061</v>
      </c>
      <c r="P354" s="11" t="s">
        <v>3062</v>
      </c>
      <c r="Q354" s="8"/>
    </row>
    <row r="355" spans="1:17" ht="409.6" x14ac:dyDescent="0.2">
      <c r="A355" s="8" t="s">
        <v>3063</v>
      </c>
      <c r="B355" s="74"/>
      <c r="C355" s="74"/>
      <c r="D355" s="74"/>
      <c r="E355" s="2" t="s">
        <v>3064</v>
      </c>
      <c r="F355" s="62" t="s">
        <v>3065</v>
      </c>
      <c r="G355" s="12" t="s">
        <v>3066</v>
      </c>
      <c r="H355" s="11" t="s">
        <v>3067</v>
      </c>
      <c r="I355" s="11" t="s">
        <v>3068</v>
      </c>
      <c r="J355" s="11" t="s">
        <v>3069</v>
      </c>
      <c r="K355" s="11" t="s">
        <v>3070</v>
      </c>
      <c r="L355" s="11" t="s">
        <v>3071</v>
      </c>
      <c r="M355" s="11" t="s">
        <v>3072</v>
      </c>
      <c r="N355" s="11" t="s">
        <v>3073</v>
      </c>
      <c r="O355" s="11" t="s">
        <v>3074</v>
      </c>
      <c r="P355" s="11" t="s">
        <v>3075</v>
      </c>
      <c r="Q355" s="8"/>
    </row>
    <row r="356" spans="1:17" ht="409.6" x14ac:dyDescent="0.2">
      <c r="A356" s="8" t="s">
        <v>3076</v>
      </c>
      <c r="B356" s="74"/>
      <c r="C356" s="74"/>
      <c r="D356" s="74"/>
      <c r="E356" s="2" t="s">
        <v>3077</v>
      </c>
      <c r="F356" s="62" t="s">
        <v>3078</v>
      </c>
      <c r="G356" s="12" t="s">
        <v>3079</v>
      </c>
      <c r="H356" s="11" t="s">
        <v>3080</v>
      </c>
      <c r="I356" s="11" t="s">
        <v>3081</v>
      </c>
      <c r="J356" s="11" t="s">
        <v>3082</v>
      </c>
      <c r="K356" s="11" t="s">
        <v>3083</v>
      </c>
      <c r="L356" s="11" t="s">
        <v>3084</v>
      </c>
      <c r="M356" s="11" t="s">
        <v>3085</v>
      </c>
      <c r="N356" s="11" t="s">
        <v>3086</v>
      </c>
      <c r="O356" s="11" t="s">
        <v>3087</v>
      </c>
      <c r="P356" s="11" t="s">
        <v>3088</v>
      </c>
      <c r="Q356" s="8" t="s">
        <v>984</v>
      </c>
    </row>
    <row r="357" spans="1:17" ht="409.6" x14ac:dyDescent="0.2">
      <c r="A357" s="8" t="s">
        <v>3089</v>
      </c>
      <c r="B357" s="74"/>
      <c r="C357" s="74"/>
      <c r="D357" s="74"/>
      <c r="E357" s="2" t="s">
        <v>2785</v>
      </c>
      <c r="F357" s="62" t="s">
        <v>3090</v>
      </c>
      <c r="G357" s="12" t="s">
        <v>3091</v>
      </c>
      <c r="H357" s="11" t="s">
        <v>3092</v>
      </c>
      <c r="I357" s="11" t="s">
        <v>3093</v>
      </c>
      <c r="J357" s="11" t="s">
        <v>2688</v>
      </c>
      <c r="K357" s="11" t="s">
        <v>3094</v>
      </c>
      <c r="L357" s="11" t="s">
        <v>2689</v>
      </c>
      <c r="M357" s="11" t="s">
        <v>3095</v>
      </c>
      <c r="N357" s="11" t="s">
        <v>3096</v>
      </c>
      <c r="O357" s="11" t="s">
        <v>3097</v>
      </c>
      <c r="P357" s="11" t="s">
        <v>2795</v>
      </c>
      <c r="Q357" s="8" t="s">
        <v>984</v>
      </c>
    </row>
    <row r="358" spans="1:17" ht="409.6" x14ac:dyDescent="0.2">
      <c r="A358" s="8" t="s">
        <v>3098</v>
      </c>
      <c r="B358" s="74"/>
      <c r="C358" s="74"/>
      <c r="D358" s="74"/>
      <c r="E358" s="2" t="s">
        <v>3099</v>
      </c>
      <c r="F358" s="62" t="s">
        <v>3100</v>
      </c>
      <c r="G358" s="12" t="s">
        <v>3101</v>
      </c>
      <c r="H358" s="11" t="s">
        <v>3102</v>
      </c>
      <c r="I358" s="11" t="s">
        <v>3103</v>
      </c>
      <c r="J358" s="11" t="s">
        <v>3104</v>
      </c>
      <c r="K358" s="11" t="s">
        <v>3105</v>
      </c>
      <c r="L358" s="11" t="s">
        <v>3106</v>
      </c>
      <c r="M358" s="11" t="s">
        <v>3107</v>
      </c>
      <c r="N358" s="11" t="s">
        <v>3108</v>
      </c>
      <c r="O358" s="11" t="s">
        <v>3109</v>
      </c>
      <c r="P358" s="11" t="s">
        <v>3110</v>
      </c>
      <c r="Q358" s="8" t="s">
        <v>984</v>
      </c>
    </row>
    <row r="359" spans="1:17" ht="409.6" x14ac:dyDescent="0.2">
      <c r="A359" s="8" t="s">
        <v>3111</v>
      </c>
      <c r="B359" s="74"/>
      <c r="C359" s="74"/>
      <c r="D359" s="74"/>
      <c r="E359" s="2" t="s">
        <v>2785</v>
      </c>
      <c r="F359" s="62" t="s">
        <v>3112</v>
      </c>
      <c r="G359" s="12" t="s">
        <v>3113</v>
      </c>
      <c r="H359" s="11" t="s">
        <v>3114</v>
      </c>
      <c r="I359" s="11" t="s">
        <v>3115</v>
      </c>
      <c r="J359" s="11" t="s">
        <v>2688</v>
      </c>
      <c r="K359" s="11" t="s">
        <v>3116</v>
      </c>
      <c r="L359" s="11" t="s">
        <v>3117</v>
      </c>
      <c r="M359" s="11" t="s">
        <v>3118</v>
      </c>
      <c r="N359" s="11" t="s">
        <v>3119</v>
      </c>
      <c r="O359" s="11" t="s">
        <v>3120</v>
      </c>
      <c r="P359" s="11" t="s">
        <v>2795</v>
      </c>
      <c r="Q359" s="8"/>
    </row>
    <row r="360" spans="1:17" ht="409.6" x14ac:dyDescent="0.2">
      <c r="A360" s="8" t="s">
        <v>3121</v>
      </c>
      <c r="B360" s="74"/>
      <c r="C360" s="74"/>
      <c r="D360" s="74"/>
      <c r="E360" s="2" t="s">
        <v>3122</v>
      </c>
      <c r="F360" s="62" t="s">
        <v>3123</v>
      </c>
      <c r="G360" s="12" t="s">
        <v>3124</v>
      </c>
      <c r="H360" s="11" t="s">
        <v>3125</v>
      </c>
      <c r="I360" s="11" t="s">
        <v>3126</v>
      </c>
      <c r="J360" s="11" t="s">
        <v>3127</v>
      </c>
      <c r="K360" s="11" t="s">
        <v>3128</v>
      </c>
      <c r="L360" s="11" t="s">
        <v>3129</v>
      </c>
      <c r="M360" s="11" t="s">
        <v>3130</v>
      </c>
      <c r="N360" s="11" t="s">
        <v>3131</v>
      </c>
      <c r="O360" s="11" t="s">
        <v>3132</v>
      </c>
      <c r="P360" s="11" t="s">
        <v>3133</v>
      </c>
      <c r="Q360" s="8" t="s">
        <v>984</v>
      </c>
    </row>
    <row r="361" spans="1:17" ht="409.6" x14ac:dyDescent="0.2">
      <c r="A361" s="8" t="s">
        <v>3134</v>
      </c>
      <c r="B361" s="74"/>
      <c r="C361" s="74"/>
      <c r="D361" s="74"/>
      <c r="E361" s="2" t="s">
        <v>3135</v>
      </c>
      <c r="F361" s="62" t="s">
        <v>3136</v>
      </c>
      <c r="G361" s="12" t="s">
        <v>3137</v>
      </c>
      <c r="H361" s="11" t="s">
        <v>3138</v>
      </c>
      <c r="I361" s="11" t="s">
        <v>3139</v>
      </c>
      <c r="J361" s="11" t="s">
        <v>3140</v>
      </c>
      <c r="K361" s="11" t="s">
        <v>3141</v>
      </c>
      <c r="L361" s="11" t="s">
        <v>3142</v>
      </c>
      <c r="M361" s="11" t="s">
        <v>3143</v>
      </c>
      <c r="N361" s="11" t="s">
        <v>3144</v>
      </c>
      <c r="O361" s="11" t="s">
        <v>3145</v>
      </c>
      <c r="P361" s="11" t="s">
        <v>3146</v>
      </c>
      <c r="Q361" s="8" t="s">
        <v>984</v>
      </c>
    </row>
    <row r="362" spans="1:17" ht="409.6" x14ac:dyDescent="0.2">
      <c r="A362" s="8" t="s">
        <v>3147</v>
      </c>
      <c r="B362" s="74"/>
      <c r="C362" s="74"/>
      <c r="D362" s="74"/>
      <c r="E362" s="2" t="s">
        <v>3148</v>
      </c>
      <c r="F362" s="62" t="s">
        <v>3149</v>
      </c>
      <c r="G362" s="12" t="s">
        <v>3091</v>
      </c>
      <c r="H362" s="11" t="s">
        <v>3150</v>
      </c>
      <c r="I362" s="11" t="s">
        <v>3115</v>
      </c>
      <c r="J362" s="11" t="s">
        <v>3151</v>
      </c>
      <c r="K362" s="11" t="s">
        <v>3094</v>
      </c>
      <c r="L362" s="11" t="s">
        <v>3152</v>
      </c>
      <c r="M362" s="11" t="s">
        <v>3153</v>
      </c>
      <c r="N362" s="11" t="s">
        <v>3154</v>
      </c>
      <c r="O362" s="11" t="s">
        <v>3155</v>
      </c>
      <c r="P362" s="11" t="s">
        <v>2795</v>
      </c>
      <c r="Q362" s="8" t="s">
        <v>984</v>
      </c>
    </row>
    <row r="363" spans="1:17" ht="409.6" x14ac:dyDescent="0.2">
      <c r="A363" s="8" t="s">
        <v>3156</v>
      </c>
      <c r="B363" s="74"/>
      <c r="C363" s="74"/>
      <c r="D363" s="74"/>
      <c r="E363" s="2" t="s">
        <v>3157</v>
      </c>
      <c r="F363" s="62" t="s">
        <v>3158</v>
      </c>
      <c r="G363" s="12" t="s">
        <v>3159</v>
      </c>
      <c r="H363" s="11" t="s">
        <v>3160</v>
      </c>
      <c r="I363" s="11" t="s">
        <v>3161</v>
      </c>
      <c r="J363" s="11" t="s">
        <v>3162</v>
      </c>
      <c r="K363" s="11" t="s">
        <v>3163</v>
      </c>
      <c r="L363" s="11" t="s">
        <v>3164</v>
      </c>
      <c r="M363" s="11" t="s">
        <v>3165</v>
      </c>
      <c r="N363" s="11" t="s">
        <v>3166</v>
      </c>
      <c r="O363" s="11" t="s">
        <v>3167</v>
      </c>
      <c r="P363" s="11" t="s">
        <v>3168</v>
      </c>
      <c r="Q363" s="8" t="s">
        <v>984</v>
      </c>
    </row>
    <row r="364" spans="1:17" ht="409.6" x14ac:dyDescent="0.2">
      <c r="A364" s="8" t="s">
        <v>3169</v>
      </c>
      <c r="B364" s="74"/>
      <c r="C364" s="74"/>
      <c r="D364" s="74"/>
      <c r="E364" s="2" t="s">
        <v>3170</v>
      </c>
      <c r="F364" s="62" t="s">
        <v>3171</v>
      </c>
      <c r="G364" s="12" t="s">
        <v>3172</v>
      </c>
      <c r="H364" s="11" t="s">
        <v>3160</v>
      </c>
      <c r="I364" s="11" t="s">
        <v>3173</v>
      </c>
      <c r="J364" s="11" t="s">
        <v>3174</v>
      </c>
      <c r="K364" s="11" t="s">
        <v>3175</v>
      </c>
      <c r="L364" s="11" t="s">
        <v>3176</v>
      </c>
      <c r="M364" s="11" t="s">
        <v>3177</v>
      </c>
      <c r="N364" s="11" t="s">
        <v>3178</v>
      </c>
      <c r="O364" s="11" t="s">
        <v>3179</v>
      </c>
      <c r="P364" s="11" t="s">
        <v>3180</v>
      </c>
      <c r="Q364" s="8" t="s">
        <v>984</v>
      </c>
    </row>
    <row r="365" spans="1:17" ht="409.6" x14ac:dyDescent="0.2">
      <c r="A365" s="8" t="s">
        <v>3181</v>
      </c>
      <c r="B365" s="74"/>
      <c r="C365" s="74"/>
      <c r="D365" s="74"/>
      <c r="E365" s="2" t="s">
        <v>3182</v>
      </c>
      <c r="F365" s="62" t="s">
        <v>3183</v>
      </c>
      <c r="G365" s="12" t="s">
        <v>3184</v>
      </c>
      <c r="H365" s="11" t="s">
        <v>3185</v>
      </c>
      <c r="I365" s="11" t="s">
        <v>3186</v>
      </c>
      <c r="J365" s="11" t="s">
        <v>3174</v>
      </c>
      <c r="K365" s="11" t="s">
        <v>3187</v>
      </c>
      <c r="L365" s="11" t="s">
        <v>3188</v>
      </c>
      <c r="M365" s="11" t="s">
        <v>3189</v>
      </c>
      <c r="N365" s="11" t="s">
        <v>3190</v>
      </c>
      <c r="O365" s="11" t="s">
        <v>3191</v>
      </c>
      <c r="P365" s="11" t="s">
        <v>3192</v>
      </c>
      <c r="Q365" s="8"/>
    </row>
    <row r="366" spans="1:17" ht="409.6" x14ac:dyDescent="0.2">
      <c r="A366" s="8" t="s">
        <v>3193</v>
      </c>
      <c r="B366" s="74"/>
      <c r="C366" s="74"/>
      <c r="D366" s="74"/>
      <c r="E366" s="11" t="s">
        <v>3194</v>
      </c>
      <c r="F366" s="2" t="s">
        <v>3195</v>
      </c>
      <c r="G366" s="15" t="s">
        <v>3196</v>
      </c>
      <c r="H366" s="2" t="s">
        <v>3197</v>
      </c>
      <c r="I366" s="11" t="s">
        <v>3198</v>
      </c>
      <c r="J366" s="11" t="s">
        <v>3199</v>
      </c>
      <c r="K366" s="11" t="s">
        <v>3200</v>
      </c>
      <c r="L366" s="11" t="s">
        <v>3201</v>
      </c>
      <c r="M366" s="11" t="s">
        <v>3202</v>
      </c>
      <c r="N366" s="11" t="s">
        <v>3203</v>
      </c>
      <c r="O366" s="11" t="s">
        <v>3204</v>
      </c>
      <c r="P366" s="11" t="s">
        <v>3205</v>
      </c>
      <c r="Q366" s="8"/>
    </row>
    <row r="367" spans="1:17" ht="409.6" x14ac:dyDescent="0.2">
      <c r="A367" s="8" t="s">
        <v>3206</v>
      </c>
      <c r="B367" s="74"/>
      <c r="C367" s="74"/>
      <c r="D367" s="74"/>
      <c r="E367" s="11" t="s">
        <v>3207</v>
      </c>
      <c r="F367" s="11" t="s">
        <v>3208</v>
      </c>
      <c r="G367" s="12" t="s">
        <v>3209</v>
      </c>
      <c r="H367" s="11" t="s">
        <v>3210</v>
      </c>
      <c r="I367" s="11" t="s">
        <v>3211</v>
      </c>
      <c r="J367" s="11" t="s">
        <v>3199</v>
      </c>
      <c r="K367" s="11" t="s">
        <v>3212</v>
      </c>
      <c r="L367" s="11" t="s">
        <v>3201</v>
      </c>
      <c r="M367" s="11" t="s">
        <v>3213</v>
      </c>
      <c r="N367" s="11" t="s">
        <v>3214</v>
      </c>
      <c r="O367" s="11" t="s">
        <v>3215</v>
      </c>
      <c r="P367" s="11" t="s">
        <v>3205</v>
      </c>
      <c r="Q367" s="8" t="s">
        <v>984</v>
      </c>
    </row>
    <row r="368" spans="1:17" ht="409.6" x14ac:dyDescent="0.2">
      <c r="A368" s="8" t="s">
        <v>3216</v>
      </c>
      <c r="B368" s="74"/>
      <c r="C368" s="74"/>
      <c r="D368" s="74"/>
      <c r="E368" s="11" t="s">
        <v>3217</v>
      </c>
      <c r="F368" s="11" t="s">
        <v>3218</v>
      </c>
      <c r="G368" s="12" t="s">
        <v>3209</v>
      </c>
      <c r="H368" s="11" t="s">
        <v>3210</v>
      </c>
      <c r="I368" s="11" t="s">
        <v>3211</v>
      </c>
      <c r="J368" s="11" t="s">
        <v>3199</v>
      </c>
      <c r="K368" s="11" t="s">
        <v>3212</v>
      </c>
      <c r="L368" s="11" t="s">
        <v>3201</v>
      </c>
      <c r="M368" s="11" t="s">
        <v>3219</v>
      </c>
      <c r="N368" s="11" t="s">
        <v>3214</v>
      </c>
      <c r="O368" s="11" t="s">
        <v>3215</v>
      </c>
      <c r="P368" s="11" t="s">
        <v>3205</v>
      </c>
      <c r="Q368" s="8" t="s">
        <v>984</v>
      </c>
    </row>
    <row r="369" spans="1:17" ht="409.6" x14ac:dyDescent="0.2">
      <c r="A369" s="8" t="s">
        <v>3220</v>
      </c>
      <c r="B369" s="74"/>
      <c r="C369" s="74"/>
      <c r="D369" s="74"/>
      <c r="E369" s="11" t="s">
        <v>3221</v>
      </c>
      <c r="F369" s="11" t="s">
        <v>3222</v>
      </c>
      <c r="G369" s="12" t="s">
        <v>3223</v>
      </c>
      <c r="H369" s="11" t="s">
        <v>3224</v>
      </c>
      <c r="I369" s="11" t="s">
        <v>3225</v>
      </c>
      <c r="J369" s="11" t="s">
        <v>3226</v>
      </c>
      <c r="K369" s="11" t="s">
        <v>3227</v>
      </c>
      <c r="L369" s="11" t="s">
        <v>3228</v>
      </c>
      <c r="M369" s="11" t="s">
        <v>3229</v>
      </c>
      <c r="N369" s="11" t="s">
        <v>3230</v>
      </c>
      <c r="O369" s="11" t="s">
        <v>3231</v>
      </c>
      <c r="P369" s="11" t="s">
        <v>3205</v>
      </c>
      <c r="Q369" s="8"/>
    </row>
    <row r="370" spans="1:17" ht="409.6" x14ac:dyDescent="0.2">
      <c r="A370" s="8" t="s">
        <v>3232</v>
      </c>
      <c r="B370" s="74"/>
      <c r="C370" s="74"/>
      <c r="D370" s="74"/>
      <c r="E370" s="11" t="s">
        <v>3233</v>
      </c>
      <c r="F370" s="2" t="s">
        <v>3234</v>
      </c>
      <c r="G370" s="12" t="s">
        <v>3235</v>
      </c>
      <c r="H370" s="11" t="s">
        <v>3236</v>
      </c>
      <c r="I370" s="11" t="s">
        <v>3211</v>
      </c>
      <c r="J370" s="11" t="s">
        <v>3199</v>
      </c>
      <c r="K370" s="11" t="s">
        <v>3212</v>
      </c>
      <c r="L370" s="11" t="s">
        <v>3201</v>
      </c>
      <c r="M370" s="11" t="s">
        <v>3237</v>
      </c>
      <c r="N370" s="11" t="s">
        <v>3238</v>
      </c>
      <c r="O370" s="11" t="s">
        <v>3239</v>
      </c>
      <c r="P370" s="11" t="s">
        <v>3205</v>
      </c>
      <c r="Q370" s="8"/>
    </row>
    <row r="371" spans="1:17" ht="409.6" x14ac:dyDescent="0.2">
      <c r="A371" s="8" t="s">
        <v>3240</v>
      </c>
      <c r="B371" s="74"/>
      <c r="C371" s="74"/>
      <c r="D371" s="74"/>
      <c r="E371" s="11" t="s">
        <v>3241</v>
      </c>
      <c r="F371" s="11" t="s">
        <v>3242</v>
      </c>
      <c r="G371" s="12" t="s">
        <v>3209</v>
      </c>
      <c r="H371" s="11" t="s">
        <v>3236</v>
      </c>
      <c r="I371" s="11" t="s">
        <v>3211</v>
      </c>
      <c r="J371" s="11" t="s">
        <v>3199</v>
      </c>
      <c r="K371" s="11" t="s">
        <v>3212</v>
      </c>
      <c r="L371" s="11" t="s">
        <v>3201</v>
      </c>
      <c r="M371" s="11" t="s">
        <v>3243</v>
      </c>
      <c r="N371" s="11" t="s">
        <v>3244</v>
      </c>
      <c r="O371" s="11" t="s">
        <v>3245</v>
      </c>
      <c r="P371" s="11" t="s">
        <v>3205</v>
      </c>
      <c r="Q371" s="8" t="s">
        <v>984</v>
      </c>
    </row>
    <row r="372" spans="1:17" ht="409.6" x14ac:dyDescent="0.2">
      <c r="A372" s="8" t="s">
        <v>3246</v>
      </c>
      <c r="B372" s="74"/>
      <c r="C372" s="74"/>
      <c r="D372" s="74"/>
      <c r="E372" s="11" t="s">
        <v>3247</v>
      </c>
      <c r="F372" s="11" t="s">
        <v>3248</v>
      </c>
      <c r="G372" s="12" t="s">
        <v>3249</v>
      </c>
      <c r="H372" s="11" t="s">
        <v>3250</v>
      </c>
      <c r="I372" s="11" t="s">
        <v>3251</v>
      </c>
      <c r="J372" s="11" t="s">
        <v>3252</v>
      </c>
      <c r="K372" s="11" t="s">
        <v>3253</v>
      </c>
      <c r="L372" s="11" t="s">
        <v>3254</v>
      </c>
      <c r="M372" s="11" t="s">
        <v>3255</v>
      </c>
      <c r="N372" s="11" t="s">
        <v>3256</v>
      </c>
      <c r="O372" s="11" t="s">
        <v>3257</v>
      </c>
      <c r="P372" s="11" t="s">
        <v>3205</v>
      </c>
      <c r="Q372" s="8" t="s">
        <v>984</v>
      </c>
    </row>
    <row r="373" spans="1:17" ht="409.6" x14ac:dyDescent="0.2">
      <c r="A373" s="8" t="s">
        <v>3258</v>
      </c>
      <c r="B373" s="74"/>
      <c r="C373" s="74"/>
      <c r="D373" s="74"/>
      <c r="E373" s="11" t="s">
        <v>3247</v>
      </c>
      <c r="F373" s="11" t="s">
        <v>3259</v>
      </c>
      <c r="G373" s="12" t="s">
        <v>3260</v>
      </c>
      <c r="H373" s="11" t="s">
        <v>3261</v>
      </c>
      <c r="I373" s="11" t="s">
        <v>3262</v>
      </c>
      <c r="J373" s="11" t="s">
        <v>3263</v>
      </c>
      <c r="K373" s="11" t="s">
        <v>3264</v>
      </c>
      <c r="L373" s="11" t="s">
        <v>3201</v>
      </c>
      <c r="M373" s="11" t="s">
        <v>3265</v>
      </c>
      <c r="N373" s="11" t="s">
        <v>3256</v>
      </c>
      <c r="O373" s="11" t="s">
        <v>3266</v>
      </c>
      <c r="P373" s="11" t="s">
        <v>3205</v>
      </c>
      <c r="Q373" s="8"/>
    </row>
    <row r="374" spans="1:17" ht="409.6" x14ac:dyDescent="0.2">
      <c r="A374" s="8" t="s">
        <v>3267</v>
      </c>
      <c r="B374" s="74"/>
      <c r="C374" s="74"/>
      <c r="D374" s="74"/>
      <c r="E374" s="62" t="s">
        <v>3268</v>
      </c>
      <c r="F374" s="11" t="s">
        <v>3269</v>
      </c>
      <c r="G374" s="12" t="s">
        <v>3249</v>
      </c>
      <c r="H374" s="11" t="s">
        <v>3270</v>
      </c>
      <c r="I374" s="11" t="s">
        <v>3271</v>
      </c>
      <c r="J374" s="11" t="s">
        <v>3272</v>
      </c>
      <c r="K374" s="11" t="s">
        <v>3273</v>
      </c>
      <c r="L374" s="11" t="s">
        <v>3201</v>
      </c>
      <c r="M374" s="11" t="s">
        <v>3274</v>
      </c>
      <c r="N374" s="11" t="s">
        <v>3256</v>
      </c>
      <c r="O374" s="11" t="s">
        <v>3257</v>
      </c>
      <c r="P374" s="11" t="s">
        <v>3275</v>
      </c>
      <c r="Q374" s="8" t="s">
        <v>984</v>
      </c>
    </row>
    <row r="375" spans="1:17" ht="409.6" x14ac:dyDescent="0.2">
      <c r="A375" s="8" t="s">
        <v>3276</v>
      </c>
      <c r="B375" s="74"/>
      <c r="C375" s="74"/>
      <c r="D375" s="74"/>
      <c r="E375" s="61" t="s">
        <v>3277</v>
      </c>
      <c r="F375" s="62" t="s">
        <v>3278</v>
      </c>
      <c r="G375" s="12" t="s">
        <v>3249</v>
      </c>
      <c r="H375" s="11" t="s">
        <v>3270</v>
      </c>
      <c r="I375" s="11" t="s">
        <v>3271</v>
      </c>
      <c r="J375" s="11" t="s">
        <v>3279</v>
      </c>
      <c r="K375" s="11" t="s">
        <v>3280</v>
      </c>
      <c r="L375" s="11" t="s">
        <v>3201</v>
      </c>
      <c r="M375" s="11" t="s">
        <v>3281</v>
      </c>
      <c r="N375" s="11" t="s">
        <v>3256</v>
      </c>
      <c r="O375" s="11" t="s">
        <v>3282</v>
      </c>
      <c r="P375" s="11" t="s">
        <v>3283</v>
      </c>
      <c r="Q375" s="8" t="s">
        <v>984</v>
      </c>
    </row>
    <row r="376" spans="1:17" ht="409.6" x14ac:dyDescent="0.2">
      <c r="A376" s="8" t="s">
        <v>3284</v>
      </c>
      <c r="B376" s="74"/>
      <c r="C376" s="74"/>
      <c r="D376" s="74"/>
      <c r="E376" s="2" t="s">
        <v>3285</v>
      </c>
      <c r="F376" s="62" t="s">
        <v>3286</v>
      </c>
      <c r="G376" s="12" t="s">
        <v>3249</v>
      </c>
      <c r="H376" s="11" t="s">
        <v>3287</v>
      </c>
      <c r="I376" s="11" t="s">
        <v>3271</v>
      </c>
      <c r="J376" s="11" t="s">
        <v>3288</v>
      </c>
      <c r="K376" s="11" t="s">
        <v>3289</v>
      </c>
      <c r="L376" s="11" t="s">
        <v>3201</v>
      </c>
      <c r="M376" s="11" t="s">
        <v>3290</v>
      </c>
      <c r="N376" s="11" t="s">
        <v>3256</v>
      </c>
      <c r="O376" s="11" t="s">
        <v>3257</v>
      </c>
      <c r="P376" s="11" t="s">
        <v>3283</v>
      </c>
      <c r="Q376" s="8" t="s">
        <v>984</v>
      </c>
    </row>
    <row r="377" spans="1:17" ht="409.6" x14ac:dyDescent="0.2">
      <c r="A377" s="8" t="s">
        <v>3291</v>
      </c>
      <c r="B377" s="74"/>
      <c r="C377" s="74"/>
      <c r="D377" s="74"/>
      <c r="E377" s="62" t="s">
        <v>3292</v>
      </c>
      <c r="F377" s="62" t="s">
        <v>3293</v>
      </c>
      <c r="G377" s="12" t="s">
        <v>3294</v>
      </c>
      <c r="H377" s="11" t="s">
        <v>3295</v>
      </c>
      <c r="I377" s="11" t="s">
        <v>3296</v>
      </c>
      <c r="J377" s="11" t="s">
        <v>3288</v>
      </c>
      <c r="K377" s="11" t="s">
        <v>3297</v>
      </c>
      <c r="L377" s="11" t="s">
        <v>3201</v>
      </c>
      <c r="M377" s="11" t="s">
        <v>3298</v>
      </c>
      <c r="N377" s="11" t="s">
        <v>3299</v>
      </c>
      <c r="O377" s="11" t="s">
        <v>3231</v>
      </c>
      <c r="P377" s="11" t="s">
        <v>3283</v>
      </c>
      <c r="Q377" s="8"/>
    </row>
    <row r="378" spans="1:17" ht="409.6" x14ac:dyDescent="0.2">
      <c r="A378" s="8" t="s">
        <v>3300</v>
      </c>
      <c r="B378" s="74"/>
      <c r="C378" s="74"/>
      <c r="D378" s="74"/>
      <c r="E378" s="61" t="s">
        <v>3301</v>
      </c>
      <c r="F378" s="62" t="s">
        <v>3302</v>
      </c>
      <c r="G378" s="12" t="s">
        <v>3249</v>
      </c>
      <c r="H378" s="11" t="s">
        <v>3303</v>
      </c>
      <c r="I378" s="11" t="s">
        <v>3211</v>
      </c>
      <c r="J378" s="11" t="s">
        <v>3288</v>
      </c>
      <c r="K378" s="11" t="s">
        <v>3289</v>
      </c>
      <c r="L378" s="11" t="s">
        <v>3304</v>
      </c>
      <c r="M378" s="2" t="s">
        <v>3305</v>
      </c>
      <c r="N378" s="11" t="s">
        <v>3306</v>
      </c>
      <c r="O378" s="11" t="s">
        <v>3257</v>
      </c>
      <c r="P378" s="11" t="s">
        <v>3283</v>
      </c>
      <c r="Q378" s="8" t="s">
        <v>984</v>
      </c>
    </row>
    <row r="379" spans="1:17" ht="409.6" x14ac:dyDescent="0.2">
      <c r="A379" s="8" t="s">
        <v>3307</v>
      </c>
      <c r="B379" s="74"/>
      <c r="C379" s="74"/>
      <c r="D379" s="74"/>
      <c r="E379" s="2" t="s">
        <v>3308</v>
      </c>
      <c r="F379" s="62" t="s">
        <v>3309</v>
      </c>
      <c r="G379" s="12" t="s">
        <v>3310</v>
      </c>
      <c r="H379" s="11" t="s">
        <v>3311</v>
      </c>
      <c r="I379" s="11" t="s">
        <v>3271</v>
      </c>
      <c r="J379" s="11" t="s">
        <v>3312</v>
      </c>
      <c r="K379" s="11" t="s">
        <v>3289</v>
      </c>
      <c r="L379" s="11" t="s">
        <v>3304</v>
      </c>
      <c r="M379" s="11" t="s">
        <v>3313</v>
      </c>
      <c r="N379" s="11" t="s">
        <v>3256</v>
      </c>
      <c r="O379" s="11" t="s">
        <v>3314</v>
      </c>
      <c r="P379" s="11" t="s">
        <v>3315</v>
      </c>
      <c r="Q379" s="8"/>
    </row>
    <row r="380" spans="1:17" ht="409.6" x14ac:dyDescent="0.2">
      <c r="A380" s="8" t="s">
        <v>3316</v>
      </c>
      <c r="B380" s="74"/>
      <c r="C380" s="74"/>
      <c r="D380" s="74"/>
      <c r="E380" s="64" t="s">
        <v>3317</v>
      </c>
      <c r="F380" s="62" t="s">
        <v>3318</v>
      </c>
      <c r="G380" s="12" t="s">
        <v>3319</v>
      </c>
      <c r="H380" s="11" t="s">
        <v>3320</v>
      </c>
      <c r="I380" s="11" t="s">
        <v>3225</v>
      </c>
      <c r="J380" s="11" t="s">
        <v>3312</v>
      </c>
      <c r="K380" s="11" t="s">
        <v>3289</v>
      </c>
      <c r="L380" s="11" t="s">
        <v>3321</v>
      </c>
      <c r="M380" s="11" t="s">
        <v>3322</v>
      </c>
      <c r="N380" s="11" t="s">
        <v>3323</v>
      </c>
      <c r="O380" s="11" t="s">
        <v>3324</v>
      </c>
      <c r="P380" s="11" t="s">
        <v>3315</v>
      </c>
      <c r="Q380" s="8"/>
    </row>
    <row r="381" spans="1:17" ht="409.6" x14ac:dyDescent="0.2">
      <c r="A381" s="8" t="s">
        <v>3325</v>
      </c>
      <c r="B381" s="74"/>
      <c r="C381" s="74"/>
      <c r="D381" s="74"/>
      <c r="E381" s="2" t="s">
        <v>3326</v>
      </c>
      <c r="F381" s="62" t="s">
        <v>3327</v>
      </c>
      <c r="G381" s="12" t="s">
        <v>3319</v>
      </c>
      <c r="H381" s="11" t="s">
        <v>3320</v>
      </c>
      <c r="I381" s="11" t="s">
        <v>3296</v>
      </c>
      <c r="J381" s="11" t="s">
        <v>3328</v>
      </c>
      <c r="K381" s="11" t="s">
        <v>3289</v>
      </c>
      <c r="L381" s="11" t="s">
        <v>3321</v>
      </c>
      <c r="M381" s="11" t="s">
        <v>3329</v>
      </c>
      <c r="N381" s="11" t="s">
        <v>3256</v>
      </c>
      <c r="O381" s="11" t="s">
        <v>3324</v>
      </c>
      <c r="P381" s="11" t="s">
        <v>3330</v>
      </c>
      <c r="Q381" s="8"/>
    </row>
    <row r="382" spans="1:17" ht="409.6" x14ac:dyDescent="0.2">
      <c r="A382" s="8" t="s">
        <v>3331</v>
      </c>
      <c r="B382" s="74"/>
      <c r="C382" s="74"/>
      <c r="D382" s="74"/>
      <c r="E382" s="2" t="s">
        <v>3332</v>
      </c>
      <c r="F382" s="62" t="s">
        <v>3333</v>
      </c>
      <c r="G382" s="12" t="s">
        <v>3334</v>
      </c>
      <c r="H382" s="11" t="s">
        <v>3335</v>
      </c>
      <c r="I382" s="11" t="s">
        <v>3296</v>
      </c>
      <c r="J382" s="11" t="s">
        <v>3328</v>
      </c>
      <c r="K382" s="11" t="s">
        <v>3289</v>
      </c>
      <c r="L382" s="11" t="s">
        <v>3321</v>
      </c>
      <c r="M382" s="11" t="s">
        <v>3336</v>
      </c>
      <c r="N382" s="11" t="s">
        <v>3256</v>
      </c>
      <c r="O382" s="11" t="s">
        <v>3337</v>
      </c>
      <c r="P382" s="11" t="s">
        <v>3330</v>
      </c>
      <c r="Q382" s="8"/>
    </row>
    <row r="383" spans="1:17" ht="409.6" x14ac:dyDescent="0.2">
      <c r="A383" s="8" t="s">
        <v>3338</v>
      </c>
      <c r="B383" s="74"/>
      <c r="C383" s="74"/>
      <c r="D383" s="74"/>
      <c r="E383" s="61" t="s">
        <v>3339</v>
      </c>
      <c r="F383" s="62" t="s">
        <v>3340</v>
      </c>
      <c r="G383" s="12" t="s">
        <v>3341</v>
      </c>
      <c r="H383" s="11" t="s">
        <v>3342</v>
      </c>
      <c r="I383" s="11" t="s">
        <v>3225</v>
      </c>
      <c r="J383" s="11" t="s">
        <v>3328</v>
      </c>
      <c r="K383" s="11" t="s">
        <v>3289</v>
      </c>
      <c r="L383" s="11" t="s">
        <v>3321</v>
      </c>
      <c r="M383" s="11" t="s">
        <v>3343</v>
      </c>
      <c r="N383" s="11" t="s">
        <v>3256</v>
      </c>
      <c r="O383" s="11" t="s">
        <v>3344</v>
      </c>
      <c r="P383" s="11" t="s">
        <v>3330</v>
      </c>
      <c r="Q383" s="8"/>
    </row>
    <row r="384" spans="1:17" ht="409.6" x14ac:dyDescent="0.2">
      <c r="A384" s="8" t="s">
        <v>3345</v>
      </c>
      <c r="B384" s="74"/>
      <c r="C384" s="74"/>
      <c r="D384" s="74"/>
      <c r="E384" s="61" t="s">
        <v>3346</v>
      </c>
      <c r="F384" s="62" t="s">
        <v>3347</v>
      </c>
      <c r="G384" s="12" t="s">
        <v>3348</v>
      </c>
      <c r="H384" s="11" t="s">
        <v>3349</v>
      </c>
      <c r="I384" s="11" t="s">
        <v>3225</v>
      </c>
      <c r="J384" s="11" t="s">
        <v>3350</v>
      </c>
      <c r="K384" s="11" t="s">
        <v>3289</v>
      </c>
      <c r="L384" s="11" t="s">
        <v>3351</v>
      </c>
      <c r="M384" s="11" t="s">
        <v>3352</v>
      </c>
      <c r="N384" s="11" t="s">
        <v>3353</v>
      </c>
      <c r="O384" s="11" t="s">
        <v>3354</v>
      </c>
      <c r="P384" s="11" t="s">
        <v>3330</v>
      </c>
      <c r="Q384" s="8"/>
    </row>
    <row r="385" spans="1:17" ht="409.6" x14ac:dyDescent="0.2">
      <c r="A385" s="8" t="s">
        <v>3355</v>
      </c>
      <c r="B385" s="74"/>
      <c r="C385" s="74"/>
      <c r="D385" s="74"/>
      <c r="E385" s="64" t="s">
        <v>3356</v>
      </c>
      <c r="F385" s="62" t="s">
        <v>3357</v>
      </c>
      <c r="G385" s="12" t="s">
        <v>3358</v>
      </c>
      <c r="H385" s="11" t="s">
        <v>3359</v>
      </c>
      <c r="I385" s="11" t="s">
        <v>3360</v>
      </c>
      <c r="J385" s="11" t="s">
        <v>3350</v>
      </c>
      <c r="K385" s="11" t="s">
        <v>3289</v>
      </c>
      <c r="L385" s="11" t="s">
        <v>3361</v>
      </c>
      <c r="M385" s="11" t="s">
        <v>3362</v>
      </c>
      <c r="N385" s="11" t="s">
        <v>3363</v>
      </c>
      <c r="O385" s="11" t="s">
        <v>3364</v>
      </c>
      <c r="P385" s="11" t="s">
        <v>3330</v>
      </c>
      <c r="Q385" s="8"/>
    </row>
    <row r="386" spans="1:17" ht="409.6" x14ac:dyDescent="0.2">
      <c r="A386" s="8" t="s">
        <v>3365</v>
      </c>
      <c r="B386" s="74"/>
      <c r="C386" s="74"/>
      <c r="D386" s="74"/>
      <c r="E386" s="2" t="s">
        <v>3366</v>
      </c>
      <c r="F386" s="62" t="s">
        <v>3367</v>
      </c>
      <c r="G386" s="12" t="s">
        <v>3368</v>
      </c>
      <c r="H386" s="11" t="s">
        <v>3369</v>
      </c>
      <c r="I386" s="11" t="s">
        <v>3360</v>
      </c>
      <c r="J386" s="11" t="s">
        <v>3370</v>
      </c>
      <c r="K386" s="11" t="s">
        <v>3371</v>
      </c>
      <c r="L386" s="11" t="s">
        <v>3361</v>
      </c>
      <c r="M386" s="11" t="s">
        <v>3372</v>
      </c>
      <c r="N386" s="11" t="s">
        <v>3373</v>
      </c>
      <c r="O386" s="11" t="s">
        <v>3374</v>
      </c>
      <c r="P386" s="11" t="s">
        <v>3330</v>
      </c>
      <c r="Q386" s="8"/>
    </row>
    <row r="387" spans="1:17" ht="409.6" x14ac:dyDescent="0.2">
      <c r="A387" s="8" t="s">
        <v>3375</v>
      </c>
      <c r="B387" s="74"/>
      <c r="C387" s="74"/>
      <c r="D387" s="74"/>
      <c r="E387" s="2" t="s">
        <v>3376</v>
      </c>
      <c r="F387" s="62" t="s">
        <v>3377</v>
      </c>
      <c r="G387" s="12" t="s">
        <v>3348</v>
      </c>
      <c r="H387" s="11" t="s">
        <v>3378</v>
      </c>
      <c r="I387" s="11" t="s">
        <v>3225</v>
      </c>
      <c r="J387" s="11" t="s">
        <v>3350</v>
      </c>
      <c r="K387" s="11" t="s">
        <v>3379</v>
      </c>
      <c r="L387" s="11" t="s">
        <v>3380</v>
      </c>
      <c r="M387" s="11" t="s">
        <v>3381</v>
      </c>
      <c r="N387" s="11" t="s">
        <v>3353</v>
      </c>
      <c r="O387" s="11" t="s">
        <v>3382</v>
      </c>
      <c r="P387" s="11" t="s">
        <v>3330</v>
      </c>
      <c r="Q387" s="8"/>
    </row>
    <row r="388" spans="1:17" ht="409.6" x14ac:dyDescent="0.2">
      <c r="A388" s="8" t="s">
        <v>3383</v>
      </c>
      <c r="B388" s="74"/>
      <c r="C388" s="74"/>
      <c r="D388" s="74"/>
      <c r="E388" s="2" t="s">
        <v>3384</v>
      </c>
      <c r="F388" s="62" t="s">
        <v>3385</v>
      </c>
      <c r="G388" s="12" t="s">
        <v>3386</v>
      </c>
      <c r="H388" s="11" t="s">
        <v>3387</v>
      </c>
      <c r="I388" s="11" t="s">
        <v>3225</v>
      </c>
      <c r="J388" s="11" t="s">
        <v>3350</v>
      </c>
      <c r="K388" s="11" t="s">
        <v>3388</v>
      </c>
      <c r="L388" s="11" t="s">
        <v>3351</v>
      </c>
      <c r="M388" s="11" t="s">
        <v>3389</v>
      </c>
      <c r="N388" s="11" t="s">
        <v>3353</v>
      </c>
      <c r="O388" s="11" t="s">
        <v>3390</v>
      </c>
      <c r="P388" s="11" t="s">
        <v>3330</v>
      </c>
      <c r="Q388" s="8"/>
    </row>
    <row r="389" spans="1:17" ht="409.6" x14ac:dyDescent="0.2">
      <c r="A389" s="8" t="s">
        <v>3391</v>
      </c>
      <c r="B389" s="74"/>
      <c r="C389" s="74"/>
      <c r="D389" s="74"/>
      <c r="E389" s="2" t="s">
        <v>3392</v>
      </c>
      <c r="F389" s="62" t="s">
        <v>3393</v>
      </c>
      <c r="G389" s="12" t="s">
        <v>3394</v>
      </c>
      <c r="H389" s="11" t="s">
        <v>3359</v>
      </c>
      <c r="I389" s="11" t="s">
        <v>3225</v>
      </c>
      <c r="J389" s="11" t="s">
        <v>3350</v>
      </c>
      <c r="K389" s="11" t="s">
        <v>3388</v>
      </c>
      <c r="L389" s="11" t="s">
        <v>3380</v>
      </c>
      <c r="M389" s="11" t="s">
        <v>3395</v>
      </c>
      <c r="N389" s="11" t="s">
        <v>3373</v>
      </c>
      <c r="O389" s="11" t="s">
        <v>3396</v>
      </c>
      <c r="P389" s="11" t="s">
        <v>3330</v>
      </c>
      <c r="Q389" s="8"/>
    </row>
    <row r="390" spans="1:17" ht="409.6" x14ac:dyDescent="0.2">
      <c r="A390" s="8" t="s">
        <v>3397</v>
      </c>
      <c r="B390" s="74"/>
      <c r="C390" s="74"/>
      <c r="D390" s="74"/>
      <c r="E390" s="2" t="s">
        <v>3398</v>
      </c>
      <c r="F390" s="62" t="s">
        <v>3399</v>
      </c>
      <c r="G390" s="12" t="s">
        <v>3400</v>
      </c>
      <c r="H390" s="11" t="s">
        <v>3401</v>
      </c>
      <c r="I390" s="11" t="s">
        <v>3225</v>
      </c>
      <c r="J390" s="11" t="s">
        <v>3328</v>
      </c>
      <c r="K390" s="11" t="s">
        <v>3388</v>
      </c>
      <c r="L390" s="11" t="s">
        <v>3361</v>
      </c>
      <c r="M390" s="11" t="s">
        <v>3402</v>
      </c>
      <c r="N390" s="11" t="s">
        <v>3373</v>
      </c>
      <c r="O390" s="11" t="s">
        <v>3403</v>
      </c>
      <c r="P390" s="11" t="s">
        <v>3330</v>
      </c>
      <c r="Q390" s="8"/>
    </row>
    <row r="391" spans="1:17" ht="409.6" x14ac:dyDescent="0.2">
      <c r="A391" s="8" t="s">
        <v>3404</v>
      </c>
      <c r="B391" s="74"/>
      <c r="C391" s="74"/>
      <c r="D391" s="74"/>
      <c r="E391" s="2" t="s">
        <v>3405</v>
      </c>
      <c r="F391" s="62" t="s">
        <v>3406</v>
      </c>
      <c r="G391" s="12" t="s">
        <v>3407</v>
      </c>
      <c r="H391" s="11" t="s">
        <v>3359</v>
      </c>
      <c r="I391" s="11" t="s">
        <v>3408</v>
      </c>
      <c r="J391" s="11" t="s">
        <v>3350</v>
      </c>
      <c r="K391" s="11" t="s">
        <v>3388</v>
      </c>
      <c r="L391" s="11" t="s">
        <v>3409</v>
      </c>
      <c r="M391" s="11" t="s">
        <v>3410</v>
      </c>
      <c r="N391" s="11" t="s">
        <v>3353</v>
      </c>
      <c r="O391" s="11" t="s">
        <v>3411</v>
      </c>
      <c r="P391" s="11" t="s">
        <v>3330</v>
      </c>
      <c r="Q391" s="8"/>
    </row>
    <row r="392" spans="1:17" ht="409.6" x14ac:dyDescent="0.2">
      <c r="A392" s="8" t="s">
        <v>3412</v>
      </c>
      <c r="B392" s="74"/>
      <c r="C392" s="74"/>
      <c r="D392" s="74"/>
      <c r="E392" s="2" t="s">
        <v>3413</v>
      </c>
      <c r="F392" s="62" t="s">
        <v>3414</v>
      </c>
      <c r="G392" s="63" t="s">
        <v>3249</v>
      </c>
      <c r="H392" s="11" t="s">
        <v>3415</v>
      </c>
      <c r="I392" s="11" t="s">
        <v>3296</v>
      </c>
      <c r="J392" s="11" t="s">
        <v>3416</v>
      </c>
      <c r="K392" s="11" t="s">
        <v>3417</v>
      </c>
      <c r="L392" s="11" t="s">
        <v>3418</v>
      </c>
      <c r="M392" s="11" t="s">
        <v>3419</v>
      </c>
      <c r="N392" s="11" t="s">
        <v>3256</v>
      </c>
      <c r="O392" s="11" t="s">
        <v>3374</v>
      </c>
      <c r="P392" s="11" t="s">
        <v>3330</v>
      </c>
      <c r="Q392" s="8" t="s">
        <v>984</v>
      </c>
    </row>
    <row r="393" spans="1:17" ht="409.6" x14ac:dyDescent="0.2">
      <c r="A393" s="8" t="s">
        <v>3420</v>
      </c>
      <c r="B393" s="74"/>
      <c r="C393" s="74"/>
      <c r="D393" s="74"/>
      <c r="E393" s="2" t="s">
        <v>3421</v>
      </c>
      <c r="F393" s="62" t="s">
        <v>3422</v>
      </c>
      <c r="G393" s="12" t="s">
        <v>3249</v>
      </c>
      <c r="H393" s="11" t="s">
        <v>3369</v>
      </c>
      <c r="I393" s="11" t="s">
        <v>3423</v>
      </c>
      <c r="J393" s="11" t="s">
        <v>3424</v>
      </c>
      <c r="K393" s="11" t="s">
        <v>3425</v>
      </c>
      <c r="L393" s="11" t="s">
        <v>3426</v>
      </c>
      <c r="M393" s="11" t="s">
        <v>3427</v>
      </c>
      <c r="N393" s="11" t="s">
        <v>3256</v>
      </c>
      <c r="O393" s="11" t="s">
        <v>3428</v>
      </c>
      <c r="P393" s="11" t="s">
        <v>3429</v>
      </c>
      <c r="Q393" s="8" t="s">
        <v>984</v>
      </c>
    </row>
    <row r="394" spans="1:17" ht="409.6" x14ac:dyDescent="0.2">
      <c r="A394" s="8" t="s">
        <v>3430</v>
      </c>
      <c r="B394" s="74"/>
      <c r="C394" s="74"/>
      <c r="D394" s="74"/>
      <c r="E394" s="2" t="s">
        <v>3431</v>
      </c>
      <c r="F394" s="62" t="s">
        <v>3432</v>
      </c>
      <c r="G394" s="12" t="s">
        <v>3209</v>
      </c>
      <c r="H394" s="11" t="s">
        <v>3359</v>
      </c>
      <c r="I394" s="11" t="s">
        <v>3225</v>
      </c>
      <c r="J394" s="11" t="s">
        <v>3433</v>
      </c>
      <c r="K394" s="11" t="s">
        <v>3417</v>
      </c>
      <c r="L394" s="11" t="s">
        <v>3434</v>
      </c>
      <c r="M394" s="11" t="s">
        <v>3435</v>
      </c>
      <c r="N394" s="11" t="s">
        <v>3373</v>
      </c>
      <c r="O394" s="11" t="s">
        <v>3396</v>
      </c>
      <c r="P394" s="11" t="s">
        <v>3330</v>
      </c>
      <c r="Q394" s="8" t="s">
        <v>984</v>
      </c>
    </row>
    <row r="395" spans="1:17" ht="409.6" x14ac:dyDescent="0.2">
      <c r="A395" s="8" t="s">
        <v>3436</v>
      </c>
      <c r="B395" s="74"/>
      <c r="C395" s="74"/>
      <c r="D395" s="74"/>
      <c r="E395" s="2" t="s">
        <v>3437</v>
      </c>
      <c r="F395" s="62" t="s">
        <v>3438</v>
      </c>
      <c r="G395" s="12" t="s">
        <v>3209</v>
      </c>
      <c r="H395" s="11" t="s">
        <v>3439</v>
      </c>
      <c r="I395" s="11" t="s">
        <v>3440</v>
      </c>
      <c r="J395" s="11" t="s">
        <v>3441</v>
      </c>
      <c r="K395" s="11" t="s">
        <v>3442</v>
      </c>
      <c r="L395" s="11" t="s">
        <v>3426</v>
      </c>
      <c r="M395" s="11" t="s">
        <v>3443</v>
      </c>
      <c r="N395" s="11" t="s">
        <v>3256</v>
      </c>
      <c r="O395" s="11" t="s">
        <v>3444</v>
      </c>
      <c r="P395" s="11" t="s">
        <v>3330</v>
      </c>
      <c r="Q395" s="8" t="s">
        <v>984</v>
      </c>
    </row>
    <row r="396" spans="1:17" ht="409.6" x14ac:dyDescent="0.2">
      <c r="A396" s="8" t="s">
        <v>3445</v>
      </c>
      <c r="B396" s="74"/>
      <c r="C396" s="74"/>
      <c r="D396" s="74"/>
      <c r="E396" s="2" t="s">
        <v>3446</v>
      </c>
      <c r="F396" s="62" t="s">
        <v>3447</v>
      </c>
      <c r="G396" s="63" t="s">
        <v>3448</v>
      </c>
      <c r="H396" s="11" t="s">
        <v>3449</v>
      </c>
      <c r="I396" s="11" t="s">
        <v>3450</v>
      </c>
      <c r="J396" s="11" t="s">
        <v>3451</v>
      </c>
      <c r="K396" s="11" t="s">
        <v>3452</v>
      </c>
      <c r="L396" s="11" t="s">
        <v>3453</v>
      </c>
      <c r="M396" s="11" t="s">
        <v>3454</v>
      </c>
      <c r="N396" s="11" t="s">
        <v>3256</v>
      </c>
      <c r="O396" s="11" t="s">
        <v>3444</v>
      </c>
      <c r="P396" s="11" t="s">
        <v>3455</v>
      </c>
      <c r="Q396" s="8"/>
    </row>
    <row r="397" spans="1:17" ht="409.6" x14ac:dyDescent="0.2">
      <c r="A397" s="8" t="s">
        <v>3456</v>
      </c>
      <c r="B397" s="74"/>
      <c r="C397" s="74"/>
      <c r="D397" s="74"/>
      <c r="E397" s="2" t="s">
        <v>3457</v>
      </c>
      <c r="F397" s="62" t="s">
        <v>3458</v>
      </c>
      <c r="G397" s="12" t="s">
        <v>3209</v>
      </c>
      <c r="H397" s="11" t="s">
        <v>3459</v>
      </c>
      <c r="I397" s="11" t="s">
        <v>3440</v>
      </c>
      <c r="J397" s="11" t="s">
        <v>3460</v>
      </c>
      <c r="K397" s="11" t="s">
        <v>3417</v>
      </c>
      <c r="L397" s="11" t="s">
        <v>3426</v>
      </c>
      <c r="M397" s="11" t="s">
        <v>3461</v>
      </c>
      <c r="N397" s="11" t="s">
        <v>3373</v>
      </c>
      <c r="O397" s="11" t="s">
        <v>3444</v>
      </c>
      <c r="P397" s="11" t="s">
        <v>3330</v>
      </c>
      <c r="Q397" s="8" t="s">
        <v>984</v>
      </c>
    </row>
    <row r="398" spans="1:17" ht="409.6" x14ac:dyDescent="0.2">
      <c r="A398" s="8" t="s">
        <v>3462</v>
      </c>
      <c r="B398" s="74"/>
      <c r="C398" s="74"/>
      <c r="D398" s="74"/>
      <c r="E398" s="2" t="s">
        <v>3463</v>
      </c>
      <c r="F398" s="62" t="s">
        <v>3464</v>
      </c>
      <c r="G398" s="12" t="s">
        <v>3465</v>
      </c>
      <c r="H398" s="11" t="s">
        <v>3466</v>
      </c>
      <c r="I398" s="11" t="s">
        <v>3225</v>
      </c>
      <c r="J398" s="11" t="s">
        <v>3416</v>
      </c>
      <c r="K398" s="11" t="s">
        <v>3467</v>
      </c>
      <c r="L398" s="11" t="s">
        <v>3468</v>
      </c>
      <c r="M398" s="11" t="s">
        <v>3469</v>
      </c>
      <c r="N398" s="11" t="s">
        <v>3256</v>
      </c>
      <c r="O398" s="11" t="s">
        <v>3470</v>
      </c>
      <c r="P398" s="11" t="s">
        <v>3330</v>
      </c>
      <c r="Q398" s="8" t="s">
        <v>984</v>
      </c>
    </row>
    <row r="399" spans="1:17" ht="409.6" x14ac:dyDescent="0.2">
      <c r="A399" s="8" t="s">
        <v>3471</v>
      </c>
      <c r="B399" s="74"/>
      <c r="C399" s="74"/>
      <c r="D399" s="74"/>
      <c r="E399" s="2" t="s">
        <v>3472</v>
      </c>
      <c r="F399" s="62" t="s">
        <v>3473</v>
      </c>
      <c r="G399" s="12" t="s">
        <v>3474</v>
      </c>
      <c r="H399" s="11" t="s">
        <v>3475</v>
      </c>
      <c r="I399" s="11" t="s">
        <v>3476</v>
      </c>
      <c r="J399" s="11" t="s">
        <v>3477</v>
      </c>
      <c r="K399" s="11" t="s">
        <v>3478</v>
      </c>
      <c r="L399" s="11" t="s">
        <v>3479</v>
      </c>
      <c r="M399" s="11" t="s">
        <v>3480</v>
      </c>
      <c r="N399" s="11" t="s">
        <v>3481</v>
      </c>
      <c r="O399" s="11" t="s">
        <v>3482</v>
      </c>
      <c r="P399" s="11" t="s">
        <v>3483</v>
      </c>
      <c r="Q399" s="8"/>
    </row>
    <row r="400" spans="1:17" ht="409.6" x14ac:dyDescent="0.2">
      <c r="A400" s="8" t="s">
        <v>3484</v>
      </c>
      <c r="B400" s="74"/>
      <c r="C400" s="74"/>
      <c r="D400" s="74"/>
      <c r="E400" s="2" t="s">
        <v>3485</v>
      </c>
      <c r="F400" s="62" t="s">
        <v>3486</v>
      </c>
      <c r="G400" s="12" t="s">
        <v>3487</v>
      </c>
      <c r="H400" s="11" t="s">
        <v>3488</v>
      </c>
      <c r="I400" s="11" t="s">
        <v>3489</v>
      </c>
      <c r="J400" s="11" t="s">
        <v>3490</v>
      </c>
      <c r="K400" s="11" t="s">
        <v>3491</v>
      </c>
      <c r="L400" s="11" t="s">
        <v>3492</v>
      </c>
      <c r="M400" s="11" t="s">
        <v>3493</v>
      </c>
      <c r="N400" s="11" t="s">
        <v>3494</v>
      </c>
      <c r="O400" s="11" t="s">
        <v>3495</v>
      </c>
      <c r="P400" s="11" t="s">
        <v>3496</v>
      </c>
      <c r="Q400" s="8"/>
    </row>
    <row r="401" spans="1:17" ht="409.6" x14ac:dyDescent="0.2">
      <c r="A401" s="8" t="s">
        <v>3497</v>
      </c>
      <c r="B401" s="74"/>
      <c r="C401" s="74"/>
      <c r="D401" s="74"/>
      <c r="E401" s="2" t="s">
        <v>3498</v>
      </c>
      <c r="F401" s="62" t="s">
        <v>3499</v>
      </c>
      <c r="G401" s="12" t="s">
        <v>3500</v>
      </c>
      <c r="H401" s="11" t="s">
        <v>3501</v>
      </c>
      <c r="I401" s="11" t="s">
        <v>3502</v>
      </c>
      <c r="J401" s="11" t="s">
        <v>3503</v>
      </c>
      <c r="K401" s="11" t="s">
        <v>3491</v>
      </c>
      <c r="L401" s="11" t="s">
        <v>3504</v>
      </c>
      <c r="M401" s="11" t="s">
        <v>3505</v>
      </c>
      <c r="N401" s="11" t="s">
        <v>3506</v>
      </c>
      <c r="O401" s="11" t="s">
        <v>3507</v>
      </c>
      <c r="P401" s="11" t="s">
        <v>3508</v>
      </c>
      <c r="Q401" s="8"/>
    </row>
    <row r="402" spans="1:17" ht="409.6" x14ac:dyDescent="0.2">
      <c r="A402" s="8" t="s">
        <v>3509</v>
      </c>
      <c r="B402" s="74"/>
      <c r="C402" s="74"/>
      <c r="D402" s="74"/>
      <c r="E402" s="2" t="s">
        <v>3510</v>
      </c>
      <c r="F402" s="62" t="s">
        <v>3511</v>
      </c>
      <c r="G402" s="12" t="s">
        <v>3512</v>
      </c>
      <c r="H402" s="11" t="s">
        <v>3513</v>
      </c>
      <c r="I402" s="11" t="s">
        <v>3514</v>
      </c>
      <c r="J402" s="11" t="s">
        <v>3515</v>
      </c>
      <c r="K402" s="11" t="s">
        <v>3516</v>
      </c>
      <c r="L402" s="11" t="s">
        <v>3504</v>
      </c>
      <c r="M402" s="11" t="s">
        <v>3517</v>
      </c>
      <c r="N402" s="11" t="s">
        <v>3518</v>
      </c>
      <c r="O402" s="11" t="s">
        <v>3507</v>
      </c>
      <c r="P402" s="11" t="s">
        <v>3519</v>
      </c>
      <c r="Q402" s="8"/>
    </row>
    <row r="403" spans="1:17" ht="409.6" x14ac:dyDescent="0.2">
      <c r="A403" s="8" t="s">
        <v>3520</v>
      </c>
      <c r="B403" s="74"/>
      <c r="C403" s="74"/>
      <c r="D403" s="74"/>
      <c r="E403" s="2" t="s">
        <v>3521</v>
      </c>
      <c r="F403" s="62" t="s">
        <v>3522</v>
      </c>
      <c r="G403" s="12" t="s">
        <v>3523</v>
      </c>
      <c r="H403" s="11" t="s">
        <v>3524</v>
      </c>
      <c r="I403" s="11" t="s">
        <v>3525</v>
      </c>
      <c r="J403" s="11" t="s">
        <v>3526</v>
      </c>
      <c r="K403" s="11" t="s">
        <v>3516</v>
      </c>
      <c r="L403" s="11" t="s">
        <v>3527</v>
      </c>
      <c r="M403" s="11" t="s">
        <v>3528</v>
      </c>
      <c r="N403" s="11" t="s">
        <v>3529</v>
      </c>
      <c r="O403" s="11" t="s">
        <v>3530</v>
      </c>
      <c r="P403" s="11" t="s">
        <v>3531</v>
      </c>
      <c r="Q403" s="8"/>
    </row>
    <row r="404" spans="1:17" ht="409.6" x14ac:dyDescent="0.2">
      <c r="A404" s="8" t="s">
        <v>3532</v>
      </c>
      <c r="B404" s="74"/>
      <c r="C404" s="74"/>
      <c r="D404" s="74"/>
      <c r="E404" s="2" t="s">
        <v>3533</v>
      </c>
      <c r="F404" s="62" t="s">
        <v>3534</v>
      </c>
      <c r="G404" s="12" t="s">
        <v>3535</v>
      </c>
      <c r="H404" s="11" t="s">
        <v>3536</v>
      </c>
      <c r="I404" s="11" t="s">
        <v>3537</v>
      </c>
      <c r="J404" s="11" t="s">
        <v>3538</v>
      </c>
      <c r="K404" s="11" t="s">
        <v>3539</v>
      </c>
      <c r="L404" s="11" t="s">
        <v>3540</v>
      </c>
      <c r="M404" s="11" t="s">
        <v>3541</v>
      </c>
      <c r="N404" s="11" t="s">
        <v>3542</v>
      </c>
      <c r="O404" s="11" t="s">
        <v>3543</v>
      </c>
      <c r="P404" s="11" t="s">
        <v>3544</v>
      </c>
      <c r="Q404" s="8"/>
    </row>
    <row r="405" spans="1:17" ht="409.6" x14ac:dyDescent="0.2">
      <c r="A405" s="8" t="s">
        <v>3545</v>
      </c>
      <c r="B405" s="74"/>
      <c r="C405" s="74"/>
      <c r="D405" s="74"/>
      <c r="E405" s="2" t="s">
        <v>3546</v>
      </c>
      <c r="F405" s="62" t="s">
        <v>3547</v>
      </c>
      <c r="G405" s="12" t="s">
        <v>3548</v>
      </c>
      <c r="H405" s="11" t="s">
        <v>3549</v>
      </c>
      <c r="I405" s="11" t="s">
        <v>3550</v>
      </c>
      <c r="J405" s="11" t="s">
        <v>3515</v>
      </c>
      <c r="K405" s="11" t="s">
        <v>3551</v>
      </c>
      <c r="L405" s="11" t="s">
        <v>3504</v>
      </c>
      <c r="M405" s="11" t="s">
        <v>3552</v>
      </c>
      <c r="N405" s="11" t="s">
        <v>3553</v>
      </c>
      <c r="O405" s="11" t="s">
        <v>3554</v>
      </c>
      <c r="P405" s="11" t="s">
        <v>3519</v>
      </c>
      <c r="Q405" s="8"/>
    </row>
    <row r="406" spans="1:17" ht="409.6" x14ac:dyDescent="0.2">
      <c r="A406" s="8" t="s">
        <v>3555</v>
      </c>
      <c r="B406" s="74"/>
      <c r="C406" s="74"/>
      <c r="D406" s="74"/>
      <c r="E406" s="2" t="s">
        <v>3556</v>
      </c>
      <c r="F406" s="62" t="s">
        <v>3557</v>
      </c>
      <c r="G406" s="12" t="s">
        <v>3558</v>
      </c>
      <c r="H406" s="11" t="s">
        <v>3559</v>
      </c>
      <c r="I406" s="11" t="s">
        <v>3560</v>
      </c>
      <c r="J406" s="11" t="s">
        <v>3561</v>
      </c>
      <c r="K406" s="11" t="s">
        <v>3562</v>
      </c>
      <c r="L406" s="11" t="s">
        <v>3563</v>
      </c>
      <c r="M406" s="11" t="s">
        <v>3564</v>
      </c>
      <c r="N406" s="11" t="s">
        <v>3565</v>
      </c>
      <c r="O406" s="11" t="s">
        <v>3566</v>
      </c>
      <c r="P406" s="11" t="s">
        <v>3567</v>
      </c>
      <c r="Q406" s="8" t="s">
        <v>984</v>
      </c>
    </row>
    <row r="407" spans="1:17" ht="409.6" x14ac:dyDescent="0.2">
      <c r="A407" s="8" t="s">
        <v>3568</v>
      </c>
      <c r="B407" s="74"/>
      <c r="C407" s="74"/>
      <c r="D407" s="74"/>
      <c r="E407" s="2" t="s">
        <v>3569</v>
      </c>
      <c r="F407" s="62" t="s">
        <v>3570</v>
      </c>
      <c r="G407" s="12" t="s">
        <v>3571</v>
      </c>
      <c r="H407" s="11" t="s">
        <v>3572</v>
      </c>
      <c r="I407" s="11" t="s">
        <v>3573</v>
      </c>
      <c r="J407" s="11" t="s">
        <v>3574</v>
      </c>
      <c r="K407" s="11" t="s">
        <v>3575</v>
      </c>
      <c r="L407" s="11" t="s">
        <v>3576</v>
      </c>
      <c r="M407" s="11" t="s">
        <v>3577</v>
      </c>
      <c r="N407" s="11" t="s">
        <v>3578</v>
      </c>
      <c r="O407" s="11" t="s">
        <v>3579</v>
      </c>
      <c r="P407" s="11" t="s">
        <v>3580</v>
      </c>
      <c r="Q407" s="8" t="s">
        <v>984</v>
      </c>
    </row>
    <row r="408" spans="1:17" ht="409.6" x14ac:dyDescent="0.2">
      <c r="A408" s="8" t="s">
        <v>3581</v>
      </c>
      <c r="B408" s="74"/>
      <c r="C408" s="74"/>
      <c r="D408" s="74"/>
      <c r="E408" s="2" t="s">
        <v>3582</v>
      </c>
      <c r="F408" s="62" t="s">
        <v>3583</v>
      </c>
      <c r="G408" s="12" t="s">
        <v>3584</v>
      </c>
      <c r="H408" s="11" t="s">
        <v>3585</v>
      </c>
      <c r="I408" s="11" t="s">
        <v>3225</v>
      </c>
      <c r="J408" s="11" t="s">
        <v>3586</v>
      </c>
      <c r="K408" s="11" t="s">
        <v>3587</v>
      </c>
      <c r="L408" s="11" t="s">
        <v>3434</v>
      </c>
      <c r="M408" s="11" t="s">
        <v>3588</v>
      </c>
      <c r="N408" s="11" t="s">
        <v>3589</v>
      </c>
      <c r="O408" s="11" t="s">
        <v>3590</v>
      </c>
      <c r="P408" s="11" t="s">
        <v>3330</v>
      </c>
      <c r="Q408" s="8"/>
    </row>
    <row r="409" spans="1:17" ht="409.6" x14ac:dyDescent="0.2">
      <c r="A409" s="8" t="s">
        <v>3591</v>
      </c>
      <c r="B409" s="74"/>
      <c r="C409" s="74"/>
      <c r="D409" s="74"/>
      <c r="E409" s="2" t="s">
        <v>3592</v>
      </c>
      <c r="F409" s="62" t="s">
        <v>3593</v>
      </c>
      <c r="G409" s="12" t="s">
        <v>3594</v>
      </c>
      <c r="H409" s="11" t="s">
        <v>3250</v>
      </c>
      <c r="I409" s="11" t="s">
        <v>3225</v>
      </c>
      <c r="J409" s="11" t="s">
        <v>3595</v>
      </c>
      <c r="K409" s="11" t="s">
        <v>3596</v>
      </c>
      <c r="L409" s="11" t="s">
        <v>3597</v>
      </c>
      <c r="M409" s="11" t="s">
        <v>3598</v>
      </c>
      <c r="N409" s="11" t="s">
        <v>3599</v>
      </c>
      <c r="O409" s="11" t="s">
        <v>3600</v>
      </c>
      <c r="P409" s="11" t="s">
        <v>3330</v>
      </c>
      <c r="Q409" s="8" t="s">
        <v>984</v>
      </c>
    </row>
    <row r="410" spans="1:17" ht="409.6" x14ac:dyDescent="0.2">
      <c r="A410" s="8" t="s">
        <v>1247</v>
      </c>
      <c r="B410" s="74"/>
      <c r="C410" s="74"/>
      <c r="D410" s="74"/>
      <c r="E410" s="2" t="s">
        <v>3601</v>
      </c>
      <c r="F410" s="62" t="s">
        <v>3602</v>
      </c>
      <c r="G410" s="12" t="s">
        <v>3603</v>
      </c>
      <c r="H410" s="11" t="s">
        <v>3604</v>
      </c>
      <c r="I410" s="11" t="s">
        <v>3605</v>
      </c>
      <c r="J410" s="11" t="s">
        <v>3606</v>
      </c>
      <c r="K410" s="11" t="s">
        <v>3607</v>
      </c>
      <c r="L410" s="11" t="s">
        <v>3608</v>
      </c>
      <c r="M410" s="11" t="s">
        <v>3609</v>
      </c>
      <c r="N410" s="11" t="s">
        <v>3610</v>
      </c>
      <c r="O410" s="11" t="s">
        <v>3611</v>
      </c>
      <c r="P410" s="11" t="s">
        <v>3330</v>
      </c>
      <c r="Q410" s="8"/>
    </row>
    <row r="411" spans="1:17" ht="409.6" x14ac:dyDescent="0.2">
      <c r="A411" s="8" t="s">
        <v>3612</v>
      </c>
      <c r="B411" s="74"/>
      <c r="C411" s="74"/>
      <c r="D411" s="74"/>
      <c r="E411" s="2" t="s">
        <v>3613</v>
      </c>
      <c r="F411" s="62" t="s">
        <v>3614</v>
      </c>
      <c r="G411" s="12" t="s">
        <v>3615</v>
      </c>
      <c r="H411" s="11" t="s">
        <v>3616</v>
      </c>
      <c r="I411" s="11" t="s">
        <v>3617</v>
      </c>
      <c r="J411" s="11" t="s">
        <v>3618</v>
      </c>
      <c r="K411" s="11" t="s">
        <v>3619</v>
      </c>
      <c r="L411" s="11" t="s">
        <v>3620</v>
      </c>
      <c r="M411" s="11" t="s">
        <v>3621</v>
      </c>
      <c r="N411" s="11" t="s">
        <v>3622</v>
      </c>
      <c r="O411" s="11" t="s">
        <v>3623</v>
      </c>
      <c r="P411" s="11" t="s">
        <v>3624</v>
      </c>
      <c r="Q411" s="8" t="s">
        <v>984</v>
      </c>
    </row>
    <row r="412" spans="1:17" ht="409.6" x14ac:dyDescent="0.2">
      <c r="A412" s="8" t="s">
        <v>1260</v>
      </c>
      <c r="B412" s="74"/>
      <c r="C412" s="74"/>
      <c r="D412" s="74"/>
      <c r="E412" s="2" t="s">
        <v>3625</v>
      </c>
      <c r="F412" s="62" t="s">
        <v>3626</v>
      </c>
      <c r="G412" s="12" t="s">
        <v>3627</v>
      </c>
      <c r="H412" s="11" t="s">
        <v>3628</v>
      </c>
      <c r="I412" s="11" t="s">
        <v>3605</v>
      </c>
      <c r="J412" s="11" t="s">
        <v>3629</v>
      </c>
      <c r="K412" s="11" t="s">
        <v>3630</v>
      </c>
      <c r="L412" s="11" t="s">
        <v>3631</v>
      </c>
      <c r="M412" s="11" t="s">
        <v>3632</v>
      </c>
      <c r="N412" s="11" t="s">
        <v>3633</v>
      </c>
      <c r="O412" s="11" t="s">
        <v>3611</v>
      </c>
      <c r="P412" s="11" t="s">
        <v>3088</v>
      </c>
      <c r="Q412" s="8" t="s">
        <v>984</v>
      </c>
    </row>
    <row r="413" spans="1:17" ht="409.6" x14ac:dyDescent="0.2">
      <c r="A413" s="8" t="s">
        <v>1272</v>
      </c>
      <c r="B413" s="74"/>
      <c r="C413" s="74"/>
      <c r="D413" s="74"/>
      <c r="E413" s="2" t="s">
        <v>3634</v>
      </c>
      <c r="F413" s="62" t="s">
        <v>3635</v>
      </c>
      <c r="G413" s="12" t="s">
        <v>3636</v>
      </c>
      <c r="H413" s="11" t="s">
        <v>3637</v>
      </c>
      <c r="I413" s="11" t="s">
        <v>3638</v>
      </c>
      <c r="J413" s="11" t="s">
        <v>3639</v>
      </c>
      <c r="K413" s="11" t="s">
        <v>3640</v>
      </c>
      <c r="L413" s="11" t="s">
        <v>3641</v>
      </c>
      <c r="M413" s="11" t="s">
        <v>3642</v>
      </c>
      <c r="N413" s="11" t="s">
        <v>3643</v>
      </c>
      <c r="O413" s="11" t="s">
        <v>3644</v>
      </c>
      <c r="P413" s="11" t="s">
        <v>3645</v>
      </c>
      <c r="Q413" s="8"/>
    </row>
    <row r="414" spans="1:17" ht="409.6" x14ac:dyDescent="0.2">
      <c r="A414" s="8" t="s">
        <v>3646</v>
      </c>
      <c r="B414" s="74"/>
      <c r="C414" s="74"/>
      <c r="D414" s="74"/>
      <c r="E414" s="2" t="s">
        <v>3647</v>
      </c>
      <c r="F414" s="62" t="s">
        <v>3648</v>
      </c>
      <c r="G414" s="12" t="s">
        <v>3649</v>
      </c>
      <c r="H414" s="11" t="s">
        <v>3650</v>
      </c>
      <c r="I414" s="11" t="s">
        <v>3651</v>
      </c>
      <c r="J414" s="11" t="s">
        <v>3652</v>
      </c>
      <c r="K414" s="11" t="s">
        <v>3653</v>
      </c>
      <c r="L414" s="11" t="s">
        <v>3654</v>
      </c>
      <c r="M414" s="11" t="s">
        <v>3655</v>
      </c>
      <c r="N414" s="11" t="s">
        <v>3656</v>
      </c>
      <c r="O414" s="11" t="s">
        <v>3657</v>
      </c>
      <c r="P414" s="11" t="s">
        <v>3645</v>
      </c>
      <c r="Q414" s="8"/>
    </row>
    <row r="415" spans="1:17" ht="409.6" x14ac:dyDescent="0.2">
      <c r="A415" s="8" t="s">
        <v>3658</v>
      </c>
      <c r="B415" s="74"/>
      <c r="C415" s="74"/>
      <c r="D415" s="74"/>
      <c r="E415" s="2" t="s">
        <v>3659</v>
      </c>
      <c r="F415" s="62" t="s">
        <v>3660</v>
      </c>
      <c r="G415" s="12" t="s">
        <v>3661</v>
      </c>
      <c r="H415" s="11" t="s">
        <v>3662</v>
      </c>
      <c r="I415" s="11" t="s">
        <v>3638</v>
      </c>
      <c r="J415" s="11" t="s">
        <v>3663</v>
      </c>
      <c r="K415" s="11" t="s">
        <v>3640</v>
      </c>
      <c r="L415" s="11" t="s">
        <v>3654</v>
      </c>
      <c r="M415" s="11" t="s">
        <v>3664</v>
      </c>
      <c r="N415" s="11" t="s">
        <v>3643</v>
      </c>
      <c r="O415" s="11" t="s">
        <v>3665</v>
      </c>
      <c r="P415" s="11" t="s">
        <v>3645</v>
      </c>
      <c r="Q415" s="8"/>
    </row>
    <row r="416" spans="1:17" ht="409.6" x14ac:dyDescent="0.2">
      <c r="A416" s="8" t="s">
        <v>3666</v>
      </c>
      <c r="B416" s="74"/>
      <c r="C416" s="74"/>
      <c r="D416" s="74"/>
      <c r="E416" s="2" t="s">
        <v>3667</v>
      </c>
      <c r="F416" s="62" t="s">
        <v>3668</v>
      </c>
      <c r="G416" s="15" t="s">
        <v>3669</v>
      </c>
      <c r="H416" s="11" t="s">
        <v>3670</v>
      </c>
      <c r="I416" s="11" t="s">
        <v>3651</v>
      </c>
      <c r="J416" s="11" t="s">
        <v>3671</v>
      </c>
      <c r="K416" s="11" t="s">
        <v>3607</v>
      </c>
      <c r="L416" s="11" t="s">
        <v>3654</v>
      </c>
      <c r="M416" s="11" t="s">
        <v>3672</v>
      </c>
      <c r="N416" s="11" t="s">
        <v>3673</v>
      </c>
      <c r="O416" s="11" t="s">
        <v>3674</v>
      </c>
      <c r="P416" s="11" t="s">
        <v>3645</v>
      </c>
      <c r="Q416" s="8"/>
    </row>
    <row r="417" spans="1:17" ht="409.6" x14ac:dyDescent="0.2">
      <c r="A417" s="8" t="s">
        <v>3675</v>
      </c>
      <c r="B417" s="74"/>
      <c r="C417" s="74"/>
      <c r="D417" s="74"/>
      <c r="E417" s="2" t="s">
        <v>3676</v>
      </c>
      <c r="F417" s="62" t="s">
        <v>3677</v>
      </c>
      <c r="G417" s="12" t="s">
        <v>3661</v>
      </c>
      <c r="H417" s="11" t="s">
        <v>3678</v>
      </c>
      <c r="I417" s="11" t="s">
        <v>3651</v>
      </c>
      <c r="J417" s="11" t="s">
        <v>3652</v>
      </c>
      <c r="K417" s="11" t="s">
        <v>3640</v>
      </c>
      <c r="L417" s="11" t="s">
        <v>3679</v>
      </c>
      <c r="M417" s="11" t="s">
        <v>3680</v>
      </c>
      <c r="N417" s="11" t="s">
        <v>3643</v>
      </c>
      <c r="O417" s="11" t="s">
        <v>3681</v>
      </c>
      <c r="P417" s="11" t="s">
        <v>3645</v>
      </c>
      <c r="Q417" s="8"/>
    </row>
    <row r="418" spans="1:17" ht="409.6" x14ac:dyDescent="0.2">
      <c r="A418" s="8" t="s">
        <v>3682</v>
      </c>
      <c r="B418" s="74"/>
      <c r="C418" s="74"/>
      <c r="D418" s="74"/>
      <c r="E418" s="2" t="s">
        <v>3683</v>
      </c>
      <c r="F418" s="62" t="s">
        <v>3684</v>
      </c>
      <c r="G418" s="12" t="s">
        <v>3685</v>
      </c>
      <c r="H418" s="11" t="s">
        <v>3686</v>
      </c>
      <c r="I418" s="11" t="s">
        <v>3651</v>
      </c>
      <c r="J418" s="11" t="s">
        <v>3687</v>
      </c>
      <c r="K418" s="11" t="s">
        <v>3607</v>
      </c>
      <c r="L418" s="11" t="s">
        <v>3688</v>
      </c>
      <c r="M418" s="11" t="s">
        <v>3689</v>
      </c>
      <c r="N418" s="11" t="s">
        <v>3673</v>
      </c>
      <c r="O418" s="11" t="s">
        <v>3690</v>
      </c>
      <c r="P418" s="11" t="s">
        <v>3645</v>
      </c>
      <c r="Q418" s="8"/>
    </row>
    <row r="419" spans="1:17" ht="409.6" x14ac:dyDescent="0.2">
      <c r="A419" s="8" t="s">
        <v>1285</v>
      </c>
      <c r="B419" s="74"/>
      <c r="C419" s="74"/>
      <c r="D419" s="74"/>
      <c r="E419" s="2" t="s">
        <v>3691</v>
      </c>
      <c r="F419" s="62" t="s">
        <v>3692</v>
      </c>
      <c r="G419" s="12" t="s">
        <v>3693</v>
      </c>
      <c r="H419" s="11" t="s">
        <v>3694</v>
      </c>
      <c r="I419" s="11" t="s">
        <v>3695</v>
      </c>
      <c r="J419" s="11" t="s">
        <v>3696</v>
      </c>
      <c r="K419" s="11" t="s">
        <v>3640</v>
      </c>
      <c r="L419" s="11" t="s">
        <v>3697</v>
      </c>
      <c r="M419" s="11" t="s">
        <v>3698</v>
      </c>
      <c r="N419" s="11" t="s">
        <v>3643</v>
      </c>
      <c r="O419" s="11" t="s">
        <v>3699</v>
      </c>
      <c r="P419" s="11" t="s">
        <v>3645</v>
      </c>
      <c r="Q419" s="8"/>
    </row>
    <row r="420" spans="1:17" ht="409.6" x14ac:dyDescent="0.2">
      <c r="A420" s="8" t="s">
        <v>3700</v>
      </c>
      <c r="B420" s="74"/>
      <c r="C420" s="74"/>
      <c r="D420" s="74"/>
      <c r="E420" s="2" t="s">
        <v>3701</v>
      </c>
      <c r="F420" s="62" t="s">
        <v>3702</v>
      </c>
      <c r="G420" s="12" t="s">
        <v>3703</v>
      </c>
      <c r="H420" s="11" t="s">
        <v>3704</v>
      </c>
      <c r="I420" s="11" t="s">
        <v>3651</v>
      </c>
      <c r="J420" s="11" t="s">
        <v>3639</v>
      </c>
      <c r="K420" s="11" t="s">
        <v>3705</v>
      </c>
      <c r="L420" s="11" t="s">
        <v>3706</v>
      </c>
      <c r="M420" s="11" t="s">
        <v>3707</v>
      </c>
      <c r="N420" s="11" t="s">
        <v>3673</v>
      </c>
      <c r="O420" s="11" t="s">
        <v>3708</v>
      </c>
      <c r="P420" s="11" t="s">
        <v>3645</v>
      </c>
      <c r="Q420" s="8"/>
    </row>
    <row r="421" spans="1:17" ht="409.6" x14ac:dyDescent="0.2">
      <c r="A421" s="8" t="s">
        <v>1295</v>
      </c>
      <c r="B421" s="74"/>
      <c r="C421" s="74"/>
      <c r="D421" s="74"/>
      <c r="E421" s="2" t="s">
        <v>3709</v>
      </c>
      <c r="F421" s="62" t="s">
        <v>3710</v>
      </c>
      <c r="G421" s="12" t="s">
        <v>3711</v>
      </c>
      <c r="H421" s="11" t="s">
        <v>3712</v>
      </c>
      <c r="I421" s="11" t="s">
        <v>3713</v>
      </c>
      <c r="J421" s="11" t="s">
        <v>3714</v>
      </c>
      <c r="K421" s="11" t="s">
        <v>3640</v>
      </c>
      <c r="L421" s="11" t="s">
        <v>3715</v>
      </c>
      <c r="M421" s="11" t="s">
        <v>3716</v>
      </c>
      <c r="N421" s="11" t="s">
        <v>3643</v>
      </c>
      <c r="O421" s="11" t="s">
        <v>3717</v>
      </c>
      <c r="P421" s="11" t="s">
        <v>3645</v>
      </c>
      <c r="Q421" s="8"/>
    </row>
    <row r="422" spans="1:17" ht="409.6" x14ac:dyDescent="0.2">
      <c r="A422" s="8" t="s">
        <v>3718</v>
      </c>
      <c r="B422" s="74"/>
      <c r="C422" s="74"/>
      <c r="D422" s="74"/>
      <c r="E422" s="2" t="s">
        <v>3719</v>
      </c>
      <c r="F422" s="62" t="s">
        <v>3720</v>
      </c>
      <c r="G422" s="12" t="s">
        <v>3721</v>
      </c>
      <c r="H422" s="11" t="s">
        <v>3722</v>
      </c>
      <c r="I422" s="11" t="s">
        <v>3651</v>
      </c>
      <c r="J422" s="11" t="s">
        <v>3723</v>
      </c>
      <c r="K422" s="11" t="s">
        <v>3607</v>
      </c>
      <c r="L422" s="11" t="s">
        <v>3724</v>
      </c>
      <c r="M422" s="11" t="s">
        <v>3725</v>
      </c>
      <c r="N422" s="11" t="s">
        <v>3643</v>
      </c>
      <c r="O422" s="11" t="s">
        <v>3726</v>
      </c>
      <c r="P422" s="11" t="s">
        <v>3645</v>
      </c>
      <c r="Q422" s="8"/>
    </row>
    <row r="423" spans="1:17" ht="409.6" x14ac:dyDescent="0.2">
      <c r="A423" s="8" t="s">
        <v>3727</v>
      </c>
      <c r="B423" s="74"/>
      <c r="C423" s="74"/>
      <c r="D423" s="74"/>
      <c r="E423" s="2" t="s">
        <v>3728</v>
      </c>
      <c r="F423" s="62" t="s">
        <v>3729</v>
      </c>
      <c r="G423" s="12" t="s">
        <v>3730</v>
      </c>
      <c r="H423" s="11" t="s">
        <v>3731</v>
      </c>
      <c r="I423" s="11" t="s">
        <v>3713</v>
      </c>
      <c r="J423" s="11" t="s">
        <v>3714</v>
      </c>
      <c r="K423" s="11" t="s">
        <v>3653</v>
      </c>
      <c r="L423" s="11" t="s">
        <v>3732</v>
      </c>
      <c r="M423" s="11" t="s">
        <v>3733</v>
      </c>
      <c r="N423" s="11" t="s">
        <v>3656</v>
      </c>
      <c r="O423" s="11" t="s">
        <v>3734</v>
      </c>
      <c r="P423" s="11" t="s">
        <v>3645</v>
      </c>
      <c r="Q423" s="8"/>
    </row>
    <row r="424" spans="1:17" ht="409.6" x14ac:dyDescent="0.2">
      <c r="A424" s="8" t="s">
        <v>3735</v>
      </c>
      <c r="B424" s="74"/>
      <c r="C424" s="74"/>
      <c r="D424" s="74"/>
      <c r="E424" s="2" t="s">
        <v>3736</v>
      </c>
      <c r="F424" s="62" t="s">
        <v>3737</v>
      </c>
      <c r="G424" s="12" t="s">
        <v>3738</v>
      </c>
      <c r="H424" s="11" t="s">
        <v>3739</v>
      </c>
      <c r="I424" s="11" t="s">
        <v>3740</v>
      </c>
      <c r="J424" s="11" t="s">
        <v>3714</v>
      </c>
      <c r="K424" s="11" t="s">
        <v>3741</v>
      </c>
      <c r="L424" s="11" t="s">
        <v>3742</v>
      </c>
      <c r="M424" s="11" t="s">
        <v>3743</v>
      </c>
      <c r="N424" s="11" t="s">
        <v>3744</v>
      </c>
      <c r="O424" s="11" t="s">
        <v>3745</v>
      </c>
      <c r="P424" s="11" t="s">
        <v>3645</v>
      </c>
      <c r="Q424" s="8"/>
    </row>
    <row r="425" spans="1:17" ht="409.6" x14ac:dyDescent="0.2">
      <c r="A425" s="8" t="s">
        <v>3746</v>
      </c>
      <c r="B425" s="74"/>
      <c r="C425" s="74"/>
      <c r="D425" s="74"/>
      <c r="E425" s="2" t="s">
        <v>3747</v>
      </c>
      <c r="F425" s="62" t="s">
        <v>3748</v>
      </c>
      <c r="G425" s="12" t="s">
        <v>3749</v>
      </c>
      <c r="H425" s="11" t="s">
        <v>3750</v>
      </c>
      <c r="I425" s="11" t="s">
        <v>3751</v>
      </c>
      <c r="J425" s="11" t="s">
        <v>3639</v>
      </c>
      <c r="K425" s="11" t="s">
        <v>3640</v>
      </c>
      <c r="L425" s="11" t="s">
        <v>3752</v>
      </c>
      <c r="M425" s="11" t="s">
        <v>3753</v>
      </c>
      <c r="N425" s="11" t="s">
        <v>3643</v>
      </c>
      <c r="O425" s="11" t="s">
        <v>3754</v>
      </c>
      <c r="P425" s="11" t="s">
        <v>3645</v>
      </c>
      <c r="Q425" s="8"/>
    </row>
    <row r="426" spans="1:17" ht="409.6" x14ac:dyDescent="0.2">
      <c r="A426" s="8" t="s">
        <v>1303</v>
      </c>
      <c r="B426" s="74"/>
      <c r="C426" s="74"/>
      <c r="D426" s="74"/>
      <c r="E426" s="2" t="s">
        <v>3755</v>
      </c>
      <c r="F426" s="62" t="s">
        <v>3756</v>
      </c>
      <c r="G426" s="12" t="s">
        <v>3649</v>
      </c>
      <c r="H426" s="11" t="s">
        <v>3757</v>
      </c>
      <c r="I426" s="11" t="s">
        <v>3758</v>
      </c>
      <c r="J426" s="11" t="s">
        <v>3723</v>
      </c>
      <c r="K426" s="11" t="s">
        <v>3607</v>
      </c>
      <c r="L426" s="11" t="s">
        <v>3759</v>
      </c>
      <c r="M426" s="11" t="s">
        <v>3760</v>
      </c>
      <c r="N426" s="11" t="s">
        <v>3673</v>
      </c>
      <c r="O426" s="11" t="s">
        <v>3761</v>
      </c>
      <c r="P426" s="11" t="s">
        <v>3645</v>
      </c>
      <c r="Q426" s="8"/>
    </row>
    <row r="427" spans="1:17" ht="409.6" x14ac:dyDescent="0.2">
      <c r="A427" s="8" t="s">
        <v>3746</v>
      </c>
      <c r="B427" s="74"/>
      <c r="C427" s="74"/>
      <c r="D427" s="74"/>
      <c r="E427" s="2" t="s">
        <v>3747</v>
      </c>
      <c r="F427" s="62" t="s">
        <v>3748</v>
      </c>
      <c r="G427" s="12" t="s">
        <v>3749</v>
      </c>
      <c r="H427" s="11" t="s">
        <v>3750</v>
      </c>
      <c r="I427" s="11" t="s">
        <v>3751</v>
      </c>
      <c r="J427" s="11" t="s">
        <v>3639</v>
      </c>
      <c r="K427" s="11" t="s">
        <v>3640</v>
      </c>
      <c r="L427" s="11" t="s">
        <v>3752</v>
      </c>
      <c r="M427" s="11" t="s">
        <v>3753</v>
      </c>
      <c r="N427" s="11" t="s">
        <v>3643</v>
      </c>
      <c r="O427" s="11" t="s">
        <v>3754</v>
      </c>
      <c r="P427" s="11" t="s">
        <v>3645</v>
      </c>
      <c r="Q427" s="8"/>
    </row>
    <row r="428" spans="1:17" ht="409.6" x14ac:dyDescent="0.2">
      <c r="A428" s="8" t="s">
        <v>3735</v>
      </c>
      <c r="B428" s="74"/>
      <c r="C428" s="74"/>
      <c r="D428" s="74"/>
      <c r="E428" s="2" t="s">
        <v>3736</v>
      </c>
      <c r="F428" s="62" t="s">
        <v>3737</v>
      </c>
      <c r="G428" s="12" t="s">
        <v>3762</v>
      </c>
      <c r="H428" s="11" t="s">
        <v>3739</v>
      </c>
      <c r="I428" s="11" t="s">
        <v>3740</v>
      </c>
      <c r="J428" s="11" t="s">
        <v>3714</v>
      </c>
      <c r="K428" s="11" t="s">
        <v>3741</v>
      </c>
      <c r="L428" s="11" t="s">
        <v>3742</v>
      </c>
      <c r="M428" s="11" t="s">
        <v>3743</v>
      </c>
      <c r="N428" s="11" t="s">
        <v>3744</v>
      </c>
      <c r="O428" s="11" t="s">
        <v>3745</v>
      </c>
      <c r="P428" s="11" t="s">
        <v>3645</v>
      </c>
      <c r="Q428" s="8"/>
    </row>
    <row r="429" spans="1:17" ht="409.6" x14ac:dyDescent="0.2">
      <c r="A429" s="8" t="s">
        <v>3727</v>
      </c>
      <c r="B429" s="74"/>
      <c r="C429" s="74"/>
      <c r="D429" s="74"/>
      <c r="E429" s="2" t="s">
        <v>3728</v>
      </c>
      <c r="F429" s="62" t="s">
        <v>3729</v>
      </c>
      <c r="G429" s="12" t="s">
        <v>3763</v>
      </c>
      <c r="H429" s="11" t="s">
        <v>3712</v>
      </c>
      <c r="I429" s="11" t="s">
        <v>3713</v>
      </c>
      <c r="J429" s="11" t="s">
        <v>3714</v>
      </c>
      <c r="K429" s="11" t="s">
        <v>3653</v>
      </c>
      <c r="L429" s="11" t="s">
        <v>3732</v>
      </c>
      <c r="M429" s="11" t="s">
        <v>3733</v>
      </c>
      <c r="N429" s="11" t="s">
        <v>3656</v>
      </c>
      <c r="O429" s="11" t="s">
        <v>3734</v>
      </c>
      <c r="P429" s="11" t="s">
        <v>3645</v>
      </c>
      <c r="Q429" s="8"/>
    </row>
    <row r="430" spans="1:17" ht="409.6" x14ac:dyDescent="0.2">
      <c r="A430" s="8" t="s">
        <v>3718</v>
      </c>
      <c r="B430" s="74"/>
      <c r="C430" s="74"/>
      <c r="D430" s="74"/>
      <c r="E430" s="2" t="s">
        <v>3764</v>
      </c>
      <c r="F430" s="62" t="s">
        <v>3765</v>
      </c>
      <c r="G430" s="12" t="s">
        <v>3766</v>
      </c>
      <c r="H430" s="11" t="s">
        <v>3767</v>
      </c>
      <c r="I430" s="11" t="s">
        <v>3651</v>
      </c>
      <c r="J430" s="11" t="s">
        <v>3723</v>
      </c>
      <c r="K430" s="11" t="s">
        <v>3607</v>
      </c>
      <c r="L430" s="11" t="s">
        <v>3724</v>
      </c>
      <c r="M430" s="11" t="s">
        <v>3725</v>
      </c>
      <c r="N430" s="11" t="s">
        <v>3673</v>
      </c>
      <c r="O430" s="11" t="s">
        <v>3768</v>
      </c>
      <c r="P430" s="11" t="s">
        <v>3645</v>
      </c>
      <c r="Q430" s="8"/>
    </row>
    <row r="431" spans="1:17" ht="409.6" x14ac:dyDescent="0.2">
      <c r="A431" s="8" t="s">
        <v>1295</v>
      </c>
      <c r="B431" s="74"/>
      <c r="C431" s="74"/>
      <c r="D431" s="74"/>
      <c r="E431" s="2" t="s">
        <v>3769</v>
      </c>
      <c r="F431" s="62" t="s">
        <v>3770</v>
      </c>
      <c r="G431" s="12" t="s">
        <v>3771</v>
      </c>
      <c r="H431" s="11" t="s">
        <v>3772</v>
      </c>
      <c r="I431" s="11" t="s">
        <v>3713</v>
      </c>
      <c r="J431" s="11" t="s">
        <v>3714</v>
      </c>
      <c r="K431" s="11" t="s">
        <v>3640</v>
      </c>
      <c r="L431" s="11" t="s">
        <v>3773</v>
      </c>
      <c r="M431" s="11" t="s">
        <v>3774</v>
      </c>
      <c r="N431" s="11" t="s">
        <v>3643</v>
      </c>
      <c r="O431" s="11" t="s">
        <v>3775</v>
      </c>
      <c r="P431" s="11" t="s">
        <v>3645</v>
      </c>
      <c r="Q431" s="8"/>
    </row>
    <row r="432" spans="1:17" ht="409.6" x14ac:dyDescent="0.2">
      <c r="A432" s="8" t="s">
        <v>3700</v>
      </c>
      <c r="B432" s="74"/>
      <c r="C432" s="74"/>
      <c r="D432" s="74"/>
      <c r="E432" s="2" t="s">
        <v>3701</v>
      </c>
      <c r="F432" s="62" t="s">
        <v>3702</v>
      </c>
      <c r="G432" s="12" t="s">
        <v>3776</v>
      </c>
      <c r="H432" s="11" t="s">
        <v>3772</v>
      </c>
      <c r="I432" s="11" t="s">
        <v>3777</v>
      </c>
      <c r="J432" s="11" t="s">
        <v>3639</v>
      </c>
      <c r="K432" s="11" t="s">
        <v>3705</v>
      </c>
      <c r="L432" s="11" t="s">
        <v>3778</v>
      </c>
      <c r="M432" s="11" t="s">
        <v>3707</v>
      </c>
      <c r="N432" s="11" t="s">
        <v>3673</v>
      </c>
      <c r="O432" s="11" t="s">
        <v>3708</v>
      </c>
      <c r="P432" s="11" t="s">
        <v>3645</v>
      </c>
      <c r="Q432" s="8"/>
    </row>
    <row r="433" spans="1:17" ht="409.6" x14ac:dyDescent="0.2">
      <c r="A433" s="8" t="s">
        <v>1285</v>
      </c>
      <c r="B433" s="74"/>
      <c r="C433" s="74"/>
      <c r="D433" s="74"/>
      <c r="E433" s="2" t="s">
        <v>3779</v>
      </c>
      <c r="F433" s="62" t="s">
        <v>3780</v>
      </c>
      <c r="G433" s="12" t="s">
        <v>3781</v>
      </c>
      <c r="H433" s="11" t="s">
        <v>3782</v>
      </c>
      <c r="I433" s="11" t="s">
        <v>3783</v>
      </c>
      <c r="J433" s="11" t="s">
        <v>3784</v>
      </c>
      <c r="K433" s="11" t="s">
        <v>3785</v>
      </c>
      <c r="L433" s="11" t="s">
        <v>3786</v>
      </c>
      <c r="M433" s="11" t="s">
        <v>3787</v>
      </c>
      <c r="N433" s="11" t="s">
        <v>3788</v>
      </c>
      <c r="O433" s="11" t="s">
        <v>3789</v>
      </c>
      <c r="P433" s="11" t="s">
        <v>3790</v>
      </c>
      <c r="Q433" s="8" t="s">
        <v>984</v>
      </c>
    </row>
    <row r="434" spans="1:17" ht="285" x14ac:dyDescent="0.2">
      <c r="A434" s="8" t="s">
        <v>3682</v>
      </c>
      <c r="B434" s="74"/>
      <c r="C434" s="74"/>
      <c r="D434" s="74"/>
      <c r="E434" s="2" t="s">
        <v>3791</v>
      </c>
      <c r="F434" s="62" t="s">
        <v>3792</v>
      </c>
      <c r="G434" s="12" t="s">
        <v>3793</v>
      </c>
      <c r="H434" s="11" t="s">
        <v>3794</v>
      </c>
      <c r="I434" s="11" t="s">
        <v>3795</v>
      </c>
      <c r="J434" s="11" t="s">
        <v>3796</v>
      </c>
      <c r="K434" s="11" t="s">
        <v>3797</v>
      </c>
      <c r="L434" s="11" t="s">
        <v>3798</v>
      </c>
      <c r="M434" s="11" t="s">
        <v>3799</v>
      </c>
      <c r="N434" s="11" t="s">
        <v>3800</v>
      </c>
      <c r="O434" s="11" t="s">
        <v>3801</v>
      </c>
      <c r="P434" s="11" t="s">
        <v>3802</v>
      </c>
      <c r="Q434" s="8" t="s">
        <v>984</v>
      </c>
    </row>
    <row r="435" spans="1:17" ht="409.6" x14ac:dyDescent="0.2">
      <c r="A435" s="8" t="s">
        <v>3675</v>
      </c>
      <c r="B435" s="74"/>
      <c r="C435" s="74"/>
      <c r="D435" s="74"/>
      <c r="E435" s="2" t="s">
        <v>3803</v>
      </c>
      <c r="F435" s="62" t="s">
        <v>3804</v>
      </c>
      <c r="G435" s="12" t="s">
        <v>3805</v>
      </c>
      <c r="H435" s="11" t="s">
        <v>3806</v>
      </c>
      <c r="I435" s="11" t="s">
        <v>3807</v>
      </c>
      <c r="J435" s="11" t="s">
        <v>3808</v>
      </c>
      <c r="K435" s="11" t="s">
        <v>3809</v>
      </c>
      <c r="L435" s="11" t="s">
        <v>3810</v>
      </c>
      <c r="M435" s="11" t="s">
        <v>3811</v>
      </c>
      <c r="N435" s="11" t="s">
        <v>3812</v>
      </c>
      <c r="O435" s="11" t="s">
        <v>3813</v>
      </c>
      <c r="P435" s="11" t="s">
        <v>3814</v>
      </c>
      <c r="Q435" s="8" t="s">
        <v>984</v>
      </c>
    </row>
    <row r="436" spans="1:17" ht="409.6" x14ac:dyDescent="0.2">
      <c r="A436" s="8" t="s">
        <v>3666</v>
      </c>
      <c r="B436" s="74"/>
      <c r="C436" s="74"/>
      <c r="D436" s="74"/>
      <c r="E436" s="2" t="s">
        <v>3815</v>
      </c>
      <c r="F436" s="62" t="s">
        <v>3816</v>
      </c>
      <c r="G436" s="12" t="s">
        <v>3817</v>
      </c>
      <c r="H436" s="11" t="s">
        <v>3818</v>
      </c>
      <c r="I436" s="11" t="s">
        <v>3819</v>
      </c>
      <c r="J436" s="11" t="s">
        <v>3820</v>
      </c>
      <c r="K436" s="11" t="s">
        <v>3821</v>
      </c>
      <c r="L436" s="11" t="s">
        <v>3822</v>
      </c>
      <c r="M436" s="11" t="s">
        <v>3823</v>
      </c>
      <c r="N436" s="11" t="s">
        <v>3824</v>
      </c>
      <c r="O436" s="11" t="s">
        <v>3825</v>
      </c>
      <c r="P436" s="11" t="s">
        <v>3826</v>
      </c>
      <c r="Q436" s="8" t="s">
        <v>984</v>
      </c>
    </row>
    <row r="437" spans="1:17" ht="409.6" x14ac:dyDescent="0.2">
      <c r="A437" s="8" t="s">
        <v>3658</v>
      </c>
      <c r="B437" s="74"/>
      <c r="C437" s="74"/>
      <c r="D437" s="74"/>
      <c r="E437" s="2" t="s">
        <v>3827</v>
      </c>
      <c r="F437" s="62" t="s">
        <v>3828</v>
      </c>
      <c r="G437" s="12" t="s">
        <v>3829</v>
      </c>
      <c r="H437" s="11" t="s">
        <v>3830</v>
      </c>
      <c r="I437" s="11" t="s">
        <v>3831</v>
      </c>
      <c r="J437" s="11" t="s">
        <v>3832</v>
      </c>
      <c r="K437" s="11" t="s">
        <v>3833</v>
      </c>
      <c r="L437" s="11" t="s">
        <v>3834</v>
      </c>
      <c r="M437" s="11" t="s">
        <v>3835</v>
      </c>
      <c r="N437" s="11" t="s">
        <v>3836</v>
      </c>
      <c r="O437" s="11" t="s">
        <v>3837</v>
      </c>
      <c r="P437" s="11" t="s">
        <v>3838</v>
      </c>
      <c r="Q437" s="8"/>
    </row>
    <row r="438" spans="1:17" ht="409.6" x14ac:dyDescent="0.2">
      <c r="A438" s="8" t="s">
        <v>3646</v>
      </c>
      <c r="B438" s="74"/>
      <c r="C438" s="74"/>
      <c r="D438" s="74"/>
      <c r="E438" s="2" t="s">
        <v>3839</v>
      </c>
      <c r="F438" s="62" t="s">
        <v>3840</v>
      </c>
      <c r="G438" s="12" t="s">
        <v>3841</v>
      </c>
      <c r="H438" s="65" t="s">
        <v>3842</v>
      </c>
      <c r="I438" s="11" t="s">
        <v>3843</v>
      </c>
      <c r="J438" s="11" t="s">
        <v>3844</v>
      </c>
      <c r="K438" s="11" t="s">
        <v>3845</v>
      </c>
      <c r="L438" s="11" t="s">
        <v>3846</v>
      </c>
      <c r="M438" s="11" t="s">
        <v>3847</v>
      </c>
      <c r="N438" s="11" t="s">
        <v>3848</v>
      </c>
      <c r="O438" s="11" t="s">
        <v>3849</v>
      </c>
      <c r="P438" s="11" t="s">
        <v>3850</v>
      </c>
      <c r="Q438" s="8"/>
    </row>
    <row r="439" spans="1:17" ht="409.6" x14ac:dyDescent="0.2">
      <c r="A439" s="8" t="s">
        <v>1272</v>
      </c>
      <c r="B439" s="74"/>
      <c r="C439" s="74"/>
      <c r="D439" s="74"/>
      <c r="E439" s="2" t="s">
        <v>3851</v>
      </c>
      <c r="F439" s="62" t="s">
        <v>3852</v>
      </c>
      <c r="G439" s="15" t="s">
        <v>3853</v>
      </c>
      <c r="H439" s="11" t="s">
        <v>3854</v>
      </c>
      <c r="I439" s="11" t="s">
        <v>3855</v>
      </c>
      <c r="J439" s="11" t="s">
        <v>3856</v>
      </c>
      <c r="K439" s="11" t="s">
        <v>3857</v>
      </c>
      <c r="L439" s="11" t="s">
        <v>3858</v>
      </c>
      <c r="M439" s="11" t="s">
        <v>3859</v>
      </c>
      <c r="N439" s="11" t="s">
        <v>3860</v>
      </c>
      <c r="O439" s="11" t="s">
        <v>3861</v>
      </c>
      <c r="P439" s="11" t="s">
        <v>3862</v>
      </c>
      <c r="Q439" s="8"/>
    </row>
    <row r="440" spans="1:17" ht="409.6" x14ac:dyDescent="0.2">
      <c r="A440" s="8" t="s">
        <v>1260</v>
      </c>
      <c r="B440" s="74"/>
      <c r="C440" s="74"/>
      <c r="D440" s="74"/>
      <c r="E440" s="2" t="s">
        <v>3863</v>
      </c>
      <c r="F440" s="62" t="s">
        <v>3864</v>
      </c>
      <c r="G440" s="12" t="s">
        <v>3865</v>
      </c>
      <c r="H440" s="11" t="s">
        <v>3866</v>
      </c>
      <c r="I440" s="11" t="s">
        <v>3867</v>
      </c>
      <c r="J440" s="11" t="s">
        <v>3868</v>
      </c>
      <c r="K440" s="11" t="s">
        <v>3869</v>
      </c>
      <c r="L440" s="11" t="s">
        <v>3870</v>
      </c>
      <c r="M440" s="11" t="s">
        <v>3871</v>
      </c>
      <c r="N440" s="11" t="s">
        <v>3872</v>
      </c>
      <c r="O440" s="11" t="s">
        <v>3873</v>
      </c>
      <c r="P440" s="11" t="s">
        <v>3874</v>
      </c>
      <c r="Q440" s="8"/>
    </row>
    <row r="441" spans="1:17" ht="409.6" x14ac:dyDescent="0.2">
      <c r="A441" s="8" t="s">
        <v>3612</v>
      </c>
      <c r="B441" s="74"/>
      <c r="C441" s="74"/>
      <c r="D441" s="74"/>
      <c r="E441" s="2" t="s">
        <v>3875</v>
      </c>
      <c r="F441" s="62" t="s">
        <v>3876</v>
      </c>
      <c r="G441" s="12" t="s">
        <v>3877</v>
      </c>
      <c r="H441" s="11" t="s">
        <v>3878</v>
      </c>
      <c r="I441" s="11" t="s">
        <v>3879</v>
      </c>
      <c r="J441" s="11" t="s">
        <v>3880</v>
      </c>
      <c r="K441" s="11" t="s">
        <v>3881</v>
      </c>
      <c r="L441" s="11" t="s">
        <v>3882</v>
      </c>
      <c r="M441" s="11" t="s">
        <v>3883</v>
      </c>
      <c r="N441" s="11" t="s">
        <v>3884</v>
      </c>
      <c r="O441" s="11" t="s">
        <v>3885</v>
      </c>
      <c r="P441" s="11" t="s">
        <v>3886</v>
      </c>
      <c r="Q441" s="8" t="s">
        <v>984</v>
      </c>
    </row>
    <row r="442" spans="1:17" ht="409.6" x14ac:dyDescent="0.2">
      <c r="A442" s="8" t="s">
        <v>1247</v>
      </c>
      <c r="B442" s="74"/>
      <c r="C442" s="74"/>
      <c r="D442" s="74"/>
      <c r="E442" s="2" t="s">
        <v>3887</v>
      </c>
      <c r="F442" s="62" t="s">
        <v>3888</v>
      </c>
      <c r="G442" s="12" t="s">
        <v>3889</v>
      </c>
      <c r="H442" s="11" t="s">
        <v>3890</v>
      </c>
      <c r="I442" s="11" t="s">
        <v>3891</v>
      </c>
      <c r="J442" s="11" t="s">
        <v>3892</v>
      </c>
      <c r="K442" s="11" t="s">
        <v>3893</v>
      </c>
      <c r="L442" s="11" t="s">
        <v>3894</v>
      </c>
      <c r="M442" s="11" t="s">
        <v>3895</v>
      </c>
      <c r="N442" s="11" t="s">
        <v>3896</v>
      </c>
      <c r="O442" s="11" t="s">
        <v>3897</v>
      </c>
      <c r="P442" s="11" t="s">
        <v>3898</v>
      </c>
      <c r="Q442" s="8"/>
    </row>
    <row r="443" spans="1:17" ht="409.6" x14ac:dyDescent="0.2">
      <c r="A443" s="8" t="s">
        <v>3899</v>
      </c>
      <c r="B443" s="74"/>
      <c r="C443" s="74"/>
      <c r="D443" s="74"/>
      <c r="E443" s="11" t="s">
        <v>3900</v>
      </c>
      <c r="F443" s="2" t="s">
        <v>3901</v>
      </c>
      <c r="G443" s="15" t="s">
        <v>3902</v>
      </c>
      <c r="H443" s="2" t="s">
        <v>3903</v>
      </c>
      <c r="I443" s="11" t="s">
        <v>3904</v>
      </c>
      <c r="J443" s="11" t="s">
        <v>3905</v>
      </c>
      <c r="K443" s="11" t="s">
        <v>3906</v>
      </c>
      <c r="L443" s="11" t="s">
        <v>3907</v>
      </c>
      <c r="M443" s="11" t="s">
        <v>3908</v>
      </c>
      <c r="N443" s="11" t="s">
        <v>3909</v>
      </c>
      <c r="O443" s="11" t="s">
        <v>3910</v>
      </c>
      <c r="P443" s="11" t="s">
        <v>3911</v>
      </c>
      <c r="Q443" s="8"/>
    </row>
    <row r="444" spans="1:17" ht="409.6" x14ac:dyDescent="0.2">
      <c r="A444" s="8" t="s">
        <v>3912</v>
      </c>
      <c r="B444" s="74"/>
      <c r="C444" s="74"/>
      <c r="D444" s="74"/>
      <c r="E444" s="11" t="s">
        <v>3913</v>
      </c>
      <c r="F444" s="11" t="s">
        <v>3914</v>
      </c>
      <c r="G444" s="12" t="s">
        <v>3915</v>
      </c>
      <c r="H444" s="11" t="s">
        <v>3916</v>
      </c>
      <c r="I444" s="11" t="s">
        <v>3917</v>
      </c>
      <c r="J444" s="11" t="s">
        <v>3918</v>
      </c>
      <c r="K444" s="11" t="s">
        <v>3919</v>
      </c>
      <c r="L444" s="11" t="s">
        <v>3920</v>
      </c>
      <c r="M444" s="11" t="s">
        <v>3921</v>
      </c>
      <c r="N444" s="11" t="s">
        <v>3922</v>
      </c>
      <c r="O444" s="11" t="s">
        <v>3923</v>
      </c>
      <c r="P444" s="11" t="s">
        <v>3924</v>
      </c>
      <c r="Q444" s="8"/>
    </row>
    <row r="445" spans="1:17" ht="409.6" x14ac:dyDescent="0.2">
      <c r="A445" s="8" t="s">
        <v>3925</v>
      </c>
      <c r="B445" s="74"/>
      <c r="C445" s="74"/>
      <c r="D445" s="74"/>
      <c r="E445" s="11" t="s">
        <v>3926</v>
      </c>
      <c r="F445" s="66" t="s">
        <v>3927</v>
      </c>
      <c r="G445" s="12" t="s">
        <v>3928</v>
      </c>
      <c r="H445" s="11" t="s">
        <v>3929</v>
      </c>
      <c r="I445" s="11" t="s">
        <v>3930</v>
      </c>
      <c r="J445" s="11" t="s">
        <v>3931</v>
      </c>
      <c r="K445" s="11" t="s">
        <v>3932</v>
      </c>
      <c r="L445" s="11" t="s">
        <v>3933</v>
      </c>
      <c r="M445" s="11" t="s">
        <v>3934</v>
      </c>
      <c r="N445" s="11" t="s">
        <v>3935</v>
      </c>
      <c r="O445" s="11" t="s">
        <v>3936</v>
      </c>
      <c r="P445" s="11" t="s">
        <v>3937</v>
      </c>
      <c r="Q445" s="8"/>
    </row>
    <row r="446" spans="1:17" ht="409.6" x14ac:dyDescent="0.2">
      <c r="A446" s="8" t="s">
        <v>3938</v>
      </c>
      <c r="B446" s="74"/>
      <c r="C446" s="74"/>
      <c r="D446" s="74"/>
      <c r="E446" s="11" t="s">
        <v>3939</v>
      </c>
      <c r="F446" s="61" t="s">
        <v>3940</v>
      </c>
      <c r="G446" s="12" t="s">
        <v>3941</v>
      </c>
      <c r="H446" s="11" t="s">
        <v>3929</v>
      </c>
      <c r="I446" s="11" t="s">
        <v>3942</v>
      </c>
      <c r="J446" s="11" t="s">
        <v>3943</v>
      </c>
      <c r="K446" s="11" t="s">
        <v>3944</v>
      </c>
      <c r="L446" s="11" t="s">
        <v>3945</v>
      </c>
      <c r="M446" s="11" t="s">
        <v>3946</v>
      </c>
      <c r="N446" s="11" t="s">
        <v>3947</v>
      </c>
      <c r="O446" s="11" t="s">
        <v>3948</v>
      </c>
      <c r="P446" s="11" t="s">
        <v>3937</v>
      </c>
      <c r="Q446" s="8"/>
    </row>
    <row r="447" spans="1:17" ht="409.6" x14ac:dyDescent="0.2">
      <c r="A447" s="8" t="s">
        <v>3949</v>
      </c>
      <c r="B447" s="74"/>
      <c r="C447" s="74"/>
      <c r="D447" s="74"/>
      <c r="E447" s="11" t="s">
        <v>3950</v>
      </c>
      <c r="F447" s="2" t="s">
        <v>3951</v>
      </c>
      <c r="G447" s="12" t="s">
        <v>3952</v>
      </c>
      <c r="H447" s="11" t="s">
        <v>3953</v>
      </c>
      <c r="I447" s="11" t="s">
        <v>3954</v>
      </c>
      <c r="J447" s="11" t="s">
        <v>3955</v>
      </c>
      <c r="K447" s="11" t="s">
        <v>3956</v>
      </c>
      <c r="L447" s="11" t="s">
        <v>3957</v>
      </c>
      <c r="M447" s="11" t="s">
        <v>3958</v>
      </c>
      <c r="N447" s="11" t="s">
        <v>3959</v>
      </c>
      <c r="O447" s="11" t="s">
        <v>3960</v>
      </c>
      <c r="P447" s="11" t="s">
        <v>3961</v>
      </c>
      <c r="Q447" s="8"/>
    </row>
    <row r="448" spans="1:17" ht="409.6" x14ac:dyDescent="0.2">
      <c r="A448" s="8" t="s">
        <v>3962</v>
      </c>
      <c r="B448" s="74"/>
      <c r="C448" s="74"/>
      <c r="D448" s="74"/>
      <c r="E448" s="11" t="s">
        <v>3963</v>
      </c>
      <c r="F448" s="11" t="s">
        <v>3964</v>
      </c>
      <c r="G448" s="12" t="s">
        <v>3965</v>
      </c>
      <c r="H448" s="11" t="s">
        <v>3966</v>
      </c>
      <c r="I448" s="11" t="s">
        <v>3967</v>
      </c>
      <c r="J448" s="11" t="s">
        <v>3968</v>
      </c>
      <c r="K448" s="11" t="s">
        <v>3969</v>
      </c>
      <c r="L448" s="11" t="s">
        <v>3970</v>
      </c>
      <c r="M448" s="11" t="s">
        <v>3971</v>
      </c>
      <c r="N448" s="11" t="s">
        <v>3972</v>
      </c>
      <c r="O448" s="11" t="s">
        <v>3973</v>
      </c>
      <c r="P448" s="11" t="s">
        <v>3974</v>
      </c>
      <c r="Q448" s="8"/>
    </row>
    <row r="449" spans="1:17" ht="409.6" x14ac:dyDescent="0.2">
      <c r="A449" s="8" t="s">
        <v>3975</v>
      </c>
      <c r="B449" s="74"/>
      <c r="C449" s="74"/>
      <c r="D449" s="74"/>
      <c r="E449" s="11" t="s">
        <v>3976</v>
      </c>
      <c r="F449" s="11" t="s">
        <v>3977</v>
      </c>
      <c r="G449" s="12" t="s">
        <v>3978</v>
      </c>
      <c r="H449" s="11" t="s">
        <v>3979</v>
      </c>
      <c r="I449" s="11" t="s">
        <v>3980</v>
      </c>
      <c r="J449" s="11" t="s">
        <v>3981</v>
      </c>
      <c r="K449" s="11" t="s">
        <v>3982</v>
      </c>
      <c r="L449" s="11" t="s">
        <v>3983</v>
      </c>
      <c r="M449" s="11" t="s">
        <v>3984</v>
      </c>
      <c r="N449" s="11" t="s">
        <v>3985</v>
      </c>
      <c r="O449" s="11" t="s">
        <v>3986</v>
      </c>
      <c r="P449" s="11" t="s">
        <v>3987</v>
      </c>
      <c r="Q449" s="8"/>
    </row>
    <row r="450" spans="1:17" ht="409.6" x14ac:dyDescent="0.2">
      <c r="A450" s="8" t="s">
        <v>3988</v>
      </c>
      <c r="B450" s="74"/>
      <c r="C450" s="74"/>
      <c r="D450" s="74"/>
      <c r="E450" s="11" t="s">
        <v>3989</v>
      </c>
      <c r="F450" s="11" t="s">
        <v>3990</v>
      </c>
      <c r="G450" s="12" t="s">
        <v>3991</v>
      </c>
      <c r="H450" s="11" t="s">
        <v>3992</v>
      </c>
      <c r="I450" s="11" t="s">
        <v>3967</v>
      </c>
      <c r="J450" s="11" t="s">
        <v>3993</v>
      </c>
      <c r="K450" s="11" t="s">
        <v>3994</v>
      </c>
      <c r="L450" s="11" t="s">
        <v>3970</v>
      </c>
      <c r="M450" s="11" t="s">
        <v>3995</v>
      </c>
      <c r="N450" s="11" t="s">
        <v>3996</v>
      </c>
      <c r="O450" s="11" t="s">
        <v>3997</v>
      </c>
      <c r="P450" s="11" t="s">
        <v>3998</v>
      </c>
      <c r="Q450" s="8"/>
    </row>
    <row r="451" spans="1:17" ht="409.6" x14ac:dyDescent="0.2">
      <c r="A451" s="8" t="s">
        <v>3999</v>
      </c>
      <c r="B451" s="74"/>
      <c r="C451" s="74"/>
      <c r="D451" s="74"/>
      <c r="E451" s="62" t="s">
        <v>4000</v>
      </c>
      <c r="F451" s="11" t="s">
        <v>4001</v>
      </c>
      <c r="G451" s="12" t="s">
        <v>4002</v>
      </c>
      <c r="H451" s="11" t="s">
        <v>4003</v>
      </c>
      <c r="I451" s="11" t="s">
        <v>4004</v>
      </c>
      <c r="J451" s="11" t="s">
        <v>4005</v>
      </c>
      <c r="K451" s="11" t="s">
        <v>4006</v>
      </c>
      <c r="L451" s="11" t="s">
        <v>4007</v>
      </c>
      <c r="M451" s="11" t="s">
        <v>4008</v>
      </c>
      <c r="N451" s="11" t="s">
        <v>4009</v>
      </c>
      <c r="O451" s="11" t="s">
        <v>4010</v>
      </c>
      <c r="P451" s="11" t="s">
        <v>4011</v>
      </c>
      <c r="Q451" s="8"/>
    </row>
    <row r="452" spans="1:17" ht="409.6" x14ac:dyDescent="0.2">
      <c r="A452" s="8" t="s">
        <v>4012</v>
      </c>
      <c r="B452" s="74"/>
      <c r="C452" s="74"/>
      <c r="D452" s="74"/>
      <c r="E452" s="61" t="s">
        <v>4013</v>
      </c>
      <c r="F452" s="62" t="s">
        <v>4014</v>
      </c>
      <c r="G452" s="12" t="s">
        <v>4015</v>
      </c>
      <c r="H452" s="11" t="s">
        <v>4016</v>
      </c>
      <c r="I452" s="11" t="s">
        <v>4017</v>
      </c>
      <c r="J452" s="11" t="s">
        <v>4018</v>
      </c>
      <c r="K452" s="11" t="s">
        <v>4019</v>
      </c>
      <c r="L452" s="11" t="s">
        <v>4020</v>
      </c>
      <c r="M452" s="11" t="s">
        <v>4021</v>
      </c>
      <c r="N452" s="11" t="s">
        <v>4022</v>
      </c>
      <c r="O452" s="11" t="s">
        <v>4023</v>
      </c>
      <c r="P452" s="11" t="s">
        <v>4024</v>
      </c>
      <c r="Q452" s="8" t="s">
        <v>984</v>
      </c>
    </row>
    <row r="453" spans="1:17" ht="409.6" x14ac:dyDescent="0.2">
      <c r="A453" s="8" t="s">
        <v>4025</v>
      </c>
      <c r="B453" s="74"/>
      <c r="C453" s="74"/>
      <c r="D453" s="74"/>
      <c r="E453" s="2" t="s">
        <v>4026</v>
      </c>
      <c r="F453" s="62" t="s">
        <v>4027</v>
      </c>
      <c r="G453" s="12" t="s">
        <v>4028</v>
      </c>
      <c r="H453" s="11" t="s">
        <v>4029</v>
      </c>
      <c r="I453" s="11" t="s">
        <v>4030</v>
      </c>
      <c r="J453" s="11" t="s">
        <v>4031</v>
      </c>
      <c r="K453" s="11" t="s">
        <v>4032</v>
      </c>
      <c r="L453" s="11" t="s">
        <v>4033</v>
      </c>
      <c r="M453" s="11" t="s">
        <v>4034</v>
      </c>
      <c r="N453" s="11" t="s">
        <v>4035</v>
      </c>
      <c r="O453" s="11" t="s">
        <v>4036</v>
      </c>
      <c r="P453" s="11" t="s">
        <v>4037</v>
      </c>
      <c r="Q453" s="8"/>
    </row>
    <row r="454" spans="1:17" ht="409.6" x14ac:dyDescent="0.2">
      <c r="A454" s="8" t="s">
        <v>4038</v>
      </c>
      <c r="B454" s="74"/>
      <c r="C454" s="74"/>
      <c r="D454" s="74"/>
      <c r="E454" s="62" t="s">
        <v>4039</v>
      </c>
      <c r="F454" s="62" t="s">
        <v>4040</v>
      </c>
      <c r="G454" s="12" t="s">
        <v>4041</v>
      </c>
      <c r="H454" s="11" t="s">
        <v>4042</v>
      </c>
      <c r="I454" s="11" t="s">
        <v>4043</v>
      </c>
      <c r="J454" s="11" t="s">
        <v>4044</v>
      </c>
      <c r="K454" s="11" t="s">
        <v>4045</v>
      </c>
      <c r="L454" s="11" t="s">
        <v>4046</v>
      </c>
      <c r="M454" s="11" t="s">
        <v>4047</v>
      </c>
      <c r="N454" s="11" t="s">
        <v>4048</v>
      </c>
      <c r="O454" s="11" t="s">
        <v>4049</v>
      </c>
      <c r="P454" s="11" t="s">
        <v>4050</v>
      </c>
      <c r="Q454" s="8"/>
    </row>
    <row r="455" spans="1:17" ht="409.6" x14ac:dyDescent="0.2">
      <c r="A455" s="8" t="s">
        <v>4051</v>
      </c>
      <c r="B455" s="74"/>
      <c r="C455" s="74"/>
      <c r="D455" s="74"/>
      <c r="E455" s="61" t="s">
        <v>4052</v>
      </c>
      <c r="F455" s="62" t="s">
        <v>4053</v>
      </c>
      <c r="G455" s="12" t="s">
        <v>4054</v>
      </c>
      <c r="H455" s="11" t="s">
        <v>4055</v>
      </c>
      <c r="I455" s="11" t="s">
        <v>4056</v>
      </c>
      <c r="J455" s="11" t="s">
        <v>4057</v>
      </c>
      <c r="K455" s="11" t="s">
        <v>4058</v>
      </c>
      <c r="L455" s="11" t="s">
        <v>4059</v>
      </c>
      <c r="M455" s="2" t="s">
        <v>4060</v>
      </c>
      <c r="N455" s="11" t="s">
        <v>4048</v>
      </c>
      <c r="O455" s="11" t="s">
        <v>4061</v>
      </c>
      <c r="P455" s="11" t="s">
        <v>4062</v>
      </c>
      <c r="Q455" s="8"/>
    </row>
    <row r="456" spans="1:17" ht="409.6" x14ac:dyDescent="0.2">
      <c r="A456" s="8" t="s">
        <v>4063</v>
      </c>
      <c r="B456" s="74"/>
      <c r="C456" s="74"/>
      <c r="D456" s="74"/>
      <c r="E456" s="2" t="s">
        <v>4064</v>
      </c>
      <c r="F456" s="62" t="s">
        <v>4053</v>
      </c>
      <c r="G456" s="12" t="s">
        <v>4054</v>
      </c>
      <c r="H456" s="11" t="s">
        <v>4055</v>
      </c>
      <c r="I456" s="11" t="s">
        <v>4056</v>
      </c>
      <c r="J456" s="11" t="s">
        <v>4057</v>
      </c>
      <c r="K456" s="11" t="s">
        <v>4058</v>
      </c>
      <c r="L456" s="11" t="s">
        <v>4059</v>
      </c>
      <c r="M456" s="11" t="s">
        <v>4060</v>
      </c>
      <c r="N456" s="11" t="s">
        <v>4048</v>
      </c>
      <c r="O456" s="11" t="s">
        <v>4061</v>
      </c>
      <c r="P456" s="11" t="s">
        <v>4062</v>
      </c>
      <c r="Q456" s="8"/>
    </row>
    <row r="457" spans="1:17" ht="409.6" x14ac:dyDescent="0.2">
      <c r="A457" s="8" t="s">
        <v>4065</v>
      </c>
      <c r="B457" s="74"/>
      <c r="C457" s="74"/>
      <c r="D457" s="74"/>
      <c r="E457" s="2" t="s">
        <v>4064</v>
      </c>
      <c r="F457" s="62" t="s">
        <v>4053</v>
      </c>
      <c r="G457" s="12" t="s">
        <v>4054</v>
      </c>
      <c r="H457" s="11" t="s">
        <v>4055</v>
      </c>
      <c r="I457" s="11" t="s">
        <v>4056</v>
      </c>
      <c r="J457" s="11" t="s">
        <v>4057</v>
      </c>
      <c r="K457" s="11" t="s">
        <v>4058</v>
      </c>
      <c r="L457" s="11" t="s">
        <v>4059</v>
      </c>
      <c r="M457" s="11" t="s">
        <v>4060</v>
      </c>
      <c r="N457" s="11" t="s">
        <v>4048</v>
      </c>
      <c r="O457" s="11" t="s">
        <v>4061</v>
      </c>
      <c r="P457" s="11" t="s">
        <v>4062</v>
      </c>
      <c r="Q457" s="8"/>
    </row>
    <row r="458" spans="1:17" ht="409.6" x14ac:dyDescent="0.2">
      <c r="A458" s="8" t="s">
        <v>1069</v>
      </c>
      <c r="B458" s="74"/>
      <c r="C458" s="74"/>
      <c r="D458" s="74"/>
      <c r="E458" s="11" t="s">
        <v>1070</v>
      </c>
      <c r="F458" s="2" t="s">
        <v>1071</v>
      </c>
      <c r="G458" s="15" t="s">
        <v>1072</v>
      </c>
      <c r="H458" s="2" t="s">
        <v>1073</v>
      </c>
      <c r="I458" s="11" t="s">
        <v>1074</v>
      </c>
      <c r="J458" s="11" t="s">
        <v>1075</v>
      </c>
      <c r="K458" s="11" t="s">
        <v>1076</v>
      </c>
      <c r="L458" s="11" t="s">
        <v>1077</v>
      </c>
      <c r="M458" s="11" t="s">
        <v>1078</v>
      </c>
      <c r="N458" s="11" t="s">
        <v>1079</v>
      </c>
      <c r="O458" s="11" t="s">
        <v>1080</v>
      </c>
      <c r="P458" s="11" t="s">
        <v>1081</v>
      </c>
      <c r="Q458" s="8" t="s">
        <v>984</v>
      </c>
    </row>
    <row r="459" spans="1:17" ht="409.6" x14ac:dyDescent="0.2">
      <c r="A459" s="8" t="s">
        <v>1082</v>
      </c>
      <c r="B459" s="74"/>
      <c r="C459" s="74"/>
      <c r="D459" s="74"/>
      <c r="E459" s="11" t="s">
        <v>1083</v>
      </c>
      <c r="F459" s="11" t="s">
        <v>1084</v>
      </c>
      <c r="G459" s="12" t="s">
        <v>1085</v>
      </c>
      <c r="H459" s="11" t="s">
        <v>1086</v>
      </c>
      <c r="I459" s="11" t="s">
        <v>1087</v>
      </c>
      <c r="J459" s="11" t="s">
        <v>1088</v>
      </c>
      <c r="K459" s="11" t="s">
        <v>1089</v>
      </c>
      <c r="L459" s="11" t="s">
        <v>1090</v>
      </c>
      <c r="M459" s="11" t="s">
        <v>1091</v>
      </c>
      <c r="N459" s="11" t="s">
        <v>1092</v>
      </c>
      <c r="O459" s="11" t="s">
        <v>1093</v>
      </c>
      <c r="P459" s="11" t="s">
        <v>1094</v>
      </c>
      <c r="Q459" s="8"/>
    </row>
    <row r="460" spans="1:17" ht="409.6" x14ac:dyDescent="0.2">
      <c r="A460" s="8" t="s">
        <v>1095</v>
      </c>
      <c r="B460" s="74"/>
      <c r="C460" s="74"/>
      <c r="D460" s="74"/>
      <c r="E460" s="11" t="s">
        <v>1096</v>
      </c>
      <c r="F460" s="66" t="s">
        <v>1097</v>
      </c>
      <c r="G460" s="12" t="s">
        <v>1098</v>
      </c>
      <c r="H460" s="11" t="s">
        <v>1099</v>
      </c>
      <c r="I460" s="11" t="s">
        <v>1100</v>
      </c>
      <c r="J460" s="11" t="s">
        <v>1101</v>
      </c>
      <c r="K460" s="11" t="s">
        <v>1102</v>
      </c>
      <c r="L460" s="11" t="s">
        <v>1103</v>
      </c>
      <c r="M460" s="11" t="s">
        <v>1104</v>
      </c>
      <c r="N460" s="11" t="s">
        <v>1105</v>
      </c>
      <c r="O460" s="11" t="s">
        <v>1106</v>
      </c>
      <c r="P460" s="11" t="s">
        <v>1107</v>
      </c>
      <c r="Q460" s="8" t="s">
        <v>984</v>
      </c>
    </row>
    <row r="461" spans="1:17" ht="409.6" x14ac:dyDescent="0.2">
      <c r="A461" s="8" t="s">
        <v>1108</v>
      </c>
      <c r="B461" s="74"/>
      <c r="C461" s="74"/>
      <c r="D461" s="74"/>
      <c r="E461" s="11" t="s">
        <v>1109</v>
      </c>
      <c r="F461" s="61" t="s">
        <v>1110</v>
      </c>
      <c r="G461" s="12" t="s">
        <v>1111</v>
      </c>
      <c r="H461" s="11" t="s">
        <v>1112</v>
      </c>
      <c r="I461" s="11" t="s">
        <v>1113</v>
      </c>
      <c r="J461" s="11" t="s">
        <v>1114</v>
      </c>
      <c r="K461" s="11" t="s">
        <v>1115</v>
      </c>
      <c r="L461" s="11" t="s">
        <v>1114</v>
      </c>
      <c r="M461" s="11" t="s">
        <v>1116</v>
      </c>
      <c r="N461" s="11" t="s">
        <v>1117</v>
      </c>
      <c r="O461" s="11" t="s">
        <v>1118</v>
      </c>
      <c r="P461" s="11" t="s">
        <v>1119</v>
      </c>
      <c r="Q461" s="8" t="s">
        <v>984</v>
      </c>
    </row>
    <row r="462" spans="1:17" ht="409.6" x14ac:dyDescent="0.2">
      <c r="A462" s="8" t="s">
        <v>1120</v>
      </c>
      <c r="B462" s="74"/>
      <c r="C462" s="74"/>
      <c r="D462" s="74"/>
      <c r="E462" s="11" t="s">
        <v>1121</v>
      </c>
      <c r="F462" s="61" t="s">
        <v>1122</v>
      </c>
      <c r="G462" s="12" t="s">
        <v>1123</v>
      </c>
      <c r="H462" s="11" t="s">
        <v>1124</v>
      </c>
      <c r="I462" s="11" t="s">
        <v>1125</v>
      </c>
      <c r="J462" s="11" t="s">
        <v>1126</v>
      </c>
      <c r="K462" s="11" t="s">
        <v>1089</v>
      </c>
      <c r="L462" s="11" t="s">
        <v>1127</v>
      </c>
      <c r="M462" s="11" t="s">
        <v>1128</v>
      </c>
      <c r="N462" s="11" t="s">
        <v>1129</v>
      </c>
      <c r="O462" s="11" t="s">
        <v>1130</v>
      </c>
      <c r="P462" s="11" t="s">
        <v>1131</v>
      </c>
      <c r="Q462" s="8"/>
    </row>
    <row r="463" spans="1:17" ht="409.6" x14ac:dyDescent="0.2">
      <c r="A463" s="8" t="s">
        <v>1132</v>
      </c>
      <c r="B463" s="74"/>
      <c r="C463" s="74"/>
      <c r="D463" s="74"/>
      <c r="E463" s="11" t="s">
        <v>1133</v>
      </c>
      <c r="F463" s="11" t="s">
        <v>1134</v>
      </c>
      <c r="G463" s="12" t="s">
        <v>1135</v>
      </c>
      <c r="H463" s="11" t="s">
        <v>1136</v>
      </c>
      <c r="I463" s="11" t="s">
        <v>1137</v>
      </c>
      <c r="J463" s="11" t="s">
        <v>1138</v>
      </c>
      <c r="K463" s="11" t="s">
        <v>1139</v>
      </c>
      <c r="L463" s="11" t="s">
        <v>1140</v>
      </c>
      <c r="M463" s="11" t="s">
        <v>1141</v>
      </c>
      <c r="N463" s="11" t="s">
        <v>1142</v>
      </c>
      <c r="O463" s="11" t="s">
        <v>1143</v>
      </c>
      <c r="P463" s="11" t="s">
        <v>1144</v>
      </c>
      <c r="Q463" s="8"/>
    </row>
    <row r="464" spans="1:17" ht="409.6" x14ac:dyDescent="0.2">
      <c r="A464" s="8" t="s">
        <v>1145</v>
      </c>
      <c r="B464" s="74"/>
      <c r="C464" s="74"/>
      <c r="D464" s="74"/>
      <c r="E464" s="11" t="s">
        <v>1146</v>
      </c>
      <c r="F464" s="11" t="s">
        <v>1147</v>
      </c>
      <c r="G464" s="12" t="s">
        <v>1148</v>
      </c>
      <c r="H464" s="11" t="s">
        <v>1149</v>
      </c>
      <c r="I464" s="11" t="s">
        <v>1125</v>
      </c>
      <c r="J464" s="11" t="s">
        <v>1126</v>
      </c>
      <c r="K464" s="11" t="s">
        <v>1150</v>
      </c>
      <c r="L464" s="11" t="s">
        <v>1151</v>
      </c>
      <c r="M464" s="11" t="s">
        <v>1152</v>
      </c>
      <c r="N464" s="11" t="s">
        <v>1153</v>
      </c>
      <c r="O464" s="11" t="s">
        <v>1154</v>
      </c>
      <c r="P464" s="11" t="s">
        <v>1131</v>
      </c>
      <c r="Q464" s="8"/>
    </row>
    <row r="465" spans="1:17" ht="409.6" x14ac:dyDescent="0.2">
      <c r="A465" s="8" t="s">
        <v>1155</v>
      </c>
      <c r="B465" s="74"/>
      <c r="C465" s="74"/>
      <c r="D465" s="74"/>
      <c r="E465" s="11" t="s">
        <v>1156</v>
      </c>
      <c r="F465" s="11" t="s">
        <v>1157</v>
      </c>
      <c r="G465" s="12" t="s">
        <v>1158</v>
      </c>
      <c r="H465" s="11" t="s">
        <v>1159</v>
      </c>
      <c r="I465" s="11" t="s">
        <v>1125</v>
      </c>
      <c r="J465" s="11" t="s">
        <v>1126</v>
      </c>
      <c r="K465" s="11" t="s">
        <v>1160</v>
      </c>
      <c r="L465" s="11" t="s">
        <v>1161</v>
      </c>
      <c r="M465" s="11" t="s">
        <v>1162</v>
      </c>
      <c r="N465" s="11" t="s">
        <v>1153</v>
      </c>
      <c r="O465" s="11" t="s">
        <v>1163</v>
      </c>
      <c r="P465" s="11" t="s">
        <v>1131</v>
      </c>
      <c r="Q465" s="8"/>
    </row>
    <row r="466" spans="1:17" ht="409.6" x14ac:dyDescent="0.2">
      <c r="A466" s="8" t="s">
        <v>1164</v>
      </c>
      <c r="B466" s="74"/>
      <c r="C466" s="74"/>
      <c r="D466" s="74"/>
      <c r="E466" s="62" t="s">
        <v>1146</v>
      </c>
      <c r="F466" s="11" t="s">
        <v>1165</v>
      </c>
      <c r="G466" s="12" t="s">
        <v>1166</v>
      </c>
      <c r="H466" s="11" t="s">
        <v>1167</v>
      </c>
      <c r="I466" s="11" t="s">
        <v>1125</v>
      </c>
      <c r="J466" s="11" t="s">
        <v>1126</v>
      </c>
      <c r="K466" s="11" t="s">
        <v>1168</v>
      </c>
      <c r="L466" s="11" t="s">
        <v>1169</v>
      </c>
      <c r="M466" s="11" t="s">
        <v>1116</v>
      </c>
      <c r="N466" s="11" t="s">
        <v>1153</v>
      </c>
      <c r="O466" s="11" t="s">
        <v>1170</v>
      </c>
      <c r="P466" s="11" t="s">
        <v>1131</v>
      </c>
      <c r="Q466" s="8"/>
    </row>
    <row r="467" spans="1:17" ht="409.6" x14ac:dyDescent="0.2">
      <c r="A467" s="8" t="s">
        <v>1171</v>
      </c>
      <c r="B467" s="74"/>
      <c r="C467" s="74"/>
      <c r="D467" s="74"/>
      <c r="E467" s="61" t="s">
        <v>1146</v>
      </c>
      <c r="F467" s="62" t="s">
        <v>1165</v>
      </c>
      <c r="G467" s="12" t="s">
        <v>1172</v>
      </c>
      <c r="H467" s="11" t="s">
        <v>1167</v>
      </c>
      <c r="I467" s="11" t="s">
        <v>1125</v>
      </c>
      <c r="J467" s="11" t="s">
        <v>1126</v>
      </c>
      <c r="K467" s="11" t="s">
        <v>1168</v>
      </c>
      <c r="L467" s="11" t="s">
        <v>1169</v>
      </c>
      <c r="M467" s="11" t="s">
        <v>1173</v>
      </c>
      <c r="N467" s="11" t="s">
        <v>1153</v>
      </c>
      <c r="O467" s="11" t="s">
        <v>1170</v>
      </c>
      <c r="P467" s="11" t="s">
        <v>1131</v>
      </c>
      <c r="Q467" s="8"/>
    </row>
    <row r="468" spans="1:17" ht="409.6" x14ac:dyDescent="0.2">
      <c r="A468" s="8" t="s">
        <v>1174</v>
      </c>
      <c r="B468" s="74"/>
      <c r="C468" s="74"/>
      <c r="D468" s="74"/>
      <c r="E468" s="2" t="s">
        <v>1146</v>
      </c>
      <c r="F468" s="62" t="s">
        <v>1165</v>
      </c>
      <c r="G468" s="12" t="s">
        <v>1166</v>
      </c>
      <c r="H468" s="11" t="s">
        <v>1167</v>
      </c>
      <c r="I468" s="11" t="s">
        <v>1125</v>
      </c>
      <c r="J468" s="11" t="s">
        <v>1126</v>
      </c>
      <c r="K468" s="11" t="s">
        <v>1168</v>
      </c>
      <c r="L468" s="11" t="s">
        <v>1169</v>
      </c>
      <c r="M468" s="11" t="s">
        <v>1173</v>
      </c>
      <c r="N468" s="11" t="s">
        <v>1153</v>
      </c>
      <c r="O468" s="11" t="s">
        <v>1170</v>
      </c>
      <c r="P468" s="11" t="s">
        <v>1131</v>
      </c>
      <c r="Q468" s="8"/>
    </row>
    <row r="469" spans="1:17" ht="409.6" x14ac:dyDescent="0.2">
      <c r="A469" s="8" t="s">
        <v>1175</v>
      </c>
      <c r="B469" s="74"/>
      <c r="C469" s="74"/>
      <c r="D469" s="74"/>
      <c r="E469" s="62" t="s">
        <v>1176</v>
      </c>
      <c r="F469" s="62" t="s">
        <v>1177</v>
      </c>
      <c r="G469" s="12" t="s">
        <v>1178</v>
      </c>
      <c r="H469" s="11" t="s">
        <v>1179</v>
      </c>
      <c r="I469" s="11" t="s">
        <v>1125</v>
      </c>
      <c r="J469" s="11" t="s">
        <v>1126</v>
      </c>
      <c r="K469" s="11" t="s">
        <v>1180</v>
      </c>
      <c r="L469" s="11" t="s">
        <v>1181</v>
      </c>
      <c r="M469" s="11" t="s">
        <v>1182</v>
      </c>
      <c r="N469" s="11" t="s">
        <v>1153</v>
      </c>
      <c r="O469" s="11" t="s">
        <v>1183</v>
      </c>
      <c r="P469" s="11" t="s">
        <v>1184</v>
      </c>
      <c r="Q469" s="8"/>
    </row>
    <row r="470" spans="1:17" ht="409.6" x14ac:dyDescent="0.2">
      <c r="A470" s="8" t="s">
        <v>1185</v>
      </c>
      <c r="B470" s="74"/>
      <c r="C470" s="74"/>
      <c r="D470" s="74"/>
      <c r="E470" s="61" t="s">
        <v>1186</v>
      </c>
      <c r="F470" s="62" t="s">
        <v>1187</v>
      </c>
      <c r="G470" s="12" t="s">
        <v>1188</v>
      </c>
      <c r="H470" s="11" t="s">
        <v>1189</v>
      </c>
      <c r="I470" s="11" t="s">
        <v>1125</v>
      </c>
      <c r="J470" s="11" t="s">
        <v>1126</v>
      </c>
      <c r="K470" s="11" t="s">
        <v>1190</v>
      </c>
      <c r="L470" s="11" t="s">
        <v>1191</v>
      </c>
      <c r="M470" s="2" t="s">
        <v>1192</v>
      </c>
      <c r="N470" s="11" t="s">
        <v>1193</v>
      </c>
      <c r="O470" s="11" t="s">
        <v>1194</v>
      </c>
      <c r="P470" s="11" t="s">
        <v>1131</v>
      </c>
      <c r="Q470" s="8"/>
    </row>
    <row r="471" spans="1:17" ht="409.6" x14ac:dyDescent="0.2">
      <c r="A471" s="8" t="s">
        <v>1195</v>
      </c>
      <c r="B471" s="74"/>
      <c r="C471" s="74"/>
      <c r="D471" s="74"/>
      <c r="E471" s="2" t="s">
        <v>1196</v>
      </c>
      <c r="F471" s="62" t="s">
        <v>1197</v>
      </c>
      <c r="G471" s="12" t="s">
        <v>1198</v>
      </c>
      <c r="H471" s="11" t="s">
        <v>1199</v>
      </c>
      <c r="I471" s="11" t="s">
        <v>1125</v>
      </c>
      <c r="J471" s="11" t="s">
        <v>1200</v>
      </c>
      <c r="K471" s="11" t="s">
        <v>1201</v>
      </c>
      <c r="L471" s="11" t="s">
        <v>1202</v>
      </c>
      <c r="M471" s="11" t="s">
        <v>1203</v>
      </c>
      <c r="N471" s="11" t="s">
        <v>1204</v>
      </c>
      <c r="O471" s="11" t="s">
        <v>1205</v>
      </c>
      <c r="P471" s="11" t="s">
        <v>1206</v>
      </c>
      <c r="Q471" s="8"/>
    </row>
    <row r="472" spans="1:17" ht="409.6" x14ac:dyDescent="0.2">
      <c r="A472" s="8" t="s">
        <v>1207</v>
      </c>
      <c r="B472" s="74"/>
      <c r="C472" s="74"/>
      <c r="D472" s="74"/>
      <c r="E472" s="2" t="s">
        <v>1208</v>
      </c>
      <c r="F472" s="62" t="s">
        <v>1209</v>
      </c>
      <c r="G472" s="12" t="s">
        <v>1210</v>
      </c>
      <c r="H472" s="11" t="s">
        <v>1211</v>
      </c>
      <c r="I472" s="11" t="s">
        <v>1125</v>
      </c>
      <c r="J472" s="11" t="s">
        <v>1200</v>
      </c>
      <c r="K472" s="11" t="s">
        <v>1212</v>
      </c>
      <c r="L472" s="11" t="s">
        <v>1213</v>
      </c>
      <c r="M472" s="11" t="s">
        <v>1214</v>
      </c>
      <c r="N472" s="11" t="s">
        <v>1215</v>
      </c>
      <c r="O472" s="11" t="s">
        <v>1216</v>
      </c>
      <c r="P472" s="11" t="s">
        <v>984</v>
      </c>
      <c r="Q472" s="8"/>
    </row>
    <row r="473" spans="1:17" ht="409.6" x14ac:dyDescent="0.2">
      <c r="A473" s="8" t="s">
        <v>1217</v>
      </c>
      <c r="B473" s="74"/>
      <c r="C473" s="74"/>
      <c r="D473" s="74"/>
      <c r="E473" s="2" t="s">
        <v>1218</v>
      </c>
      <c r="F473" s="62" t="s">
        <v>1219</v>
      </c>
      <c r="G473" s="12" t="s">
        <v>1220</v>
      </c>
      <c r="H473" s="11" t="s">
        <v>1211</v>
      </c>
      <c r="I473" s="11" t="s">
        <v>1125</v>
      </c>
      <c r="J473" s="11" t="s">
        <v>1200</v>
      </c>
      <c r="K473" s="11" t="s">
        <v>1221</v>
      </c>
      <c r="L473" s="11" t="s">
        <v>1222</v>
      </c>
      <c r="M473" s="11" t="s">
        <v>1223</v>
      </c>
      <c r="N473" s="11" t="s">
        <v>1215</v>
      </c>
      <c r="O473" s="11" t="s">
        <v>1224</v>
      </c>
      <c r="P473" s="11" t="s">
        <v>1225</v>
      </c>
      <c r="Q473" s="8"/>
    </row>
    <row r="474" spans="1:17" ht="409.6" x14ac:dyDescent="0.2">
      <c r="A474" s="8" t="s">
        <v>1226</v>
      </c>
      <c r="B474" s="74"/>
      <c r="C474" s="74"/>
      <c r="D474" s="74"/>
      <c r="E474" s="2" t="s">
        <v>1227</v>
      </c>
      <c r="F474" s="62" t="s">
        <v>1228</v>
      </c>
      <c r="G474" s="12" t="s">
        <v>1229</v>
      </c>
      <c r="H474" s="11" t="s">
        <v>1230</v>
      </c>
      <c r="I474" s="11" t="s">
        <v>1125</v>
      </c>
      <c r="J474" s="11" t="s">
        <v>1126</v>
      </c>
      <c r="K474" s="11" t="s">
        <v>1231</v>
      </c>
      <c r="L474" s="11" t="s">
        <v>1232</v>
      </c>
      <c r="M474" s="11" t="s">
        <v>1233</v>
      </c>
      <c r="N474" s="11" t="s">
        <v>1153</v>
      </c>
      <c r="O474" s="11" t="s">
        <v>1234</v>
      </c>
      <c r="P474" s="11" t="s">
        <v>1235</v>
      </c>
      <c r="Q474" s="8"/>
    </row>
    <row r="475" spans="1:17" ht="409.6" x14ac:dyDescent="0.2">
      <c r="A475" s="8" t="s">
        <v>1236</v>
      </c>
      <c r="B475" s="74"/>
      <c r="C475" s="74"/>
      <c r="D475" s="74"/>
      <c r="E475" s="2" t="s">
        <v>1237</v>
      </c>
      <c r="F475" s="62" t="s">
        <v>1238</v>
      </c>
      <c r="G475" s="12" t="s">
        <v>1239</v>
      </c>
      <c r="H475" s="11" t="s">
        <v>1240</v>
      </c>
      <c r="I475" s="11" t="s">
        <v>1125</v>
      </c>
      <c r="J475" s="11" t="s">
        <v>1126</v>
      </c>
      <c r="K475" s="11" t="s">
        <v>1241</v>
      </c>
      <c r="L475" s="11" t="s">
        <v>1242</v>
      </c>
      <c r="M475" s="11" t="s">
        <v>1243</v>
      </c>
      <c r="N475" s="11" t="s">
        <v>1244</v>
      </c>
      <c r="O475" s="11" t="s">
        <v>1245</v>
      </c>
      <c r="P475" s="11" t="s">
        <v>1246</v>
      </c>
      <c r="Q475" s="8"/>
    </row>
    <row r="476" spans="1:17" ht="409.6" x14ac:dyDescent="0.2">
      <c r="A476" s="8" t="s">
        <v>1247</v>
      </c>
      <c r="B476" s="74"/>
      <c r="C476" s="74"/>
      <c r="D476" s="74"/>
      <c r="E476" s="2" t="s">
        <v>1248</v>
      </c>
      <c r="F476" s="62" t="s">
        <v>1249</v>
      </c>
      <c r="G476" s="12" t="s">
        <v>1250</v>
      </c>
      <c r="H476" s="11" t="s">
        <v>1251</v>
      </c>
      <c r="I476" s="11" t="s">
        <v>1252</v>
      </c>
      <c r="J476" s="11" t="s">
        <v>1253</v>
      </c>
      <c r="K476" s="11" t="s">
        <v>1254</v>
      </c>
      <c r="L476" s="11" t="s">
        <v>1255</v>
      </c>
      <c r="M476" s="11" t="s">
        <v>1256</v>
      </c>
      <c r="N476" s="11" t="s">
        <v>1257</v>
      </c>
      <c r="O476" s="11" t="s">
        <v>1258</v>
      </c>
      <c r="P476" s="11" t="s">
        <v>1259</v>
      </c>
      <c r="Q476" s="8"/>
    </row>
    <row r="477" spans="1:17" ht="409.6" x14ac:dyDescent="0.2">
      <c r="A477" s="8" t="s">
        <v>1260</v>
      </c>
      <c r="B477" s="74"/>
      <c r="C477" s="74"/>
      <c r="D477" s="74"/>
      <c r="E477" s="2" t="s">
        <v>1261</v>
      </c>
      <c r="F477" s="62" t="s">
        <v>1262</v>
      </c>
      <c r="G477" s="12" t="s">
        <v>1263</v>
      </c>
      <c r="H477" s="11" t="s">
        <v>1251</v>
      </c>
      <c r="I477" s="11" t="s">
        <v>1264</v>
      </c>
      <c r="J477" s="11" t="s">
        <v>1265</v>
      </c>
      <c r="K477" s="11" t="s">
        <v>1266</v>
      </c>
      <c r="L477" s="11" t="s">
        <v>1267</v>
      </c>
      <c r="M477" s="11" t="s">
        <v>1268</v>
      </c>
      <c r="N477" s="11" t="s">
        <v>1269</v>
      </c>
      <c r="O477" s="11" t="s">
        <v>1270</v>
      </c>
      <c r="P477" s="11" t="s">
        <v>1271</v>
      </c>
      <c r="Q477" s="8"/>
    </row>
    <row r="478" spans="1:17" ht="409.6" x14ac:dyDescent="0.2">
      <c r="A478" s="8" t="s">
        <v>1272</v>
      </c>
      <c r="B478" s="74"/>
      <c r="C478" s="74"/>
      <c r="D478" s="74"/>
      <c r="E478" s="2" t="s">
        <v>1273</v>
      </c>
      <c r="F478" s="62" t="s">
        <v>1274</v>
      </c>
      <c r="G478" s="12" t="s">
        <v>1275</v>
      </c>
      <c r="H478" s="11" t="s">
        <v>1276</v>
      </c>
      <c r="I478" s="11" t="s">
        <v>1277</v>
      </c>
      <c r="J478" s="11" t="s">
        <v>1278</v>
      </c>
      <c r="K478" s="11" t="s">
        <v>1279</v>
      </c>
      <c r="L478" s="11" t="s">
        <v>1280</v>
      </c>
      <c r="M478" s="11" t="s">
        <v>1281</v>
      </c>
      <c r="N478" s="11" t="s">
        <v>1282</v>
      </c>
      <c r="O478" s="11" t="s">
        <v>1283</v>
      </c>
      <c r="P478" s="11" t="s">
        <v>1284</v>
      </c>
      <c r="Q478" s="8"/>
    </row>
    <row r="479" spans="1:17" ht="409.6" x14ac:dyDescent="0.2">
      <c r="A479" s="8" t="s">
        <v>1285</v>
      </c>
      <c r="B479" s="74"/>
      <c r="C479" s="74"/>
      <c r="D479" s="74"/>
      <c r="E479" s="2" t="s">
        <v>1286</v>
      </c>
      <c r="F479" s="62" t="s">
        <v>1287</v>
      </c>
      <c r="G479" s="12" t="s">
        <v>1288</v>
      </c>
      <c r="H479" s="11" t="s">
        <v>1289</v>
      </c>
      <c r="I479" s="11" t="s">
        <v>1277</v>
      </c>
      <c r="J479" s="11" t="s">
        <v>1290</v>
      </c>
      <c r="K479" s="11" t="s">
        <v>1279</v>
      </c>
      <c r="L479" s="11" t="s">
        <v>1291</v>
      </c>
      <c r="M479" s="11" t="s">
        <v>1292</v>
      </c>
      <c r="N479" s="11" t="s">
        <v>1282</v>
      </c>
      <c r="O479" s="11" t="s">
        <v>1293</v>
      </c>
      <c r="P479" s="11" t="s">
        <v>1294</v>
      </c>
      <c r="Q479" s="8" t="s">
        <v>984</v>
      </c>
    </row>
    <row r="480" spans="1:17" ht="409.6" x14ac:dyDescent="0.2">
      <c r="A480" s="8" t="s">
        <v>1295</v>
      </c>
      <c r="B480" s="74"/>
      <c r="C480" s="74"/>
      <c r="D480" s="74"/>
      <c r="E480" s="2" t="s">
        <v>1296</v>
      </c>
      <c r="F480" s="62" t="s">
        <v>1297</v>
      </c>
      <c r="G480" s="12" t="s">
        <v>1298</v>
      </c>
      <c r="H480" s="11" t="s">
        <v>1251</v>
      </c>
      <c r="I480" s="11" t="s">
        <v>1264</v>
      </c>
      <c r="J480" s="11" t="s">
        <v>1265</v>
      </c>
      <c r="K480" s="11" t="s">
        <v>1279</v>
      </c>
      <c r="L480" s="11" t="s">
        <v>1299</v>
      </c>
      <c r="M480" s="11" t="s">
        <v>1300</v>
      </c>
      <c r="N480" s="11" t="s">
        <v>1301</v>
      </c>
      <c r="O480" s="11" t="s">
        <v>1302</v>
      </c>
      <c r="P480" s="11" t="s">
        <v>1271</v>
      </c>
      <c r="Q480" s="8"/>
    </row>
    <row r="481" spans="1:17" ht="409.6" x14ac:dyDescent="0.2">
      <c r="A481" s="8" t="s">
        <v>1303</v>
      </c>
      <c r="B481" s="74"/>
      <c r="C481" s="74"/>
      <c r="D481" s="74"/>
      <c r="E481" s="2" t="s">
        <v>1304</v>
      </c>
      <c r="F481" s="62" t="s">
        <v>1305</v>
      </c>
      <c r="G481" s="12" t="s">
        <v>1306</v>
      </c>
      <c r="H481" s="11" t="s">
        <v>1307</v>
      </c>
      <c r="I481" s="11" t="s">
        <v>1264</v>
      </c>
      <c r="J481" s="11" t="s">
        <v>1308</v>
      </c>
      <c r="K481" s="11" t="s">
        <v>1309</v>
      </c>
      <c r="L481" s="11" t="s">
        <v>1291</v>
      </c>
      <c r="M481" s="11" t="s">
        <v>1310</v>
      </c>
      <c r="N481" s="11" t="s">
        <v>1311</v>
      </c>
      <c r="O481" s="11" t="s">
        <v>1312</v>
      </c>
      <c r="P481" s="11" t="s">
        <v>1313</v>
      </c>
      <c r="Q481" s="8"/>
    </row>
    <row r="482" spans="1:17" ht="409.6" x14ac:dyDescent="0.2">
      <c r="A482" s="8" t="s">
        <v>1314</v>
      </c>
      <c r="B482" s="74"/>
      <c r="C482" s="74"/>
      <c r="D482" s="74"/>
      <c r="E482" s="2" t="s">
        <v>1315</v>
      </c>
      <c r="F482" s="62" t="s">
        <v>1316</v>
      </c>
      <c r="G482" s="12" t="s">
        <v>1317</v>
      </c>
      <c r="H482" s="11" t="s">
        <v>1318</v>
      </c>
      <c r="I482" s="11" t="s">
        <v>1319</v>
      </c>
      <c r="J482" s="11" t="s">
        <v>1320</v>
      </c>
      <c r="K482" s="11" t="s">
        <v>1321</v>
      </c>
      <c r="L482" s="11" t="s">
        <v>1322</v>
      </c>
      <c r="M482" s="11" t="s">
        <v>1323</v>
      </c>
      <c r="N482" s="11" t="s">
        <v>1324</v>
      </c>
      <c r="O482" s="11" t="s">
        <v>1325</v>
      </c>
      <c r="P482" s="11" t="s">
        <v>1284</v>
      </c>
      <c r="Q482" s="8"/>
    </row>
    <row r="483" spans="1:17" ht="409.6" x14ac:dyDescent="0.2">
      <c r="A483" s="8" t="s">
        <v>1326</v>
      </c>
      <c r="B483" s="74"/>
      <c r="C483" s="74"/>
      <c r="D483" s="74"/>
      <c r="E483" s="2" t="s">
        <v>1327</v>
      </c>
      <c r="F483" s="62" t="s">
        <v>1328</v>
      </c>
      <c r="G483" s="12" t="s">
        <v>1329</v>
      </c>
      <c r="H483" s="11" t="s">
        <v>1330</v>
      </c>
      <c r="I483" s="11" t="s">
        <v>1277</v>
      </c>
      <c r="J483" s="11" t="s">
        <v>1331</v>
      </c>
      <c r="K483" s="11" t="s">
        <v>1332</v>
      </c>
      <c r="L483" s="11" t="s">
        <v>1291</v>
      </c>
      <c r="M483" s="11" t="s">
        <v>1333</v>
      </c>
      <c r="N483" s="11" t="s">
        <v>1334</v>
      </c>
      <c r="O483" s="11" t="s">
        <v>1335</v>
      </c>
      <c r="P483" s="11" t="s">
        <v>1271</v>
      </c>
      <c r="Q483" s="8"/>
    </row>
    <row r="484" spans="1:17" ht="409.6" x14ac:dyDescent="0.2">
      <c r="A484" s="8" t="s">
        <v>1336</v>
      </c>
      <c r="B484" s="74"/>
      <c r="C484" s="74"/>
      <c r="D484" s="74"/>
      <c r="E484" s="2" t="s">
        <v>1337</v>
      </c>
      <c r="F484" s="62" t="s">
        <v>1338</v>
      </c>
      <c r="G484" s="12" t="s">
        <v>1339</v>
      </c>
      <c r="H484" s="11" t="s">
        <v>1340</v>
      </c>
      <c r="I484" s="11" t="s">
        <v>1277</v>
      </c>
      <c r="J484" s="11" t="s">
        <v>1320</v>
      </c>
      <c r="K484" s="11" t="s">
        <v>1341</v>
      </c>
      <c r="L484" s="11" t="s">
        <v>1291</v>
      </c>
      <c r="M484" s="11" t="s">
        <v>1342</v>
      </c>
      <c r="N484" s="11" t="s">
        <v>1334</v>
      </c>
      <c r="O484" s="11" t="s">
        <v>1343</v>
      </c>
      <c r="P484" s="11" t="s">
        <v>1344</v>
      </c>
      <c r="Q484" s="8"/>
    </row>
    <row r="485" spans="1:17" ht="409.6" x14ac:dyDescent="0.2">
      <c r="A485" s="8" t="s">
        <v>1345</v>
      </c>
      <c r="B485" s="74"/>
      <c r="C485" s="74"/>
      <c r="D485" s="74"/>
      <c r="E485" s="2" t="s">
        <v>1346</v>
      </c>
      <c r="F485" s="62" t="s">
        <v>1347</v>
      </c>
      <c r="G485" s="12" t="s">
        <v>1348</v>
      </c>
      <c r="H485" s="11" t="s">
        <v>1340</v>
      </c>
      <c r="I485" s="11" t="s">
        <v>1319</v>
      </c>
      <c r="J485" s="11" t="s">
        <v>1349</v>
      </c>
      <c r="K485" s="11" t="s">
        <v>1309</v>
      </c>
      <c r="L485" s="11" t="s">
        <v>1322</v>
      </c>
      <c r="M485" s="11" t="s">
        <v>1350</v>
      </c>
      <c r="N485" s="11" t="s">
        <v>1311</v>
      </c>
      <c r="O485" s="11" t="s">
        <v>1351</v>
      </c>
      <c r="P485" s="11" t="s">
        <v>1271</v>
      </c>
      <c r="Q485" s="8"/>
    </row>
    <row r="486" spans="1:17" ht="409.6" x14ac:dyDescent="0.2">
      <c r="A486" s="8" t="s">
        <v>1352</v>
      </c>
      <c r="B486" s="74"/>
      <c r="C486" s="74"/>
      <c r="D486" s="74"/>
      <c r="E486" s="2" t="s">
        <v>1353</v>
      </c>
      <c r="F486" s="62" t="s">
        <v>1354</v>
      </c>
      <c r="G486" s="12" t="s">
        <v>1306</v>
      </c>
      <c r="H486" s="11" t="s">
        <v>1307</v>
      </c>
      <c r="I486" s="11" t="s">
        <v>1264</v>
      </c>
      <c r="J486" s="11" t="s">
        <v>1308</v>
      </c>
      <c r="K486" s="11" t="s">
        <v>1309</v>
      </c>
      <c r="L486" s="11" t="s">
        <v>1291</v>
      </c>
      <c r="M486" s="11" t="s">
        <v>1355</v>
      </c>
      <c r="N486" s="11" t="s">
        <v>1311</v>
      </c>
      <c r="O486" s="11" t="s">
        <v>1356</v>
      </c>
      <c r="P486" s="11" t="s">
        <v>1313</v>
      </c>
      <c r="Q486" s="8"/>
    </row>
    <row r="487" spans="1:17" ht="409.6" x14ac:dyDescent="0.2">
      <c r="A487" s="8" t="s">
        <v>1357</v>
      </c>
      <c r="B487" s="74"/>
      <c r="C487" s="74"/>
      <c r="D487" s="74"/>
      <c r="E487" s="2" t="s">
        <v>1358</v>
      </c>
      <c r="F487" s="62" t="s">
        <v>1359</v>
      </c>
      <c r="G487" s="12" t="s">
        <v>1360</v>
      </c>
      <c r="H487" s="11" t="s">
        <v>1159</v>
      </c>
      <c r="I487" s="11" t="s">
        <v>1361</v>
      </c>
      <c r="J487" s="11" t="s">
        <v>1362</v>
      </c>
      <c r="K487" s="11" t="s">
        <v>1363</v>
      </c>
      <c r="L487" s="11" t="s">
        <v>1364</v>
      </c>
      <c r="M487" s="11" t="s">
        <v>1365</v>
      </c>
      <c r="N487" s="11" t="s">
        <v>1366</v>
      </c>
      <c r="O487" s="11" t="s">
        <v>1367</v>
      </c>
      <c r="P487" s="11" t="s">
        <v>1368</v>
      </c>
      <c r="Q487" s="8"/>
    </row>
    <row r="488" spans="1:17" ht="409.6" x14ac:dyDescent="0.2">
      <c r="A488" s="8" t="s">
        <v>1369</v>
      </c>
      <c r="B488" s="74"/>
      <c r="C488" s="74"/>
      <c r="D488" s="74"/>
      <c r="E488" s="2" t="s">
        <v>1370</v>
      </c>
      <c r="F488" s="62" t="s">
        <v>1371</v>
      </c>
      <c r="G488" s="12" t="s">
        <v>1372</v>
      </c>
      <c r="H488" s="11" t="s">
        <v>1373</v>
      </c>
      <c r="I488" s="11" t="s">
        <v>1374</v>
      </c>
      <c r="J488" s="11" t="s">
        <v>1375</v>
      </c>
      <c r="K488" s="11" t="s">
        <v>1376</v>
      </c>
      <c r="L488" s="11" t="s">
        <v>1377</v>
      </c>
      <c r="M488" s="11" t="s">
        <v>1378</v>
      </c>
      <c r="N488" s="11" t="s">
        <v>1379</v>
      </c>
      <c r="O488" s="11" t="s">
        <v>1380</v>
      </c>
      <c r="P488" s="11" t="s">
        <v>1381</v>
      </c>
      <c r="Q488" s="8"/>
    </row>
    <row r="489" spans="1:17" ht="409.6" x14ac:dyDescent="0.2">
      <c r="A489" s="8" t="s">
        <v>1382</v>
      </c>
      <c r="B489" s="74"/>
      <c r="C489" s="74"/>
      <c r="D489" s="74"/>
      <c r="E489" s="2" t="s">
        <v>1383</v>
      </c>
      <c r="F489" s="62" t="s">
        <v>1384</v>
      </c>
      <c r="G489" s="12" t="s">
        <v>1385</v>
      </c>
      <c r="H489" s="11" t="s">
        <v>1159</v>
      </c>
      <c r="I489" s="11" t="s">
        <v>1386</v>
      </c>
      <c r="J489" s="11" t="s">
        <v>1387</v>
      </c>
      <c r="K489" s="11" t="s">
        <v>1388</v>
      </c>
      <c r="L489" s="11" t="s">
        <v>1389</v>
      </c>
      <c r="M489" s="11" t="s">
        <v>1390</v>
      </c>
      <c r="N489" s="11" t="s">
        <v>1391</v>
      </c>
      <c r="O489" s="11" t="s">
        <v>1392</v>
      </c>
      <c r="P489" s="11" t="s">
        <v>1381</v>
      </c>
      <c r="Q489" s="8"/>
    </row>
    <row r="490" spans="1:17" ht="409.6" x14ac:dyDescent="0.2">
      <c r="A490" s="8" t="s">
        <v>1393</v>
      </c>
      <c r="B490" s="74"/>
      <c r="C490" s="74"/>
      <c r="D490" s="74"/>
      <c r="E490" s="2" t="s">
        <v>1383</v>
      </c>
      <c r="F490" s="62" t="s">
        <v>1394</v>
      </c>
      <c r="G490" s="12" t="s">
        <v>1395</v>
      </c>
      <c r="H490" s="11" t="s">
        <v>1396</v>
      </c>
      <c r="I490" s="11" t="s">
        <v>1397</v>
      </c>
      <c r="J490" s="11" t="s">
        <v>1387</v>
      </c>
      <c r="K490" s="11" t="s">
        <v>1398</v>
      </c>
      <c r="L490" s="11" t="s">
        <v>1399</v>
      </c>
      <c r="M490" s="11" t="s">
        <v>1400</v>
      </c>
      <c r="N490" s="11" t="s">
        <v>1401</v>
      </c>
      <c r="O490" s="11" t="s">
        <v>1402</v>
      </c>
      <c r="P490" s="11" t="s">
        <v>1403</v>
      </c>
      <c r="Q490" s="8"/>
    </row>
    <row r="491" spans="1:17" ht="409.6" x14ac:dyDescent="0.2">
      <c r="A491" s="8" t="s">
        <v>1404</v>
      </c>
      <c r="B491" s="74"/>
      <c r="C491" s="74"/>
      <c r="D491" s="74"/>
      <c r="E491" s="2" t="s">
        <v>1405</v>
      </c>
      <c r="F491" s="62" t="s">
        <v>1406</v>
      </c>
      <c r="G491" s="12" t="s">
        <v>1407</v>
      </c>
      <c r="H491" s="11" t="s">
        <v>1159</v>
      </c>
      <c r="I491" s="11" t="s">
        <v>1408</v>
      </c>
      <c r="J491" s="11" t="s">
        <v>1362</v>
      </c>
      <c r="K491" s="11" t="s">
        <v>1409</v>
      </c>
      <c r="L491" s="11" t="s">
        <v>1410</v>
      </c>
      <c r="M491" s="11" t="s">
        <v>1411</v>
      </c>
      <c r="N491" s="11" t="s">
        <v>1412</v>
      </c>
      <c r="O491" s="2" t="s">
        <v>1413</v>
      </c>
      <c r="P491" s="11" t="s">
        <v>1381</v>
      </c>
      <c r="Q491" s="8"/>
    </row>
    <row r="492" spans="1:17" ht="409.6" x14ac:dyDescent="0.2">
      <c r="A492" s="8" t="s">
        <v>1414</v>
      </c>
      <c r="B492" s="74"/>
      <c r="C492" s="74"/>
      <c r="D492" s="74"/>
      <c r="E492" s="2" t="s">
        <v>1415</v>
      </c>
      <c r="F492" s="62" t="s">
        <v>1416</v>
      </c>
      <c r="G492" s="12" t="s">
        <v>1417</v>
      </c>
      <c r="H492" s="11" t="s">
        <v>1230</v>
      </c>
      <c r="I492" s="11" t="s">
        <v>1418</v>
      </c>
      <c r="J492" s="11" t="s">
        <v>1362</v>
      </c>
      <c r="K492" s="11" t="s">
        <v>1419</v>
      </c>
      <c r="L492" s="11" t="s">
        <v>1420</v>
      </c>
      <c r="M492" s="11" t="s">
        <v>1421</v>
      </c>
      <c r="N492" s="11" t="s">
        <v>1412</v>
      </c>
      <c r="O492" s="11" t="s">
        <v>1422</v>
      </c>
      <c r="P492" s="11" t="s">
        <v>1423</v>
      </c>
      <c r="Q492" s="8" t="s">
        <v>984</v>
      </c>
    </row>
    <row r="493" spans="1:17" ht="409.6" x14ac:dyDescent="0.2">
      <c r="A493" s="72" t="s">
        <v>1424</v>
      </c>
      <c r="B493" s="74"/>
      <c r="C493" s="74"/>
      <c r="D493" s="74"/>
      <c r="E493" s="2" t="s">
        <v>1425</v>
      </c>
      <c r="F493" s="62" t="s">
        <v>1426</v>
      </c>
      <c r="G493" s="12" t="s">
        <v>1427</v>
      </c>
      <c r="H493" s="11" t="s">
        <v>1230</v>
      </c>
      <c r="I493" s="11" t="s">
        <v>1428</v>
      </c>
      <c r="J493" s="11" t="s">
        <v>1362</v>
      </c>
      <c r="K493" s="11" t="s">
        <v>1429</v>
      </c>
      <c r="L493" s="11" t="s">
        <v>1420</v>
      </c>
      <c r="M493" s="11" t="s">
        <v>1430</v>
      </c>
      <c r="N493" s="11" t="s">
        <v>1431</v>
      </c>
      <c r="O493" s="11" t="s">
        <v>1432</v>
      </c>
      <c r="P493" s="11" t="s">
        <v>1433</v>
      </c>
      <c r="Q493" s="8" t="s">
        <v>984</v>
      </c>
    </row>
    <row r="494" spans="1:17" ht="409.6" x14ac:dyDescent="0.2">
      <c r="A494" s="8" t="s">
        <v>1434</v>
      </c>
      <c r="B494" s="74"/>
      <c r="C494" s="74"/>
      <c r="D494" s="74"/>
      <c r="E494" s="2" t="s">
        <v>1415</v>
      </c>
      <c r="F494" s="62" t="s">
        <v>1435</v>
      </c>
      <c r="G494" s="12" t="s">
        <v>1436</v>
      </c>
      <c r="H494" s="11" t="s">
        <v>1373</v>
      </c>
      <c r="I494" s="11" t="s">
        <v>1437</v>
      </c>
      <c r="J494" s="11" t="s">
        <v>1387</v>
      </c>
      <c r="K494" s="11" t="s">
        <v>1438</v>
      </c>
      <c r="L494" s="11" t="s">
        <v>1439</v>
      </c>
      <c r="M494" s="11" t="s">
        <v>1440</v>
      </c>
      <c r="N494" s="11" t="s">
        <v>1441</v>
      </c>
      <c r="O494" s="11" t="s">
        <v>1442</v>
      </c>
      <c r="P494" s="11" t="s">
        <v>1443</v>
      </c>
      <c r="Q494" s="8"/>
    </row>
    <row r="495" spans="1:17" ht="409.6" x14ac:dyDescent="0.2">
      <c r="A495" s="8" t="s">
        <v>1444</v>
      </c>
      <c r="B495" s="74"/>
      <c r="C495" s="74"/>
      <c r="D495" s="74"/>
      <c r="E495" s="2" t="s">
        <v>1445</v>
      </c>
      <c r="F495" s="62" t="s">
        <v>1446</v>
      </c>
      <c r="G495" s="12" t="s">
        <v>1447</v>
      </c>
      <c r="H495" s="11" t="s">
        <v>1448</v>
      </c>
      <c r="I495" s="11" t="s">
        <v>1449</v>
      </c>
      <c r="J495" s="11" t="s">
        <v>1450</v>
      </c>
      <c r="K495" s="11" t="s">
        <v>1451</v>
      </c>
      <c r="L495" s="11" t="s">
        <v>1452</v>
      </c>
      <c r="M495" s="11" t="s">
        <v>1453</v>
      </c>
      <c r="N495" s="11" t="s">
        <v>1454</v>
      </c>
      <c r="O495" s="11" t="s">
        <v>1455</v>
      </c>
      <c r="P495" s="11" t="s">
        <v>1443</v>
      </c>
      <c r="Q495" s="8"/>
    </row>
    <row r="496" spans="1:17" ht="409.6" x14ac:dyDescent="0.2">
      <c r="A496" s="8" t="s">
        <v>1456</v>
      </c>
      <c r="B496" s="74"/>
      <c r="C496" s="74"/>
      <c r="D496" s="74"/>
      <c r="E496" s="2" t="s">
        <v>1457</v>
      </c>
      <c r="F496" s="62" t="s">
        <v>1458</v>
      </c>
      <c r="G496" s="12" t="s">
        <v>1459</v>
      </c>
      <c r="H496" s="11" t="s">
        <v>1230</v>
      </c>
      <c r="I496" s="11" t="s">
        <v>1460</v>
      </c>
      <c r="J496" s="11" t="s">
        <v>1387</v>
      </c>
      <c r="K496" s="11" t="s">
        <v>1461</v>
      </c>
      <c r="L496" s="11" t="s">
        <v>1420</v>
      </c>
      <c r="M496" s="11" t="s">
        <v>1462</v>
      </c>
      <c r="N496" s="11" t="s">
        <v>1463</v>
      </c>
      <c r="O496" s="11" t="s">
        <v>1464</v>
      </c>
      <c r="P496" s="11" t="s">
        <v>1423</v>
      </c>
      <c r="Q496" s="8" t="s">
        <v>984</v>
      </c>
    </row>
    <row r="497" spans="1:17" ht="409.6" x14ac:dyDescent="0.2">
      <c r="A497" s="8" t="s">
        <v>1465</v>
      </c>
      <c r="B497" s="74"/>
      <c r="C497" s="74"/>
      <c r="D497" s="74"/>
      <c r="E497" s="2" t="s">
        <v>1466</v>
      </c>
      <c r="F497" s="62" t="s">
        <v>1467</v>
      </c>
      <c r="G497" s="12" t="s">
        <v>1468</v>
      </c>
      <c r="H497" s="11" t="s">
        <v>1469</v>
      </c>
      <c r="I497" s="11" t="s">
        <v>1470</v>
      </c>
      <c r="J497" s="11" t="s">
        <v>1471</v>
      </c>
      <c r="K497" s="11" t="s">
        <v>1472</v>
      </c>
      <c r="L497" s="11" t="s">
        <v>1473</v>
      </c>
      <c r="M497" s="11" t="s">
        <v>1474</v>
      </c>
      <c r="N497" s="11" t="s">
        <v>1475</v>
      </c>
      <c r="O497" s="11" t="s">
        <v>1476</v>
      </c>
      <c r="P497" s="11" t="s">
        <v>1477</v>
      </c>
      <c r="Q497" s="8"/>
    </row>
    <row r="498" spans="1:17" ht="409.6" x14ac:dyDescent="0.2">
      <c r="A498" s="8" t="s">
        <v>1478</v>
      </c>
      <c r="B498" s="74"/>
      <c r="C498" s="74"/>
      <c r="D498" s="74"/>
      <c r="E498" s="2" t="s">
        <v>1479</v>
      </c>
      <c r="F498" s="62" t="s">
        <v>1480</v>
      </c>
      <c r="G498" s="12" t="s">
        <v>1481</v>
      </c>
      <c r="H498" s="11" t="s">
        <v>1469</v>
      </c>
      <c r="I498" s="11" t="s">
        <v>1361</v>
      </c>
      <c r="J498" s="11" t="s">
        <v>1450</v>
      </c>
      <c r="K498" s="11" t="s">
        <v>1482</v>
      </c>
      <c r="L498" s="11" t="s">
        <v>1483</v>
      </c>
      <c r="M498" s="11" t="s">
        <v>1484</v>
      </c>
      <c r="N498" s="11" t="s">
        <v>1454</v>
      </c>
      <c r="O498" s="11" t="s">
        <v>1485</v>
      </c>
      <c r="P498" s="11" t="s">
        <v>1443</v>
      </c>
      <c r="Q498" s="8"/>
    </row>
    <row r="499" spans="1:17" ht="409.6" x14ac:dyDescent="0.2">
      <c r="A499" s="8" t="s">
        <v>1486</v>
      </c>
      <c r="B499" s="74"/>
      <c r="C499" s="74"/>
      <c r="D499" s="74"/>
      <c r="E499" s="2" t="s">
        <v>1487</v>
      </c>
      <c r="F499" s="62" t="s">
        <v>1488</v>
      </c>
      <c r="G499" s="12" t="s">
        <v>1489</v>
      </c>
      <c r="H499" s="11" t="s">
        <v>1490</v>
      </c>
      <c r="I499" s="11" t="s">
        <v>1418</v>
      </c>
      <c r="J499" s="11" t="s">
        <v>1450</v>
      </c>
      <c r="K499" s="11" t="s">
        <v>1491</v>
      </c>
      <c r="L499" s="11" t="s">
        <v>1492</v>
      </c>
      <c r="M499" s="11" t="s">
        <v>1493</v>
      </c>
      <c r="N499" s="11" t="s">
        <v>1494</v>
      </c>
      <c r="O499" s="11" t="s">
        <v>1495</v>
      </c>
      <c r="P499" s="11" t="s">
        <v>1443</v>
      </c>
      <c r="Q499" s="8"/>
    </row>
    <row r="500" spans="1:17" ht="409.6" x14ac:dyDescent="0.2">
      <c r="A500" s="8" t="s">
        <v>1496</v>
      </c>
      <c r="B500" s="74"/>
      <c r="C500" s="74"/>
      <c r="D500" s="74"/>
      <c r="E500" s="2" t="s">
        <v>1445</v>
      </c>
      <c r="F500" s="62" t="s">
        <v>1497</v>
      </c>
      <c r="G500" s="12" t="s">
        <v>1498</v>
      </c>
      <c r="H500" s="11" t="s">
        <v>1230</v>
      </c>
      <c r="I500" s="11" t="s">
        <v>1499</v>
      </c>
      <c r="J500" s="11" t="s">
        <v>1362</v>
      </c>
      <c r="K500" s="11" t="s">
        <v>1500</v>
      </c>
      <c r="L500" s="11" t="s">
        <v>1420</v>
      </c>
      <c r="M500" s="11" t="s">
        <v>1501</v>
      </c>
      <c r="N500" s="11" t="s">
        <v>1431</v>
      </c>
      <c r="O500" s="11" t="s">
        <v>1502</v>
      </c>
      <c r="P500" s="11" t="s">
        <v>1443</v>
      </c>
      <c r="Q500" s="8"/>
    </row>
    <row r="501" spans="1:17" ht="409.6" x14ac:dyDescent="0.2">
      <c r="A501" s="8" t="s">
        <v>462</v>
      </c>
      <c r="B501" s="6"/>
      <c r="C501" s="6"/>
      <c r="D501" s="6"/>
      <c r="E501" s="9" t="s">
        <v>129</v>
      </c>
      <c r="F501" s="9" t="s">
        <v>463</v>
      </c>
      <c r="G501" s="14" t="s">
        <v>131</v>
      </c>
      <c r="H501" s="9" t="s">
        <v>464</v>
      </c>
      <c r="I501" s="9" t="s">
        <v>465</v>
      </c>
      <c r="J501" s="9" t="s">
        <v>466</v>
      </c>
      <c r="K501" s="9" t="s">
        <v>467</v>
      </c>
      <c r="L501" s="9" t="s">
        <v>468</v>
      </c>
      <c r="M501" s="9" t="s">
        <v>469</v>
      </c>
      <c r="N501" s="9" t="s">
        <v>470</v>
      </c>
      <c r="O501" s="6" t="s">
        <v>471</v>
      </c>
      <c r="P501" s="9" t="s">
        <v>472</v>
      </c>
      <c r="Q501" s="42"/>
    </row>
    <row r="502" spans="1:17" ht="409.6" x14ac:dyDescent="0.2">
      <c r="A502" s="70" t="s">
        <v>687</v>
      </c>
      <c r="B502" s="78"/>
      <c r="C502" s="78"/>
      <c r="D502" s="78"/>
      <c r="E502" s="43" t="s">
        <v>689</v>
      </c>
      <c r="F502" s="43" t="s">
        <v>690</v>
      </c>
      <c r="G502" s="44" t="s">
        <v>691</v>
      </c>
      <c r="H502" s="43" t="s">
        <v>692</v>
      </c>
      <c r="I502" s="43" t="s">
        <v>435</v>
      </c>
      <c r="J502" s="43" t="s">
        <v>693</v>
      </c>
      <c r="K502" s="43" t="s">
        <v>694</v>
      </c>
      <c r="L502" s="43" t="s">
        <v>695</v>
      </c>
      <c r="M502" s="43" t="s">
        <v>696</v>
      </c>
      <c r="N502" s="45" t="s">
        <v>697</v>
      </c>
      <c r="O502" s="43" t="s">
        <v>698</v>
      </c>
      <c r="P502" s="43" t="s">
        <v>699</v>
      </c>
      <c r="Q502" s="43"/>
    </row>
    <row r="503" spans="1:17" ht="409.6" x14ac:dyDescent="0.2">
      <c r="A503" s="8" t="s">
        <v>1025</v>
      </c>
      <c r="B503" s="6"/>
      <c r="C503" s="6"/>
      <c r="D503" s="6"/>
      <c r="E503" s="9" t="s">
        <v>1026</v>
      </c>
      <c r="F503" s="9" t="s">
        <v>1027</v>
      </c>
      <c r="G503" s="14" t="s">
        <v>1028</v>
      </c>
      <c r="H503" s="9" t="s">
        <v>1029</v>
      </c>
      <c r="I503" s="9" t="s">
        <v>1030</v>
      </c>
      <c r="J503" s="9" t="s">
        <v>1031</v>
      </c>
      <c r="K503" s="9" t="s">
        <v>1032</v>
      </c>
      <c r="L503" s="9" t="s">
        <v>1033</v>
      </c>
      <c r="M503" s="9" t="s">
        <v>1034</v>
      </c>
      <c r="N503" s="10" t="s">
        <v>1035</v>
      </c>
      <c r="O503" s="9" t="s">
        <v>1036</v>
      </c>
      <c r="P503" s="9" t="s">
        <v>1037</v>
      </c>
      <c r="Q503" s="8"/>
    </row>
    <row r="504" spans="1:17" ht="409.6" x14ac:dyDescent="0.2">
      <c r="A504" s="8" t="s">
        <v>1038</v>
      </c>
      <c r="B504" s="6"/>
      <c r="C504" s="6"/>
      <c r="D504" s="6"/>
      <c r="E504" s="9" t="s">
        <v>1039</v>
      </c>
      <c r="F504" s="9" t="s">
        <v>1040</v>
      </c>
      <c r="G504" s="14" t="s">
        <v>1041</v>
      </c>
      <c r="H504" s="9" t="s">
        <v>1042</v>
      </c>
      <c r="I504" s="9" t="s">
        <v>1043</v>
      </c>
      <c r="J504" s="9" t="s">
        <v>1044</v>
      </c>
      <c r="K504" s="9" t="s">
        <v>1045</v>
      </c>
      <c r="L504" s="9" t="s">
        <v>1046</v>
      </c>
      <c r="M504" s="9" t="s">
        <v>1047</v>
      </c>
      <c r="N504" s="10" t="s">
        <v>1048</v>
      </c>
      <c r="O504" s="9" t="s">
        <v>1049</v>
      </c>
      <c r="P504" s="9" t="s">
        <v>1050</v>
      </c>
      <c r="Q504" s="8" t="s">
        <v>984</v>
      </c>
    </row>
    <row r="505" spans="1:17" ht="409.6" x14ac:dyDescent="0.2">
      <c r="A505" s="8" t="s">
        <v>1051</v>
      </c>
      <c r="B505" s="6"/>
      <c r="C505" s="6"/>
      <c r="D505" s="6"/>
      <c r="E505" s="9" t="s">
        <v>1052</v>
      </c>
      <c r="F505" s="9" t="s">
        <v>1053</v>
      </c>
      <c r="G505" s="14" t="s">
        <v>1054</v>
      </c>
      <c r="H505" s="9" t="s">
        <v>1029</v>
      </c>
      <c r="I505" s="9" t="s">
        <v>1055</v>
      </c>
      <c r="J505" s="9" t="s">
        <v>1031</v>
      </c>
      <c r="K505" s="9" t="s">
        <v>1056</v>
      </c>
      <c r="L505" s="9" t="s">
        <v>1057</v>
      </c>
      <c r="M505" s="9" t="s">
        <v>1058</v>
      </c>
      <c r="N505" s="10" t="s">
        <v>1059</v>
      </c>
      <c r="O505" s="9" t="s">
        <v>1060</v>
      </c>
      <c r="P505" s="9" t="s">
        <v>1037</v>
      </c>
      <c r="Q505" s="8"/>
    </row>
    <row r="506" spans="1:17" ht="409.6" x14ac:dyDescent="0.2">
      <c r="A506" s="8" t="s">
        <v>1061</v>
      </c>
      <c r="B506" s="6"/>
      <c r="C506" s="6"/>
      <c r="D506" s="6"/>
      <c r="E506" s="9" t="s">
        <v>1062</v>
      </c>
      <c r="F506" s="9" t="s">
        <v>1063</v>
      </c>
      <c r="G506" s="14" t="s">
        <v>1064</v>
      </c>
      <c r="H506" s="9" t="s">
        <v>1065</v>
      </c>
      <c r="I506" s="9" t="s">
        <v>1030</v>
      </c>
      <c r="J506" s="9" t="s">
        <v>1044</v>
      </c>
      <c r="K506" s="9" t="s">
        <v>1045</v>
      </c>
      <c r="L506" s="9" t="s">
        <v>1046</v>
      </c>
      <c r="M506" s="9" t="s">
        <v>1066</v>
      </c>
      <c r="N506" s="10" t="s">
        <v>1048</v>
      </c>
      <c r="O506" s="9" t="s">
        <v>1067</v>
      </c>
      <c r="P506" s="9" t="s">
        <v>1068</v>
      </c>
      <c r="Q506" s="8" t="s">
        <v>984</v>
      </c>
    </row>
    <row r="507" spans="1:17" ht="409.6" x14ac:dyDescent="0.2">
      <c r="A507" s="8" t="s">
        <v>532</v>
      </c>
      <c r="B507" s="73"/>
      <c r="C507" s="73"/>
      <c r="D507" s="73"/>
      <c r="E507" s="3" t="s">
        <v>156</v>
      </c>
      <c r="F507" s="3" t="s">
        <v>533</v>
      </c>
      <c r="G507" s="5" t="s">
        <v>534</v>
      </c>
      <c r="H507" s="6" t="s">
        <v>535</v>
      </c>
      <c r="I507" s="6" t="s">
        <v>536</v>
      </c>
      <c r="J507" s="6" t="s">
        <v>537</v>
      </c>
      <c r="K507" s="6" t="s">
        <v>538</v>
      </c>
      <c r="L507" s="6" t="s">
        <v>539</v>
      </c>
      <c r="M507" s="6" t="s">
        <v>540</v>
      </c>
      <c r="N507" s="6" t="s">
        <v>541</v>
      </c>
      <c r="O507" s="6" t="s">
        <v>542</v>
      </c>
      <c r="P507" s="6" t="s">
        <v>543</v>
      </c>
      <c r="Q507" s="6"/>
    </row>
    <row r="508" spans="1:17" ht="409.6" x14ac:dyDescent="0.2">
      <c r="A508" s="8" t="s">
        <v>4066</v>
      </c>
      <c r="B508" s="6"/>
      <c r="C508" s="6"/>
      <c r="D508" s="6"/>
      <c r="E508" s="9" t="s">
        <v>4067</v>
      </c>
      <c r="F508" s="9" t="s">
        <v>4068</v>
      </c>
      <c r="G508" s="14" t="s">
        <v>4069</v>
      </c>
      <c r="H508" s="9" t="s">
        <v>4070</v>
      </c>
      <c r="I508" s="9" t="s">
        <v>4071</v>
      </c>
      <c r="J508" s="9" t="s">
        <v>4072</v>
      </c>
      <c r="K508" s="9" t="s">
        <v>4073</v>
      </c>
      <c r="L508" s="9" t="s">
        <v>4074</v>
      </c>
      <c r="M508" s="9" t="s">
        <v>4075</v>
      </c>
      <c r="N508" s="9" t="s">
        <v>4076</v>
      </c>
      <c r="O508" s="6" t="s">
        <v>4077</v>
      </c>
      <c r="P508" s="9" t="s">
        <v>4078</v>
      </c>
      <c r="Q508" s="42" t="s">
        <v>984</v>
      </c>
    </row>
    <row r="509" spans="1:17" ht="409.6" x14ac:dyDescent="0.2">
      <c r="A509" s="70" t="s">
        <v>4079</v>
      </c>
      <c r="B509" s="78"/>
      <c r="C509" s="78"/>
      <c r="D509" s="78"/>
      <c r="E509" s="43" t="s">
        <v>4080</v>
      </c>
      <c r="F509" s="43" t="s">
        <v>4081</v>
      </c>
      <c r="G509" s="44" t="s">
        <v>4082</v>
      </c>
      <c r="H509" s="43" t="s">
        <v>4083</v>
      </c>
      <c r="I509" s="43" t="s">
        <v>4084</v>
      </c>
      <c r="J509" s="43" t="s">
        <v>4085</v>
      </c>
      <c r="K509" s="43" t="s">
        <v>4086</v>
      </c>
      <c r="L509" s="43" t="s">
        <v>4087</v>
      </c>
      <c r="M509" s="43" t="s">
        <v>4088</v>
      </c>
      <c r="N509" s="45" t="s">
        <v>4089</v>
      </c>
      <c r="O509" s="43" t="s">
        <v>4090</v>
      </c>
      <c r="P509" s="43" t="s">
        <v>4091</v>
      </c>
      <c r="Q509" s="43"/>
    </row>
    <row r="510" spans="1:17" ht="350" x14ac:dyDescent="0.2">
      <c r="A510" s="8" t="s">
        <v>4092</v>
      </c>
      <c r="B510" s="6"/>
      <c r="C510" s="6"/>
      <c r="D510" s="6"/>
      <c r="E510" s="9" t="s">
        <v>4093</v>
      </c>
      <c r="F510" s="9" t="s">
        <v>4094</v>
      </c>
      <c r="G510" s="14" t="s">
        <v>4095</v>
      </c>
      <c r="H510" s="9" t="s">
        <v>4096</v>
      </c>
      <c r="I510" s="9" t="s">
        <v>4097</v>
      </c>
      <c r="J510" s="9" t="s">
        <v>4098</v>
      </c>
      <c r="K510" s="9" t="s">
        <v>4099</v>
      </c>
      <c r="L510" s="9" t="s">
        <v>4100</v>
      </c>
      <c r="M510" s="9" t="s">
        <v>4101</v>
      </c>
      <c r="N510" s="10" t="s">
        <v>4102</v>
      </c>
      <c r="O510" s="9" t="s">
        <v>4103</v>
      </c>
      <c r="P510" s="9" t="s">
        <v>4104</v>
      </c>
      <c r="Q510" s="8" t="s">
        <v>984</v>
      </c>
    </row>
  </sheetData>
  <mergeCells count="15">
    <mergeCell ref="O78:O79"/>
    <mergeCell ref="P78:P79"/>
    <mergeCell ref="Q78:Q79"/>
    <mergeCell ref="I78:I79"/>
    <mergeCell ref="J78:J79"/>
    <mergeCell ref="K78:K79"/>
    <mergeCell ref="L78:L79"/>
    <mergeCell ref="M78:M79"/>
    <mergeCell ref="N78:N79"/>
    <mergeCell ref="H78:H79"/>
    <mergeCell ref="A78:A79"/>
    <mergeCell ref="B78:B79"/>
    <mergeCell ref="E78:E79"/>
    <mergeCell ref="F78:F79"/>
    <mergeCell ref="G78:G79"/>
  </mergeCells>
  <conditionalFormatting sqref="A2:A62">
    <cfRule type="duplicateValues" dxfId="5" priority="6"/>
  </conditionalFormatting>
  <conditionalFormatting sqref="A63">
    <cfRule type="duplicateValues" dxfId="4" priority="5"/>
  </conditionalFormatting>
  <conditionalFormatting sqref="A64">
    <cfRule type="duplicateValues" dxfId="3" priority="4"/>
  </conditionalFormatting>
  <conditionalFormatting sqref="A65">
    <cfRule type="duplicateValues" dxfId="2" priority="3"/>
  </conditionalFormatting>
  <conditionalFormatting sqref="A66">
    <cfRule type="duplicateValues" dxfId="1" priority="1"/>
  </conditionalFormatting>
  <conditionalFormatting sqref="A67">
    <cfRule type="duplicateValues" dxfId="0" priority="2"/>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62E1-B7EB-7844-8154-3EAEF01AE580}">
  <dimension ref="A1:E572"/>
  <sheetViews>
    <sheetView workbookViewId="0">
      <selection activeCell="E5" sqref="E5"/>
    </sheetView>
  </sheetViews>
  <sheetFormatPr baseColWidth="10" defaultRowHeight="16" x14ac:dyDescent="0.2"/>
  <cols>
    <col min="1" max="1" width="8.6640625" style="91" bestFit="1" customWidth="1"/>
    <col min="2" max="2" width="17.5" style="91" hidden="1" customWidth="1"/>
    <col min="3" max="4" width="17.5" style="91" customWidth="1"/>
    <col min="5" max="5" width="18.6640625" style="94" customWidth="1"/>
  </cols>
  <sheetData>
    <row r="1" spans="1:5" ht="44" x14ac:dyDescent="0.2">
      <c r="A1" s="92" t="s">
        <v>0</v>
      </c>
      <c r="B1" s="89" t="s">
        <v>4108</v>
      </c>
      <c r="C1" s="92" t="s">
        <v>4106</v>
      </c>
      <c r="D1" s="92" t="s">
        <v>4107</v>
      </c>
      <c r="E1" s="92" t="s">
        <v>4105</v>
      </c>
    </row>
    <row r="2" spans="1:5" ht="64" x14ac:dyDescent="0.2">
      <c r="A2" s="95" t="s">
        <v>4109</v>
      </c>
      <c r="B2" s="90" t="s">
        <v>4110</v>
      </c>
      <c r="C2" s="93" t="str">
        <f>LEFT(MID(B2,FIND("(",B2)+1,10),FIND("-",MID(B2,FIND("(",B2)+1,10))-1)</f>
        <v>1</v>
      </c>
      <c r="D2" s="93" t="str">
        <f>TRIM(MID(B2,FIND(" ",B2,FIND("(",B2))+1,FIND(")",B2)-FIND(" ",B2,FIND("(",B2))-1))</f>
        <v>Litre</v>
      </c>
      <c r="E2" s="2" t="s">
        <v>4111</v>
      </c>
    </row>
    <row r="3" spans="1:5" ht="80" x14ac:dyDescent="0.2">
      <c r="A3" s="95" t="s">
        <v>4112</v>
      </c>
      <c r="B3" s="90" t="s">
        <v>4113</v>
      </c>
      <c r="C3" s="93" t="str">
        <f>LEFT(MID(B3,FIND("(",B3)+1,10),FIND("-",MID(B3,FIND("(",B3)+1,10))-1)</f>
        <v>400</v>
      </c>
      <c r="D3" s="93" t="str">
        <f>TRIM(MID(B3,FIND(" ",B3,FIND("(",B3))+1,FIND(")",B3)-FIND(" ",B3,FIND("(",B3))-1))</f>
        <v>ml</v>
      </c>
      <c r="E3" s="93" t="s">
        <v>4114</v>
      </c>
    </row>
    <row r="4" spans="1:5" ht="48" x14ac:dyDescent="0.2">
      <c r="A4" s="95" t="s">
        <v>4115</v>
      </c>
      <c r="B4" s="90" t="s">
        <v>4116</v>
      </c>
      <c r="C4" s="93" t="str">
        <f>LEFT(MID(B4,FIND("(",B4)+1,10),FIND("-",MID(B4,FIND("(",B4)+1,10))-1)</f>
        <v>5</v>
      </c>
      <c r="D4" s="93" t="str">
        <f>TRIM(MID(B4,FIND(" ",B4,FIND("(",B4))+1,FIND(")",B4)-FIND(" ",B4,FIND("(",B4))-1))</f>
        <v>Litre</v>
      </c>
      <c r="E4" s="93" t="s">
        <v>4117</v>
      </c>
    </row>
    <row r="5" spans="1:5" ht="33" x14ac:dyDescent="0.2">
      <c r="A5" s="95" t="s">
        <v>265</v>
      </c>
      <c r="B5" s="90" t="s">
        <v>4118</v>
      </c>
      <c r="C5" s="93">
        <v>2</v>
      </c>
      <c r="D5" s="93" t="s">
        <v>4594</v>
      </c>
      <c r="E5" s="93" t="s">
        <v>4119</v>
      </c>
    </row>
    <row r="6" spans="1:5" ht="48" x14ac:dyDescent="0.2">
      <c r="A6" s="95" t="s">
        <v>4120</v>
      </c>
      <c r="B6" s="90" t="s">
        <v>4121</v>
      </c>
      <c r="C6" s="93" t="str">
        <f>LEFT(MID(B6,FIND("(",B6)+1,10),FIND("-",MID(B6,FIND("(",B6)+1,10))-1)</f>
        <v>5</v>
      </c>
      <c r="D6" s="93" t="str">
        <f>TRIM(MID(B6,FIND(" ",B6,FIND("(",B6))+1,FIND(")",B6)-FIND(" ",B6,FIND("(",B6))-1))</f>
        <v>Litre</v>
      </c>
      <c r="E6" s="2" t="s">
        <v>4122</v>
      </c>
    </row>
    <row r="7" spans="1:5" ht="112" x14ac:dyDescent="0.2">
      <c r="A7" s="95" t="s">
        <v>4123</v>
      </c>
      <c r="B7" s="90" t="s">
        <v>4110</v>
      </c>
      <c r="C7" s="93" t="str">
        <f>LEFT(MID(B7,FIND("(",B7)+1,10),FIND("-",MID(B7,FIND("(",B7)+1,10))-1)</f>
        <v>1</v>
      </c>
      <c r="D7" s="93" t="str">
        <f>TRIM(MID(B7,FIND(" ",B7,FIND("(",B7))+1,FIND(")",B7)-FIND(" ",B7,FIND("(",B7))-1))</f>
        <v>Litre</v>
      </c>
      <c r="E7" s="93" t="s">
        <v>4124</v>
      </c>
    </row>
    <row r="8" spans="1:5" ht="48" x14ac:dyDescent="0.2">
      <c r="A8" s="95" t="s">
        <v>338</v>
      </c>
      <c r="B8" s="90" t="s">
        <v>4125</v>
      </c>
      <c r="C8" s="93" t="str">
        <f>LEFT(MID(B8,FIND("(",B8)+1,10),FIND("-",MID(B8,FIND("(",B8)+1,10))-1)</f>
        <v>750</v>
      </c>
      <c r="D8" s="93" t="str">
        <f>TRIM(MID(B8,FIND(" ",B8,FIND("(",B8))+1,FIND(")",B8)-FIND(" ",B8,FIND("(",B8))-1))</f>
        <v>ml</v>
      </c>
      <c r="E8" s="2" t="s">
        <v>4117</v>
      </c>
    </row>
    <row r="9" spans="1:5" ht="37" x14ac:dyDescent="0.2">
      <c r="A9" s="95" t="s">
        <v>363</v>
      </c>
      <c r="B9" s="90" t="s">
        <v>4126</v>
      </c>
      <c r="C9" s="93" t="str">
        <f>LEFT(MID(B9,FIND("(",B9)+1,10),FIND("-",MID(B9,FIND("(",B9)+1,10))-1)</f>
        <v>6</v>
      </c>
      <c r="D9" s="93" t="str">
        <f>TRIM(MID(B9,FIND(" ",B9,FIND("(",B9))+1,FIND(")",B9)-FIND(" ",B9,FIND("(",B9))-1))</f>
        <v>Litre</v>
      </c>
      <c r="E9" s="2" t="s">
        <v>4117</v>
      </c>
    </row>
    <row r="10" spans="1:5" ht="38" x14ac:dyDescent="0.2">
      <c r="A10" s="95" t="s">
        <v>4127</v>
      </c>
      <c r="B10" s="90" t="s">
        <v>4128</v>
      </c>
      <c r="C10" s="93" t="str">
        <f>LEFT(MID(B10,FIND("(",B10)+1,10),FIND("-",MID(B10,FIND("(",B10)+1,10))-1)</f>
        <v>100</v>
      </c>
      <c r="D10" s="93" t="str">
        <f>TRIM(MID(B10,FIND(" ",B10,FIND("(",B10))+1,FIND(")",B10)-FIND(" ",B10,FIND("(",B10))-1))</f>
        <v>ml</v>
      </c>
      <c r="E10" s="93" t="s">
        <v>4129</v>
      </c>
    </row>
    <row r="11" spans="1:5" ht="48" x14ac:dyDescent="0.2">
      <c r="A11" s="95" t="s">
        <v>4130</v>
      </c>
      <c r="B11" s="90" t="s">
        <v>4110</v>
      </c>
      <c r="C11" s="93" t="str">
        <f>LEFT(MID(B11,FIND("(",B11)+1,10),FIND("-",MID(B11,FIND("(",B11)+1,10))-1)</f>
        <v>1</v>
      </c>
      <c r="D11" s="93" t="str">
        <f>TRIM(MID(B11,FIND(" ",B11,FIND("(",B11))+1,FIND(")",B11)-FIND(" ",B11,FIND("(",B11))-1))</f>
        <v>Litre</v>
      </c>
      <c r="E11" s="2"/>
    </row>
    <row r="12" spans="1:5" ht="64" x14ac:dyDescent="0.2">
      <c r="A12" s="95" t="s">
        <v>4109</v>
      </c>
      <c r="B12" s="90" t="s">
        <v>4110</v>
      </c>
      <c r="C12" s="93" t="str">
        <f>LEFT(MID(B12,FIND("(",B12)+1,10),FIND("-",MID(B12,FIND("(",B12)+1,10))-1)</f>
        <v>1</v>
      </c>
      <c r="D12" s="93" t="str">
        <f>TRIM(MID(B12,FIND(" ",B12,FIND("(",B12))+1,FIND(")",B12)-FIND(" ",B12,FIND("(",B12))-1))</f>
        <v>Litre</v>
      </c>
      <c r="E12" s="2" t="s">
        <v>4111</v>
      </c>
    </row>
    <row r="13" spans="1:5" ht="80" x14ac:dyDescent="0.2">
      <c r="A13" s="95" t="s">
        <v>4112</v>
      </c>
      <c r="B13" s="90" t="s">
        <v>4113</v>
      </c>
      <c r="C13" s="93" t="str">
        <f>LEFT(MID(B13,FIND("(",B13)+1,10),FIND("-",MID(B13,FIND("(",B13)+1,10))-1)</f>
        <v>400</v>
      </c>
      <c r="D13" s="93" t="str">
        <f>TRIM(MID(B13,FIND(" ",B13,FIND("(",B13))+1,FIND(")",B13)-FIND(" ",B13,FIND("(",B13))-1))</f>
        <v>ml</v>
      </c>
      <c r="E13" s="93" t="s">
        <v>4114</v>
      </c>
    </row>
    <row r="14" spans="1:5" ht="48" x14ac:dyDescent="0.2">
      <c r="A14" s="95" t="s">
        <v>4115</v>
      </c>
      <c r="B14" s="90" t="s">
        <v>4110</v>
      </c>
      <c r="C14" s="93" t="str">
        <f>LEFT(MID(B14,FIND("(",B14)+1,10),FIND("-",MID(B14,FIND("(",B14)+1,10))-1)</f>
        <v>1</v>
      </c>
      <c r="D14" s="93" t="str">
        <f>TRIM(MID(B14,FIND(" ",B14,FIND("(",B14))+1,FIND(")",B14)-FIND(" ",B14,FIND("(",B14))-1))</f>
        <v>Litre</v>
      </c>
      <c r="E14" s="93" t="s">
        <v>4117</v>
      </c>
    </row>
    <row r="15" spans="1:5" ht="33" x14ac:dyDescent="0.2">
      <c r="A15" s="96" t="s">
        <v>4131</v>
      </c>
      <c r="B15" s="90" t="s">
        <v>4132</v>
      </c>
      <c r="C15" s="93">
        <v>1</v>
      </c>
      <c r="D15" s="93" t="s">
        <v>4594</v>
      </c>
      <c r="E15" s="93" t="s">
        <v>4117</v>
      </c>
    </row>
    <row r="16" spans="1:5" ht="48" x14ac:dyDescent="0.2">
      <c r="A16" s="95" t="s">
        <v>4120</v>
      </c>
      <c r="B16" s="90" t="s">
        <v>4121</v>
      </c>
      <c r="C16" s="93" t="str">
        <f>LEFT(MID(B16,FIND("(",B16)+1,10),FIND("-",MID(B16,FIND("(",B16)+1,10))-1)</f>
        <v>5</v>
      </c>
      <c r="D16" s="93" t="str">
        <f>TRIM(MID(B16,FIND(" ",B16,FIND("(",B16))+1,FIND(")",B16)-FIND(" ",B16,FIND("(",B16))-1))</f>
        <v>Litre</v>
      </c>
      <c r="E16" s="2" t="s">
        <v>4122</v>
      </c>
    </row>
    <row r="17" spans="1:5" ht="48" x14ac:dyDescent="0.2">
      <c r="A17" s="95" t="s">
        <v>338</v>
      </c>
      <c r="B17" s="90" t="s">
        <v>4125</v>
      </c>
      <c r="C17" s="93" t="str">
        <f>LEFT(MID(B17,FIND("(",B17)+1,10),FIND("-",MID(B17,FIND("(",B17)+1,10))-1)</f>
        <v>750</v>
      </c>
      <c r="D17" s="93" t="str">
        <f>TRIM(MID(B17,FIND(" ",B17,FIND("(",B17))+1,FIND(")",B17)-FIND(" ",B17,FIND("(",B17))-1))</f>
        <v>ml</v>
      </c>
      <c r="E17" s="2" t="s">
        <v>4117</v>
      </c>
    </row>
    <row r="18" spans="1:5" ht="48" x14ac:dyDescent="0.2">
      <c r="A18" s="95" t="s">
        <v>4133</v>
      </c>
      <c r="B18" s="90" t="s">
        <v>4110</v>
      </c>
      <c r="C18" s="93" t="str">
        <f>LEFT(MID(B18,FIND("(",B18)+1,10),FIND("-",MID(B18,FIND("(",B18)+1,10))-1)</f>
        <v>1</v>
      </c>
      <c r="D18" s="93" t="str">
        <f>TRIM(MID(B18,FIND(" ",B18,FIND("(",B18))+1,FIND(")",B18)-FIND(" ",B18,FIND("(",B18))-1))</f>
        <v>Litre</v>
      </c>
      <c r="E18" s="2" t="s">
        <v>4134</v>
      </c>
    </row>
    <row r="19" spans="1:5" ht="48" x14ac:dyDescent="0.2">
      <c r="A19" s="95" t="s">
        <v>4135</v>
      </c>
      <c r="B19" s="90" t="s">
        <v>4110</v>
      </c>
      <c r="C19" s="93" t="str">
        <f>LEFT(MID(B19,FIND("(",B19)+1,10),FIND("-",MID(B19,FIND("(",B19)+1,10))-1)</f>
        <v>1</v>
      </c>
      <c r="D19" s="93" t="str">
        <f>TRIM(MID(B19,FIND(" ",B19,FIND("(",B19))+1,FIND(")",B19)-FIND(" ",B19,FIND("(",B19))-1))</f>
        <v>Litre</v>
      </c>
      <c r="E19" s="93" t="s">
        <v>4117</v>
      </c>
    </row>
    <row r="20" spans="1:5" ht="48" x14ac:dyDescent="0.2">
      <c r="A20" s="95" t="s">
        <v>4136</v>
      </c>
      <c r="B20" s="90" t="s">
        <v>4137</v>
      </c>
      <c r="C20" s="93" t="str">
        <f>LEFT(MID(B20,FIND("(",B20)+1,10),FIND("-",MID(B20,FIND("(",B20)+1,10))-1)</f>
        <v>250</v>
      </c>
      <c r="D20" s="93" t="str">
        <f>TRIM(MID(B20,FIND(" ",B20,FIND("(",B20))+1,FIND(")",B20)-FIND(" ",B20,FIND("(",B20))-1))</f>
        <v>gr</v>
      </c>
      <c r="E20" s="93" t="s">
        <v>4134</v>
      </c>
    </row>
    <row r="21" spans="1:5" ht="80" x14ac:dyDescent="0.2">
      <c r="A21" s="95" t="s">
        <v>4138</v>
      </c>
      <c r="B21" s="90" t="s">
        <v>4139</v>
      </c>
      <c r="C21" s="93">
        <v>1</v>
      </c>
      <c r="D21" s="93" t="s">
        <v>4598</v>
      </c>
      <c r="E21" s="93" t="s">
        <v>4140</v>
      </c>
    </row>
    <row r="22" spans="1:5" ht="44" x14ac:dyDescent="0.2">
      <c r="A22" s="95" t="s">
        <v>4141</v>
      </c>
      <c r="B22" s="90" t="s">
        <v>4142</v>
      </c>
      <c r="C22" s="93" t="str">
        <f>LEFT(MID(B22,FIND("(",B22)+1,10),FIND("-",MID(B22,FIND("(",B22)+1,10))-1)</f>
        <v>220</v>
      </c>
      <c r="D22" s="93" t="str">
        <f>TRIM(MID(B22,FIND(" ",B22,FIND("(",B22))+1,FIND(")",B22)-FIND(" ",B22,FIND("(",B22))-1))</f>
        <v>ml</v>
      </c>
      <c r="E22" s="93" t="s">
        <v>4143</v>
      </c>
    </row>
    <row r="23" spans="1:5" ht="64" x14ac:dyDescent="0.2">
      <c r="A23" s="95" t="s">
        <v>4109</v>
      </c>
      <c r="B23" s="90" t="s">
        <v>4144</v>
      </c>
      <c r="C23" s="93" t="str">
        <f>LEFT(MID(B23,FIND("(",B23)+1,10),FIND("-",MID(B23,FIND("(",B23)+1,10))-1)</f>
        <v>20</v>
      </c>
      <c r="D23" s="93" t="str">
        <f>TRIM(MID(B23,FIND(" ",B23,FIND("(",B23))+1,FIND(")",B23)-FIND(" ",B23,FIND("(",B23))-1))</f>
        <v>Litre</v>
      </c>
      <c r="E23" s="2" t="s">
        <v>4111</v>
      </c>
    </row>
    <row r="24" spans="1:5" ht="112" x14ac:dyDescent="0.2">
      <c r="A24" s="95" t="s">
        <v>4145</v>
      </c>
      <c r="B24" s="90" t="s">
        <v>4146</v>
      </c>
      <c r="C24" s="93" t="str">
        <f>LEFT(MID(B24,FIND("(",B24)+1,10),FIND("-",MID(B24,FIND("(",B24)+1,10))-1)</f>
        <v>3</v>
      </c>
      <c r="D24" s="93" t="str">
        <f>TRIM(MID(B24,FIND(" ",B24,FIND("(",B24))+1,FIND(")",B24)-FIND(" ",B24,FIND("(",B24))-1))</f>
        <v>Litre</v>
      </c>
      <c r="E24" s="93" t="s">
        <v>4147</v>
      </c>
    </row>
    <row r="25" spans="1:5" ht="41" x14ac:dyDescent="0.2">
      <c r="A25" s="95" t="s">
        <v>242</v>
      </c>
      <c r="B25" s="90" t="s">
        <v>4148</v>
      </c>
      <c r="C25" s="93" t="str">
        <f>LEFT(MID(B25,FIND("(",B25)+1,10),FIND("-",MID(B25,FIND("(",B25)+1,10))-1)</f>
        <v>10</v>
      </c>
      <c r="D25" s="93" t="str">
        <f>TRIM(MID(B25,FIND(" ",B25,FIND("(",B25))+1,FIND(")",B25)-FIND(" ",B25,FIND("(",B25))-1))</f>
        <v>Litre</v>
      </c>
      <c r="E25" s="93" t="s">
        <v>4149</v>
      </c>
    </row>
    <row r="26" spans="1:5" ht="33" x14ac:dyDescent="0.2">
      <c r="A26" s="95" t="s">
        <v>265</v>
      </c>
      <c r="B26" s="90" t="s">
        <v>4118</v>
      </c>
      <c r="C26" s="93">
        <v>2</v>
      </c>
      <c r="D26" s="93" t="s">
        <v>4595</v>
      </c>
      <c r="E26" s="93" t="s">
        <v>4119</v>
      </c>
    </row>
    <row r="27" spans="1:5" ht="64" x14ac:dyDescent="0.2">
      <c r="A27" s="95" t="s">
        <v>4150</v>
      </c>
      <c r="B27" s="90" t="s">
        <v>828</v>
      </c>
      <c r="C27" s="93">
        <v>1</v>
      </c>
      <c r="D27" s="93" t="s">
        <v>4594</v>
      </c>
      <c r="E27" s="93" t="s">
        <v>4122</v>
      </c>
    </row>
    <row r="28" spans="1:5" ht="48" x14ac:dyDescent="0.2">
      <c r="A28" s="95" t="s">
        <v>4120</v>
      </c>
      <c r="B28" s="90" t="s">
        <v>4151</v>
      </c>
      <c r="C28" s="93" t="str">
        <f>LEFT(MID(B28,FIND("(",B28)+1,10),FIND("-",MID(B28,FIND("(",B28)+1,10))-1)</f>
        <v>25</v>
      </c>
      <c r="D28" s="93" t="str">
        <f>TRIM(MID(B28,FIND(" ",B28,FIND("(",B28))+1,FIND(")",B28)-FIND(" ",B28,FIND("(",B28))-1))</f>
        <v>Litre</v>
      </c>
      <c r="E28" s="2" t="s">
        <v>4122</v>
      </c>
    </row>
    <row r="29" spans="1:5" ht="112" x14ac:dyDescent="0.2">
      <c r="A29" s="95" t="s">
        <v>4123</v>
      </c>
      <c r="B29" s="90" t="s">
        <v>4110</v>
      </c>
      <c r="C29" s="93" t="str">
        <f>LEFT(MID(B29,FIND("(",B29)+1,10),FIND("-",MID(B29,FIND("(",B29)+1,10))-1)</f>
        <v>1</v>
      </c>
      <c r="D29" s="93" t="str">
        <f>TRIM(MID(B29,FIND(" ",B29,FIND("(",B29))+1,FIND(")",B29)-FIND(" ",B29,FIND("(",B29))-1))</f>
        <v>Litre</v>
      </c>
      <c r="E29" s="93" t="s">
        <v>4124</v>
      </c>
    </row>
    <row r="30" spans="1:5" ht="49" x14ac:dyDescent="0.2">
      <c r="A30" s="95" t="s">
        <v>338</v>
      </c>
      <c r="B30" s="90" t="s">
        <v>4152</v>
      </c>
      <c r="C30" s="93" t="str">
        <f>LEFT(MID(B30,FIND("(",B30)+1,10),FIND("-",MID(B30,FIND("(",B30)+1,10))-1)</f>
        <v>2250</v>
      </c>
      <c r="D30" s="93" t="str">
        <f>TRIM(MID(B30,FIND(" ",B30,FIND("(",B30))+1,FIND(")",B30)-FIND(" ",B30,FIND("(",B30))-1))</f>
        <v>ml</v>
      </c>
      <c r="E30" s="2" t="s">
        <v>4117</v>
      </c>
    </row>
    <row r="31" spans="1:5" ht="41" x14ac:dyDescent="0.2">
      <c r="A31" s="95" t="s">
        <v>363</v>
      </c>
      <c r="B31" s="90" t="s">
        <v>4153</v>
      </c>
      <c r="C31" s="93" t="str">
        <f>LEFT(MID(B31,FIND("(",B31)+1,10),FIND("-",MID(B31,FIND("(",B31)+1,10))-1)</f>
        <v>30</v>
      </c>
      <c r="D31" s="93" t="str">
        <f>TRIM(MID(B31,FIND(" ",B31,FIND("(",B31))+1,FIND(")",B31)-FIND(" ",B31,FIND("(",B31))-1))</f>
        <v>Litre</v>
      </c>
      <c r="E31" s="93" t="s">
        <v>4117</v>
      </c>
    </row>
    <row r="32" spans="1:5" ht="44" x14ac:dyDescent="0.2">
      <c r="A32" s="95" t="s">
        <v>4154</v>
      </c>
      <c r="B32" s="90" t="s">
        <v>4155</v>
      </c>
      <c r="C32" s="93" t="str">
        <f>LEFT(MID(B32,FIND("(",B32)+1,10),FIND("-",MID(B32,FIND("(",B32)+1,10))-1)</f>
        <v>500</v>
      </c>
      <c r="D32" s="93" t="str">
        <f>TRIM(MID(B32,FIND(" ",B32,FIND("(",B32))+1,FIND(")",B32)-FIND(" ",B32,FIND("(",B32))-1))</f>
        <v>ml</v>
      </c>
      <c r="E32" s="9" t="s">
        <v>4111</v>
      </c>
    </row>
    <row r="33" spans="1:5" ht="38" x14ac:dyDescent="0.2">
      <c r="A33" s="95" t="s">
        <v>4127</v>
      </c>
      <c r="B33" s="90" t="s">
        <v>4128</v>
      </c>
      <c r="C33" s="93" t="str">
        <f>LEFT(MID(B33,FIND("(",B33)+1,10),FIND("-",MID(B33,FIND("(",B33)+1,10))-1)</f>
        <v>100</v>
      </c>
      <c r="D33" s="93" t="str">
        <f>TRIM(MID(B33,FIND(" ",B33,FIND("(",B33))+1,FIND(")",B33)-FIND(" ",B33,FIND("(",B33))-1))</f>
        <v>ml</v>
      </c>
      <c r="E33" s="93" t="s">
        <v>4129</v>
      </c>
    </row>
    <row r="34" spans="1:5" ht="48" x14ac:dyDescent="0.2">
      <c r="A34" s="95" t="s">
        <v>4130</v>
      </c>
      <c r="B34" s="90" t="s">
        <v>4156</v>
      </c>
      <c r="C34" s="93" t="str">
        <f>LEFT(MID(B34,FIND("(",B34)+1,10),FIND("-",MID(B34,FIND("(",B34)+1,10))-1)</f>
        <v>5</v>
      </c>
      <c r="D34" s="93" t="str">
        <f>TRIM(MID(B34,FIND(" ",B34,FIND("(",B34))+1,FIND(")",B34)-FIND(" ",B34,FIND("(",B34))-1))</f>
        <v>Litre</v>
      </c>
      <c r="E34" s="93" t="s">
        <v>4157</v>
      </c>
    </row>
    <row r="35" spans="1:5" ht="48" x14ac:dyDescent="0.2">
      <c r="A35" s="95" t="s">
        <v>4130</v>
      </c>
      <c r="B35" s="90" t="s">
        <v>4110</v>
      </c>
      <c r="C35" s="93" t="str">
        <f>LEFT(MID(B35,FIND("(",B35)+1,10),FIND("-",MID(B35,FIND("(",B35)+1,10))-1)</f>
        <v>1</v>
      </c>
      <c r="D35" s="93" t="str">
        <f>TRIM(MID(B35,FIND(" ",B35,FIND("(",B35))+1,FIND(")",B35)-FIND(" ",B35,FIND("(",B35))-1))</f>
        <v>Litre</v>
      </c>
      <c r="E35" s="93" t="s">
        <v>4158</v>
      </c>
    </row>
    <row r="36" spans="1:5" ht="48" x14ac:dyDescent="0.2">
      <c r="A36" s="95" t="s">
        <v>4159</v>
      </c>
      <c r="B36" s="90" t="s">
        <v>4160</v>
      </c>
      <c r="C36" s="93" t="str">
        <f>LEFT(MID(B36,FIND("(",B36)+1,10),FIND("-",MID(B36,FIND("(",B36)+1,10))-1)</f>
        <v>250</v>
      </c>
      <c r="D36" s="93" t="str">
        <f>TRIM(MID(B36,FIND(" ",B36,FIND("(",B36))+1,FIND(")",B36)-FIND(" ",B36,FIND("(",B36))-1))</f>
        <v>ml</v>
      </c>
      <c r="E36" s="93" t="s">
        <v>4161</v>
      </c>
    </row>
    <row r="37" spans="1:5" ht="48" x14ac:dyDescent="0.2">
      <c r="A37" s="95" t="s">
        <v>4135</v>
      </c>
      <c r="B37" s="90" t="s">
        <v>4162</v>
      </c>
      <c r="C37" s="93" t="str">
        <f>LEFT(MID(B37,FIND("(",B37)+1,10),FIND("-",MID(B37,FIND("(",B37)+1,10))-1)</f>
        <v>5</v>
      </c>
      <c r="D37" s="93" t="str">
        <f>TRIM(MID(B37,FIND(" ",B37,FIND("(",B37))+1,FIND(")",B37)-FIND(" ",B37,FIND("(",B37))-1))</f>
        <v>Litre</v>
      </c>
      <c r="E37" s="93" t="s">
        <v>4117</v>
      </c>
    </row>
    <row r="38" spans="1:5" ht="42" x14ac:dyDescent="0.2">
      <c r="A38" s="95" t="s">
        <v>4163</v>
      </c>
      <c r="B38" s="90" t="s">
        <v>4164</v>
      </c>
      <c r="C38" s="93" t="str">
        <f>LEFT(MID(B38,FIND("(",B38)+1,10),FIND("-",MID(B38,FIND("(",B38)+1,10))-1)</f>
        <v>125</v>
      </c>
      <c r="D38" s="93" t="str">
        <f>TRIM(MID(B38,FIND(" ",B38,FIND("(",B38))+1,FIND(")",B38)-FIND(" ",B38,FIND("(",B38))-1))</f>
        <v>Litre</v>
      </c>
      <c r="E38" s="93" t="s">
        <v>4165</v>
      </c>
    </row>
    <row r="39" spans="1:5" ht="48" x14ac:dyDescent="0.2">
      <c r="A39" s="95" t="s">
        <v>4136</v>
      </c>
      <c r="B39" s="90" t="s">
        <v>4137</v>
      </c>
      <c r="C39" s="93" t="str">
        <f>LEFT(MID(B39,FIND("(",B39)+1,10),FIND("-",MID(B39,FIND("(",B39)+1,10))-1)</f>
        <v>250</v>
      </c>
      <c r="D39" s="93" t="str">
        <f>TRIM(MID(B39,FIND(" ",B39,FIND("(",B39))+1,FIND(")",B39)-FIND(" ",B39,FIND("(",B39))-1))</f>
        <v>gr</v>
      </c>
      <c r="E39" s="93" t="s">
        <v>4134</v>
      </c>
    </row>
    <row r="40" spans="1:5" ht="80" x14ac:dyDescent="0.2">
      <c r="A40" s="95" t="s">
        <v>4138</v>
      </c>
      <c r="B40" s="90" t="s">
        <v>4166</v>
      </c>
      <c r="C40" s="93" t="str">
        <f>LEFT(MID(B40,FIND("(",B40)+1,10),FIND("-",MID(B40,FIND("(",B40)+1,10))-1)</f>
        <v>10000</v>
      </c>
      <c r="D40" s="93" t="str">
        <f>TRIM(MID(B40,FIND(" ",B40,FIND("(",B40))+1,FIND(")",B40)-FIND(" ",B40,FIND("(",B40))-1))</f>
        <v>Adet</v>
      </c>
      <c r="E40" s="93" t="s">
        <v>4167</v>
      </c>
    </row>
    <row r="41" spans="1:5" ht="48" x14ac:dyDescent="0.2">
      <c r="A41" s="95" t="s">
        <v>4168</v>
      </c>
      <c r="B41" s="90" t="s">
        <v>4169</v>
      </c>
      <c r="C41" s="93" t="str">
        <f>LEFT(MID(B41,FIND("(",B41)+1,10),FIND("-",MID(B41,FIND("(",B41)+1,10))-1)</f>
        <v>10</v>
      </c>
      <c r="D41" s="93" t="str">
        <f>TRIM(MID(B41,FIND(" ",B41,FIND("(",B41))+1,FIND(")",B41)-FIND(" ",B41,FIND("(",B41))-1))</f>
        <v>Litre</v>
      </c>
      <c r="E41" s="93" t="s">
        <v>4170</v>
      </c>
    </row>
    <row r="42" spans="1:5" ht="112" x14ac:dyDescent="0.2">
      <c r="A42" s="95" t="s">
        <v>4171</v>
      </c>
      <c r="B42" s="90" t="s">
        <v>4169</v>
      </c>
      <c r="C42" s="93" t="str">
        <f>LEFT(MID(B42,FIND("(",B42)+1,10),FIND("-",MID(B42,FIND("(",B42)+1,10))-1)</f>
        <v>10</v>
      </c>
      <c r="D42" s="93" t="str">
        <f>TRIM(MID(B42,FIND(" ",B42,FIND("(",B42))+1,FIND(")",B42)-FIND(" ",B42,FIND("(",B42))-1))</f>
        <v>Litre</v>
      </c>
      <c r="E42" s="93" t="s">
        <v>4170</v>
      </c>
    </row>
    <row r="43" spans="1:5" ht="48" x14ac:dyDescent="0.2">
      <c r="A43" s="95" t="s">
        <v>4172</v>
      </c>
      <c r="B43" s="90" t="s">
        <v>4121</v>
      </c>
      <c r="C43" s="93" t="str">
        <f>LEFT(MID(B43,FIND("(",B43)+1,10),FIND("-",MID(B43,FIND("(",B43)+1,10))-1)</f>
        <v>5</v>
      </c>
      <c r="D43" s="93" t="str">
        <f>TRIM(MID(B43,FIND(" ",B43,FIND("(",B43))+1,FIND(")",B43)-FIND(" ",B43,FIND("(",B43))-1))</f>
        <v>Litre</v>
      </c>
      <c r="E43" s="93" t="s">
        <v>4173</v>
      </c>
    </row>
    <row r="44" spans="1:5" ht="64" x14ac:dyDescent="0.2">
      <c r="A44" s="95" t="s">
        <v>4174</v>
      </c>
      <c r="B44" s="90" t="s">
        <v>4175</v>
      </c>
      <c r="C44" s="93" t="str">
        <f>LEFT(MID(B44,FIND("(",B44)+1,10),FIND("-",MID(B44,FIND("(",B44)+1,10))-1)</f>
        <v>750</v>
      </c>
      <c r="D44" s="93" t="str">
        <f>TRIM(MID(B44,FIND(" ",B44,FIND("(",B44))+1,FIND(")",B44)-FIND(" ",B44,FIND("(",B44))-1))</f>
        <v>ml</v>
      </c>
      <c r="E44" s="93" t="s">
        <v>4114</v>
      </c>
    </row>
    <row r="45" spans="1:5" ht="43" x14ac:dyDescent="0.2">
      <c r="A45" s="95" t="s">
        <v>4176</v>
      </c>
      <c r="B45" s="90" t="s">
        <v>4177</v>
      </c>
      <c r="C45" s="93" t="str">
        <f>LEFT(MID(B45,FIND("(",B45)+1,10),FIND("-",MID(B45,FIND("(",B45)+1,10))-1)</f>
        <v>100</v>
      </c>
      <c r="D45" s="93" t="str">
        <f>TRIM(MID(B45,FIND(" ",B45,FIND("(",B45))+1,FIND(")",B45)-FIND(" ",B45,FIND("(",B45))-1))</f>
        <v>Litre</v>
      </c>
      <c r="E45" s="93" t="s">
        <v>4117</v>
      </c>
    </row>
    <row r="46" spans="1:5" ht="52" x14ac:dyDescent="0.2">
      <c r="A46" s="95" t="s">
        <v>4115</v>
      </c>
      <c r="B46" s="90" t="s">
        <v>4144</v>
      </c>
      <c r="C46" s="93" t="str">
        <f>LEFT(MID(B46,FIND("(",B46)+1,10),FIND("-",MID(B46,FIND("(",B46)+1,10))-1)</f>
        <v>20</v>
      </c>
      <c r="D46" s="93" t="str">
        <f>TRIM(MID(B46,FIND(" ",B46,FIND("(",B46))+1,FIND(")",B46)-FIND(" ",B46,FIND("(",B46))-1))</f>
        <v>Litre</v>
      </c>
      <c r="E46" s="93" t="s">
        <v>4117</v>
      </c>
    </row>
    <row r="47" spans="1:5" ht="48" x14ac:dyDescent="0.2">
      <c r="A47" s="95" t="s">
        <v>180</v>
      </c>
      <c r="B47" s="90" t="s">
        <v>4156</v>
      </c>
      <c r="C47" s="93" t="str">
        <f>LEFT(MID(B47,FIND("(",B47)+1,10),FIND("-",MID(B47,FIND("(",B47)+1,10))-1)</f>
        <v>5</v>
      </c>
      <c r="D47" s="93" t="str">
        <f>TRIM(MID(B47,FIND(" ",B47,FIND("(",B47))+1,FIND(")",B47)-FIND(" ",B47,FIND("(",B47))-1))</f>
        <v>Litre</v>
      </c>
      <c r="E47" s="93" t="s">
        <v>4117</v>
      </c>
    </row>
    <row r="48" spans="1:5" ht="41" x14ac:dyDescent="0.2">
      <c r="A48" s="95" t="s">
        <v>4178</v>
      </c>
      <c r="B48" s="90" t="s">
        <v>4169</v>
      </c>
      <c r="C48" s="93" t="str">
        <f>LEFT(MID(B48,FIND("(",B48)+1,10),FIND("-",MID(B48,FIND("(",B48)+1,10))-1)</f>
        <v>10</v>
      </c>
      <c r="D48" s="93" t="str">
        <f>TRIM(MID(B48,FIND(" ",B48,FIND("(",B48))+1,FIND(")",B48)-FIND(" ",B48,FIND("(",B48))-1))</f>
        <v>Litre</v>
      </c>
      <c r="E48" s="93" t="s">
        <v>4117</v>
      </c>
    </row>
    <row r="49" spans="1:5" ht="80" x14ac:dyDescent="0.2">
      <c r="A49" s="95" t="s">
        <v>4179</v>
      </c>
      <c r="B49" s="90" t="s">
        <v>4180</v>
      </c>
      <c r="C49" s="93" t="str">
        <f>LEFT(MID(B49,FIND("(",B49)+1,10),FIND("-",MID(B49,FIND("(",B49)+1,10))-1)</f>
        <v>10</v>
      </c>
      <c r="D49" s="93" t="str">
        <f>TRIM(MID(B49,FIND(" ",B49,FIND("(",B49))+1,FIND(")",B49)-FIND(" ",B49,FIND("(",B49))-1))</f>
        <v>Litre</v>
      </c>
      <c r="E49" s="93" t="s">
        <v>4181</v>
      </c>
    </row>
    <row r="50" spans="1:5" ht="37" x14ac:dyDescent="0.2">
      <c r="A50" s="95" t="s">
        <v>242</v>
      </c>
      <c r="B50" s="90" t="s">
        <v>4182</v>
      </c>
      <c r="C50" s="93" t="str">
        <f>LEFT(MID(B50,FIND("(",B50)+1,10),FIND("-",MID(B50,FIND("(",B50)+1,10))-1)</f>
        <v>5</v>
      </c>
      <c r="D50" s="93" t="str">
        <f>TRIM(MID(B50,FIND(" ",B50,FIND("(",B50))+1,FIND(")",B50)-FIND(" ",B50,FIND("(",B50))-1))</f>
        <v>Litre</v>
      </c>
      <c r="E50" s="93" t="s">
        <v>4149</v>
      </c>
    </row>
    <row r="51" spans="1:5" ht="96" x14ac:dyDescent="0.2">
      <c r="A51" s="95" t="s">
        <v>291</v>
      </c>
      <c r="B51" s="90" t="s">
        <v>4183</v>
      </c>
      <c r="C51" s="93" t="str">
        <f>LEFT(MID(B51,FIND("(",B51)+1,10),FIND("-",MID(B51,FIND("(",B51)+1,10))-1)</f>
        <v>200</v>
      </c>
      <c r="D51" s="93" t="str">
        <f>TRIM(MID(B51,FIND(" ",B51,FIND("(",B51))+1,FIND(")",B51)-FIND(" ",B51,FIND("(",B51))-1))</f>
        <v>Adet</v>
      </c>
      <c r="E51" s="93" t="s">
        <v>4184</v>
      </c>
    </row>
    <row r="52" spans="1:5" ht="112" x14ac:dyDescent="0.2">
      <c r="A52" s="95" t="s">
        <v>4123</v>
      </c>
      <c r="B52" s="90" t="s">
        <v>4156</v>
      </c>
      <c r="C52" s="93" t="str">
        <f>LEFT(MID(B52,FIND("(",B52)+1,10),FIND("-",MID(B52,FIND("(",B52)+1,10))-1)</f>
        <v>5</v>
      </c>
      <c r="D52" s="93" t="str">
        <f>TRIM(MID(B52,FIND(" ",B52,FIND("(",B52))+1,FIND(")",B52)-FIND(" ",B52,FIND("(",B52))-1))</f>
        <v>Litre</v>
      </c>
      <c r="E52" s="93" t="s">
        <v>4124</v>
      </c>
    </row>
    <row r="53" spans="1:5" ht="53" x14ac:dyDescent="0.2">
      <c r="A53" s="95" t="s">
        <v>338</v>
      </c>
      <c r="B53" s="90" t="s">
        <v>4185</v>
      </c>
      <c r="C53" s="93" t="str">
        <f>LEFT(MID(B53,FIND("(",B53)+1,10),FIND("-",MID(B53,FIND("(",B53)+1,10))-1)</f>
        <v>18750</v>
      </c>
      <c r="D53" s="93" t="str">
        <f>TRIM(MID(B53,FIND(" ",B53,FIND("(",B53))+1,FIND(")",B53)-FIND(" ",B53,FIND("(",B53))-1))</f>
        <v>ml</v>
      </c>
      <c r="E53" s="2" t="s">
        <v>4117</v>
      </c>
    </row>
    <row r="54" spans="1:5" ht="37" x14ac:dyDescent="0.2">
      <c r="A54" s="95" t="s">
        <v>363</v>
      </c>
      <c r="B54" s="90" t="s">
        <v>4186</v>
      </c>
      <c r="C54" s="93" t="str">
        <f>LEFT(MID(B54,FIND("(",B54)+1,10),FIND("-",MID(B54,FIND("(",B54)+1,10))-1)</f>
        <v>12</v>
      </c>
      <c r="D54" s="93" t="str">
        <f>TRIM(MID(B54,FIND(" ",B54,FIND("(",B54))+1,FIND(")",B54)-FIND(" ",B54,FIND("(",B54))-1))</f>
        <v>Litre</v>
      </c>
      <c r="E54" s="93" t="s">
        <v>4117</v>
      </c>
    </row>
    <row r="55" spans="1:5" ht="41" x14ac:dyDescent="0.2">
      <c r="A55" s="95" t="s">
        <v>4187</v>
      </c>
      <c r="B55" s="90" t="s">
        <v>4156</v>
      </c>
      <c r="C55" s="93" t="str">
        <f>LEFT(MID(B55,FIND("(",B55)+1,10),FIND("-",MID(B55,FIND("(",B55)+1,10))-1)</f>
        <v>5</v>
      </c>
      <c r="D55" s="93" t="str">
        <f>TRIM(MID(B55,FIND(" ",B55,FIND("(",B55))+1,FIND(")",B55)-FIND(" ",B55,FIND("(",B55))-1))</f>
        <v>Litre</v>
      </c>
      <c r="E55" s="9" t="s">
        <v>4117</v>
      </c>
    </row>
    <row r="56" spans="1:5" ht="37" x14ac:dyDescent="0.2">
      <c r="A56" s="95" t="s">
        <v>496</v>
      </c>
      <c r="B56" s="90" t="s">
        <v>4188</v>
      </c>
      <c r="C56" s="93" t="str">
        <f>LEFT(MID(B56,FIND("(",B56)+1,10),FIND("-",MID(B56,FIND("(",B56)+1,10))-1)</f>
        <v>1</v>
      </c>
      <c r="D56" s="93" t="str">
        <f>TRIM(MID(B56,FIND(" ",B56,FIND("(",B56))+1,FIND(")",B56)-FIND(" ",B56,FIND("(",B56))-1))</f>
        <v>Litre</v>
      </c>
      <c r="E56" s="93" t="s">
        <v>4124</v>
      </c>
    </row>
    <row r="57" spans="1:5" ht="48" x14ac:dyDescent="0.2">
      <c r="A57" s="95" t="s">
        <v>4189</v>
      </c>
      <c r="B57" s="90" t="s">
        <v>4190</v>
      </c>
      <c r="C57" s="93" t="str">
        <f>LEFT(MID(B57,FIND("(",B57)+1,10),FIND("-",MID(B57,FIND("(",B57)+1,10))-1)</f>
        <v>800</v>
      </c>
      <c r="D57" s="93" t="str">
        <f>TRIM(MID(B57,FIND(" ",B57,FIND("(",B57))+1,FIND(")",B57)-FIND(" ",B57,FIND("(",B57))-1))</f>
        <v>Adet</v>
      </c>
      <c r="E57" s="93" t="s">
        <v>4191</v>
      </c>
    </row>
    <row r="58" spans="1:5" ht="40" x14ac:dyDescent="0.2">
      <c r="A58" s="97" t="s">
        <v>532</v>
      </c>
      <c r="B58" s="90" t="s">
        <v>4192</v>
      </c>
      <c r="C58" s="93" t="str">
        <f>LEFT(MID(B58,FIND("(",B58)+1,10),FIND("-",MID(B58,FIND("(",B58)+1,10))-1)</f>
        <v>3</v>
      </c>
      <c r="D58" s="93" t="str">
        <f>TRIM(MID(B58,FIND(" ",B58,FIND("(",B58))+1,FIND(")",B58)-FIND(" ",B58,FIND("(",B58))-1))</f>
        <v>Litre</v>
      </c>
      <c r="E58" s="93" t="s">
        <v>4193</v>
      </c>
    </row>
    <row r="59" spans="1:5" ht="64" x14ac:dyDescent="0.2">
      <c r="A59" s="95" t="s">
        <v>4194</v>
      </c>
      <c r="B59" s="90" t="s">
        <v>4195</v>
      </c>
      <c r="C59" s="93" t="str">
        <f>LEFT(MID(B59,FIND("(",B59)+1,10),FIND("-",MID(B59,FIND("(",B59)+1,10))-1)</f>
        <v>1000</v>
      </c>
      <c r="D59" s="93" t="str">
        <f>TRIM(MID(B59,FIND(" ",B59,FIND("(",B59))+1,FIND(")",B59)-FIND(" ",B59,FIND("(",B59))-1))</f>
        <v>Adet</v>
      </c>
      <c r="E59" s="93" t="s">
        <v>4193</v>
      </c>
    </row>
    <row r="60" spans="1:5" ht="53" x14ac:dyDescent="0.2">
      <c r="A60" s="95" t="s">
        <v>4133</v>
      </c>
      <c r="B60" s="90" t="s">
        <v>4196</v>
      </c>
      <c r="C60" s="93" t="str">
        <f>LEFT(MID(B60,FIND("(",B60)+1,10),FIND("-",MID(B60,FIND("(",B60)+1,10))-1)</f>
        <v>10</v>
      </c>
      <c r="D60" s="93" t="str">
        <f>TRIM(MID(B60,FIND(" ",B60,FIND("(",B60))+1,FIND(")",B60)-FIND(" ",B60,FIND("(",B60))-1))</f>
        <v>Litre</v>
      </c>
      <c r="E60" s="2" t="s">
        <v>4197</v>
      </c>
    </row>
    <row r="61" spans="1:5" ht="52" x14ac:dyDescent="0.2">
      <c r="A61" s="95" t="s">
        <v>4133</v>
      </c>
      <c r="B61" s="90" t="s">
        <v>4180</v>
      </c>
      <c r="C61" s="93" t="str">
        <f>LEFT(MID(B61,FIND("(",B61)+1,10),FIND("-",MID(B61,FIND("(",B61)+1,10))-1)</f>
        <v>10</v>
      </c>
      <c r="D61" s="93" t="str">
        <f>TRIM(MID(B61,FIND(" ",B61,FIND("(",B61))+1,FIND(")",B61)-FIND(" ",B61,FIND("(",B61))-1))</f>
        <v>Litre</v>
      </c>
      <c r="E61" s="2" t="s">
        <v>4134</v>
      </c>
    </row>
    <row r="62" spans="1:5" ht="41" x14ac:dyDescent="0.2">
      <c r="A62" s="95" t="s">
        <v>4198</v>
      </c>
      <c r="B62" s="90" t="s">
        <v>4199</v>
      </c>
      <c r="C62" s="93" t="str">
        <f>LEFT(MID(B62,FIND("(",B62)+1,10),FIND("-",MID(B62,FIND("(",B62)+1,10))-1)</f>
        <v>3</v>
      </c>
      <c r="D62" s="93" t="str">
        <f>TRIM(MID(B62,FIND(" ",B62,FIND("(",B62))+1,FIND(")",B62)-FIND(" ",B62,FIND("(",B62))-1))</f>
        <v>Litre</v>
      </c>
      <c r="E62" s="93" t="s">
        <v>4200</v>
      </c>
    </row>
    <row r="63" spans="1:5" ht="48" x14ac:dyDescent="0.2">
      <c r="A63" s="95" t="s">
        <v>4201</v>
      </c>
      <c r="B63" s="90" t="s">
        <v>4182</v>
      </c>
      <c r="C63" s="93" t="str">
        <f>LEFT(MID(B63,FIND("(",B63)+1,10),FIND("-",MID(B63,FIND("(",B63)+1,10))-1)</f>
        <v>5</v>
      </c>
      <c r="D63" s="93" t="str">
        <f>TRIM(MID(B63,FIND(" ",B63,FIND("(",B63))+1,FIND(")",B63)-FIND(" ",B63,FIND("(",B63))-1))</f>
        <v>Litre</v>
      </c>
      <c r="E63" s="2" t="s">
        <v>4117</v>
      </c>
    </row>
    <row r="64" spans="1:5" ht="48" x14ac:dyDescent="0.2">
      <c r="A64" s="95" t="s">
        <v>4202</v>
      </c>
      <c r="B64" s="90" t="s">
        <v>4182</v>
      </c>
      <c r="C64" s="93" t="str">
        <f>LEFT(MID(B64,FIND("(",B64)+1,10),FIND("-",MID(B64,FIND("(",B64)+1,10))-1)</f>
        <v>5</v>
      </c>
      <c r="D64" s="93" t="str">
        <f>TRIM(MID(B64,FIND(" ",B64,FIND("(",B64))+1,FIND(")",B64)-FIND(" ",B64,FIND("(",B64))-1))</f>
        <v>Litre</v>
      </c>
      <c r="E64" s="93" t="s">
        <v>4117</v>
      </c>
    </row>
    <row r="65" spans="1:5" ht="48" x14ac:dyDescent="0.2">
      <c r="A65" s="95" t="s">
        <v>4203</v>
      </c>
      <c r="B65" s="90" t="s">
        <v>4182</v>
      </c>
      <c r="C65" s="93" t="str">
        <f>LEFT(MID(B65,FIND("(",B65)+1,10),FIND("-",MID(B65,FIND("(",B65)+1,10))-1)</f>
        <v>5</v>
      </c>
      <c r="D65" s="93" t="str">
        <f>TRIM(MID(B65,FIND(" ",B65,FIND("(",B65))+1,FIND(")",B65)-FIND(" ",B65,FIND("(",B65))-1))</f>
        <v>Litre</v>
      </c>
      <c r="E65" s="93" t="s">
        <v>4117</v>
      </c>
    </row>
    <row r="66" spans="1:5" ht="48" x14ac:dyDescent="0.2">
      <c r="A66" s="95" t="s">
        <v>4204</v>
      </c>
      <c r="B66" s="90" t="s">
        <v>4205</v>
      </c>
      <c r="C66" s="93" t="str">
        <f>LEFT(MID(B66,FIND("(",B66)+1,10),FIND("-",MID(B66,FIND("(",B66)+1,10))-1)</f>
        <v>6</v>
      </c>
      <c r="D66" s="93" t="str">
        <f>TRIM(MID(B66,FIND(" ",B66,FIND("(",B66))+1,FIND(")",B66)-FIND(" ",B66,FIND("(",B66))-1))</f>
        <v>Kg</v>
      </c>
      <c r="E66" s="2" t="s">
        <v>4117</v>
      </c>
    </row>
    <row r="67" spans="1:5" ht="48" x14ac:dyDescent="0.2">
      <c r="A67" s="95" t="s">
        <v>663</v>
      </c>
      <c r="B67" s="90" t="s">
        <v>4206</v>
      </c>
      <c r="C67" s="93" t="str">
        <f>LEFT(MID(B67,FIND("(",B67)+1,10),FIND("-",MID(B67,FIND("(",B67)+1,10))-1)</f>
        <v>6</v>
      </c>
      <c r="D67" s="93" t="str">
        <f>TRIM(MID(B67,FIND(" ",B67,FIND("(",B67))+1,FIND(")",B67)-FIND(" ",B67,FIND("(",B67))-1))</f>
        <v>Litre</v>
      </c>
      <c r="E67" s="93" t="s">
        <v>4117</v>
      </c>
    </row>
    <row r="68" spans="1:5" ht="48" x14ac:dyDescent="0.2">
      <c r="A68" s="95" t="s">
        <v>4207</v>
      </c>
      <c r="B68" s="90" t="s">
        <v>4156</v>
      </c>
      <c r="C68" s="93" t="str">
        <f>LEFT(MID(B68,FIND("(",B68)+1,10),FIND("-",MID(B68,FIND("(",B68)+1,10))-1)</f>
        <v>5</v>
      </c>
      <c r="D68" s="93" t="str">
        <f>TRIM(MID(B68,FIND(" ",B68,FIND("(",B68))+1,FIND(")",B68)-FIND(" ",B68,FIND("(",B68))-1))</f>
        <v>Litre</v>
      </c>
      <c r="E68" s="93" t="s">
        <v>4124</v>
      </c>
    </row>
    <row r="69" spans="1:5" ht="52" x14ac:dyDescent="0.2">
      <c r="A69" s="95" t="s">
        <v>4135</v>
      </c>
      <c r="B69" s="90" t="s">
        <v>4144</v>
      </c>
      <c r="C69" s="93" t="str">
        <f>LEFT(MID(B69,FIND("(",B69)+1,10),FIND("-",MID(B69,FIND("(",B69)+1,10))-1)</f>
        <v>20</v>
      </c>
      <c r="D69" s="93" t="str">
        <f>TRIM(MID(B69,FIND(" ",B69,FIND("(",B69))+1,FIND(")",B69)-FIND(" ",B69,FIND("(",B69))-1))</f>
        <v>Litre</v>
      </c>
      <c r="E69" s="93" t="s">
        <v>4117</v>
      </c>
    </row>
    <row r="70" spans="1:5" ht="36" x14ac:dyDescent="0.2">
      <c r="A70" s="95" t="s">
        <v>4163</v>
      </c>
      <c r="B70" s="90" t="s">
        <v>4208</v>
      </c>
      <c r="C70" s="93" t="str">
        <f>LEFT(MID(B70,FIND("(",B70)+1,10),FIND("-",MID(B70,FIND("(",B70)+1,10))-1)</f>
        <v>20</v>
      </c>
      <c r="D70" s="93" t="str">
        <f>TRIM(MID(B70,FIND(" ",B70,FIND("(",B70))+1,FIND(")",B70)-FIND(" ",B70,FIND("(",B70))-1))</f>
        <v>Kg</v>
      </c>
      <c r="E70" s="93" t="s">
        <v>4165</v>
      </c>
    </row>
    <row r="71" spans="1:5" ht="48" x14ac:dyDescent="0.2">
      <c r="A71" s="95" t="s">
        <v>4209</v>
      </c>
      <c r="B71" s="90" t="s">
        <v>4182</v>
      </c>
      <c r="C71" s="93" t="str">
        <f>LEFT(MID(B71,FIND("(",B71)+1,10),FIND("-",MID(B71,FIND("(",B71)+1,10))-1)</f>
        <v>5</v>
      </c>
      <c r="D71" s="93" t="str">
        <f>TRIM(MID(B71,FIND(" ",B71,FIND("(",B71))+1,FIND(")",B71)-FIND(" ",B71,FIND("(",B71))-1))</f>
        <v>Litre</v>
      </c>
      <c r="E71" s="2" t="s">
        <v>4210</v>
      </c>
    </row>
    <row r="72" spans="1:5" ht="48" x14ac:dyDescent="0.2">
      <c r="A72" s="95" t="s">
        <v>4211</v>
      </c>
      <c r="B72" s="90" t="s">
        <v>4182</v>
      </c>
      <c r="C72" s="93" t="str">
        <f>LEFT(MID(B72,FIND("(",B72)+1,10),FIND("-",MID(B72,FIND("(",B72)+1,10))-1)</f>
        <v>5</v>
      </c>
      <c r="D72" s="93" t="str">
        <f>TRIM(MID(B72,FIND(" ",B72,FIND("(",B72))+1,FIND(")",B72)-FIND(" ",B72,FIND("(",B72))-1))</f>
        <v>Litre</v>
      </c>
      <c r="E72" s="93" t="s">
        <v>4210</v>
      </c>
    </row>
    <row r="73" spans="1:5" ht="48" x14ac:dyDescent="0.2">
      <c r="A73" s="95" t="s">
        <v>4212</v>
      </c>
      <c r="B73" s="90" t="s">
        <v>4182</v>
      </c>
      <c r="C73" s="93" t="str">
        <f>LEFT(MID(B73,FIND("(",B73)+1,10),FIND("-",MID(B73,FIND("(",B73)+1,10))-1)</f>
        <v>5</v>
      </c>
      <c r="D73" s="93" t="str">
        <f>TRIM(MID(B73,FIND(" ",B73,FIND("(",B73))+1,FIND(")",B73)-FIND(" ",B73,FIND("(",B73))-1))</f>
        <v>Litre</v>
      </c>
      <c r="E73" s="93" t="s">
        <v>4213</v>
      </c>
    </row>
    <row r="74" spans="1:5" ht="48" x14ac:dyDescent="0.2">
      <c r="A74" s="95" t="s">
        <v>4136</v>
      </c>
      <c r="B74" s="90" t="s">
        <v>4214</v>
      </c>
      <c r="C74" s="93">
        <v>50</v>
      </c>
      <c r="D74" s="93" t="s">
        <v>4594</v>
      </c>
      <c r="E74" s="93" t="s">
        <v>4215</v>
      </c>
    </row>
    <row r="75" spans="1:5" ht="80" x14ac:dyDescent="0.2">
      <c r="A75" s="95" t="s">
        <v>4138</v>
      </c>
      <c r="B75" s="90" t="s">
        <v>4214</v>
      </c>
      <c r="C75" s="93">
        <v>50</v>
      </c>
      <c r="D75" s="93" t="s">
        <v>4594</v>
      </c>
      <c r="E75" s="93" t="s">
        <v>4140</v>
      </c>
    </row>
    <row r="76" spans="1:5" ht="64" x14ac:dyDescent="0.2">
      <c r="A76" s="95" t="s">
        <v>4109</v>
      </c>
      <c r="B76" s="90" t="s">
        <v>4110</v>
      </c>
      <c r="C76" s="93" t="str">
        <f>LEFT(MID(B76,FIND("(",B76)+1,10),FIND("-",MID(B76,FIND("(",B76)+1,10))-1)</f>
        <v>1</v>
      </c>
      <c r="D76" s="93" t="str">
        <f>TRIM(MID(B76,FIND(" ",B76,FIND("(",B76))+1,FIND(")",B76)-FIND(" ",B76,FIND("(",B76))-1))</f>
        <v>Litre</v>
      </c>
      <c r="E76" s="9" t="s">
        <v>4111</v>
      </c>
    </row>
    <row r="77" spans="1:5" ht="48" x14ac:dyDescent="0.2">
      <c r="A77" s="95" t="s">
        <v>4120</v>
      </c>
      <c r="B77" s="90" t="s">
        <v>4121</v>
      </c>
      <c r="C77" s="93" t="str">
        <f>LEFT(MID(B77,FIND("(",B77)+1,10),FIND("-",MID(B77,FIND("(",B77)+1,10))-1)</f>
        <v>5</v>
      </c>
      <c r="D77" s="93" t="str">
        <f>TRIM(MID(B77,FIND(" ",B77,FIND("(",B77))+1,FIND(")",B77)-FIND(" ",B77,FIND("(",B77))-1))</f>
        <v>Litre</v>
      </c>
      <c r="E77" s="2" t="s">
        <v>4122</v>
      </c>
    </row>
    <row r="78" spans="1:5" ht="49" x14ac:dyDescent="0.2">
      <c r="A78" s="95" t="s">
        <v>338</v>
      </c>
      <c r="B78" s="90" t="s">
        <v>4216</v>
      </c>
      <c r="C78" s="93" t="str">
        <f>LEFT(MID(B78,FIND("(",B78)+1,10),FIND("-",MID(B78,FIND("(",B78)+1,10))-1)</f>
        <v>3750</v>
      </c>
      <c r="D78" s="93" t="str">
        <f>TRIM(MID(B78,FIND(" ",B78,FIND("(",B78))+1,FIND(")",B78)-FIND(" ",B78,FIND("(",B78))-1))</f>
        <v>ml</v>
      </c>
      <c r="E78" s="2" t="s">
        <v>4117</v>
      </c>
    </row>
    <row r="79" spans="1:5" ht="32" x14ac:dyDescent="0.2">
      <c r="A79" s="95" t="s">
        <v>363</v>
      </c>
      <c r="B79" s="90" t="s">
        <v>4217</v>
      </c>
      <c r="C79" s="93" t="e">
        <f>LEFT(MID(B79,FIND("(",B79)+1,10),FIND("-",MID(B79,FIND("(",B79)+1,10))-1)</f>
        <v>#VALUE!</v>
      </c>
      <c r="D79" s="93" t="e">
        <f>TRIM(MID(B79,FIND(" ",B79,FIND("(",B79))+1,FIND(")",B79)-FIND(" ",B79,FIND("(",B79))-1))</f>
        <v>#VALUE!</v>
      </c>
      <c r="E79" s="93" t="s">
        <v>4117</v>
      </c>
    </row>
    <row r="80" spans="1:5" ht="41" x14ac:dyDescent="0.2">
      <c r="A80" s="95" t="s">
        <v>4187</v>
      </c>
      <c r="B80" s="90" t="s">
        <v>4156</v>
      </c>
      <c r="C80" s="93" t="str">
        <f>LEFT(MID(B80,FIND("(",B80)+1,10),FIND("-",MID(B80,FIND("(",B80)+1,10))-1)</f>
        <v>5</v>
      </c>
      <c r="D80" s="93" t="str">
        <f>TRIM(MID(B80,FIND(" ",B80,FIND("(",B80))+1,FIND(")",B80)-FIND(" ",B80,FIND("(",B80))-1))</f>
        <v>Litre</v>
      </c>
      <c r="E80" s="9" t="s">
        <v>4117</v>
      </c>
    </row>
    <row r="81" spans="1:5" ht="52" x14ac:dyDescent="0.2">
      <c r="A81" s="95" t="s">
        <v>4135</v>
      </c>
      <c r="B81" s="90" t="s">
        <v>4218</v>
      </c>
      <c r="C81" s="93" t="str">
        <f>LEFT(MID(B81,FIND("(",B81)+1,10),FIND("-",MID(B81,FIND("(",B81)+1,10))-1)</f>
        <v>10</v>
      </c>
      <c r="D81" s="93" t="str">
        <f>TRIM(MID(B81,FIND(" ",B81,FIND("(",B81))+1,FIND(")",B81)-FIND(" ",B81,FIND("(",B81))-1))</f>
        <v>Litre</v>
      </c>
      <c r="E81" s="93" t="s">
        <v>4117</v>
      </c>
    </row>
    <row r="82" spans="1:5" ht="48" x14ac:dyDescent="0.2">
      <c r="A82" s="95" t="s">
        <v>4115</v>
      </c>
      <c r="B82" s="90" t="s">
        <v>4188</v>
      </c>
      <c r="C82" s="93" t="str">
        <f>LEFT(MID(B82,FIND("(",B82)+1,10),FIND("-",MID(B82,FIND("(",B82)+1,10))-1)</f>
        <v>1</v>
      </c>
      <c r="D82" s="93" t="str">
        <f>TRIM(MID(B82,FIND(" ",B82,FIND("(",B82))+1,FIND(")",B82)-FIND(" ",B82,FIND("(",B82))-1))</f>
        <v>Litre</v>
      </c>
      <c r="E82" s="93" t="s">
        <v>4117</v>
      </c>
    </row>
    <row r="83" spans="1:5" ht="48" x14ac:dyDescent="0.2">
      <c r="A83" s="95" t="s">
        <v>338</v>
      </c>
      <c r="B83" s="90" t="s">
        <v>4219</v>
      </c>
      <c r="C83" s="93" t="str">
        <f>LEFT(MID(B83,FIND("(",B83)+1,10),FIND("-",MID(B83,FIND("(",B83)+1,10))-1)</f>
        <v>750</v>
      </c>
      <c r="D83" s="93" t="str">
        <f>TRIM(MID(B83,FIND(" ",B83,FIND("(",B83))+1,FIND(")",B83)-FIND(" ",B83,FIND("(",B83))-1))</f>
        <v>ml</v>
      </c>
      <c r="E83" s="2" t="s">
        <v>4117</v>
      </c>
    </row>
    <row r="84" spans="1:5" ht="37" x14ac:dyDescent="0.2">
      <c r="A84" s="95" t="s">
        <v>363</v>
      </c>
      <c r="B84" s="90" t="s">
        <v>4126</v>
      </c>
      <c r="C84" s="93" t="str">
        <f>LEFT(MID(B84,FIND("(",B84)+1,10),FIND("-",MID(B84,FIND("(",B84)+1,10))-1)</f>
        <v>6</v>
      </c>
      <c r="D84" s="93" t="str">
        <f>TRIM(MID(B84,FIND(" ",B84,FIND("(",B84))+1,FIND(")",B84)-FIND(" ",B84,FIND("(",B84))-1))</f>
        <v>Litre</v>
      </c>
      <c r="E84" s="2" t="s">
        <v>4117</v>
      </c>
    </row>
    <row r="85" spans="1:5" ht="48" x14ac:dyDescent="0.2">
      <c r="A85" s="95" t="s">
        <v>4135</v>
      </c>
      <c r="B85" s="90" t="s">
        <v>4188</v>
      </c>
      <c r="C85" s="93" t="str">
        <f>LEFT(MID(B85,FIND("(",B85)+1,10),FIND("-",MID(B85,FIND("(",B85)+1,10))-1)</f>
        <v>1</v>
      </c>
      <c r="D85" s="93" t="str">
        <f>TRIM(MID(B85,FIND(" ",B85,FIND("(",B85))+1,FIND(")",B85)-FIND(" ",B85,FIND("(",B85))-1))</f>
        <v>Litre</v>
      </c>
      <c r="E85" s="93" t="s">
        <v>4117</v>
      </c>
    </row>
    <row r="86" spans="1:5" ht="48" x14ac:dyDescent="0.2">
      <c r="A86" s="95" t="s">
        <v>338</v>
      </c>
      <c r="B86" s="90" t="s">
        <v>4125</v>
      </c>
      <c r="C86" s="93" t="str">
        <f>LEFT(MID(B86,FIND("(",B86)+1,10),FIND("-",MID(B86,FIND("(",B86)+1,10))-1)</f>
        <v>750</v>
      </c>
      <c r="D86" s="93" t="str">
        <f>TRIM(MID(B86,FIND(" ",B86,FIND("(",B86))+1,FIND(")",B86)-FIND(" ",B86,FIND("(",B86))-1))</f>
        <v>ml</v>
      </c>
      <c r="E86" s="2" t="s">
        <v>4117</v>
      </c>
    </row>
    <row r="87" spans="1:5" ht="80" x14ac:dyDescent="0.2">
      <c r="A87" s="95" t="s">
        <v>4220</v>
      </c>
      <c r="B87" s="90" t="s">
        <v>4125</v>
      </c>
      <c r="C87" s="93" t="str">
        <f>LEFT(MID(B87,FIND("(",B87)+1,10),FIND("-",MID(B87,FIND("(",B87)+1,10))-1)</f>
        <v>750</v>
      </c>
      <c r="D87" s="93" t="str">
        <f>TRIM(MID(B87,FIND(" ",B87,FIND("(",B87))+1,FIND(")",B87)-FIND(" ",B87,FIND("(",B87))-1))</f>
        <v>ml</v>
      </c>
      <c r="E87" s="93"/>
    </row>
    <row r="88" spans="1:5" ht="37" x14ac:dyDescent="0.2">
      <c r="A88" s="95" t="s">
        <v>4187</v>
      </c>
      <c r="B88" s="90" t="s">
        <v>4221</v>
      </c>
      <c r="C88" s="93" t="str">
        <f>LEFT(MID(B88,FIND("(",B88)+1,10),FIND("-",MID(B88,FIND("(",B88)+1,10))-1)</f>
        <v>1</v>
      </c>
      <c r="D88" s="93" t="str">
        <f>TRIM(MID(B88,FIND(" ",B88,FIND("(",B88))+1,FIND(")",B88)-FIND(" ",B88,FIND("(",B88))-1))</f>
        <v>Litre</v>
      </c>
      <c r="E88" s="93" t="s">
        <v>4117</v>
      </c>
    </row>
    <row r="89" spans="1:5" ht="112" x14ac:dyDescent="0.2">
      <c r="A89" s="95" t="s">
        <v>4222</v>
      </c>
      <c r="B89" s="90" t="s">
        <v>4155</v>
      </c>
      <c r="C89" s="93" t="str">
        <f>LEFT(MID(B89,FIND("(",B89)+1,10),FIND("-",MID(B89,FIND("(",B89)+1,10))-1)</f>
        <v>500</v>
      </c>
      <c r="D89" s="93" t="str">
        <f>TRIM(MID(B89,FIND(" ",B89,FIND("(",B89))+1,FIND(")",B89)-FIND(" ",B89,FIND("(",B89))-1))</f>
        <v>ml</v>
      </c>
      <c r="E89" s="93"/>
    </row>
    <row r="90" spans="1:5" ht="48" x14ac:dyDescent="0.2">
      <c r="A90" s="95" t="s">
        <v>4135</v>
      </c>
      <c r="B90" s="90" t="s">
        <v>4110</v>
      </c>
      <c r="C90" s="93" t="str">
        <f>LEFT(MID(B90,FIND("(",B90)+1,10),FIND("-",MID(B90,FIND("(",B90)+1,10))-1)</f>
        <v>1</v>
      </c>
      <c r="D90" s="93" t="str">
        <f>TRIM(MID(B90,FIND(" ",B90,FIND("(",B90))+1,FIND(")",B90)-FIND(" ",B90,FIND("(",B90))-1))</f>
        <v>Litre</v>
      </c>
      <c r="E90" s="93" t="s">
        <v>4117</v>
      </c>
    </row>
    <row r="91" spans="1:5" ht="48" x14ac:dyDescent="0.2">
      <c r="A91" s="95" t="s">
        <v>338</v>
      </c>
      <c r="B91" s="90" t="s">
        <v>4125</v>
      </c>
      <c r="C91" s="93" t="str">
        <f>LEFT(MID(B91,FIND("(",B91)+1,10),FIND("-",MID(B91,FIND("(",B91)+1,10))-1)</f>
        <v>750</v>
      </c>
      <c r="D91" s="93" t="str">
        <f>TRIM(MID(B91,FIND(" ",B91,FIND("(",B91))+1,FIND(")",B91)-FIND(" ",B91,FIND("(",B91))-1))</f>
        <v>ml</v>
      </c>
      <c r="E91" s="2" t="s">
        <v>4117</v>
      </c>
    </row>
    <row r="92" spans="1:5" ht="64" x14ac:dyDescent="0.2">
      <c r="A92" s="95" t="s">
        <v>4223</v>
      </c>
      <c r="B92" s="90" t="s">
        <v>4224</v>
      </c>
      <c r="C92" s="93" t="str">
        <f>LEFT(MID(B92,FIND("(",B92)+1,10),FIND("-",MID(B92,FIND("(",B92)+1,10))-1)</f>
        <v>200</v>
      </c>
      <c r="D92" s="93" t="str">
        <f>TRIM(MID(B92,FIND(" ",B92,FIND("(",B92))+1,FIND(")",B92)-FIND(" ",B92,FIND("(",B92))-1))</f>
        <v>ml</v>
      </c>
      <c r="E92" s="93" t="s">
        <v>4225</v>
      </c>
    </row>
    <row r="93" spans="1:5" ht="48" x14ac:dyDescent="0.2">
      <c r="A93" s="95" t="s">
        <v>4135</v>
      </c>
      <c r="B93" s="90" t="s">
        <v>4110</v>
      </c>
      <c r="C93" s="93" t="str">
        <f>LEFT(MID(B93,FIND("(",B93)+1,10),FIND("-",MID(B93,FIND("(",B93)+1,10))-1)</f>
        <v>1</v>
      </c>
      <c r="D93" s="93" t="str">
        <f>TRIM(MID(B93,FIND(" ",B93,FIND("(",B93))+1,FIND(")",B93)-FIND(" ",B93,FIND("(",B93))-1))</f>
        <v>Litre</v>
      </c>
      <c r="E93" s="93" t="s">
        <v>4117</v>
      </c>
    </row>
    <row r="94" spans="1:5" ht="48" x14ac:dyDescent="0.2">
      <c r="A94" s="95" t="s">
        <v>4115</v>
      </c>
      <c r="B94" s="90" t="s">
        <v>4116</v>
      </c>
      <c r="C94" s="93" t="str">
        <f>LEFT(MID(B94,FIND("(",B94)+1,10),FIND("-",MID(B94,FIND("(",B94)+1,10))-1)</f>
        <v>5</v>
      </c>
      <c r="D94" s="93" t="str">
        <f>TRIM(MID(B94,FIND(" ",B94,FIND("(",B94))+1,FIND(")",B94)-FIND(" ",B94,FIND("(",B94))-1))</f>
        <v>Litre</v>
      </c>
      <c r="E94" s="93" t="s">
        <v>4117</v>
      </c>
    </row>
    <row r="95" spans="1:5" ht="48" x14ac:dyDescent="0.2">
      <c r="A95" s="95" t="s">
        <v>338</v>
      </c>
      <c r="B95" s="90" t="s">
        <v>4125</v>
      </c>
      <c r="C95" s="93" t="str">
        <f>LEFT(MID(B95,FIND("(",B95)+1,10),FIND("-",MID(B95,FIND("(",B95)+1,10))-1)</f>
        <v>750</v>
      </c>
      <c r="D95" s="93" t="str">
        <f>TRIM(MID(B95,FIND(" ",B95,FIND("(",B95))+1,FIND(")",B95)-FIND(" ",B95,FIND("(",B95))-1))</f>
        <v>ml</v>
      </c>
      <c r="E95" s="2" t="s">
        <v>4117</v>
      </c>
    </row>
    <row r="96" spans="1:5" ht="37" x14ac:dyDescent="0.2">
      <c r="A96" s="95" t="s">
        <v>4187</v>
      </c>
      <c r="B96" s="90" t="s">
        <v>4221</v>
      </c>
      <c r="C96" s="93" t="str">
        <f>LEFT(MID(B96,FIND("(",B96)+1,10),FIND("-",MID(B96,FIND("(",B96)+1,10))-1)</f>
        <v>1</v>
      </c>
      <c r="D96" s="93" t="str">
        <f>TRIM(MID(B96,FIND(" ",B96,FIND("(",B96))+1,FIND(")",B96)-FIND(" ",B96,FIND("(",B96))-1))</f>
        <v>Litre</v>
      </c>
      <c r="E96" s="93" t="s">
        <v>4117</v>
      </c>
    </row>
    <row r="97" spans="1:5" ht="64" x14ac:dyDescent="0.2">
      <c r="A97" s="95" t="s">
        <v>4223</v>
      </c>
      <c r="B97" s="90" t="s">
        <v>4224</v>
      </c>
      <c r="C97" s="93" t="str">
        <f>LEFT(MID(B97,FIND("(",B97)+1,10),FIND("-",MID(B97,FIND("(",B97)+1,10))-1)</f>
        <v>200</v>
      </c>
      <c r="D97" s="93" t="str">
        <f>TRIM(MID(B97,FIND(" ",B97,FIND("(",B97))+1,FIND(")",B97)-FIND(" ",B97,FIND("(",B97))-1))</f>
        <v>ml</v>
      </c>
      <c r="E97" s="93" t="s">
        <v>4225</v>
      </c>
    </row>
    <row r="98" spans="1:5" ht="48" x14ac:dyDescent="0.2">
      <c r="A98" s="95" t="s">
        <v>4135</v>
      </c>
      <c r="B98" s="90" t="s">
        <v>4110</v>
      </c>
      <c r="C98" s="93" t="str">
        <f>LEFT(MID(B98,FIND("(",B98)+1,10),FIND("-",MID(B98,FIND("(",B98)+1,10))-1)</f>
        <v>1</v>
      </c>
      <c r="D98" s="93" t="str">
        <f>TRIM(MID(B98,FIND(" ",B98,FIND("(",B98))+1,FIND(")",B98)-FIND(" ",B98,FIND("(",B98))-1))</f>
        <v>Litre</v>
      </c>
      <c r="E98" s="93" t="s">
        <v>4117</v>
      </c>
    </row>
    <row r="99" spans="1:5" ht="41" x14ac:dyDescent="0.2">
      <c r="A99" s="95" t="s">
        <v>4226</v>
      </c>
      <c r="B99" s="90" t="s">
        <v>4113</v>
      </c>
      <c r="C99" s="93" t="str">
        <f>LEFT(MID(B99,FIND("(",B99)+1,10),FIND("-",MID(B99,FIND("(",B99)+1,10))-1)</f>
        <v>400</v>
      </c>
      <c r="D99" s="93" t="str">
        <f>TRIM(MID(B99,FIND(" ",B99,FIND("(",B99))+1,FIND(")",B99)-FIND(" ",B99,FIND("(",B99))-1))</f>
        <v>ml</v>
      </c>
      <c r="E99" s="93" t="s">
        <v>4227</v>
      </c>
    </row>
    <row r="100" spans="1:5" ht="80" x14ac:dyDescent="0.2">
      <c r="A100" s="95" t="s">
        <v>4138</v>
      </c>
      <c r="B100" s="90" t="s">
        <v>4214</v>
      </c>
      <c r="C100" s="93">
        <v>50</v>
      </c>
      <c r="D100" s="93" t="s">
        <v>4594</v>
      </c>
      <c r="E100" s="93" t="s">
        <v>4140</v>
      </c>
    </row>
    <row r="101" spans="1:5" ht="64" x14ac:dyDescent="0.2">
      <c r="A101" s="95" t="s">
        <v>4109</v>
      </c>
      <c r="B101" s="90" t="s">
        <v>4110</v>
      </c>
      <c r="C101" s="93" t="str">
        <f>LEFT(MID(B101,FIND("(",B101)+1,10),FIND("-",MID(B101,FIND("(",B101)+1,10))-1)</f>
        <v>1</v>
      </c>
      <c r="D101" s="93" t="str">
        <f>TRIM(MID(B101,FIND(" ",B101,FIND("(",B101))+1,FIND(")",B101)-FIND(" ",B101,FIND("(",B101))-1))</f>
        <v>Litre</v>
      </c>
      <c r="E101" s="9" t="s">
        <v>4111</v>
      </c>
    </row>
    <row r="102" spans="1:5" ht="80" x14ac:dyDescent="0.2">
      <c r="A102" s="95" t="s">
        <v>4112</v>
      </c>
      <c r="B102" s="90" t="s">
        <v>4113</v>
      </c>
      <c r="C102" s="93" t="str">
        <f>LEFT(MID(B102,FIND("(",B102)+1,10),FIND("-",MID(B102,FIND("(",B102)+1,10))-1)</f>
        <v>400</v>
      </c>
      <c r="D102" s="93" t="str">
        <f>TRIM(MID(B102,FIND(" ",B102,FIND("(",B102))+1,FIND(")",B102)-FIND(" ",B102,FIND("(",B102))-1))</f>
        <v>ml</v>
      </c>
      <c r="E102" s="93" t="s">
        <v>4114</v>
      </c>
    </row>
    <row r="103" spans="1:5" ht="48" x14ac:dyDescent="0.2">
      <c r="A103" s="95" t="s">
        <v>4115</v>
      </c>
      <c r="B103" s="90" t="s">
        <v>4116</v>
      </c>
      <c r="C103" s="93" t="str">
        <f>LEFT(MID(B103,FIND("(",B103)+1,10),FIND("-",MID(B103,FIND("(",B103)+1,10))-1)</f>
        <v>5</v>
      </c>
      <c r="D103" s="93" t="str">
        <f>TRIM(MID(B103,FIND(" ",B103,FIND("(",B103))+1,FIND(")",B103)-FIND(" ",B103,FIND("(",B103))-1))</f>
        <v>Litre</v>
      </c>
      <c r="E103" s="93" t="s">
        <v>4117</v>
      </c>
    </row>
    <row r="104" spans="1:5" ht="52" x14ac:dyDescent="0.2">
      <c r="A104" s="95" t="s">
        <v>180</v>
      </c>
      <c r="B104" s="90" t="s">
        <v>4180</v>
      </c>
      <c r="C104" s="93" t="str">
        <f>LEFT(MID(B104,FIND("(",B104)+1,10),FIND("-",MID(B104,FIND("(",B104)+1,10))-1)</f>
        <v>10</v>
      </c>
      <c r="D104" s="93" t="str">
        <f>TRIM(MID(B104,FIND(" ",B104,FIND("(",B104))+1,FIND(")",B104)-FIND(" ",B104,FIND("(",B104))-1))</f>
        <v>Litre</v>
      </c>
      <c r="E104" s="93" t="s">
        <v>4117</v>
      </c>
    </row>
    <row r="105" spans="1:5" ht="48" x14ac:dyDescent="0.2">
      <c r="A105" s="95" t="s">
        <v>4120</v>
      </c>
      <c r="B105" s="90" t="s">
        <v>4121</v>
      </c>
      <c r="C105" s="93" t="str">
        <f>LEFT(MID(B105,FIND("(",B105)+1,10),FIND("-",MID(B105,FIND("(",B105)+1,10))-1)</f>
        <v>5</v>
      </c>
      <c r="D105" s="93" t="str">
        <f>TRIM(MID(B105,FIND(" ",B105,FIND("(",B105))+1,FIND(")",B105)-FIND(" ",B105,FIND("(",B105))-1))</f>
        <v>Litre</v>
      </c>
      <c r="E105" s="2" t="s">
        <v>4122</v>
      </c>
    </row>
    <row r="106" spans="1:5" ht="48" x14ac:dyDescent="0.2">
      <c r="A106" s="95" t="s">
        <v>338</v>
      </c>
      <c r="B106" s="90" t="s">
        <v>4125</v>
      </c>
      <c r="C106" s="93" t="str">
        <f>LEFT(MID(B106,FIND("(",B106)+1,10),FIND("-",MID(B106,FIND("(",B106)+1,10))-1)</f>
        <v>750</v>
      </c>
      <c r="D106" s="93" t="str">
        <f>TRIM(MID(B106,FIND(" ",B106,FIND("(",B106))+1,FIND(")",B106)-FIND(" ",B106,FIND("(",B106))-1))</f>
        <v>ml</v>
      </c>
      <c r="E106" s="2" t="s">
        <v>4117</v>
      </c>
    </row>
    <row r="107" spans="1:5" ht="32" x14ac:dyDescent="0.2">
      <c r="A107" s="95" t="s">
        <v>363</v>
      </c>
      <c r="B107" s="90" t="s">
        <v>4217</v>
      </c>
      <c r="C107" s="93" t="e">
        <f>LEFT(MID(B107,FIND("(",B107)+1,10),FIND("-",MID(B107,FIND("(",B107)+1,10))-1)</f>
        <v>#VALUE!</v>
      </c>
      <c r="D107" s="93" t="e">
        <f>TRIM(MID(B107,FIND(" ",B107,FIND("(",B107))+1,FIND(")",B107)-FIND(" ",B107,FIND("(",B107))-1))</f>
        <v>#VALUE!</v>
      </c>
      <c r="E107" s="93" t="s">
        <v>4117</v>
      </c>
    </row>
    <row r="108" spans="1:5" ht="48" x14ac:dyDescent="0.2">
      <c r="A108" s="95" t="s">
        <v>4133</v>
      </c>
      <c r="B108" s="90" t="s">
        <v>4110</v>
      </c>
      <c r="C108" s="93" t="str">
        <f>LEFT(MID(B108,FIND("(",B108)+1,10),FIND("-",MID(B108,FIND("(",B108)+1,10))-1)</f>
        <v>1</v>
      </c>
      <c r="D108" s="93" t="str">
        <f>TRIM(MID(B108,FIND(" ",B108,FIND("(",B108))+1,FIND(")",B108)-FIND(" ",B108,FIND("(",B108))-1))</f>
        <v>Litre</v>
      </c>
      <c r="E108" s="2" t="s">
        <v>4134</v>
      </c>
    </row>
    <row r="109" spans="1:5" ht="33" x14ac:dyDescent="0.2">
      <c r="A109" s="95" t="s">
        <v>4228</v>
      </c>
      <c r="B109" s="90" t="s">
        <v>828</v>
      </c>
      <c r="C109" s="93">
        <v>1</v>
      </c>
      <c r="D109" s="93" t="s">
        <v>4594</v>
      </c>
      <c r="E109" s="93" t="s">
        <v>4122</v>
      </c>
    </row>
    <row r="110" spans="1:5" ht="48" x14ac:dyDescent="0.2">
      <c r="A110" s="95" t="s">
        <v>4135</v>
      </c>
      <c r="B110" s="90" t="s">
        <v>4110</v>
      </c>
      <c r="C110" s="93" t="str">
        <f>LEFT(MID(B110,FIND("(",B110)+1,10),FIND("-",MID(B110,FIND("(",B110)+1,10))-1)</f>
        <v>1</v>
      </c>
      <c r="D110" s="93" t="str">
        <f>TRIM(MID(B110,FIND(" ",B110,FIND("(",B110))+1,FIND(")",B110)-FIND(" ",B110,FIND("(",B110))-1))</f>
        <v>Litre</v>
      </c>
      <c r="E110" s="93" t="s">
        <v>4117</v>
      </c>
    </row>
    <row r="111" spans="1:5" ht="48" x14ac:dyDescent="0.2">
      <c r="A111" s="95" t="s">
        <v>4136</v>
      </c>
      <c r="B111" s="90" t="s">
        <v>4137</v>
      </c>
      <c r="C111" s="93" t="str">
        <f>LEFT(MID(B111,FIND("(",B111)+1,10),FIND("-",MID(B111,FIND("(",B111)+1,10))-1)</f>
        <v>250</v>
      </c>
      <c r="D111" s="93" t="str">
        <f>TRIM(MID(B111,FIND(" ",B111,FIND("(",B111))+1,FIND(")",B111)-FIND(" ",B111,FIND("(",B111))-1))</f>
        <v>gr</v>
      </c>
      <c r="E111" s="93" t="s">
        <v>4134</v>
      </c>
    </row>
    <row r="112" spans="1:5" ht="80" x14ac:dyDescent="0.2">
      <c r="A112" s="95" t="s">
        <v>4138</v>
      </c>
      <c r="B112" s="90" t="s">
        <v>4214</v>
      </c>
      <c r="C112" s="93">
        <v>50</v>
      </c>
      <c r="D112" s="93" t="s">
        <v>4594</v>
      </c>
      <c r="E112" s="93" t="s">
        <v>4140</v>
      </c>
    </row>
    <row r="113" spans="1:5" ht="64" x14ac:dyDescent="0.2">
      <c r="A113" s="95" t="s">
        <v>4109</v>
      </c>
      <c r="B113" s="90" t="s">
        <v>4110</v>
      </c>
      <c r="C113" s="93" t="str">
        <f>LEFT(MID(B113,FIND("(",B113)+1,10),FIND("-",MID(B113,FIND("(",B113)+1,10))-1)</f>
        <v>1</v>
      </c>
      <c r="D113" s="93" t="str">
        <f>TRIM(MID(B113,FIND(" ",B113,FIND("(",B113))+1,FIND(")",B113)-FIND(" ",B113,FIND("(",B113))-1))</f>
        <v>Litre</v>
      </c>
      <c r="E113" s="2" t="s">
        <v>4111</v>
      </c>
    </row>
    <row r="114" spans="1:5" ht="48" x14ac:dyDescent="0.2">
      <c r="A114" s="95" t="s">
        <v>4120</v>
      </c>
      <c r="B114" s="90" t="s">
        <v>4121</v>
      </c>
      <c r="C114" s="93" t="str">
        <f>LEFT(MID(B114,FIND("(",B114)+1,10),FIND("-",MID(B114,FIND("(",B114)+1,10))-1)</f>
        <v>5</v>
      </c>
      <c r="D114" s="93" t="str">
        <f>TRIM(MID(B114,FIND(" ",B114,FIND("(",B114))+1,FIND(")",B114)-FIND(" ",B114,FIND("(",B114))-1))</f>
        <v>Litre</v>
      </c>
      <c r="E114" s="2" t="s">
        <v>4122</v>
      </c>
    </row>
    <row r="115" spans="1:5" ht="48" x14ac:dyDescent="0.2">
      <c r="A115" s="95" t="s">
        <v>338</v>
      </c>
      <c r="B115" s="90" t="s">
        <v>4125</v>
      </c>
      <c r="C115" s="93" t="str">
        <f>LEFT(MID(B115,FIND("(",B115)+1,10),FIND("-",MID(B115,FIND("(",B115)+1,10))-1)</f>
        <v>750</v>
      </c>
      <c r="D115" s="93" t="str">
        <f>TRIM(MID(B115,FIND(" ",B115,FIND("(",B115))+1,FIND(")",B115)-FIND(" ",B115,FIND("(",B115))-1))</f>
        <v>ml</v>
      </c>
      <c r="E115" s="2" t="s">
        <v>4117</v>
      </c>
    </row>
    <row r="116" spans="1:5" ht="37" x14ac:dyDescent="0.2">
      <c r="A116" s="95" t="s">
        <v>363</v>
      </c>
      <c r="B116" s="90" t="s">
        <v>4229</v>
      </c>
      <c r="C116" s="93" t="str">
        <f>LEFT(MID(B116,FIND("(",B116)+1,10),FIND("-",MID(B116,FIND("(",B116)+1,10))-1)</f>
        <v>6</v>
      </c>
      <c r="D116" s="93" t="str">
        <f>TRIM(MID(B116,FIND(" ",B116,FIND("(",B116))+1,FIND(")",B116)-FIND(" ",B116,FIND("(",B116))-1))</f>
        <v>Litre</v>
      </c>
      <c r="E116" s="93" t="s">
        <v>4117</v>
      </c>
    </row>
    <row r="117" spans="1:5" ht="37" x14ac:dyDescent="0.2">
      <c r="A117" s="95" t="s">
        <v>4187</v>
      </c>
      <c r="B117" s="90" t="s">
        <v>4221</v>
      </c>
      <c r="C117" s="93" t="str">
        <f>LEFT(MID(B117,FIND("(",B117)+1,10),FIND("-",MID(B117,FIND("(",B117)+1,10))-1)</f>
        <v>1</v>
      </c>
      <c r="D117" s="93" t="str">
        <f>TRIM(MID(B117,FIND(" ",B117,FIND("(",B117))+1,FIND(")",B117)-FIND(" ",B117,FIND("(",B117))-1))</f>
        <v>Litre</v>
      </c>
      <c r="E117" s="93" t="s">
        <v>4117</v>
      </c>
    </row>
    <row r="118" spans="1:5" ht="48" x14ac:dyDescent="0.2">
      <c r="A118" s="95" t="s">
        <v>4207</v>
      </c>
      <c r="B118" s="90" t="s">
        <v>828</v>
      </c>
      <c r="C118" s="93">
        <v>1</v>
      </c>
      <c r="D118" s="93" t="s">
        <v>4594</v>
      </c>
      <c r="E118" s="93" t="s">
        <v>4230</v>
      </c>
    </row>
    <row r="119" spans="1:5" ht="48" x14ac:dyDescent="0.2">
      <c r="A119" s="95" t="s">
        <v>4135</v>
      </c>
      <c r="B119" s="90" t="s">
        <v>4110</v>
      </c>
      <c r="C119" s="93" t="str">
        <f>LEFT(MID(B119,FIND("(",B119)+1,10),FIND("-",MID(B119,FIND("(",B119)+1,10))-1)</f>
        <v>1</v>
      </c>
      <c r="D119" s="93" t="str">
        <f>TRIM(MID(B119,FIND(" ",B119,FIND("(",B119))+1,FIND(")",B119)-FIND(" ",B119,FIND("(",B119))-1))</f>
        <v>Litre</v>
      </c>
      <c r="E119" s="93" t="s">
        <v>4117</v>
      </c>
    </row>
    <row r="120" spans="1:5" ht="48" x14ac:dyDescent="0.2">
      <c r="A120" s="95" t="s">
        <v>4136</v>
      </c>
      <c r="B120" s="90" t="s">
        <v>4137</v>
      </c>
      <c r="C120" s="93" t="str">
        <f>LEFT(MID(B120,FIND("(",B120)+1,10),FIND("-",MID(B120,FIND("(",B120)+1,10))-1)</f>
        <v>250</v>
      </c>
      <c r="D120" s="93" t="str">
        <f>TRIM(MID(B120,FIND(" ",B120,FIND("(",B120))+1,FIND(")",B120)-FIND(" ",B120,FIND("(",B120))-1))</f>
        <v>gr</v>
      </c>
      <c r="E120" s="93" t="s">
        <v>4134</v>
      </c>
    </row>
    <row r="121" spans="1:5" ht="48" x14ac:dyDescent="0.2">
      <c r="A121" s="95" t="s">
        <v>338</v>
      </c>
      <c r="B121" s="90" t="s">
        <v>4125</v>
      </c>
      <c r="C121" s="93" t="str">
        <f>LEFT(MID(B121,FIND("(",B121)+1,10),FIND("-",MID(B121,FIND("(",B121)+1,10))-1)</f>
        <v>750</v>
      </c>
      <c r="D121" s="93" t="str">
        <f>TRIM(MID(B121,FIND(" ",B121,FIND("(",B121))+1,FIND(")",B121)-FIND(" ",B121,FIND("(",B121))-1))</f>
        <v>ml</v>
      </c>
      <c r="E121" s="93" t="s">
        <v>4117</v>
      </c>
    </row>
    <row r="122" spans="1:5" ht="37" x14ac:dyDescent="0.2">
      <c r="A122" s="95" t="s">
        <v>363</v>
      </c>
      <c r="B122" s="90" t="s">
        <v>4229</v>
      </c>
      <c r="C122" s="93" t="str">
        <f>LEFT(MID(B122,FIND("(",B122)+1,10),FIND("-",MID(B122,FIND("(",B122)+1,10))-1)</f>
        <v>6</v>
      </c>
      <c r="D122" s="93" t="str">
        <f>TRIM(MID(B122,FIND(" ",B122,FIND("(",B122))+1,FIND(")",B122)-FIND(" ",B122,FIND("(",B122))-1))</f>
        <v>Litre</v>
      </c>
      <c r="E122" s="93" t="s">
        <v>4117</v>
      </c>
    </row>
    <row r="123" spans="1:5" ht="48" x14ac:dyDescent="0.2">
      <c r="A123" s="95" t="s">
        <v>4135</v>
      </c>
      <c r="B123" s="90" t="s">
        <v>4110</v>
      </c>
      <c r="C123" s="93" t="str">
        <f>LEFT(MID(B123,FIND("(",B123)+1,10),FIND("-",MID(B123,FIND("(",B123)+1,10))-1)</f>
        <v>1</v>
      </c>
      <c r="D123" s="93" t="str">
        <f>TRIM(MID(B123,FIND(" ",B123,FIND("(",B123))+1,FIND(")",B123)-FIND(" ",B123,FIND("(",B123))-1))</f>
        <v>Litre</v>
      </c>
      <c r="E123" s="93" t="s">
        <v>4117</v>
      </c>
    </row>
    <row r="124" spans="1:5" ht="80" x14ac:dyDescent="0.2">
      <c r="A124" s="95" t="s">
        <v>4138</v>
      </c>
      <c r="B124" s="90" t="s">
        <v>4231</v>
      </c>
      <c r="C124" s="93">
        <v>100</v>
      </c>
      <c r="D124" s="93" t="s">
        <v>4594</v>
      </c>
      <c r="E124" s="93" t="s">
        <v>4140</v>
      </c>
    </row>
    <row r="125" spans="1:5" ht="64" x14ac:dyDescent="0.2">
      <c r="A125" s="95" t="s">
        <v>4109</v>
      </c>
      <c r="B125" s="90" t="s">
        <v>4110</v>
      </c>
      <c r="C125" s="93" t="str">
        <f>LEFT(MID(B125,FIND("(",B125)+1,10),FIND("-",MID(B125,FIND("(",B125)+1,10))-1)</f>
        <v>1</v>
      </c>
      <c r="D125" s="93" t="str">
        <f>TRIM(MID(B125,FIND(" ",B125,FIND("(",B125))+1,FIND(")",B125)-FIND(" ",B125,FIND("(",B125))-1))</f>
        <v>Litre</v>
      </c>
      <c r="E125" s="2" t="s">
        <v>4111</v>
      </c>
    </row>
    <row r="126" spans="1:5" ht="33" x14ac:dyDescent="0.2">
      <c r="A126" s="95" t="s">
        <v>265</v>
      </c>
      <c r="B126" s="90" t="s">
        <v>828</v>
      </c>
      <c r="C126" s="93">
        <v>1</v>
      </c>
      <c r="D126" s="93" t="s">
        <v>4594</v>
      </c>
      <c r="E126" s="93" t="s">
        <v>4119</v>
      </c>
    </row>
    <row r="127" spans="1:5" ht="33" x14ac:dyDescent="0.2">
      <c r="A127" s="95" t="s">
        <v>4232</v>
      </c>
      <c r="B127" s="90" t="s">
        <v>828</v>
      </c>
      <c r="C127" s="93">
        <v>1</v>
      </c>
      <c r="D127" s="93" t="s">
        <v>4594</v>
      </c>
      <c r="E127" s="93" t="s">
        <v>4122</v>
      </c>
    </row>
    <row r="128" spans="1:5" ht="48" x14ac:dyDescent="0.2">
      <c r="A128" s="95" t="s">
        <v>4120</v>
      </c>
      <c r="B128" s="90" t="s">
        <v>4121</v>
      </c>
      <c r="C128" s="93" t="str">
        <f>LEFT(MID(B128,FIND("(",B128)+1,10),FIND("-",MID(B128,FIND("(",B128)+1,10))-1)</f>
        <v>5</v>
      </c>
      <c r="D128" s="93" t="str">
        <f>TRIM(MID(B128,FIND(" ",B128,FIND("(",B128))+1,FIND(")",B128)-FIND(" ",B128,FIND("(",B128))-1))</f>
        <v>Litre</v>
      </c>
      <c r="E128" s="2" t="s">
        <v>4122</v>
      </c>
    </row>
    <row r="129" spans="1:5" ht="48" x14ac:dyDescent="0.2">
      <c r="A129" s="95" t="s">
        <v>338</v>
      </c>
      <c r="B129" s="90" t="s">
        <v>4125</v>
      </c>
      <c r="C129" s="93" t="str">
        <f>LEFT(MID(B129,FIND("(",B129)+1,10),FIND("-",MID(B129,FIND("(",B129)+1,10))-1)</f>
        <v>750</v>
      </c>
      <c r="D129" s="93" t="str">
        <f>TRIM(MID(B129,FIND(" ",B129,FIND("(",B129))+1,FIND(")",B129)-FIND(" ",B129,FIND("(",B129))-1))</f>
        <v>ml</v>
      </c>
      <c r="E129" s="2" t="s">
        <v>4117</v>
      </c>
    </row>
    <row r="130" spans="1:5" ht="37" x14ac:dyDescent="0.2">
      <c r="A130" s="95" t="s">
        <v>4187</v>
      </c>
      <c r="B130" s="90" t="s">
        <v>4221</v>
      </c>
      <c r="C130" s="93" t="str">
        <f>LEFT(MID(B130,FIND("(",B130)+1,10),FIND("-",MID(B130,FIND("(",B130)+1,10))-1)</f>
        <v>1</v>
      </c>
      <c r="D130" s="93" t="str">
        <f>TRIM(MID(B130,FIND(" ",B130,FIND("(",B130))+1,FIND(")",B130)-FIND(" ",B130,FIND("(",B130))-1))</f>
        <v>Litre</v>
      </c>
      <c r="E130" s="93" t="s">
        <v>4117</v>
      </c>
    </row>
    <row r="131" spans="1:5" ht="64" x14ac:dyDescent="0.2">
      <c r="A131" s="95" t="s">
        <v>676</v>
      </c>
      <c r="B131" s="90" t="s">
        <v>4121</v>
      </c>
      <c r="C131" s="93" t="str">
        <f>LEFT(MID(B131,FIND("(",B131)+1,10),FIND("-",MID(B131,FIND("(",B131)+1,10))-1)</f>
        <v>5</v>
      </c>
      <c r="D131" s="93" t="str">
        <f>TRIM(MID(B131,FIND(" ",B131,FIND("(",B131))+1,FIND(")",B131)-FIND(" ",B131,FIND("(",B131))-1))</f>
        <v>Litre</v>
      </c>
      <c r="E131" s="2" t="s">
        <v>4117</v>
      </c>
    </row>
    <row r="132" spans="1:5" ht="48" x14ac:dyDescent="0.2">
      <c r="A132" s="95" t="s">
        <v>4135</v>
      </c>
      <c r="B132" s="90" t="s">
        <v>4110</v>
      </c>
      <c r="C132" s="93" t="str">
        <f>LEFT(MID(B132,FIND("(",B132)+1,10),FIND("-",MID(B132,FIND("(",B132)+1,10))-1)</f>
        <v>1</v>
      </c>
      <c r="D132" s="93" t="str">
        <f>TRIM(MID(B132,FIND(" ",B132,FIND("(",B132))+1,FIND(")",B132)-FIND(" ",B132,FIND("(",B132))-1))</f>
        <v>Litre</v>
      </c>
      <c r="E132" s="93" t="s">
        <v>4117</v>
      </c>
    </row>
    <row r="133" spans="1:5" ht="48" x14ac:dyDescent="0.2">
      <c r="A133" s="95" t="s">
        <v>4209</v>
      </c>
      <c r="B133" s="90" t="s">
        <v>4121</v>
      </c>
      <c r="C133" s="93" t="str">
        <f>LEFT(MID(B133,FIND("(",B133)+1,10),FIND("-",MID(B133,FIND("(",B133)+1,10))-1)</f>
        <v>5</v>
      </c>
      <c r="D133" s="93" t="str">
        <f>TRIM(MID(B133,FIND(" ",B133,FIND("(",B133))+1,FIND(")",B133)-FIND(" ",B133,FIND("(",B133))-1))</f>
        <v>Litre</v>
      </c>
      <c r="E133" s="2" t="s">
        <v>4210</v>
      </c>
    </row>
    <row r="134" spans="1:5" ht="48" x14ac:dyDescent="0.2">
      <c r="A134" s="95" t="s">
        <v>4211</v>
      </c>
      <c r="B134" s="90" t="s">
        <v>4233</v>
      </c>
      <c r="C134" s="93" t="str">
        <f>LEFT(MID(B134,FIND("(",B134)+1,10),FIND("-",MID(B134,FIND("(",B134)+1,10))-1)</f>
        <v>5</v>
      </c>
      <c r="D134" s="93" t="str">
        <f>TRIM(MID(B134,FIND(" ",B134,FIND("(",B134))+1,FIND(")",B134)-FIND(" ",B134,FIND("(",B134))-1))</f>
        <v>Litre</v>
      </c>
      <c r="E134" s="93" t="s">
        <v>4210</v>
      </c>
    </row>
    <row r="135" spans="1:5" ht="48" x14ac:dyDescent="0.2">
      <c r="A135" s="95" t="s">
        <v>4212</v>
      </c>
      <c r="B135" s="90" t="s">
        <v>4121</v>
      </c>
      <c r="C135" s="93" t="str">
        <f>LEFT(MID(B135,FIND("(",B135)+1,10),FIND("-",MID(B135,FIND("(",B135)+1,10))-1)</f>
        <v>5</v>
      </c>
      <c r="D135" s="93" t="str">
        <f>TRIM(MID(B135,FIND(" ",B135,FIND("(",B135))+1,FIND(")",B135)-FIND(" ",B135,FIND("(",B135))-1))</f>
        <v>Litre</v>
      </c>
      <c r="E135" s="93" t="s">
        <v>4213</v>
      </c>
    </row>
    <row r="136" spans="1:5" ht="80" x14ac:dyDescent="0.2">
      <c r="A136" s="95" t="s">
        <v>4138</v>
      </c>
      <c r="B136" s="90" t="s">
        <v>4234</v>
      </c>
      <c r="C136" s="93">
        <v>1</v>
      </c>
      <c r="D136" s="93" t="s">
        <v>4598</v>
      </c>
      <c r="E136" s="93" t="s">
        <v>4140</v>
      </c>
    </row>
    <row r="137" spans="1:5" ht="64" x14ac:dyDescent="0.2">
      <c r="A137" s="95" t="s">
        <v>4109</v>
      </c>
      <c r="B137" s="90" t="s">
        <v>4110</v>
      </c>
      <c r="C137" s="93" t="str">
        <f>LEFT(MID(B137,FIND("(",B137)+1,10),FIND("-",MID(B137,FIND("(",B137)+1,10))-1)</f>
        <v>1</v>
      </c>
      <c r="D137" s="93" t="str">
        <f>TRIM(MID(B137,FIND(" ",B137,FIND("(",B137))+1,FIND(")",B137)-FIND(" ",B137,FIND("(",B137))-1))</f>
        <v>Litre</v>
      </c>
      <c r="E137" s="2" t="s">
        <v>4111</v>
      </c>
    </row>
    <row r="138" spans="1:5" ht="65" x14ac:dyDescent="0.2">
      <c r="A138" s="95" t="s">
        <v>4174</v>
      </c>
      <c r="B138" s="90" t="s">
        <v>4235</v>
      </c>
      <c r="C138" s="93" t="str">
        <f>LEFT(MID(B138,FIND("(",B138)+1,10),FIND("-",MID(B138,FIND("(",B138)+1,10))-1)</f>
        <v>150</v>
      </c>
      <c r="D138" s="93" t="str">
        <f>TRIM(MID(B138,FIND(" ",B138,FIND("(",B138))+1,FIND(")",B138)-FIND(" ",B138,FIND("(",B138))-1))</f>
        <v>ml</v>
      </c>
      <c r="E138" s="93" t="s">
        <v>4114</v>
      </c>
    </row>
    <row r="139" spans="1:5" ht="48" x14ac:dyDescent="0.2">
      <c r="A139" s="95" t="s">
        <v>4115</v>
      </c>
      <c r="B139" s="90" t="s">
        <v>4116</v>
      </c>
      <c r="C139" s="93" t="str">
        <f>LEFT(MID(B139,FIND("(",B139)+1,10),FIND("-",MID(B139,FIND("(",B139)+1,10))-1)</f>
        <v>5</v>
      </c>
      <c r="D139" s="93" t="str">
        <f>TRIM(MID(B139,FIND(" ",B139,FIND("(",B139))+1,FIND(")",B139)-FIND(" ",B139,FIND("(",B139))-1))</f>
        <v>Litre</v>
      </c>
      <c r="E139" s="93" t="s">
        <v>4117</v>
      </c>
    </row>
    <row r="140" spans="1:5" ht="51" x14ac:dyDescent="0.2">
      <c r="A140" s="95" t="s">
        <v>338</v>
      </c>
      <c r="B140" s="90" t="s">
        <v>4236</v>
      </c>
      <c r="C140" s="93" t="str">
        <f>LEFT(MID(B140,FIND("(",B140)+1,10),FIND("-",MID(B140,FIND("(",B140)+1,10))-1)</f>
        <v>3750</v>
      </c>
      <c r="D140" s="93" t="str">
        <f>TRIM(MID(B140,FIND(" ",B140,FIND("(",B140))+1,FIND(")",B140)-FIND(" ",B140,FIND("(",B140))-1))</f>
        <v>ml</v>
      </c>
      <c r="E140" s="2" t="s">
        <v>4117</v>
      </c>
    </row>
    <row r="141" spans="1:5" ht="32" x14ac:dyDescent="0.2">
      <c r="A141" s="95" t="s">
        <v>363</v>
      </c>
      <c r="B141" s="90" t="s">
        <v>4217</v>
      </c>
      <c r="C141" s="93" t="e">
        <f>LEFT(MID(B141,FIND("(",B141)+1,10),FIND("-",MID(B141,FIND("(",B141)+1,10))-1)</f>
        <v>#VALUE!</v>
      </c>
      <c r="D141" s="93" t="e">
        <f>TRIM(MID(B141,FIND(" ",B141,FIND("(",B141))+1,FIND(")",B141)-FIND(" ",B141,FIND("(",B141))-1))</f>
        <v>#VALUE!</v>
      </c>
      <c r="E141" s="93" t="s">
        <v>4117</v>
      </c>
    </row>
    <row r="142" spans="1:5" ht="48" x14ac:dyDescent="0.2">
      <c r="A142" s="95" t="s">
        <v>4189</v>
      </c>
      <c r="B142" s="90" t="s">
        <v>4237</v>
      </c>
      <c r="C142" s="93" t="str">
        <f>LEFT(MID(B142,FIND("(",B142)+1,10),FIND("-",MID(B142,FIND("(",B142)+1,10))-1)</f>
        <v>100</v>
      </c>
      <c r="D142" s="93" t="str">
        <f>TRIM(MID(B142,FIND(" ",B142,FIND("(",B142))+1,FIND(")",B142)-FIND(" ",B142,FIND("(",B142))-1))</f>
        <v>Adet</v>
      </c>
      <c r="E142" s="9" t="s">
        <v>4191</v>
      </c>
    </row>
    <row r="143" spans="1:5" ht="33" x14ac:dyDescent="0.2">
      <c r="A143" s="95" t="s">
        <v>4238</v>
      </c>
      <c r="B143" s="90" t="s">
        <v>828</v>
      </c>
      <c r="C143" s="93">
        <v>1</v>
      </c>
      <c r="D143" s="93" t="s">
        <v>4594</v>
      </c>
      <c r="E143" s="93"/>
    </row>
    <row r="144" spans="1:5" ht="36" x14ac:dyDescent="0.2">
      <c r="A144" s="95" t="s">
        <v>4198</v>
      </c>
      <c r="B144" s="90" t="s">
        <v>4239</v>
      </c>
      <c r="C144" s="93" t="e">
        <f>LEFT(MID(B144,FIND("(",B144)+1,10),FIND("-",MID(B144,FIND("(",B144)+1,10))-1)</f>
        <v>#VALUE!</v>
      </c>
      <c r="D144" s="93" t="str">
        <f>TRIM(MID(B144,FIND(" ",B144,FIND("(",B144))+1,FIND(")",B144)-FIND(" ",B144,FIND("(",B144))-1))</f>
        <v>ml</v>
      </c>
      <c r="E144" s="93" t="s">
        <v>4200</v>
      </c>
    </row>
    <row r="145" spans="1:5" ht="48" x14ac:dyDescent="0.2">
      <c r="A145" s="95" t="s">
        <v>4135</v>
      </c>
      <c r="B145" s="90" t="s">
        <v>4116</v>
      </c>
      <c r="C145" s="93" t="str">
        <f>LEFT(MID(B145,FIND("(",B145)+1,10),FIND("-",MID(B145,FIND("(",B145)+1,10))-1)</f>
        <v>5</v>
      </c>
      <c r="D145" s="93" t="str">
        <f>TRIM(MID(B145,FIND(" ",B145,FIND("(",B145))+1,FIND(")",B145)-FIND(" ",B145,FIND("(",B145))-1))</f>
        <v>Litre</v>
      </c>
      <c r="E145" s="93" t="s">
        <v>4117</v>
      </c>
    </row>
    <row r="146" spans="1:5" ht="48" x14ac:dyDescent="0.2">
      <c r="A146" s="95" t="s">
        <v>4136</v>
      </c>
      <c r="B146" s="90" t="s">
        <v>4137</v>
      </c>
      <c r="C146" s="93" t="str">
        <f>LEFT(MID(B146,FIND("(",B146)+1,10),FIND("-",MID(B146,FIND("(",B146)+1,10))-1)</f>
        <v>250</v>
      </c>
      <c r="D146" s="93" t="str">
        <f>TRIM(MID(B146,FIND(" ",B146,FIND("(",B146))+1,FIND(")",B146)-FIND(" ",B146,FIND("(",B146))-1))</f>
        <v>gr</v>
      </c>
      <c r="E146" s="93" t="s">
        <v>4134</v>
      </c>
    </row>
    <row r="147" spans="1:5" ht="80" x14ac:dyDescent="0.2">
      <c r="A147" s="95" t="s">
        <v>4138</v>
      </c>
      <c r="B147" s="90" t="s">
        <v>4240</v>
      </c>
      <c r="C147" s="93">
        <v>3</v>
      </c>
      <c r="D147" s="93" t="s">
        <v>4598</v>
      </c>
      <c r="E147" s="93" t="s">
        <v>4140</v>
      </c>
    </row>
    <row r="148" spans="1:5" ht="64" x14ac:dyDescent="0.2">
      <c r="A148" s="95" t="s">
        <v>4241</v>
      </c>
      <c r="B148" s="90" t="s">
        <v>4242</v>
      </c>
      <c r="C148" s="93" t="str">
        <f>LEFT(MID(B148,FIND("(",B148)+1,10),FIND("-",MID(B148,FIND("(",B148)+1,10))-1)</f>
        <v>10</v>
      </c>
      <c r="D148" s="93" t="str">
        <f>TRIM(MID(B148,FIND(" ",B148,FIND("(",B148))+1,FIND(")",B148)-FIND(" ",B148,FIND("(",B148))-1))</f>
        <v>Litre</v>
      </c>
      <c r="E148" s="93" t="s">
        <v>4111</v>
      </c>
    </row>
    <row r="149" spans="1:5" ht="48" x14ac:dyDescent="0.2">
      <c r="A149" s="95" t="s">
        <v>4115</v>
      </c>
      <c r="B149" s="90" t="s">
        <v>4116</v>
      </c>
      <c r="C149" s="93" t="str">
        <f>LEFT(MID(B149,FIND("(",B149)+1,10),FIND("-",MID(B149,FIND("(",B149)+1,10))-1)</f>
        <v>5</v>
      </c>
      <c r="D149" s="93" t="str">
        <f>TRIM(MID(B149,FIND(" ",B149,FIND("(",B149))+1,FIND(")",B149)-FIND(" ",B149,FIND("(",B149))-1))</f>
        <v>Litre</v>
      </c>
      <c r="E149" s="93" t="s">
        <v>4117</v>
      </c>
    </row>
    <row r="150" spans="1:5" ht="48" x14ac:dyDescent="0.2">
      <c r="A150" s="95" t="s">
        <v>4120</v>
      </c>
      <c r="B150" s="90" t="s">
        <v>4121</v>
      </c>
      <c r="C150" s="93" t="str">
        <f>LEFT(MID(B150,FIND("(",B150)+1,10),FIND("-",MID(B150,FIND("(",B150)+1,10))-1)</f>
        <v>5</v>
      </c>
      <c r="D150" s="93" t="str">
        <f>TRIM(MID(B150,FIND(" ",B150,FIND("(",B150))+1,FIND(")",B150)-FIND(" ",B150,FIND("(",B150))-1))</f>
        <v>Litre</v>
      </c>
      <c r="E150" s="2" t="s">
        <v>4122</v>
      </c>
    </row>
    <row r="151" spans="1:5" ht="48" x14ac:dyDescent="0.2">
      <c r="A151" s="95" t="s">
        <v>338</v>
      </c>
      <c r="B151" s="90" t="s">
        <v>4125</v>
      </c>
      <c r="C151" s="93" t="str">
        <f>LEFT(MID(B151,FIND("(",B151)+1,10),FIND("-",MID(B151,FIND("(",B151)+1,10))-1)</f>
        <v>750</v>
      </c>
      <c r="D151" s="93" t="str">
        <f>TRIM(MID(B151,FIND(" ",B151,FIND("(",B151))+1,FIND(")",B151)-FIND(" ",B151,FIND("(",B151))-1))</f>
        <v>ml</v>
      </c>
      <c r="E151" s="2" t="s">
        <v>4117</v>
      </c>
    </row>
    <row r="152" spans="1:5" ht="37" x14ac:dyDescent="0.2">
      <c r="A152" s="95" t="s">
        <v>363</v>
      </c>
      <c r="B152" s="90" t="s">
        <v>4229</v>
      </c>
      <c r="C152" s="93" t="str">
        <f>LEFT(MID(B152,FIND("(",B152)+1,10),FIND("-",MID(B152,FIND("(",B152)+1,10))-1)</f>
        <v>6</v>
      </c>
      <c r="D152" s="93" t="str">
        <f>TRIM(MID(B152,FIND(" ",B152,FIND("(",B152))+1,FIND(")",B152)-FIND(" ",B152,FIND("(",B152))-1))</f>
        <v>Litre</v>
      </c>
      <c r="E152" s="93" t="s">
        <v>4117</v>
      </c>
    </row>
    <row r="153" spans="1:5" ht="37" x14ac:dyDescent="0.2">
      <c r="A153" s="95" t="s">
        <v>4187</v>
      </c>
      <c r="B153" s="90" t="s">
        <v>4243</v>
      </c>
      <c r="C153" s="93" t="str">
        <f>LEFT(MID(B153,FIND("(",B153)+1,10),FIND("-",MID(B153,FIND("(",B153)+1,10))-1)</f>
        <v>3</v>
      </c>
      <c r="D153" s="93" t="str">
        <f>TRIM(MID(B153,FIND(" ",B153,FIND("(",B153))+1,FIND(")",B153)-FIND(" ",B153,FIND("(",B153))-1))</f>
        <v>Litre</v>
      </c>
      <c r="E153" s="93" t="s">
        <v>4117</v>
      </c>
    </row>
    <row r="154" spans="1:5" ht="38" x14ac:dyDescent="0.2">
      <c r="A154" s="95" t="s">
        <v>4127</v>
      </c>
      <c r="B154" s="90" t="s">
        <v>4244</v>
      </c>
      <c r="C154" s="93" t="str">
        <f>LEFT(MID(B154,FIND("(",B154)+1,10),FIND("-",MID(B154,FIND("(",B154)+1,10))-1)</f>
        <v>100</v>
      </c>
      <c r="D154" s="93" t="str">
        <f>TRIM(MID(B154,FIND(" ",B154,FIND("(",B154))+1,FIND(")",B154)-FIND(" ",B154,FIND("(",B154))-1))</f>
        <v>ml</v>
      </c>
      <c r="E154" s="93" t="s">
        <v>4245</v>
      </c>
    </row>
    <row r="155" spans="1:5" ht="48" x14ac:dyDescent="0.2">
      <c r="A155" s="95" t="s">
        <v>4135</v>
      </c>
      <c r="B155" s="90" t="s">
        <v>4110</v>
      </c>
      <c r="C155" s="93" t="str">
        <f>LEFT(MID(B155,FIND("(",B155)+1,10),FIND("-",MID(B155,FIND("(",B155)+1,10))-1)</f>
        <v>1</v>
      </c>
      <c r="D155" s="93" t="str">
        <f>TRIM(MID(B155,FIND(" ",B155,FIND("(",B155))+1,FIND(")",B155)-FIND(" ",B155,FIND("(",B155))-1))</f>
        <v>Litre</v>
      </c>
      <c r="E155" s="93" t="s">
        <v>4117</v>
      </c>
    </row>
    <row r="156" spans="1:5" ht="80" x14ac:dyDescent="0.2">
      <c r="A156" s="95" t="s">
        <v>4138</v>
      </c>
      <c r="B156" s="90" t="s">
        <v>4246</v>
      </c>
      <c r="C156" s="93">
        <v>1000</v>
      </c>
      <c r="D156" s="93" t="s">
        <v>4594</v>
      </c>
      <c r="E156" s="93" t="s">
        <v>4140</v>
      </c>
    </row>
    <row r="157" spans="1:5" ht="64" x14ac:dyDescent="0.2">
      <c r="A157" s="95" t="s">
        <v>4109</v>
      </c>
      <c r="B157" s="90" t="s">
        <v>4144</v>
      </c>
      <c r="C157" s="93" t="str">
        <f>LEFT(MID(B157,FIND("(",B157)+1,10),FIND("-",MID(B157,FIND("(",B157)+1,10))-1)</f>
        <v>20</v>
      </c>
      <c r="D157" s="93" t="str">
        <f>TRIM(MID(B157,FIND(" ",B157,FIND("(",B157))+1,FIND(")",B157)-FIND(" ",B157,FIND("(",B157))-1))</f>
        <v>Litre</v>
      </c>
      <c r="E157" s="2" t="s">
        <v>4111</v>
      </c>
    </row>
    <row r="158" spans="1:5" ht="48" x14ac:dyDescent="0.2">
      <c r="A158" s="95" t="s">
        <v>4115</v>
      </c>
      <c r="B158" s="90" t="s">
        <v>4116</v>
      </c>
      <c r="C158" s="93" t="str">
        <f>LEFT(MID(B158,FIND("(",B158)+1,10),FIND("-",MID(B158,FIND("(",B158)+1,10))-1)</f>
        <v>5</v>
      </c>
      <c r="D158" s="93" t="str">
        <f>TRIM(MID(B158,FIND(" ",B158,FIND("(",B158))+1,FIND(")",B158)-FIND(" ",B158,FIND("(",B158))-1))</f>
        <v>Litre</v>
      </c>
      <c r="E158" s="93" t="s">
        <v>4117</v>
      </c>
    </row>
    <row r="159" spans="1:5" ht="52" x14ac:dyDescent="0.2">
      <c r="A159" s="95" t="s">
        <v>180</v>
      </c>
      <c r="B159" s="90" t="s">
        <v>4180</v>
      </c>
      <c r="C159" s="93" t="str">
        <f>LEFT(MID(B159,FIND("(",B159)+1,10),FIND("-",MID(B159,FIND("(",B159)+1,10))-1)</f>
        <v>10</v>
      </c>
      <c r="D159" s="93" t="str">
        <f>TRIM(MID(B159,FIND(" ",B159,FIND("(",B159))+1,FIND(")",B159)-FIND(" ",B159,FIND("(",B159))-1))</f>
        <v>Litre</v>
      </c>
      <c r="E159" s="93" t="s">
        <v>4117</v>
      </c>
    </row>
    <row r="160" spans="1:5" ht="37" x14ac:dyDescent="0.2">
      <c r="A160" s="95" t="s">
        <v>242</v>
      </c>
      <c r="B160" s="90" t="s">
        <v>4182</v>
      </c>
      <c r="C160" s="93" t="str">
        <f>LEFT(MID(B160,FIND("(",B160)+1,10),FIND("-",MID(B160,FIND("(",B160)+1,10))-1)</f>
        <v>5</v>
      </c>
      <c r="D160" s="93" t="str">
        <f>TRIM(MID(B160,FIND(" ",B160,FIND("(",B160))+1,FIND(")",B160)-FIND(" ",B160,FIND("(",B160))-1))</f>
        <v>Litre</v>
      </c>
      <c r="E160" s="93" t="s">
        <v>4149</v>
      </c>
    </row>
    <row r="161" spans="1:5" ht="48" x14ac:dyDescent="0.2">
      <c r="A161" s="95" t="s">
        <v>4120</v>
      </c>
      <c r="B161" s="90" t="s">
        <v>4247</v>
      </c>
      <c r="C161" s="93" t="str">
        <f>LEFT(MID(B161,FIND("(",B161)+1,10),FIND("-",MID(B161,FIND("(",B161)+1,10))-1)</f>
        <v>5</v>
      </c>
      <c r="D161" s="93" t="str">
        <f>TRIM(MID(B161,FIND(" ",B161,FIND("(",B161))+1,FIND(")",B161)-FIND(" ",B161,FIND("(",B161))-1))</f>
        <v>Litre</v>
      </c>
      <c r="E161" s="2" t="s">
        <v>4122</v>
      </c>
    </row>
    <row r="162" spans="1:5" ht="48" x14ac:dyDescent="0.2">
      <c r="A162" s="95" t="s">
        <v>338</v>
      </c>
      <c r="B162" s="90" t="s">
        <v>4125</v>
      </c>
      <c r="C162" s="93" t="str">
        <f>LEFT(MID(B162,FIND("(",B162)+1,10),FIND("-",MID(B162,FIND("(",B162)+1,10))-1)</f>
        <v>750</v>
      </c>
      <c r="D162" s="93" t="str">
        <f>TRIM(MID(B162,FIND(" ",B162,FIND("(",B162))+1,FIND(")",B162)-FIND(" ",B162,FIND("(",B162))-1))</f>
        <v>ml</v>
      </c>
      <c r="E162" s="2" t="s">
        <v>4117</v>
      </c>
    </row>
    <row r="163" spans="1:5" ht="37" x14ac:dyDescent="0.2">
      <c r="A163" s="95" t="s">
        <v>363</v>
      </c>
      <c r="B163" s="90" t="s">
        <v>4186</v>
      </c>
      <c r="C163" s="93" t="str">
        <f>LEFT(MID(B163,FIND("(",B163)+1,10),FIND("-",MID(B163,FIND("(",B163)+1,10))-1)</f>
        <v>12</v>
      </c>
      <c r="D163" s="93" t="str">
        <f>TRIM(MID(B163,FIND(" ",B163,FIND("(",B163))+1,FIND(")",B163)-FIND(" ",B163,FIND("(",B163))-1))</f>
        <v>Litre</v>
      </c>
      <c r="E163" s="93" t="s">
        <v>4117</v>
      </c>
    </row>
    <row r="164" spans="1:5" ht="50" x14ac:dyDescent="0.2">
      <c r="A164" s="95" t="s">
        <v>4136</v>
      </c>
      <c r="B164" s="90" t="s">
        <v>4248</v>
      </c>
      <c r="C164" s="93">
        <v>50</v>
      </c>
      <c r="D164" s="93" t="s">
        <v>4594</v>
      </c>
      <c r="E164" s="93" t="s">
        <v>4134</v>
      </c>
    </row>
    <row r="165" spans="1:5" ht="48" x14ac:dyDescent="0.2">
      <c r="A165" s="95" t="s">
        <v>4115</v>
      </c>
      <c r="B165" s="90" t="s">
        <v>4116</v>
      </c>
      <c r="C165" s="93" t="str">
        <f>LEFT(MID(B165,FIND("(",B165)+1,10),FIND("-",MID(B165,FIND("(",B165)+1,10))-1)</f>
        <v>5</v>
      </c>
      <c r="D165" s="93" t="str">
        <f>TRIM(MID(B165,FIND(" ",B165,FIND("(",B165))+1,FIND(")",B165)-FIND(" ",B165,FIND("(",B165))-1))</f>
        <v>Litre</v>
      </c>
      <c r="E165" s="93" t="s">
        <v>4117</v>
      </c>
    </row>
    <row r="166" spans="1:5" ht="48" x14ac:dyDescent="0.2">
      <c r="A166" s="96" t="s">
        <v>4249</v>
      </c>
      <c r="B166" s="90" t="s">
        <v>828</v>
      </c>
      <c r="C166" s="93">
        <v>1</v>
      </c>
      <c r="D166" s="93" t="s">
        <v>4594</v>
      </c>
      <c r="E166" s="93" t="s">
        <v>4250</v>
      </c>
    </row>
    <row r="167" spans="1:5" ht="33" x14ac:dyDescent="0.2">
      <c r="A167" s="95" t="s">
        <v>4251</v>
      </c>
      <c r="B167" s="90" t="s">
        <v>828</v>
      </c>
      <c r="C167" s="93">
        <v>1</v>
      </c>
      <c r="D167" s="93" t="s">
        <v>4594</v>
      </c>
      <c r="E167" s="93"/>
    </row>
    <row r="168" spans="1:5" ht="64" x14ac:dyDescent="0.2">
      <c r="A168" s="95" t="s">
        <v>4150</v>
      </c>
      <c r="B168" s="90" t="s">
        <v>828</v>
      </c>
      <c r="C168" s="93">
        <v>1</v>
      </c>
      <c r="D168" s="93" t="s">
        <v>4594</v>
      </c>
      <c r="E168" s="93" t="s">
        <v>4122</v>
      </c>
    </row>
    <row r="169" spans="1:5" ht="48" x14ac:dyDescent="0.2">
      <c r="A169" s="95" t="s">
        <v>4120</v>
      </c>
      <c r="B169" s="90" t="s">
        <v>4121</v>
      </c>
      <c r="C169" s="93" t="str">
        <f>LEFT(MID(B169,FIND("(",B169)+1,10),FIND("-",MID(B169,FIND("(",B169)+1,10))-1)</f>
        <v>5</v>
      </c>
      <c r="D169" s="93" t="str">
        <f>TRIM(MID(B169,FIND(" ",B169,FIND("(",B169))+1,FIND(")",B169)-FIND(" ",B169,FIND("(",B169))-1))</f>
        <v>Litre</v>
      </c>
      <c r="E169" s="2" t="s">
        <v>4122</v>
      </c>
    </row>
    <row r="170" spans="1:5" ht="48" x14ac:dyDescent="0.2">
      <c r="A170" s="95" t="s">
        <v>4252</v>
      </c>
      <c r="B170" s="90" t="s">
        <v>4253</v>
      </c>
      <c r="C170" s="93" t="str">
        <f>LEFT(MID(B170,FIND("(",B170)+1,10),FIND("-",MID(B170,FIND("(",B170)+1,10))-1)</f>
        <v>5</v>
      </c>
      <c r="D170" s="93" t="str">
        <f>TRIM(MID(B170,FIND(" ",B170,FIND("(",B170))+1,FIND(")",B170)-FIND(" ",B170,FIND("(",B170))-1))</f>
        <v>ml</v>
      </c>
      <c r="E170" s="93" t="s">
        <v>4254</v>
      </c>
    </row>
    <row r="171" spans="1:5" ht="48" x14ac:dyDescent="0.2">
      <c r="A171" s="95" t="s">
        <v>338</v>
      </c>
      <c r="B171" s="90" t="s">
        <v>4125</v>
      </c>
      <c r="C171" s="93" t="str">
        <f>LEFT(MID(B171,FIND("(",B171)+1,10),FIND("-",MID(B171,FIND("(",B171)+1,10))-1)</f>
        <v>750</v>
      </c>
      <c r="D171" s="93" t="str">
        <f>TRIM(MID(B171,FIND(" ",B171,FIND("(",B171))+1,FIND(")",B171)-FIND(" ",B171,FIND("(",B171))-1))</f>
        <v>ml</v>
      </c>
      <c r="E171" s="93" t="s">
        <v>4117</v>
      </c>
    </row>
    <row r="172" spans="1:5" ht="80" x14ac:dyDescent="0.2">
      <c r="A172" s="95" t="s">
        <v>4255</v>
      </c>
      <c r="B172" s="90" t="s">
        <v>4155</v>
      </c>
      <c r="C172" s="93" t="str">
        <f>LEFT(MID(B172,FIND("(",B172)+1,10),FIND("-",MID(B172,FIND("(",B172)+1,10))-1)</f>
        <v>500</v>
      </c>
      <c r="D172" s="93" t="str">
        <f>TRIM(MID(B172,FIND(" ",B172,FIND("(",B172))+1,FIND(")",B172)-FIND(" ",B172,FIND("(",B172))-1))</f>
        <v>ml</v>
      </c>
      <c r="E172" s="93" t="s">
        <v>4256</v>
      </c>
    </row>
    <row r="173" spans="1:5" ht="33" x14ac:dyDescent="0.2">
      <c r="A173" s="95" t="s">
        <v>4228</v>
      </c>
      <c r="B173" s="90" t="s">
        <v>4257</v>
      </c>
      <c r="C173" s="93">
        <v>10</v>
      </c>
      <c r="D173" s="93" t="s">
        <v>4595</v>
      </c>
      <c r="E173" s="93" t="s">
        <v>4122</v>
      </c>
    </row>
    <row r="174" spans="1:5" ht="48" x14ac:dyDescent="0.2">
      <c r="A174" s="95" t="s">
        <v>4168</v>
      </c>
      <c r="B174" s="90" t="s">
        <v>4169</v>
      </c>
      <c r="C174" s="93" t="str">
        <f>LEFT(MID(B174,FIND("(",B174)+1,10),FIND("-",MID(B174,FIND("(",B174)+1,10))-1)</f>
        <v>10</v>
      </c>
      <c r="D174" s="93" t="str">
        <f>TRIM(MID(B174,FIND(" ",B174,FIND("(",B174))+1,FIND(")",B174)-FIND(" ",B174,FIND("(",B174))-1))</f>
        <v>Litre</v>
      </c>
      <c r="E174" s="93" t="s">
        <v>4170</v>
      </c>
    </row>
    <row r="175" spans="1:5" ht="80" x14ac:dyDescent="0.2">
      <c r="A175" s="95" t="s">
        <v>4258</v>
      </c>
      <c r="B175" s="90" t="s">
        <v>4169</v>
      </c>
      <c r="C175" s="93" t="str">
        <f>LEFT(MID(B175,FIND("(",B175)+1,10),FIND("-",MID(B175,FIND("(",B175)+1,10))-1)</f>
        <v>10</v>
      </c>
      <c r="D175" s="93" t="str">
        <f>TRIM(MID(B175,FIND(" ",B175,FIND("(",B175))+1,FIND(")",B175)-FIND(" ",B175,FIND("(",B175))-1))</f>
        <v>Litre</v>
      </c>
      <c r="E175" s="93" t="s">
        <v>4170</v>
      </c>
    </row>
    <row r="176" spans="1:5" ht="48" x14ac:dyDescent="0.2">
      <c r="A176" s="95" t="s">
        <v>4259</v>
      </c>
      <c r="B176" s="90" t="s">
        <v>4169</v>
      </c>
      <c r="C176" s="93" t="str">
        <f>LEFT(MID(B176,FIND("(",B176)+1,10),FIND("-",MID(B176,FIND("(",B176)+1,10))-1)</f>
        <v>10</v>
      </c>
      <c r="D176" s="93" t="str">
        <f>TRIM(MID(B176,FIND(" ",B176,FIND("(",B176))+1,FIND(")",B176)-FIND(" ",B176,FIND("(",B176))-1))</f>
        <v>Litre</v>
      </c>
      <c r="E176" s="93" t="s">
        <v>4117</v>
      </c>
    </row>
    <row r="177" spans="1:5" ht="48" x14ac:dyDescent="0.2">
      <c r="A177" s="95" t="s">
        <v>4115</v>
      </c>
      <c r="B177" s="90" t="s">
        <v>4116</v>
      </c>
      <c r="C177" s="93" t="str">
        <f>LEFT(MID(B177,FIND("(",B177)+1,10),FIND("-",MID(B177,FIND("(",B177)+1,10))-1)</f>
        <v>5</v>
      </c>
      <c r="D177" s="93" t="str">
        <f>TRIM(MID(B177,FIND(" ",B177,FIND("(",B177))+1,FIND(")",B177)-FIND(" ",B177,FIND("(",B177))-1))</f>
        <v>Litre</v>
      </c>
      <c r="E177" s="93" t="s">
        <v>4117</v>
      </c>
    </row>
    <row r="178" spans="1:5" ht="41" x14ac:dyDescent="0.2">
      <c r="A178" s="95" t="s">
        <v>4178</v>
      </c>
      <c r="B178" s="90" t="s">
        <v>4169</v>
      </c>
      <c r="C178" s="93" t="str">
        <f>LEFT(MID(B178,FIND("(",B178)+1,10),FIND("-",MID(B178,FIND("(",B178)+1,10))-1)</f>
        <v>10</v>
      </c>
      <c r="D178" s="93" t="str">
        <f>TRIM(MID(B178,FIND(" ",B178,FIND("(",B178))+1,FIND(")",B178)-FIND(" ",B178,FIND("(",B178))-1))</f>
        <v>Litre</v>
      </c>
      <c r="E178" s="93" t="s">
        <v>4117</v>
      </c>
    </row>
    <row r="179" spans="1:5" ht="48" x14ac:dyDescent="0.2">
      <c r="A179" s="95" t="s">
        <v>338</v>
      </c>
      <c r="B179" s="90" t="s">
        <v>4125</v>
      </c>
      <c r="C179" s="93" t="str">
        <f>LEFT(MID(B179,FIND("(",B179)+1,10),FIND("-",MID(B179,FIND("(",B179)+1,10))-1)</f>
        <v>750</v>
      </c>
      <c r="D179" s="93" t="str">
        <f>TRIM(MID(B179,FIND(" ",B179,FIND("(",B179))+1,FIND(")",B179)-FIND(" ",B179,FIND("(",B179))-1))</f>
        <v>ml</v>
      </c>
      <c r="E179" s="2" t="s">
        <v>4117</v>
      </c>
    </row>
    <row r="180" spans="1:5" ht="44" x14ac:dyDescent="0.2">
      <c r="A180" s="97" t="s">
        <v>532</v>
      </c>
      <c r="B180" s="90" t="s">
        <v>4260</v>
      </c>
      <c r="C180" s="93" t="str">
        <f>LEFT(MID(B180,FIND("(",B180)+1,10),FIND("-",MID(B180,FIND("(",B180)+1,10))-1)</f>
        <v>100</v>
      </c>
      <c r="D180" s="93" t="str">
        <f>TRIM(MID(B180,FIND(" ",B180,FIND("(",B180))+1,FIND(")",B180)-FIND(" ",B180,FIND("(",B180))-1))</f>
        <v>ml</v>
      </c>
      <c r="E180" s="93" t="s">
        <v>4193</v>
      </c>
    </row>
    <row r="181" spans="1:5" ht="64" x14ac:dyDescent="0.2">
      <c r="A181" s="95" t="s">
        <v>4261</v>
      </c>
      <c r="B181" s="90" t="s">
        <v>828</v>
      </c>
      <c r="C181" s="93">
        <v>1</v>
      </c>
      <c r="D181" s="93" t="s">
        <v>4594</v>
      </c>
      <c r="E181" s="93" t="s">
        <v>4262</v>
      </c>
    </row>
    <row r="182" spans="1:5" ht="48" x14ac:dyDescent="0.2">
      <c r="A182" s="95" t="s">
        <v>4135</v>
      </c>
      <c r="B182" s="90" t="s">
        <v>4110</v>
      </c>
      <c r="C182" s="93" t="str">
        <f>LEFT(MID(B182,FIND("(",B182)+1,10),FIND("-",MID(B182,FIND("(",B182)+1,10))-1)</f>
        <v>1</v>
      </c>
      <c r="D182" s="93" t="str">
        <f>TRIM(MID(B182,FIND(" ",B182,FIND("(",B182))+1,FIND(")",B182)-FIND(" ",B182,FIND("(",B182))-1))</f>
        <v>Litre</v>
      </c>
      <c r="E182" s="93" t="s">
        <v>4117</v>
      </c>
    </row>
    <row r="183" spans="1:5" ht="64" x14ac:dyDescent="0.2">
      <c r="A183" s="95" t="s">
        <v>4263</v>
      </c>
      <c r="B183" s="90" t="s">
        <v>828</v>
      </c>
      <c r="C183" s="93">
        <v>1</v>
      </c>
      <c r="D183" s="93" t="s">
        <v>4594</v>
      </c>
      <c r="E183" s="93" t="s">
        <v>4262</v>
      </c>
    </row>
    <row r="184" spans="1:5" ht="80" x14ac:dyDescent="0.2">
      <c r="A184" s="95" t="s">
        <v>4138</v>
      </c>
      <c r="B184" s="90" t="s">
        <v>4231</v>
      </c>
      <c r="C184" s="93">
        <v>100</v>
      </c>
      <c r="D184" s="93" t="s">
        <v>4594</v>
      </c>
      <c r="E184" s="93" t="s">
        <v>4140</v>
      </c>
    </row>
    <row r="185" spans="1:5" ht="64" x14ac:dyDescent="0.2">
      <c r="A185" s="95" t="s">
        <v>4109</v>
      </c>
      <c r="B185" s="90" t="s">
        <v>4242</v>
      </c>
      <c r="C185" s="93" t="str">
        <f>LEFT(MID(B185,FIND("(",B185)+1,10),FIND("-",MID(B185,FIND("(",B185)+1,10))-1)</f>
        <v>10</v>
      </c>
      <c r="D185" s="93" t="str">
        <f>TRIM(MID(B185,FIND(" ",B185,FIND("(",B185))+1,FIND(")",B185)-FIND(" ",B185,FIND("(",B185))-1))</f>
        <v>Litre</v>
      </c>
      <c r="E185" s="9" t="s">
        <v>4111</v>
      </c>
    </row>
    <row r="186" spans="1:5" ht="80" x14ac:dyDescent="0.2">
      <c r="A186" s="95" t="s">
        <v>4112</v>
      </c>
      <c r="B186" s="90" t="s">
        <v>4113</v>
      </c>
      <c r="C186" s="93" t="str">
        <f>LEFT(MID(B186,FIND("(",B186)+1,10),FIND("-",MID(B186,FIND("(",B186)+1,10))-1)</f>
        <v>400</v>
      </c>
      <c r="D186" s="93" t="str">
        <f>TRIM(MID(B186,FIND(" ",B186,FIND("(",B186))+1,FIND(")",B186)-FIND(" ",B186,FIND("(",B186))-1))</f>
        <v>ml</v>
      </c>
      <c r="E186" s="93" t="s">
        <v>4114</v>
      </c>
    </row>
    <row r="187" spans="1:5" ht="33" x14ac:dyDescent="0.2">
      <c r="A187" s="95" t="s">
        <v>265</v>
      </c>
      <c r="B187" s="90" t="s">
        <v>4118</v>
      </c>
      <c r="C187" s="93">
        <v>2</v>
      </c>
      <c r="D187" s="93" t="s">
        <v>4595</v>
      </c>
      <c r="E187" s="93" t="s">
        <v>4119</v>
      </c>
    </row>
    <row r="188" spans="1:5" ht="48" x14ac:dyDescent="0.2">
      <c r="A188" s="95" t="s">
        <v>4120</v>
      </c>
      <c r="B188" s="90" t="s">
        <v>4121</v>
      </c>
      <c r="C188" s="93" t="str">
        <f>LEFT(MID(B188,FIND("(",B188)+1,10),FIND("-",MID(B188,FIND("(",B188)+1,10))-1)</f>
        <v>5</v>
      </c>
      <c r="D188" s="93" t="str">
        <f>TRIM(MID(B188,FIND(" ",B188,FIND("(",B188))+1,FIND(")",B188)-FIND(" ",B188,FIND("(",B188))-1))</f>
        <v>Litre</v>
      </c>
      <c r="E188" s="2" t="s">
        <v>4122</v>
      </c>
    </row>
    <row r="189" spans="1:5" ht="96" x14ac:dyDescent="0.2">
      <c r="A189" s="95" t="s">
        <v>291</v>
      </c>
      <c r="B189" s="90" t="s">
        <v>4264</v>
      </c>
      <c r="C189" s="93">
        <v>10</v>
      </c>
      <c r="D189" s="93" t="s">
        <v>4594</v>
      </c>
      <c r="E189" s="93" t="s">
        <v>4265</v>
      </c>
    </row>
    <row r="190" spans="1:5" ht="112" x14ac:dyDescent="0.2">
      <c r="A190" s="95" t="s">
        <v>4266</v>
      </c>
      <c r="B190" s="90" t="s">
        <v>4188</v>
      </c>
      <c r="C190" s="93" t="str">
        <f>LEFT(MID(B190,FIND("(",B190)+1,10),FIND("-",MID(B190,FIND("(",B190)+1,10))-1)</f>
        <v>1</v>
      </c>
      <c r="D190" s="93" t="str">
        <f>TRIM(MID(B190,FIND(" ",B190,FIND("(",B190))+1,FIND(")",B190)-FIND(" ",B190,FIND("(",B190))-1))</f>
        <v>Litre</v>
      </c>
      <c r="E190" s="93" t="s">
        <v>4124</v>
      </c>
    </row>
    <row r="191" spans="1:5" ht="48" x14ac:dyDescent="0.2">
      <c r="A191" s="95" t="s">
        <v>338</v>
      </c>
      <c r="B191" s="90" t="s">
        <v>4125</v>
      </c>
      <c r="C191" s="93" t="str">
        <f>LEFT(MID(B191,FIND("(",B191)+1,10),FIND("-",MID(B191,FIND("(",B191)+1,10))-1)</f>
        <v>750</v>
      </c>
      <c r="D191" s="93" t="str">
        <f>TRIM(MID(B191,FIND(" ",B191,FIND("(",B191))+1,FIND(")",B191)-FIND(" ",B191,FIND("(",B191))-1))</f>
        <v>ml</v>
      </c>
      <c r="E191" s="93" t="s">
        <v>4117</v>
      </c>
    </row>
    <row r="192" spans="1:5" ht="32" x14ac:dyDescent="0.2">
      <c r="A192" s="95" t="s">
        <v>363</v>
      </c>
      <c r="B192" s="90" t="s">
        <v>4217</v>
      </c>
      <c r="C192" s="93" t="e">
        <f>LEFT(MID(B192,FIND("(",B192)+1,10),FIND("-",MID(B192,FIND("(",B192)+1,10))-1)</f>
        <v>#VALUE!</v>
      </c>
      <c r="D192" s="93" t="e">
        <f>TRIM(MID(B192,FIND(" ",B192,FIND("(",B192))+1,FIND(")",B192)-FIND(" ",B192,FIND("(",B192))-1))</f>
        <v>#VALUE!</v>
      </c>
      <c r="E192" s="93" t="s">
        <v>4117</v>
      </c>
    </row>
    <row r="193" spans="1:5" ht="48" x14ac:dyDescent="0.2">
      <c r="A193" s="95" t="s">
        <v>4189</v>
      </c>
      <c r="B193" s="90" t="s">
        <v>4237</v>
      </c>
      <c r="C193" s="93" t="str">
        <f>LEFT(MID(B193,FIND("(",B193)+1,10),FIND("-",MID(B193,FIND("(",B193)+1,10))-1)</f>
        <v>100</v>
      </c>
      <c r="D193" s="93" t="str">
        <f>TRIM(MID(B193,FIND(" ",B193,FIND("(",B193))+1,FIND(")",B193)-FIND(" ",B193,FIND("(",B193))-1))</f>
        <v>Adet</v>
      </c>
      <c r="E193" s="2" t="s">
        <v>4191</v>
      </c>
    </row>
    <row r="194" spans="1:5" ht="40" x14ac:dyDescent="0.2">
      <c r="A194" s="97" t="s">
        <v>532</v>
      </c>
      <c r="B194" s="90" t="s">
        <v>4267</v>
      </c>
      <c r="C194" s="93" t="str">
        <f>LEFT(MID(B194,FIND("(",B194)+1,10),FIND("-",MID(B194,FIND("(",B194)+1,10))-1)</f>
        <v>3</v>
      </c>
      <c r="D194" s="93" t="str">
        <f>TRIM(MID(B194,FIND(" ",B194,FIND("(",B194))+1,FIND(")",B194)-FIND(" ",B194,FIND("(",B194))-1))</f>
        <v>Litre</v>
      </c>
      <c r="E194" s="93" t="s">
        <v>4193</v>
      </c>
    </row>
    <row r="195" spans="1:5" ht="38" x14ac:dyDescent="0.2">
      <c r="A195" s="95" t="s">
        <v>4127</v>
      </c>
      <c r="B195" s="90" t="s">
        <v>4128</v>
      </c>
      <c r="C195" s="93" t="str">
        <f>LEFT(MID(B195,FIND("(",B195)+1,10),FIND("-",MID(B195,FIND("(",B195)+1,10))-1)</f>
        <v>100</v>
      </c>
      <c r="D195" s="93" t="str">
        <f>TRIM(MID(B195,FIND(" ",B195,FIND("(",B195))+1,FIND(")",B195)-FIND(" ",B195,FIND("(",B195))-1))</f>
        <v>ml</v>
      </c>
      <c r="E195" s="93" t="s">
        <v>4129</v>
      </c>
    </row>
    <row r="196" spans="1:5" ht="48" x14ac:dyDescent="0.2">
      <c r="A196" s="95" t="s">
        <v>4133</v>
      </c>
      <c r="B196" s="90" t="s">
        <v>4110</v>
      </c>
      <c r="C196" s="93" t="str">
        <f>LEFT(MID(B196,FIND("(",B196)+1,10),FIND("-",MID(B196,FIND("(",B196)+1,10))-1)</f>
        <v>1</v>
      </c>
      <c r="D196" s="93" t="str">
        <f>TRIM(MID(B196,FIND(" ",B196,FIND("(",B196))+1,FIND(")",B196)-FIND(" ",B196,FIND("(",B196))-1))</f>
        <v>Litre</v>
      </c>
      <c r="E196" s="2" t="s">
        <v>4134</v>
      </c>
    </row>
    <row r="197" spans="1:5" ht="48" x14ac:dyDescent="0.2">
      <c r="A197" s="95" t="s">
        <v>4130</v>
      </c>
      <c r="B197" s="90" t="s">
        <v>4110</v>
      </c>
      <c r="C197" s="93" t="str">
        <f>LEFT(MID(B197,FIND("(",B197)+1,10),FIND("-",MID(B197,FIND("(",B197)+1,10))-1)</f>
        <v>1</v>
      </c>
      <c r="D197" s="93" t="str">
        <f>TRIM(MID(B197,FIND(" ",B197,FIND("(",B197))+1,FIND(")",B197)-FIND(" ",B197,FIND("(",B197))-1))</f>
        <v>Litre</v>
      </c>
      <c r="E197" s="93" t="s">
        <v>4157</v>
      </c>
    </row>
    <row r="198" spans="1:5" ht="48" x14ac:dyDescent="0.2">
      <c r="A198" s="95" t="s">
        <v>4135</v>
      </c>
      <c r="B198" s="90" t="s">
        <v>4110</v>
      </c>
      <c r="C198" s="93" t="str">
        <f>LEFT(MID(B198,FIND("(",B198)+1,10),FIND("-",MID(B198,FIND("(",B198)+1,10))-1)</f>
        <v>1</v>
      </c>
      <c r="D198" s="93" t="str">
        <f>TRIM(MID(B198,FIND(" ",B198,FIND("(",B198))+1,FIND(")",B198)-FIND(" ",B198,FIND("(",B198))-1))</f>
        <v>Litre</v>
      </c>
      <c r="E198" s="93" t="s">
        <v>4117</v>
      </c>
    </row>
    <row r="199" spans="1:5" ht="44" x14ac:dyDescent="0.2">
      <c r="A199" s="95" t="s">
        <v>4268</v>
      </c>
      <c r="B199" s="90" t="s">
        <v>4155</v>
      </c>
      <c r="C199" s="93" t="str">
        <f>LEFT(MID(B199,FIND("(",B199)+1,10),FIND("-",MID(B199,FIND("(",B199)+1,10))-1)</f>
        <v>500</v>
      </c>
      <c r="D199" s="93" t="str">
        <f>TRIM(MID(B199,FIND(" ",B199,FIND("(",B199))+1,FIND(")",B199)-FIND(" ",B199,FIND("(",B199))-1))</f>
        <v>ml</v>
      </c>
      <c r="E199" s="93" t="s">
        <v>4269</v>
      </c>
    </row>
    <row r="200" spans="1:5" ht="96" x14ac:dyDescent="0.2">
      <c r="A200" s="95" t="s">
        <v>4270</v>
      </c>
      <c r="B200" s="90" t="s">
        <v>4121</v>
      </c>
      <c r="C200" s="93" t="str">
        <f>LEFT(MID(B200,FIND("(",B200)+1,10),FIND("-",MID(B200,FIND("(",B200)+1,10))-1)</f>
        <v>5</v>
      </c>
      <c r="D200" s="93" t="str">
        <f>TRIM(MID(B200,FIND(" ",B200,FIND("(",B200))+1,FIND(")",B200)-FIND(" ",B200,FIND("(",B200))-1))</f>
        <v>Litre</v>
      </c>
      <c r="E200" s="93" t="s">
        <v>4269</v>
      </c>
    </row>
    <row r="201" spans="1:5" ht="64" x14ac:dyDescent="0.2">
      <c r="A201" s="95" t="s">
        <v>4271</v>
      </c>
      <c r="B201" s="90" t="s">
        <v>4272</v>
      </c>
      <c r="C201" s="93" t="str">
        <f>LEFT(MID(B201,FIND("(",B201)+1,10),FIND("-",MID(B201,FIND("(",B201)+1,10))-1)</f>
        <v>20</v>
      </c>
      <c r="D201" s="93" t="str">
        <f>TRIM(MID(B201,FIND(" ",B201,FIND("(",B201))+1,FIND(")",B201)-FIND(" ",B201,FIND("(",B201))-1))</f>
        <v>Litre</v>
      </c>
      <c r="E201" s="93" t="s">
        <v>4269</v>
      </c>
    </row>
    <row r="202" spans="1:5" ht="80" x14ac:dyDescent="0.2">
      <c r="A202" s="95" t="s">
        <v>4273</v>
      </c>
      <c r="B202" s="90" t="s">
        <v>4121</v>
      </c>
      <c r="C202" s="93" t="str">
        <f>LEFT(MID(B202,FIND("(",B202)+1,10),FIND("-",MID(B202,FIND("(",B202)+1,10))-1)</f>
        <v>5</v>
      </c>
      <c r="D202" s="93" t="str">
        <f>TRIM(MID(B202,FIND(" ",B202,FIND("(",B202))+1,FIND(")",B202)-FIND(" ",B202,FIND("(",B202))-1))</f>
        <v>Litre</v>
      </c>
      <c r="E202" s="93" t="s">
        <v>4269</v>
      </c>
    </row>
    <row r="203" spans="1:5" ht="48" x14ac:dyDescent="0.2">
      <c r="A203" s="95" t="s">
        <v>4274</v>
      </c>
      <c r="B203" s="90" t="s">
        <v>4121</v>
      </c>
      <c r="C203" s="93" t="str">
        <f>LEFT(MID(B203,FIND("(",B203)+1,10),FIND("-",MID(B203,FIND("(",B203)+1,10))-1)</f>
        <v>5</v>
      </c>
      <c r="D203" s="93" t="str">
        <f>TRIM(MID(B203,FIND(" ",B203,FIND("(",B203))+1,FIND(")",B203)-FIND(" ",B203,FIND("(",B203))-1))</f>
        <v>Litre</v>
      </c>
      <c r="E203" s="93" t="s">
        <v>4269</v>
      </c>
    </row>
    <row r="204" spans="1:5" ht="64" x14ac:dyDescent="0.2">
      <c r="A204" s="95" t="s">
        <v>4275</v>
      </c>
      <c r="B204" s="90" t="s">
        <v>4272</v>
      </c>
      <c r="C204" s="93" t="str">
        <f>LEFT(MID(B204,FIND("(",B204)+1,10),FIND("-",MID(B204,FIND("(",B204)+1,10))-1)</f>
        <v>20</v>
      </c>
      <c r="D204" s="93" t="str">
        <f>TRIM(MID(B204,FIND(" ",B204,FIND("(",B204))+1,FIND(")",B204)-FIND(" ",B204,FIND("(",B204))-1))</f>
        <v>Litre</v>
      </c>
      <c r="E204" s="93" t="s">
        <v>4269</v>
      </c>
    </row>
    <row r="205" spans="1:5" ht="48" x14ac:dyDescent="0.2">
      <c r="A205" s="95" t="s">
        <v>4276</v>
      </c>
      <c r="B205" s="90" t="s">
        <v>4277</v>
      </c>
      <c r="C205" s="93" t="str">
        <f>LEFT(MID(B205,FIND("(",B205)+1,10),FIND("-",MID(B205,FIND("(",B205)+1,10))-1)</f>
        <v>4,2</v>
      </c>
      <c r="D205" s="93" t="str">
        <f>TRIM(MID(B205,FIND(" ",B205,FIND("(",B205))+1,FIND(")",B205)-FIND(" ",B205,FIND("(",B205))-1))</f>
        <v>Kg</v>
      </c>
      <c r="E205" s="93" t="s">
        <v>4269</v>
      </c>
    </row>
    <row r="206" spans="1:5" ht="37" x14ac:dyDescent="0.2">
      <c r="A206" s="95" t="s">
        <v>4278</v>
      </c>
      <c r="B206" s="90" t="s">
        <v>4121</v>
      </c>
      <c r="C206" s="93" t="str">
        <f>LEFT(MID(B206,FIND("(",B206)+1,10),FIND("-",MID(B206,FIND("(",B206)+1,10))-1)</f>
        <v>5</v>
      </c>
      <c r="D206" s="93" t="str">
        <f>TRIM(MID(B206,FIND(" ",B206,FIND("(",B206))+1,FIND(")",B206)-FIND(" ",B206,FIND("(",B206))-1))</f>
        <v>Litre</v>
      </c>
      <c r="E206" s="93" t="s">
        <v>4269</v>
      </c>
    </row>
    <row r="207" spans="1:5" ht="48" x14ac:dyDescent="0.2">
      <c r="A207" s="95" t="s">
        <v>4279</v>
      </c>
      <c r="B207" s="90" t="s">
        <v>4121</v>
      </c>
      <c r="C207" s="93" t="str">
        <f>LEFT(MID(B207,FIND("(",B207)+1,10),FIND("-",MID(B207,FIND("(",B207)+1,10))-1)</f>
        <v>5</v>
      </c>
      <c r="D207" s="93" t="str">
        <f>TRIM(MID(B207,FIND(" ",B207,FIND("(",B207))+1,FIND(")",B207)-FIND(" ",B207,FIND("(",B207))-1))</f>
        <v>Litre</v>
      </c>
      <c r="E207" s="93" t="s">
        <v>4269</v>
      </c>
    </row>
    <row r="208" spans="1:5" ht="48" x14ac:dyDescent="0.2">
      <c r="A208" s="95" t="s">
        <v>4280</v>
      </c>
      <c r="B208" s="90" t="s">
        <v>4125</v>
      </c>
      <c r="C208" s="93" t="str">
        <f>LEFT(MID(B208,FIND("(",B208)+1,10),FIND("-",MID(B208,FIND("(",B208)+1,10))-1)</f>
        <v>750</v>
      </c>
      <c r="D208" s="93" t="str">
        <f>TRIM(MID(B208,FIND(" ",B208,FIND("(",B208))+1,FIND(")",B208)-FIND(" ",B208,FIND("(",B208))-1))</f>
        <v>ml</v>
      </c>
      <c r="E208" s="93" t="s">
        <v>4269</v>
      </c>
    </row>
    <row r="209" spans="1:5" ht="48" x14ac:dyDescent="0.2">
      <c r="A209" s="95" t="s">
        <v>4281</v>
      </c>
      <c r="B209" s="90" t="s">
        <v>4125</v>
      </c>
      <c r="C209" s="93" t="str">
        <f>LEFT(MID(B209,FIND("(",B209)+1,10),FIND("-",MID(B209,FIND("(",B209)+1,10))-1)</f>
        <v>750</v>
      </c>
      <c r="D209" s="93" t="str">
        <f>TRIM(MID(B209,FIND(" ",B209,FIND("(",B209))+1,FIND(")",B209)-FIND(" ",B209,FIND("(",B209))-1))</f>
        <v>ml</v>
      </c>
      <c r="E209" s="93" t="s">
        <v>4269</v>
      </c>
    </row>
    <row r="210" spans="1:5" ht="38" x14ac:dyDescent="0.2">
      <c r="A210" s="95" t="s">
        <v>4282</v>
      </c>
      <c r="B210" s="90" t="s">
        <v>4272</v>
      </c>
      <c r="C210" s="93" t="str">
        <f>LEFT(MID(B210,FIND("(",B210)+1,10),FIND("-",MID(B210,FIND("(",B210)+1,10))-1)</f>
        <v>20</v>
      </c>
      <c r="D210" s="93" t="str">
        <f>TRIM(MID(B210,FIND(" ",B210,FIND("(",B210))+1,FIND(")",B210)-FIND(" ",B210,FIND("(",B210))-1))</f>
        <v>Litre</v>
      </c>
      <c r="E210" s="93" t="s">
        <v>4269</v>
      </c>
    </row>
    <row r="211" spans="1:5" ht="80" x14ac:dyDescent="0.2">
      <c r="A211" s="95" t="s">
        <v>4283</v>
      </c>
      <c r="B211" s="90" t="s">
        <v>4121</v>
      </c>
      <c r="C211" s="93" t="str">
        <f>LEFT(MID(B211,FIND("(",B211)+1,10),FIND("-",MID(B211,FIND("(",B211)+1,10))-1)</f>
        <v>5</v>
      </c>
      <c r="D211" s="93" t="str">
        <f>TRIM(MID(B211,FIND(" ",B211,FIND("(",B211))+1,FIND(")",B211)-FIND(" ",B211,FIND("(",B211))-1))</f>
        <v>Litre</v>
      </c>
      <c r="E211" s="93" t="s">
        <v>4269</v>
      </c>
    </row>
    <row r="212" spans="1:5" ht="80" x14ac:dyDescent="0.2">
      <c r="A212" s="95" t="s">
        <v>4284</v>
      </c>
      <c r="B212" s="90" t="s">
        <v>4125</v>
      </c>
      <c r="C212" s="93" t="str">
        <f>LEFT(MID(B212,FIND("(",B212)+1,10),FIND("-",MID(B212,FIND("(",B212)+1,10))-1)</f>
        <v>750</v>
      </c>
      <c r="D212" s="93" t="str">
        <f>TRIM(MID(B212,FIND(" ",B212,FIND("(",B212))+1,FIND(")",B212)-FIND(" ",B212,FIND("(",B212))-1))</f>
        <v>ml</v>
      </c>
      <c r="E212" s="93" t="s">
        <v>4269</v>
      </c>
    </row>
    <row r="213" spans="1:5" ht="80" x14ac:dyDescent="0.2">
      <c r="A213" s="95" t="s">
        <v>4138</v>
      </c>
      <c r="B213" s="90" t="s">
        <v>4285</v>
      </c>
      <c r="C213" s="93">
        <v>250</v>
      </c>
      <c r="D213" s="93" t="s">
        <v>4594</v>
      </c>
      <c r="E213" s="93" t="s">
        <v>4140</v>
      </c>
    </row>
    <row r="214" spans="1:5" ht="64" x14ac:dyDescent="0.2">
      <c r="A214" s="95" t="s">
        <v>4109</v>
      </c>
      <c r="B214" s="90" t="s">
        <v>4110</v>
      </c>
      <c r="C214" s="93" t="str">
        <f>LEFT(MID(B214,FIND("(",B214)+1,10),FIND("-",MID(B214,FIND("(",B214)+1,10))-1)</f>
        <v>1</v>
      </c>
      <c r="D214" s="93" t="str">
        <f>TRIM(MID(B214,FIND(" ",B214,FIND("(",B214))+1,FIND(")",B214)-FIND(" ",B214,FIND("(",B214))-1))</f>
        <v>Litre</v>
      </c>
      <c r="E214" s="2" t="s">
        <v>4111</v>
      </c>
    </row>
    <row r="215" spans="1:5" ht="48" x14ac:dyDescent="0.2">
      <c r="A215" s="95" t="s">
        <v>4120</v>
      </c>
      <c r="B215" s="90" t="s">
        <v>4217</v>
      </c>
      <c r="C215" s="93" t="e">
        <f>LEFT(MID(B215,FIND("(",B215)+1,10),FIND("-",MID(B215,FIND("(",B215)+1,10))-1)</f>
        <v>#VALUE!</v>
      </c>
      <c r="D215" s="93" t="e">
        <f>TRIM(MID(B215,FIND(" ",B215,FIND("(",B215))+1,FIND(")",B215)-FIND(" ",B215,FIND("(",B215))-1))</f>
        <v>#VALUE!</v>
      </c>
      <c r="E215" s="2" t="s">
        <v>4122</v>
      </c>
    </row>
    <row r="216" spans="1:5" ht="48" x14ac:dyDescent="0.2">
      <c r="A216" s="95" t="s">
        <v>338</v>
      </c>
      <c r="B216" s="90" t="s">
        <v>4125</v>
      </c>
      <c r="C216" s="93" t="str">
        <f>LEFT(MID(B216,FIND("(",B216)+1,10),FIND("-",MID(B216,FIND("(",B216)+1,10))-1)</f>
        <v>750</v>
      </c>
      <c r="D216" s="93" t="str">
        <f>TRIM(MID(B216,FIND(" ",B216,FIND("(",B216))+1,FIND(")",B216)-FIND(" ",B216,FIND("(",B216))-1))</f>
        <v>ml</v>
      </c>
      <c r="E216" s="2" t="s">
        <v>4117</v>
      </c>
    </row>
    <row r="217" spans="1:5" ht="32" x14ac:dyDescent="0.2">
      <c r="A217" s="95" t="s">
        <v>363</v>
      </c>
      <c r="B217" s="90" t="s">
        <v>4217</v>
      </c>
      <c r="C217" s="93" t="e">
        <f>LEFT(MID(B217,FIND("(",B217)+1,10),FIND("-",MID(B217,FIND("(",B217)+1,10))-1)</f>
        <v>#VALUE!</v>
      </c>
      <c r="D217" s="93" t="e">
        <f>TRIM(MID(B217,FIND(" ",B217,FIND("(",B217))+1,FIND(")",B217)-FIND(" ",B217,FIND("(",B217))-1))</f>
        <v>#VALUE!</v>
      </c>
      <c r="E217" s="93" t="s">
        <v>4117</v>
      </c>
    </row>
    <row r="218" spans="1:5" ht="48" x14ac:dyDescent="0.2">
      <c r="A218" s="95" t="s">
        <v>4135</v>
      </c>
      <c r="B218" s="90" t="s">
        <v>4110</v>
      </c>
      <c r="C218" s="93" t="str">
        <f>LEFT(MID(B218,FIND("(",B218)+1,10),FIND("-",MID(B218,FIND("(",B218)+1,10))-1)</f>
        <v>1</v>
      </c>
      <c r="D218" s="93" t="str">
        <f>TRIM(MID(B218,FIND(" ",B218,FIND("(",B218))+1,FIND(")",B218)-FIND(" ",B218,FIND("(",B218))-1))</f>
        <v>Litre</v>
      </c>
      <c r="E218" s="93" t="s">
        <v>4117</v>
      </c>
    </row>
    <row r="219" spans="1:5" ht="80" x14ac:dyDescent="0.2">
      <c r="A219" s="95" t="s">
        <v>4138</v>
      </c>
      <c r="B219" s="90" t="s">
        <v>4285</v>
      </c>
      <c r="C219" s="93">
        <v>250</v>
      </c>
      <c r="D219" s="93" t="s">
        <v>4594</v>
      </c>
      <c r="E219" s="93" t="s">
        <v>4140</v>
      </c>
    </row>
    <row r="220" spans="1:5" ht="80" x14ac:dyDescent="0.2">
      <c r="A220" s="95" t="s">
        <v>4112</v>
      </c>
      <c r="B220" s="90" t="s">
        <v>4113</v>
      </c>
      <c r="C220" s="93" t="str">
        <f>LEFT(MID(B220,FIND("(",B220)+1,10),FIND("-",MID(B220,FIND("(",B220)+1,10))-1)</f>
        <v>400</v>
      </c>
      <c r="D220" s="93" t="str">
        <f>TRIM(MID(B220,FIND(" ",B220,FIND("(",B220))+1,FIND(")",B220)-FIND(" ",B220,FIND("(",B220))-1))</f>
        <v>ml</v>
      </c>
      <c r="E220" s="93" t="s">
        <v>4114</v>
      </c>
    </row>
    <row r="221" spans="1:5" ht="48" x14ac:dyDescent="0.2">
      <c r="A221" s="95" t="s">
        <v>4120</v>
      </c>
      <c r="B221" s="90" t="s">
        <v>4217</v>
      </c>
      <c r="C221" s="93" t="e">
        <f>LEFT(MID(B221,FIND("(",B221)+1,10),FIND("-",MID(B221,FIND("(",B221)+1,10))-1)</f>
        <v>#VALUE!</v>
      </c>
      <c r="D221" s="93" t="e">
        <f>TRIM(MID(B221,FIND(" ",B221,FIND("(",B221))+1,FIND(")",B221)-FIND(" ",B221,FIND("(",B221))-1))</f>
        <v>#VALUE!</v>
      </c>
      <c r="E221" s="2" t="s">
        <v>4122</v>
      </c>
    </row>
    <row r="222" spans="1:5" ht="96" x14ac:dyDescent="0.2">
      <c r="A222" s="95" t="s">
        <v>291</v>
      </c>
      <c r="B222" s="90" t="s">
        <v>4286</v>
      </c>
      <c r="C222" s="93">
        <v>3</v>
      </c>
      <c r="D222" s="93" t="s">
        <v>4594</v>
      </c>
      <c r="E222" s="93" t="s">
        <v>4265</v>
      </c>
    </row>
    <row r="223" spans="1:5" ht="112" x14ac:dyDescent="0.2">
      <c r="A223" s="95" t="s">
        <v>4123</v>
      </c>
      <c r="B223" s="90" t="s">
        <v>4221</v>
      </c>
      <c r="C223" s="93" t="str">
        <f>LEFT(MID(B223,FIND("(",B223)+1,10),FIND("-",MID(B223,FIND("(",B223)+1,10))-1)</f>
        <v>1</v>
      </c>
      <c r="D223" s="93" t="str">
        <f>TRIM(MID(B223,FIND(" ",B223,FIND("(",B223))+1,FIND(")",B223)-FIND(" ",B223,FIND("(",B223))-1))</f>
        <v>Litre</v>
      </c>
      <c r="E223" s="93" t="s">
        <v>4124</v>
      </c>
    </row>
    <row r="224" spans="1:5" ht="48" x14ac:dyDescent="0.2">
      <c r="A224" s="95" t="s">
        <v>338</v>
      </c>
      <c r="B224" s="90" t="s">
        <v>4125</v>
      </c>
      <c r="C224" s="93" t="str">
        <f>LEFT(MID(B224,FIND("(",B224)+1,10),FIND("-",MID(B224,FIND("(",B224)+1,10))-1)</f>
        <v>750</v>
      </c>
      <c r="D224" s="93" t="str">
        <f>TRIM(MID(B224,FIND(" ",B224,FIND("(",B224))+1,FIND(")",B224)-FIND(" ",B224,FIND("(",B224))-1))</f>
        <v>ml</v>
      </c>
      <c r="E224" s="2" t="s">
        <v>4117</v>
      </c>
    </row>
    <row r="225" spans="1:5" ht="32" x14ac:dyDescent="0.2">
      <c r="A225" s="95" t="s">
        <v>363</v>
      </c>
      <c r="B225" s="90" t="s">
        <v>4217</v>
      </c>
      <c r="C225" s="93" t="e">
        <f>LEFT(MID(B225,FIND("(",B225)+1,10),FIND("-",MID(B225,FIND("(",B225)+1,10))-1)</f>
        <v>#VALUE!</v>
      </c>
      <c r="D225" s="93" t="e">
        <f>TRIM(MID(B225,FIND(" ",B225,FIND("(",B225))+1,FIND(")",B225)-FIND(" ",B225,FIND("(",B225))-1))</f>
        <v>#VALUE!</v>
      </c>
      <c r="E225" s="93" t="s">
        <v>4117</v>
      </c>
    </row>
    <row r="226" spans="1:5" ht="48" x14ac:dyDescent="0.2">
      <c r="A226" s="95" t="s">
        <v>4189</v>
      </c>
      <c r="B226" s="90" t="s">
        <v>4237</v>
      </c>
      <c r="C226" s="93" t="str">
        <f>LEFT(MID(B226,FIND("(",B226)+1,10),FIND("-",MID(B226,FIND("(",B226)+1,10))-1)</f>
        <v>100</v>
      </c>
      <c r="D226" s="93" t="str">
        <f>TRIM(MID(B226,FIND(" ",B226,FIND("(",B226))+1,FIND(")",B226)-FIND(" ",B226,FIND("(",B226))-1))</f>
        <v>Adet</v>
      </c>
      <c r="E226" s="2" t="s">
        <v>4191</v>
      </c>
    </row>
    <row r="227" spans="1:5" ht="38" x14ac:dyDescent="0.2">
      <c r="A227" s="95" t="s">
        <v>4127</v>
      </c>
      <c r="B227" s="90" t="s">
        <v>4128</v>
      </c>
      <c r="C227" s="93" t="str">
        <f>LEFT(MID(B227,FIND("(",B227)+1,10),FIND("-",MID(B227,FIND("(",B227)+1,10))-1)</f>
        <v>100</v>
      </c>
      <c r="D227" s="93" t="str">
        <f>TRIM(MID(B227,FIND(" ",B227,FIND("(",B227))+1,FIND(")",B227)-FIND(" ",B227,FIND("(",B227))-1))</f>
        <v>ml</v>
      </c>
      <c r="E227" s="93" t="s">
        <v>4129</v>
      </c>
    </row>
    <row r="228" spans="1:5" ht="96" x14ac:dyDescent="0.2">
      <c r="A228" s="95" t="s">
        <v>4287</v>
      </c>
      <c r="B228" s="90" t="s">
        <v>828</v>
      </c>
      <c r="C228" s="93">
        <v>1</v>
      </c>
      <c r="D228" s="93" t="s">
        <v>4594</v>
      </c>
      <c r="E228" s="93" t="s">
        <v>4288</v>
      </c>
    </row>
    <row r="229" spans="1:5" ht="48" x14ac:dyDescent="0.2">
      <c r="A229" s="95" t="s">
        <v>4135</v>
      </c>
      <c r="B229" s="90" t="s">
        <v>4110</v>
      </c>
      <c r="C229" s="93" t="str">
        <f>LEFT(MID(B229,FIND("(",B229)+1,10),FIND("-",MID(B229,FIND("(",B229)+1,10))-1)</f>
        <v>1</v>
      </c>
      <c r="D229" s="93" t="str">
        <f>TRIM(MID(B229,FIND(" ",B229,FIND("(",B229))+1,FIND(")",B229)-FIND(" ",B229,FIND("(",B229))-1))</f>
        <v>Litre</v>
      </c>
      <c r="E229" s="93" t="s">
        <v>4117</v>
      </c>
    </row>
    <row r="230" spans="1:5" ht="80" x14ac:dyDescent="0.2">
      <c r="A230" s="95" t="s">
        <v>4138</v>
      </c>
      <c r="B230" s="90" t="s">
        <v>4289</v>
      </c>
      <c r="C230" s="93" t="str">
        <f>LEFT(MID(B230,FIND("(",B230)+1,10),FIND("-",MID(B230,FIND("(",B230)+1,10))-1)</f>
        <v>100</v>
      </c>
      <c r="D230" s="93" t="str">
        <f>TRIM(MID(B230,FIND(" ",B230,FIND("(",B230))+1,FIND(")",B230)-FIND(" ",B230,FIND("(",B230))-1))</f>
        <v>Adet</v>
      </c>
      <c r="E230" s="93" t="s">
        <v>4140</v>
      </c>
    </row>
    <row r="231" spans="1:5" ht="48" x14ac:dyDescent="0.2">
      <c r="A231" s="95" t="s">
        <v>4115</v>
      </c>
      <c r="B231" s="90" t="s">
        <v>4162</v>
      </c>
      <c r="C231" s="93" t="str">
        <f>LEFT(MID(B231,FIND("(",B231)+1,10),FIND("-",MID(B231,FIND("(",B231)+1,10))-1)</f>
        <v>5</v>
      </c>
      <c r="D231" s="93" t="str">
        <f>TRIM(MID(B231,FIND(" ",B231,FIND("(",B231))+1,FIND(")",B231)-FIND(" ",B231,FIND("(",B231))-1))</f>
        <v>Litre</v>
      </c>
      <c r="E231" s="93" t="s">
        <v>4117</v>
      </c>
    </row>
    <row r="232" spans="1:5" ht="48" x14ac:dyDescent="0.2">
      <c r="A232" s="95" t="s">
        <v>4120</v>
      </c>
      <c r="B232" s="90" t="s">
        <v>4182</v>
      </c>
      <c r="C232" s="93" t="str">
        <f>LEFT(MID(B232,FIND("(",B232)+1,10),FIND("-",MID(B232,FIND("(",B232)+1,10))-1)</f>
        <v>5</v>
      </c>
      <c r="D232" s="93" t="str">
        <f>TRIM(MID(B232,FIND(" ",B232,FIND("(",B232))+1,FIND(")",B232)-FIND(" ",B232,FIND("(",B232))-1))</f>
        <v>Litre</v>
      </c>
      <c r="E232" s="2" t="s">
        <v>4122</v>
      </c>
    </row>
    <row r="233" spans="1:5" ht="48" x14ac:dyDescent="0.2">
      <c r="A233" s="95" t="s">
        <v>338</v>
      </c>
      <c r="B233" s="90" t="s">
        <v>4125</v>
      </c>
      <c r="C233" s="93" t="str">
        <f>LEFT(MID(B233,FIND("(",B233)+1,10),FIND("-",MID(B233,FIND("(",B233)+1,10))-1)</f>
        <v>750</v>
      </c>
      <c r="D233" s="93" t="str">
        <f>TRIM(MID(B233,FIND(" ",B233,FIND("(",B233))+1,FIND(")",B233)-FIND(" ",B233,FIND("(",B233))-1))</f>
        <v>ml</v>
      </c>
      <c r="E233" s="93" t="s">
        <v>4117</v>
      </c>
    </row>
    <row r="234" spans="1:5" ht="65" x14ac:dyDescent="0.2">
      <c r="A234" s="97" t="s">
        <v>4194</v>
      </c>
      <c r="B234" s="90" t="s">
        <v>4290</v>
      </c>
      <c r="C234" s="93" t="str">
        <f>LEFT(MID(B234,FIND("(",B234)+1,10),FIND("-",MID(B234,FIND("(",B234)+1,10))-1)</f>
        <v>100</v>
      </c>
      <c r="D234" s="93" t="str">
        <f>TRIM(MID(B234,FIND(" ",B234,FIND("(",B234))+1,FIND(")",B234)-FIND(" ",B234,FIND("(",B234))-1))</f>
        <v>Adet</v>
      </c>
      <c r="E234" s="93" t="s">
        <v>4193</v>
      </c>
    </row>
    <row r="235" spans="1:5" ht="48" x14ac:dyDescent="0.2">
      <c r="A235" s="95" t="s">
        <v>4135</v>
      </c>
      <c r="B235" s="90" t="s">
        <v>4162</v>
      </c>
      <c r="C235" s="93" t="str">
        <f>LEFT(MID(B235,FIND("(",B235)+1,10),FIND("-",MID(B235,FIND("(",B235)+1,10))-1)</f>
        <v>5</v>
      </c>
      <c r="D235" s="93" t="str">
        <f>TRIM(MID(B235,FIND(" ",B235,FIND("(",B235))+1,FIND(")",B235)-FIND(" ",B235,FIND("(",B235))-1))</f>
        <v>Litre</v>
      </c>
      <c r="E235" s="93" t="s">
        <v>4117</v>
      </c>
    </row>
    <row r="236" spans="1:5" ht="80" x14ac:dyDescent="0.2">
      <c r="A236" s="95" t="s">
        <v>4138</v>
      </c>
      <c r="B236" s="90" t="s">
        <v>4240</v>
      </c>
      <c r="C236" s="93">
        <v>3</v>
      </c>
      <c r="D236" s="93" t="s">
        <v>4598</v>
      </c>
      <c r="E236" s="93" t="s">
        <v>4140</v>
      </c>
    </row>
    <row r="237" spans="1:5" ht="64" x14ac:dyDescent="0.2">
      <c r="A237" s="95" t="s">
        <v>4241</v>
      </c>
      <c r="B237" s="90" t="s">
        <v>4242</v>
      </c>
      <c r="C237" s="93" t="str">
        <f>LEFT(MID(B237,FIND("(",B237)+1,10),FIND("-",MID(B237,FIND("(",B237)+1,10))-1)</f>
        <v>10</v>
      </c>
      <c r="D237" s="93" t="str">
        <f>TRIM(MID(B237,FIND(" ",B237,FIND("(",B237))+1,FIND(")",B237)-FIND(" ",B237,FIND("(",B237))-1))</f>
        <v>Litre</v>
      </c>
      <c r="E237" s="93" t="s">
        <v>4111</v>
      </c>
    </row>
    <row r="238" spans="1:5" ht="48" x14ac:dyDescent="0.2">
      <c r="A238" s="95" t="s">
        <v>4120</v>
      </c>
      <c r="B238" s="90" t="s">
        <v>4121</v>
      </c>
      <c r="C238" s="93" t="str">
        <f>LEFT(MID(B238,FIND("(",B238)+1,10),FIND("-",MID(B238,FIND("(",B238)+1,10))-1)</f>
        <v>5</v>
      </c>
      <c r="D238" s="93" t="str">
        <f>TRIM(MID(B238,FIND(" ",B238,FIND("(",B238))+1,FIND(")",B238)-FIND(" ",B238,FIND("(",B238))-1))</f>
        <v>Litre</v>
      </c>
      <c r="E238" s="2" t="s">
        <v>4122</v>
      </c>
    </row>
    <row r="239" spans="1:5" ht="48" x14ac:dyDescent="0.2">
      <c r="A239" s="95" t="s">
        <v>338</v>
      </c>
      <c r="B239" s="90" t="s">
        <v>4125</v>
      </c>
      <c r="C239" s="93" t="str">
        <f>LEFT(MID(B239,FIND("(",B239)+1,10),FIND("-",MID(B239,FIND("(",B239)+1,10))-1)</f>
        <v>750</v>
      </c>
      <c r="D239" s="93" t="str">
        <f>TRIM(MID(B239,FIND(" ",B239,FIND("(",B239))+1,FIND(")",B239)-FIND(" ",B239,FIND("(",B239))-1))</f>
        <v>ml</v>
      </c>
      <c r="E239" s="2" t="s">
        <v>4117</v>
      </c>
    </row>
    <row r="240" spans="1:5" ht="37" x14ac:dyDescent="0.2">
      <c r="A240" s="95" t="s">
        <v>363</v>
      </c>
      <c r="B240" s="90" t="s">
        <v>4229</v>
      </c>
      <c r="C240" s="93" t="str">
        <f>LEFT(MID(B240,FIND("(",B240)+1,10),FIND("-",MID(B240,FIND("(",B240)+1,10))-1)</f>
        <v>6</v>
      </c>
      <c r="D240" s="93" t="str">
        <f>TRIM(MID(B240,FIND(" ",B240,FIND("(",B240))+1,FIND(")",B240)-FIND(" ",B240,FIND("(",B240))-1))</f>
        <v>Litre</v>
      </c>
      <c r="E240" s="93" t="s">
        <v>4117</v>
      </c>
    </row>
    <row r="241" spans="1:5" ht="37" x14ac:dyDescent="0.2">
      <c r="A241" s="95" t="s">
        <v>4187</v>
      </c>
      <c r="B241" s="90" t="s">
        <v>4243</v>
      </c>
      <c r="C241" s="93" t="str">
        <f>LEFT(MID(B241,FIND("(",B241)+1,10),FIND("-",MID(B241,FIND("(",B241)+1,10))-1)</f>
        <v>3</v>
      </c>
      <c r="D241" s="93" t="str">
        <f>TRIM(MID(B241,FIND(" ",B241,FIND("(",B241))+1,FIND(")",B241)-FIND(" ",B241,FIND("(",B241))-1))</f>
        <v>Litre</v>
      </c>
      <c r="E241" s="93" t="s">
        <v>4117</v>
      </c>
    </row>
    <row r="242" spans="1:5" ht="48" x14ac:dyDescent="0.2">
      <c r="A242" s="95" t="s">
        <v>4291</v>
      </c>
      <c r="B242" s="90" t="s">
        <v>827</v>
      </c>
      <c r="C242" s="93">
        <v>1</v>
      </c>
      <c r="D242" s="93" t="s">
        <v>4594</v>
      </c>
      <c r="E242" s="93" t="s">
        <v>4292</v>
      </c>
    </row>
    <row r="243" spans="1:5" ht="48" x14ac:dyDescent="0.2">
      <c r="A243" s="95" t="s">
        <v>4135</v>
      </c>
      <c r="B243" s="90" t="s">
        <v>4110</v>
      </c>
      <c r="C243" s="93" t="str">
        <f>LEFT(MID(B243,FIND("(",B243)+1,10),FIND("-",MID(B243,FIND("(",B243)+1,10))-1)</f>
        <v>1</v>
      </c>
      <c r="D243" s="93" t="str">
        <f>TRIM(MID(B243,FIND(" ",B243,FIND("(",B243))+1,FIND(")",B243)-FIND(" ",B243,FIND("(",B243))-1))</f>
        <v>Litre</v>
      </c>
      <c r="E243" s="93" t="s">
        <v>4117</v>
      </c>
    </row>
    <row r="244" spans="1:5" ht="48" x14ac:dyDescent="0.2">
      <c r="A244" s="95" t="s">
        <v>4115</v>
      </c>
      <c r="B244" s="90" t="s">
        <v>4110</v>
      </c>
      <c r="C244" s="93" t="str">
        <f>LEFT(MID(B244,FIND("(",B244)+1,10),FIND("-",MID(B244,FIND("(",B244)+1,10))-1)</f>
        <v>1</v>
      </c>
      <c r="D244" s="93" t="str">
        <f>TRIM(MID(B244,FIND(" ",B244,FIND("(",B244))+1,FIND(")",B244)-FIND(" ",B244,FIND("(",B244))-1))</f>
        <v>Litre</v>
      </c>
      <c r="E244" s="93" t="s">
        <v>4117</v>
      </c>
    </row>
    <row r="245" spans="1:5" ht="48" x14ac:dyDescent="0.2">
      <c r="A245" s="95" t="s">
        <v>338</v>
      </c>
      <c r="B245" s="90" t="s">
        <v>4125</v>
      </c>
      <c r="C245" s="93" t="str">
        <f>LEFT(MID(B245,FIND("(",B245)+1,10),FIND("-",MID(B245,FIND("(",B245)+1,10))-1)</f>
        <v>750</v>
      </c>
      <c r="D245" s="93" t="str">
        <f>TRIM(MID(B245,FIND(" ",B245,FIND("(",B245))+1,FIND(")",B245)-FIND(" ",B245,FIND("(",B245))-1))</f>
        <v>ml</v>
      </c>
      <c r="E245" s="2" t="s">
        <v>4117</v>
      </c>
    </row>
    <row r="246" spans="1:5" ht="37" x14ac:dyDescent="0.2">
      <c r="A246" s="95" t="s">
        <v>496</v>
      </c>
      <c r="B246" s="90" t="s">
        <v>4188</v>
      </c>
      <c r="C246" s="93" t="str">
        <f>LEFT(MID(B246,FIND("(",B246)+1,10),FIND("-",MID(B246,FIND("(",B246)+1,10))-1)</f>
        <v>1</v>
      </c>
      <c r="D246" s="93" t="str">
        <f>TRIM(MID(B246,FIND(" ",B246,FIND("(",B246))+1,FIND(")",B246)-FIND(" ",B246,FIND("(",B246))-1))</f>
        <v>Litre</v>
      </c>
      <c r="E246" s="93" t="s">
        <v>4124</v>
      </c>
    </row>
    <row r="247" spans="1:5" ht="48" x14ac:dyDescent="0.2">
      <c r="A247" s="95" t="s">
        <v>4133</v>
      </c>
      <c r="B247" s="90" t="s">
        <v>4110</v>
      </c>
      <c r="C247" s="93" t="str">
        <f>LEFT(MID(B247,FIND("(",B247)+1,10),FIND("-",MID(B247,FIND("(",B247)+1,10))-1)</f>
        <v>1</v>
      </c>
      <c r="D247" s="93" t="str">
        <f>TRIM(MID(B247,FIND(" ",B247,FIND("(",B247))+1,FIND(")",B247)-FIND(" ",B247,FIND("(",B247))-1))</f>
        <v>Litre</v>
      </c>
      <c r="E247" s="2" t="s">
        <v>4134</v>
      </c>
    </row>
    <row r="248" spans="1:5" ht="48" x14ac:dyDescent="0.2">
      <c r="A248" s="95" t="s">
        <v>4133</v>
      </c>
      <c r="B248" s="90" t="s">
        <v>4128</v>
      </c>
      <c r="C248" s="93" t="str">
        <f>LEFT(MID(B248,FIND("(",B248)+1,10),FIND("-",MID(B248,FIND("(",B248)+1,10))-1)</f>
        <v>100</v>
      </c>
      <c r="D248" s="93" t="str">
        <f>TRIM(MID(B248,FIND(" ",B248,FIND("(",B248))+1,FIND(")",B248)-FIND(" ",B248,FIND("(",B248))-1))</f>
        <v>ml</v>
      </c>
      <c r="E248" s="2" t="s">
        <v>4197</v>
      </c>
    </row>
    <row r="249" spans="1:5" ht="64" x14ac:dyDescent="0.2">
      <c r="A249" s="95" t="s">
        <v>4150</v>
      </c>
      <c r="B249" s="90" t="s">
        <v>4293</v>
      </c>
      <c r="C249" s="93">
        <v>1</v>
      </c>
      <c r="D249" s="93" t="s">
        <v>4594</v>
      </c>
      <c r="E249" s="93" t="s">
        <v>4122</v>
      </c>
    </row>
    <row r="250" spans="1:5" ht="52" x14ac:dyDescent="0.2">
      <c r="A250" s="95" t="s">
        <v>4120</v>
      </c>
      <c r="B250" s="90" t="s">
        <v>4294</v>
      </c>
      <c r="C250" s="93" t="str">
        <f>LEFT(MID(B250,FIND("(",B250)+1,10),FIND("-",MID(B250,FIND("(",B250)+1,10))-1)</f>
        <v>5</v>
      </c>
      <c r="D250" s="93" t="str">
        <f>TRIM(MID(B250,FIND(" ",B250,FIND("(",B250))+1,FIND(")",B250)-FIND(" ",B250,FIND("(",B250))-1))</f>
        <v>Litre</v>
      </c>
      <c r="E250" s="2" t="s">
        <v>4122</v>
      </c>
    </row>
    <row r="251" spans="1:5" ht="37" x14ac:dyDescent="0.2">
      <c r="A251" s="95" t="s">
        <v>4295</v>
      </c>
      <c r="B251" s="90" t="s">
        <v>4296</v>
      </c>
      <c r="C251" s="93" t="str">
        <f>LEFT(MID(B251,FIND("(",B251)+1,10),FIND("-",MID(B251,FIND("(",B251)+1,10))-1)</f>
        <v>50</v>
      </c>
      <c r="D251" s="93" t="str">
        <f>TRIM(MID(B251,FIND(" ",B251,FIND("(",B251))+1,FIND(")",B251)-FIND(" ",B251,FIND("(",B251))-1))</f>
        <v>L</v>
      </c>
      <c r="E251" s="93" t="s">
        <v>4122</v>
      </c>
    </row>
    <row r="252" spans="1:5" ht="34" x14ac:dyDescent="0.2">
      <c r="A252" s="95" t="s">
        <v>4228</v>
      </c>
      <c r="B252" s="90" t="s">
        <v>4293</v>
      </c>
      <c r="C252" s="93">
        <v>1</v>
      </c>
      <c r="D252" s="93" t="s">
        <v>4594</v>
      </c>
      <c r="E252" s="93" t="s">
        <v>4122</v>
      </c>
    </row>
    <row r="253" spans="1:5" ht="37" x14ac:dyDescent="0.2">
      <c r="A253" s="95" t="s">
        <v>4297</v>
      </c>
      <c r="B253" s="90" t="s">
        <v>4298</v>
      </c>
      <c r="C253" s="93" t="str">
        <f>LEFT(MID(B253,FIND("(",B253)+1,10),FIND("-",MID(B253,FIND("(",B253)+1,10))-1)</f>
        <v>0,5</v>
      </c>
      <c r="D253" s="93" t="str">
        <f>TRIM(MID(B253,FIND(" ",B253,FIND("(",B253))+1,FIND(")",B253)-FIND(" ",B253,FIND("(",B253))-1))</f>
        <v>Litre</v>
      </c>
      <c r="E253" s="93" t="s">
        <v>4299</v>
      </c>
    </row>
    <row r="254" spans="1:5" ht="49" x14ac:dyDescent="0.2">
      <c r="A254" s="95" t="s">
        <v>4300</v>
      </c>
      <c r="B254" s="90" t="s">
        <v>4298</v>
      </c>
      <c r="C254" s="93" t="str">
        <f>LEFT(MID(B254,FIND("(",B254)+1,10),FIND("-",MID(B254,FIND("(",B254)+1,10))-1)</f>
        <v>0,5</v>
      </c>
      <c r="D254" s="93" t="str">
        <f>TRIM(MID(B254,FIND(" ",B254,FIND("(",B254))+1,FIND(")",B254)-FIND(" ",B254,FIND("(",B254))-1))</f>
        <v>Litre</v>
      </c>
      <c r="E254" s="93" t="s">
        <v>4299</v>
      </c>
    </row>
    <row r="255" spans="1:5" ht="112" x14ac:dyDescent="0.2">
      <c r="A255" s="95" t="s">
        <v>4301</v>
      </c>
      <c r="B255" s="90" t="s">
        <v>4302</v>
      </c>
      <c r="C255" s="93">
        <v>1</v>
      </c>
      <c r="D255" s="93" t="s">
        <v>4594</v>
      </c>
      <c r="E255" s="93" t="s">
        <v>4299</v>
      </c>
    </row>
    <row r="256" spans="1:5" ht="112" x14ac:dyDescent="0.2">
      <c r="A256" s="95" t="s">
        <v>4303</v>
      </c>
      <c r="B256" s="90" t="s">
        <v>4302</v>
      </c>
      <c r="C256" s="93">
        <v>1</v>
      </c>
      <c r="D256" s="93" t="s">
        <v>4594</v>
      </c>
      <c r="E256" s="93" t="s">
        <v>4299</v>
      </c>
    </row>
    <row r="257" spans="1:5" ht="112" x14ac:dyDescent="0.2">
      <c r="A257" s="95" t="s">
        <v>4304</v>
      </c>
      <c r="B257" s="90" t="s">
        <v>4302</v>
      </c>
      <c r="C257" s="93">
        <v>1</v>
      </c>
      <c r="D257" s="93" t="s">
        <v>4594</v>
      </c>
      <c r="E257" s="93" t="s">
        <v>4299</v>
      </c>
    </row>
    <row r="258" spans="1:5" ht="176" x14ac:dyDescent="0.2">
      <c r="A258" s="95" t="s">
        <v>4305</v>
      </c>
      <c r="B258" s="90" t="s">
        <v>828</v>
      </c>
      <c r="C258" s="93">
        <v>1</v>
      </c>
      <c r="D258" s="93" t="s">
        <v>4594</v>
      </c>
      <c r="E258" s="93" t="s">
        <v>4299</v>
      </c>
    </row>
    <row r="259" spans="1:5" ht="144" x14ac:dyDescent="0.2">
      <c r="A259" s="95" t="s">
        <v>4306</v>
      </c>
      <c r="B259" s="90" t="s">
        <v>828</v>
      </c>
      <c r="C259" s="93">
        <v>1</v>
      </c>
      <c r="D259" s="93" t="s">
        <v>4594</v>
      </c>
      <c r="E259" s="93" t="s">
        <v>4299</v>
      </c>
    </row>
    <row r="260" spans="1:5" ht="144" x14ac:dyDescent="0.2">
      <c r="A260" s="95" t="s">
        <v>4307</v>
      </c>
      <c r="B260" s="90" t="s">
        <v>828</v>
      </c>
      <c r="C260" s="93" t="s">
        <v>4599</v>
      </c>
      <c r="D260" s="93" t="s">
        <v>4594</v>
      </c>
      <c r="E260" s="93" t="s">
        <v>4299</v>
      </c>
    </row>
    <row r="261" spans="1:5" ht="160" x14ac:dyDescent="0.2">
      <c r="A261" s="95" t="s">
        <v>4308</v>
      </c>
      <c r="B261" s="90" t="s">
        <v>828</v>
      </c>
      <c r="C261" s="93">
        <v>1</v>
      </c>
      <c r="D261" s="93" t="s">
        <v>4594</v>
      </c>
      <c r="E261" s="93" t="s">
        <v>4299</v>
      </c>
    </row>
    <row r="262" spans="1:5" ht="80" x14ac:dyDescent="0.2">
      <c r="A262" s="95" t="s">
        <v>4309</v>
      </c>
      <c r="B262" s="90" t="s">
        <v>828</v>
      </c>
      <c r="C262" s="93">
        <v>1</v>
      </c>
      <c r="D262" s="93" t="s">
        <v>4594</v>
      </c>
      <c r="E262" s="93" t="s">
        <v>4299</v>
      </c>
    </row>
    <row r="263" spans="1:5" ht="80" x14ac:dyDescent="0.2">
      <c r="A263" s="95" t="s">
        <v>4310</v>
      </c>
      <c r="B263" s="90" t="s">
        <v>828</v>
      </c>
      <c r="C263" s="93">
        <v>1</v>
      </c>
      <c r="D263" s="93" t="s">
        <v>4594</v>
      </c>
      <c r="E263" s="93" t="s">
        <v>4299</v>
      </c>
    </row>
    <row r="264" spans="1:5" ht="96" x14ac:dyDescent="0.2">
      <c r="A264" s="95" t="s">
        <v>4311</v>
      </c>
      <c r="B264" s="90" t="s">
        <v>4312</v>
      </c>
      <c r="C264" s="93">
        <v>1</v>
      </c>
      <c r="D264" s="93" t="s">
        <v>4594</v>
      </c>
      <c r="E264" s="93" t="s">
        <v>4299</v>
      </c>
    </row>
    <row r="265" spans="1:5" ht="128" x14ac:dyDescent="0.2">
      <c r="A265" s="95" t="s">
        <v>4313</v>
      </c>
      <c r="B265" s="90" t="s">
        <v>4312</v>
      </c>
      <c r="C265" s="93">
        <v>1</v>
      </c>
      <c r="D265" s="93" t="s">
        <v>4594</v>
      </c>
      <c r="E265" s="93" t="s">
        <v>4299</v>
      </c>
    </row>
    <row r="266" spans="1:5" ht="96" x14ac:dyDescent="0.2">
      <c r="A266" s="95" t="s">
        <v>4314</v>
      </c>
      <c r="B266" s="90" t="s">
        <v>4312</v>
      </c>
      <c r="C266" s="93">
        <v>1</v>
      </c>
      <c r="D266" s="93" t="s">
        <v>4594</v>
      </c>
      <c r="E266" s="93" t="s">
        <v>4299</v>
      </c>
    </row>
    <row r="267" spans="1:5" ht="96" x14ac:dyDescent="0.2">
      <c r="A267" s="95" t="s">
        <v>4315</v>
      </c>
      <c r="B267" s="90" t="s">
        <v>4312</v>
      </c>
      <c r="C267" s="93">
        <v>1</v>
      </c>
      <c r="D267" s="93" t="s">
        <v>4594</v>
      </c>
      <c r="E267" s="93" t="s">
        <v>4299</v>
      </c>
    </row>
    <row r="268" spans="1:5" ht="96" x14ac:dyDescent="0.2">
      <c r="A268" s="95" t="s">
        <v>4316</v>
      </c>
      <c r="B268" s="90" t="s">
        <v>4312</v>
      </c>
      <c r="C268" s="93">
        <v>1</v>
      </c>
      <c r="D268" s="93" t="s">
        <v>4594</v>
      </c>
      <c r="E268" s="93" t="s">
        <v>4299</v>
      </c>
    </row>
    <row r="269" spans="1:5" ht="96" x14ac:dyDescent="0.2">
      <c r="A269" s="95" t="s">
        <v>4317</v>
      </c>
      <c r="B269" s="90" t="s">
        <v>4312</v>
      </c>
      <c r="C269" s="93">
        <v>1</v>
      </c>
      <c r="D269" s="93" t="s">
        <v>4594</v>
      </c>
      <c r="E269" s="93" t="s">
        <v>4299</v>
      </c>
    </row>
    <row r="270" spans="1:5" ht="80" x14ac:dyDescent="0.2">
      <c r="A270" s="95" t="s">
        <v>4318</v>
      </c>
      <c r="B270" s="90" t="s">
        <v>4293</v>
      </c>
      <c r="C270" s="93">
        <v>1</v>
      </c>
      <c r="D270" s="93" t="s">
        <v>4594</v>
      </c>
      <c r="E270" s="93" t="s">
        <v>4299</v>
      </c>
    </row>
    <row r="271" spans="1:5" ht="80" x14ac:dyDescent="0.2">
      <c r="A271" s="95" t="s">
        <v>4319</v>
      </c>
      <c r="B271" s="90" t="s">
        <v>4293</v>
      </c>
      <c r="C271" s="93">
        <v>1</v>
      </c>
      <c r="D271" s="93" t="s">
        <v>4594</v>
      </c>
      <c r="E271" s="93" t="s">
        <v>4299</v>
      </c>
    </row>
    <row r="272" spans="1:5" ht="80" x14ac:dyDescent="0.2">
      <c r="A272" s="95" t="s">
        <v>4320</v>
      </c>
      <c r="B272" s="90" t="s">
        <v>4293</v>
      </c>
      <c r="C272" s="93">
        <v>1</v>
      </c>
      <c r="D272" s="93" t="s">
        <v>4594</v>
      </c>
      <c r="E272" s="93" t="s">
        <v>4299</v>
      </c>
    </row>
    <row r="273" spans="1:5" ht="112" x14ac:dyDescent="0.2">
      <c r="A273" s="95" t="s">
        <v>4321</v>
      </c>
      <c r="B273" s="90" t="s">
        <v>4293</v>
      </c>
      <c r="C273" s="93">
        <v>1</v>
      </c>
      <c r="D273" s="93" t="s">
        <v>4594</v>
      </c>
      <c r="E273" s="93" t="s">
        <v>4299</v>
      </c>
    </row>
    <row r="274" spans="1:5" ht="112" x14ac:dyDescent="0.2">
      <c r="A274" s="95" t="s">
        <v>4322</v>
      </c>
      <c r="B274" s="90" t="s">
        <v>4293</v>
      </c>
      <c r="C274" s="93">
        <v>1</v>
      </c>
      <c r="D274" s="93" t="s">
        <v>4594</v>
      </c>
      <c r="E274" s="93" t="s">
        <v>4299</v>
      </c>
    </row>
    <row r="275" spans="1:5" ht="112" x14ac:dyDescent="0.2">
      <c r="A275" s="95" t="s">
        <v>4323</v>
      </c>
      <c r="B275" s="90" t="s">
        <v>4293</v>
      </c>
      <c r="C275" s="93">
        <v>1</v>
      </c>
      <c r="D275" s="93" t="s">
        <v>4594</v>
      </c>
      <c r="E275" s="93" t="s">
        <v>4299</v>
      </c>
    </row>
    <row r="276" spans="1:5" ht="96" x14ac:dyDescent="0.2">
      <c r="A276" s="95" t="s">
        <v>4324</v>
      </c>
      <c r="B276" s="90" t="s">
        <v>828</v>
      </c>
      <c r="C276" s="93">
        <v>1</v>
      </c>
      <c r="D276" s="93" t="s">
        <v>4594</v>
      </c>
      <c r="E276" s="93" t="s">
        <v>4299</v>
      </c>
    </row>
    <row r="277" spans="1:5" ht="96" x14ac:dyDescent="0.2">
      <c r="A277" s="95" t="s">
        <v>4325</v>
      </c>
      <c r="B277" s="90" t="s">
        <v>828</v>
      </c>
      <c r="C277" s="93">
        <v>1</v>
      </c>
      <c r="D277" s="93" t="s">
        <v>4594</v>
      </c>
      <c r="E277" s="93" t="s">
        <v>4299</v>
      </c>
    </row>
    <row r="278" spans="1:5" ht="96" x14ac:dyDescent="0.2">
      <c r="A278" s="95" t="s">
        <v>4326</v>
      </c>
      <c r="B278" s="90" t="s">
        <v>4327</v>
      </c>
      <c r="C278" s="93">
        <v>1</v>
      </c>
      <c r="D278" s="93" t="s">
        <v>4594</v>
      </c>
      <c r="E278" s="93" t="s">
        <v>4299</v>
      </c>
    </row>
    <row r="279" spans="1:5" ht="96" x14ac:dyDescent="0.2">
      <c r="A279" s="95" t="s">
        <v>4328</v>
      </c>
      <c r="B279" s="90" t="s">
        <v>4327</v>
      </c>
      <c r="C279" s="93">
        <v>1</v>
      </c>
      <c r="D279" s="93" t="s">
        <v>4594</v>
      </c>
      <c r="E279" s="93" t="s">
        <v>4299</v>
      </c>
    </row>
    <row r="280" spans="1:5" ht="96" x14ac:dyDescent="0.2">
      <c r="A280" s="95" t="s">
        <v>4329</v>
      </c>
      <c r="B280" s="90" t="s">
        <v>828</v>
      </c>
      <c r="C280" s="93">
        <v>1</v>
      </c>
      <c r="D280" s="93" t="s">
        <v>4594</v>
      </c>
      <c r="E280" s="93" t="s">
        <v>4299</v>
      </c>
    </row>
    <row r="281" spans="1:5" ht="96" x14ac:dyDescent="0.2">
      <c r="A281" s="95" t="s">
        <v>4330</v>
      </c>
      <c r="B281" s="90" t="s">
        <v>828</v>
      </c>
      <c r="C281" s="93">
        <v>1</v>
      </c>
      <c r="D281" s="93" t="s">
        <v>4594</v>
      </c>
      <c r="E281" s="93" t="s">
        <v>4299</v>
      </c>
    </row>
    <row r="282" spans="1:5" ht="80" x14ac:dyDescent="0.2">
      <c r="A282" s="95" t="s">
        <v>4331</v>
      </c>
      <c r="B282" s="90" t="s">
        <v>828</v>
      </c>
      <c r="C282" s="93">
        <v>1</v>
      </c>
      <c r="D282" s="93" t="s">
        <v>4594</v>
      </c>
      <c r="E282" s="93" t="s">
        <v>4299</v>
      </c>
    </row>
    <row r="283" spans="1:5" ht="80" x14ac:dyDescent="0.2">
      <c r="A283" s="95" t="s">
        <v>4332</v>
      </c>
      <c r="B283" s="90" t="s">
        <v>828</v>
      </c>
      <c r="C283" s="93">
        <v>1</v>
      </c>
      <c r="D283" s="93" t="s">
        <v>4594</v>
      </c>
      <c r="E283" s="93" t="s">
        <v>4299</v>
      </c>
    </row>
    <row r="284" spans="1:5" ht="96" x14ac:dyDescent="0.2">
      <c r="A284" s="95" t="s">
        <v>4333</v>
      </c>
      <c r="B284" s="90" t="s">
        <v>4334</v>
      </c>
      <c r="C284" s="93" t="str">
        <f>LEFT(MID(B284,FIND("(",B284)+1,10),FIND("-",MID(B284,FIND("(",B284)+1,10))-1)</f>
        <v>2</v>
      </c>
      <c r="D284" s="93" t="str">
        <f>TRIM(MID(B284,FIND(" ",B284,FIND("(",B284))+1,FIND(")",B284)-FIND(" ",B284,FIND("(",B284))-1))</f>
        <v>Litre</v>
      </c>
      <c r="E284" s="93" t="s">
        <v>4299</v>
      </c>
    </row>
    <row r="285" spans="1:5" ht="96" x14ac:dyDescent="0.2">
      <c r="A285" s="95" t="s">
        <v>4335</v>
      </c>
      <c r="B285" s="90" t="s">
        <v>828</v>
      </c>
      <c r="C285" s="93">
        <v>1</v>
      </c>
      <c r="D285" s="93" t="s">
        <v>4594</v>
      </c>
      <c r="E285" s="93" t="s">
        <v>4299</v>
      </c>
    </row>
    <row r="286" spans="1:5" ht="96" x14ac:dyDescent="0.2">
      <c r="A286" s="95" t="s">
        <v>4336</v>
      </c>
      <c r="B286" s="90" t="s">
        <v>828</v>
      </c>
      <c r="C286" s="93">
        <v>1</v>
      </c>
      <c r="D286" s="93" t="s">
        <v>4594</v>
      </c>
      <c r="E286" s="93" t="s">
        <v>4299</v>
      </c>
    </row>
    <row r="287" spans="1:5" ht="96" x14ac:dyDescent="0.2">
      <c r="A287" s="95" t="s">
        <v>4337</v>
      </c>
      <c r="B287" s="90" t="s">
        <v>828</v>
      </c>
      <c r="C287" s="93">
        <v>1</v>
      </c>
      <c r="D287" s="93" t="s">
        <v>4594</v>
      </c>
      <c r="E287" s="93" t="s">
        <v>4299</v>
      </c>
    </row>
    <row r="288" spans="1:5" ht="112" x14ac:dyDescent="0.2">
      <c r="A288" s="95" t="s">
        <v>4338</v>
      </c>
      <c r="B288" s="90" t="s">
        <v>828</v>
      </c>
      <c r="C288" s="93">
        <v>1</v>
      </c>
      <c r="D288" s="93" t="s">
        <v>4594</v>
      </c>
      <c r="E288" s="93" t="s">
        <v>4299</v>
      </c>
    </row>
    <row r="289" spans="1:5" ht="128" x14ac:dyDescent="0.2">
      <c r="A289" s="95" t="s">
        <v>4339</v>
      </c>
      <c r="B289" s="90" t="s">
        <v>4340</v>
      </c>
      <c r="C289" s="93">
        <v>1</v>
      </c>
      <c r="D289" s="93" t="s">
        <v>4594</v>
      </c>
      <c r="E289" s="93" t="s">
        <v>4299</v>
      </c>
    </row>
    <row r="290" spans="1:5" ht="96" x14ac:dyDescent="0.2">
      <c r="A290" s="95" t="s">
        <v>4341</v>
      </c>
      <c r="B290" s="90" t="s">
        <v>4340</v>
      </c>
      <c r="C290" s="93">
        <v>1</v>
      </c>
      <c r="D290" s="93" t="s">
        <v>4594</v>
      </c>
      <c r="E290" s="93" t="s">
        <v>4299</v>
      </c>
    </row>
    <row r="291" spans="1:5" ht="112" x14ac:dyDescent="0.2">
      <c r="A291" s="95" t="s">
        <v>4342</v>
      </c>
      <c r="B291" s="90" t="s">
        <v>4302</v>
      </c>
      <c r="C291" s="93">
        <v>1</v>
      </c>
      <c r="D291" s="93" t="s">
        <v>4594</v>
      </c>
      <c r="E291" s="93" t="s">
        <v>4299</v>
      </c>
    </row>
    <row r="292" spans="1:5" ht="80" x14ac:dyDescent="0.2">
      <c r="A292" s="95" t="s">
        <v>4343</v>
      </c>
      <c r="B292" s="90" t="s">
        <v>4302</v>
      </c>
      <c r="C292" s="93">
        <v>1</v>
      </c>
      <c r="D292" s="93" t="s">
        <v>4594</v>
      </c>
      <c r="E292" s="93" t="s">
        <v>4299</v>
      </c>
    </row>
    <row r="293" spans="1:5" ht="80" x14ac:dyDescent="0.2">
      <c r="A293" s="95" t="s">
        <v>4344</v>
      </c>
      <c r="B293" s="90" t="s">
        <v>4302</v>
      </c>
      <c r="C293" s="93">
        <v>1</v>
      </c>
      <c r="D293" s="93" t="s">
        <v>4594</v>
      </c>
      <c r="E293" s="93" t="s">
        <v>4299</v>
      </c>
    </row>
    <row r="294" spans="1:5" ht="128" x14ac:dyDescent="0.2">
      <c r="A294" s="95" t="s">
        <v>4345</v>
      </c>
      <c r="B294" s="90" t="s">
        <v>4302</v>
      </c>
      <c r="C294" s="93">
        <v>1</v>
      </c>
      <c r="D294" s="93" t="s">
        <v>4594</v>
      </c>
      <c r="E294" s="93" t="s">
        <v>4299</v>
      </c>
    </row>
    <row r="295" spans="1:5" ht="128" x14ac:dyDescent="0.2">
      <c r="A295" s="95" t="s">
        <v>4346</v>
      </c>
      <c r="B295" s="90" t="s">
        <v>4302</v>
      </c>
      <c r="C295" s="93">
        <v>1</v>
      </c>
      <c r="D295" s="93" t="s">
        <v>4594</v>
      </c>
      <c r="E295" s="93" t="s">
        <v>4299</v>
      </c>
    </row>
    <row r="296" spans="1:5" ht="96" x14ac:dyDescent="0.2">
      <c r="A296" s="95" t="s">
        <v>4347</v>
      </c>
      <c r="B296" s="90" t="s">
        <v>4302</v>
      </c>
      <c r="C296" s="93">
        <v>1</v>
      </c>
      <c r="D296" s="93" t="s">
        <v>4594</v>
      </c>
      <c r="E296" s="93" t="s">
        <v>4299</v>
      </c>
    </row>
    <row r="297" spans="1:5" ht="96" x14ac:dyDescent="0.2">
      <c r="A297" s="95" t="s">
        <v>4348</v>
      </c>
      <c r="B297" s="90" t="s">
        <v>828</v>
      </c>
      <c r="C297" s="93">
        <v>1</v>
      </c>
      <c r="D297" s="93" t="s">
        <v>4594</v>
      </c>
      <c r="E297" s="93" t="s">
        <v>4299</v>
      </c>
    </row>
    <row r="298" spans="1:5" ht="96" x14ac:dyDescent="0.2">
      <c r="A298" s="95" t="s">
        <v>4349</v>
      </c>
      <c r="B298" s="90" t="s">
        <v>828</v>
      </c>
      <c r="C298" s="93">
        <v>1</v>
      </c>
      <c r="D298" s="93" t="s">
        <v>4594</v>
      </c>
      <c r="E298" s="93" t="s">
        <v>4299</v>
      </c>
    </row>
    <row r="299" spans="1:5" ht="96" x14ac:dyDescent="0.2">
      <c r="A299" s="95" t="s">
        <v>4350</v>
      </c>
      <c r="B299" s="90" t="s">
        <v>4302</v>
      </c>
      <c r="C299" s="93">
        <v>1</v>
      </c>
      <c r="D299" s="93" t="s">
        <v>4594</v>
      </c>
      <c r="E299" s="93" t="s">
        <v>4299</v>
      </c>
    </row>
    <row r="300" spans="1:5" ht="96" x14ac:dyDescent="0.2">
      <c r="A300" s="95" t="s">
        <v>4351</v>
      </c>
      <c r="B300" s="90" t="s">
        <v>4302</v>
      </c>
      <c r="C300" s="93">
        <v>1</v>
      </c>
      <c r="D300" s="93" t="s">
        <v>4594</v>
      </c>
      <c r="E300" s="93" t="s">
        <v>4299</v>
      </c>
    </row>
    <row r="301" spans="1:5" ht="96" x14ac:dyDescent="0.2">
      <c r="A301" s="95" t="s">
        <v>4352</v>
      </c>
      <c r="B301" s="90" t="s">
        <v>4302</v>
      </c>
      <c r="C301" s="93">
        <v>1</v>
      </c>
      <c r="D301" s="93" t="s">
        <v>4594</v>
      </c>
      <c r="E301" s="93" t="s">
        <v>4299</v>
      </c>
    </row>
    <row r="302" spans="1:5" ht="96" x14ac:dyDescent="0.2">
      <c r="A302" s="95" t="s">
        <v>4353</v>
      </c>
      <c r="B302" s="90" t="s">
        <v>4302</v>
      </c>
      <c r="C302" s="93">
        <v>1</v>
      </c>
      <c r="D302" s="93" t="s">
        <v>4594</v>
      </c>
      <c r="E302" s="93" t="s">
        <v>4299</v>
      </c>
    </row>
    <row r="303" spans="1:5" ht="80" x14ac:dyDescent="0.2">
      <c r="A303" s="95" t="s">
        <v>4354</v>
      </c>
      <c r="B303" s="90" t="s">
        <v>828</v>
      </c>
      <c r="C303" s="93">
        <v>1</v>
      </c>
      <c r="D303" s="93" t="s">
        <v>4594</v>
      </c>
      <c r="E303" s="93" t="s">
        <v>4299</v>
      </c>
    </row>
    <row r="304" spans="1:5" ht="80" x14ac:dyDescent="0.2">
      <c r="A304" s="95" t="s">
        <v>4355</v>
      </c>
      <c r="B304" s="90" t="s">
        <v>828</v>
      </c>
      <c r="C304" s="93">
        <v>1</v>
      </c>
      <c r="D304" s="93" t="s">
        <v>4594</v>
      </c>
      <c r="E304" s="93" t="s">
        <v>4299</v>
      </c>
    </row>
    <row r="305" spans="1:5" ht="96" x14ac:dyDescent="0.2">
      <c r="A305" s="95" t="s">
        <v>4356</v>
      </c>
      <c r="B305" s="90" t="s">
        <v>4357</v>
      </c>
      <c r="C305" s="93">
        <v>1</v>
      </c>
      <c r="D305" s="93" t="s">
        <v>4594</v>
      </c>
      <c r="E305" s="93" t="s">
        <v>4299</v>
      </c>
    </row>
    <row r="306" spans="1:5" ht="96" x14ac:dyDescent="0.2">
      <c r="A306" s="95" t="s">
        <v>4358</v>
      </c>
      <c r="B306" s="90" t="s">
        <v>4357</v>
      </c>
      <c r="C306" s="93">
        <v>1</v>
      </c>
      <c r="D306" s="93" t="s">
        <v>4594</v>
      </c>
      <c r="E306" s="93" t="s">
        <v>4299</v>
      </c>
    </row>
    <row r="307" spans="1:5" ht="96" x14ac:dyDescent="0.2">
      <c r="A307" s="95" t="s">
        <v>4359</v>
      </c>
      <c r="B307" s="90" t="s">
        <v>4357</v>
      </c>
      <c r="C307" s="93">
        <v>1</v>
      </c>
      <c r="D307" s="93" t="s">
        <v>4594</v>
      </c>
      <c r="E307" s="93" t="s">
        <v>4299</v>
      </c>
    </row>
    <row r="308" spans="1:5" ht="80" x14ac:dyDescent="0.2">
      <c r="A308" s="95" t="s">
        <v>4360</v>
      </c>
      <c r="B308" s="90" t="s">
        <v>828</v>
      </c>
      <c r="C308" s="93">
        <v>1</v>
      </c>
      <c r="D308" s="93" t="s">
        <v>4594</v>
      </c>
      <c r="E308" s="93" t="s">
        <v>4299</v>
      </c>
    </row>
    <row r="309" spans="1:5" ht="80" x14ac:dyDescent="0.2">
      <c r="A309" s="95" t="s">
        <v>4361</v>
      </c>
      <c r="B309" s="90" t="s">
        <v>828</v>
      </c>
      <c r="C309" s="93">
        <v>1</v>
      </c>
      <c r="D309" s="93" t="s">
        <v>4594</v>
      </c>
      <c r="E309" s="93" t="s">
        <v>4299</v>
      </c>
    </row>
    <row r="310" spans="1:5" ht="128" x14ac:dyDescent="0.2">
      <c r="A310" s="95" t="s">
        <v>4362</v>
      </c>
      <c r="B310" s="90" t="s">
        <v>828</v>
      </c>
      <c r="C310" s="93">
        <v>1</v>
      </c>
      <c r="D310" s="93" t="s">
        <v>4594</v>
      </c>
      <c r="E310" s="93" t="s">
        <v>4299</v>
      </c>
    </row>
    <row r="311" spans="1:5" ht="96" x14ac:dyDescent="0.2">
      <c r="A311" s="95" t="s">
        <v>4363</v>
      </c>
      <c r="B311" s="90" t="s">
        <v>828</v>
      </c>
      <c r="C311" s="93">
        <v>1</v>
      </c>
      <c r="D311" s="93" t="s">
        <v>4594</v>
      </c>
      <c r="E311" s="93" t="s">
        <v>4299</v>
      </c>
    </row>
    <row r="312" spans="1:5" ht="96" x14ac:dyDescent="0.2">
      <c r="A312" s="95" t="s">
        <v>4364</v>
      </c>
      <c r="B312" s="90" t="s">
        <v>828</v>
      </c>
      <c r="C312" s="93">
        <v>1</v>
      </c>
      <c r="D312" s="93" t="s">
        <v>4594</v>
      </c>
      <c r="E312" s="93" t="s">
        <v>4299</v>
      </c>
    </row>
    <row r="313" spans="1:5" ht="96" x14ac:dyDescent="0.2">
      <c r="A313" s="95" t="s">
        <v>4365</v>
      </c>
      <c r="B313" s="90" t="s">
        <v>828</v>
      </c>
      <c r="C313" s="93">
        <v>1</v>
      </c>
      <c r="D313" s="93" t="s">
        <v>4594</v>
      </c>
      <c r="E313" s="93" t="s">
        <v>4299</v>
      </c>
    </row>
    <row r="314" spans="1:5" ht="96" x14ac:dyDescent="0.2">
      <c r="A314" s="95" t="s">
        <v>4366</v>
      </c>
      <c r="B314" s="90" t="s">
        <v>828</v>
      </c>
      <c r="C314" s="93">
        <v>1</v>
      </c>
      <c r="D314" s="93" t="s">
        <v>4594</v>
      </c>
      <c r="E314" s="93" t="s">
        <v>4299</v>
      </c>
    </row>
    <row r="315" spans="1:5" ht="112" x14ac:dyDescent="0.2">
      <c r="A315" s="95" t="s">
        <v>4367</v>
      </c>
      <c r="B315" s="90" t="s">
        <v>4293</v>
      </c>
      <c r="C315" s="93">
        <v>1</v>
      </c>
      <c r="D315" s="93" t="s">
        <v>4594</v>
      </c>
      <c r="E315" s="93" t="s">
        <v>4299</v>
      </c>
    </row>
    <row r="316" spans="1:5" ht="112" x14ac:dyDescent="0.2">
      <c r="A316" s="95" t="s">
        <v>4368</v>
      </c>
      <c r="B316" s="90" t="s">
        <v>4293</v>
      </c>
      <c r="C316" s="93">
        <v>1</v>
      </c>
      <c r="D316" s="93" t="s">
        <v>4594</v>
      </c>
      <c r="E316" s="93" t="s">
        <v>4299</v>
      </c>
    </row>
    <row r="317" spans="1:5" ht="160" x14ac:dyDescent="0.2">
      <c r="A317" s="95" t="s">
        <v>4369</v>
      </c>
      <c r="B317" s="90" t="s">
        <v>4370</v>
      </c>
      <c r="C317" s="93" t="str">
        <f>LEFT(MID(B317,FIND("(",B317)+1,10),FIND("-",MID(B317,FIND("(",B317)+1,10))-1)</f>
        <v xml:space="preserve">20,4 </v>
      </c>
      <c r="D317" s="93" t="str">
        <f>TRIM(MID(B317,FIND(" ",B317,FIND("(",B317))+1,FIND(")",B317)-FIND(" ",B317,FIND("(",B317))-1))</f>
        <v>- 61,2 ml</v>
      </c>
      <c r="E317" s="93" t="s">
        <v>4299</v>
      </c>
    </row>
    <row r="318" spans="1:5" ht="96" x14ac:dyDescent="0.2">
      <c r="A318" s="95" t="s">
        <v>4371</v>
      </c>
      <c r="B318" s="90" t="s">
        <v>828</v>
      </c>
      <c r="C318" s="93">
        <v>1</v>
      </c>
      <c r="D318" s="93" t="s">
        <v>4594</v>
      </c>
      <c r="E318" s="93" t="s">
        <v>4299</v>
      </c>
    </row>
    <row r="319" spans="1:5" ht="96" x14ac:dyDescent="0.2">
      <c r="A319" s="95" t="s">
        <v>4372</v>
      </c>
      <c r="B319" s="90" t="s">
        <v>828</v>
      </c>
      <c r="C319" s="93">
        <v>1</v>
      </c>
      <c r="D319" s="93" t="s">
        <v>4594</v>
      </c>
      <c r="E319" s="93" t="s">
        <v>4299</v>
      </c>
    </row>
    <row r="320" spans="1:5" ht="96" x14ac:dyDescent="0.2">
      <c r="A320" s="95" t="s">
        <v>4373</v>
      </c>
      <c r="B320" s="90" t="s">
        <v>4302</v>
      </c>
      <c r="C320" s="93">
        <v>1</v>
      </c>
      <c r="D320" s="93" t="s">
        <v>4594</v>
      </c>
      <c r="E320" s="93" t="s">
        <v>4299</v>
      </c>
    </row>
    <row r="321" spans="1:5" ht="96" x14ac:dyDescent="0.2">
      <c r="A321" s="95" t="s">
        <v>4374</v>
      </c>
      <c r="B321" s="90" t="s">
        <v>4302</v>
      </c>
      <c r="C321" s="93">
        <v>1</v>
      </c>
      <c r="D321" s="93" t="s">
        <v>4594</v>
      </c>
      <c r="E321" s="93" t="s">
        <v>4299</v>
      </c>
    </row>
    <row r="322" spans="1:5" ht="96" x14ac:dyDescent="0.2">
      <c r="A322" s="95" t="s">
        <v>4375</v>
      </c>
      <c r="B322" s="90" t="s">
        <v>4376</v>
      </c>
      <c r="C322" s="93" t="str">
        <f>LEFT(MID(B322,FIND("(",B322)+1,10),FIND("-",MID(B322,FIND("(",B322)+1,10))-1)</f>
        <v>975</v>
      </c>
      <c r="D322" s="93" t="str">
        <f>TRIM(MID(B322,FIND(" ",B322,FIND("(",B322))+1,FIND(")",B322)-FIND(" ",B322,FIND("(",B322))-1))</f>
        <v>ml</v>
      </c>
      <c r="E322" s="93" t="s">
        <v>4299</v>
      </c>
    </row>
    <row r="323" spans="1:5" ht="80" x14ac:dyDescent="0.2">
      <c r="A323" s="95" t="s">
        <v>4377</v>
      </c>
      <c r="B323" s="90" t="s">
        <v>4293</v>
      </c>
      <c r="C323" s="93">
        <v>1</v>
      </c>
      <c r="D323" s="93" t="s">
        <v>4594</v>
      </c>
      <c r="E323" s="93" t="s">
        <v>4299</v>
      </c>
    </row>
    <row r="324" spans="1:5" ht="80" x14ac:dyDescent="0.2">
      <c r="A324" s="95" t="s">
        <v>4378</v>
      </c>
      <c r="B324" s="90" t="s">
        <v>4293</v>
      </c>
      <c r="C324" s="93">
        <v>1</v>
      </c>
      <c r="D324" s="93" t="s">
        <v>4594</v>
      </c>
      <c r="E324" s="93" t="s">
        <v>4299</v>
      </c>
    </row>
    <row r="325" spans="1:5" ht="80" x14ac:dyDescent="0.2">
      <c r="A325" s="95" t="s">
        <v>4379</v>
      </c>
      <c r="B325" s="90" t="s">
        <v>4293</v>
      </c>
      <c r="C325" s="93">
        <v>1</v>
      </c>
      <c r="D325" s="93" t="s">
        <v>4594</v>
      </c>
      <c r="E325" s="93" t="s">
        <v>4299</v>
      </c>
    </row>
    <row r="326" spans="1:5" ht="33" x14ac:dyDescent="0.2">
      <c r="A326" s="95" t="s">
        <v>99</v>
      </c>
      <c r="B326" s="90" t="s">
        <v>827</v>
      </c>
      <c r="C326" s="93">
        <v>1</v>
      </c>
      <c r="D326" s="93" t="s">
        <v>4594</v>
      </c>
      <c r="E326" s="93"/>
    </row>
    <row r="327" spans="1:5" ht="80" x14ac:dyDescent="0.2">
      <c r="A327" s="95" t="s">
        <v>4380</v>
      </c>
      <c r="B327" s="90" t="s">
        <v>4293</v>
      </c>
      <c r="C327" s="93">
        <v>1</v>
      </c>
      <c r="D327" s="93" t="s">
        <v>4594</v>
      </c>
      <c r="E327" s="93" t="s">
        <v>4299</v>
      </c>
    </row>
    <row r="328" spans="1:5" ht="96" x14ac:dyDescent="0.2">
      <c r="A328" s="95" t="s">
        <v>4381</v>
      </c>
      <c r="B328" s="90" t="s">
        <v>4293</v>
      </c>
      <c r="C328" s="93">
        <v>1</v>
      </c>
      <c r="D328" s="93" t="s">
        <v>4594</v>
      </c>
      <c r="E328" s="93" t="s">
        <v>4299</v>
      </c>
    </row>
    <row r="329" spans="1:5" ht="96" x14ac:dyDescent="0.2">
      <c r="A329" s="95" t="s">
        <v>4382</v>
      </c>
      <c r="B329" s="90" t="s">
        <v>4293</v>
      </c>
      <c r="C329" s="93">
        <v>1</v>
      </c>
      <c r="D329" s="93" t="s">
        <v>4594</v>
      </c>
      <c r="E329" s="93" t="s">
        <v>4299</v>
      </c>
    </row>
    <row r="330" spans="1:5" ht="112" x14ac:dyDescent="0.2">
      <c r="A330" s="95" t="s">
        <v>4383</v>
      </c>
      <c r="B330" s="90" t="s">
        <v>828</v>
      </c>
      <c r="C330" s="93">
        <v>1</v>
      </c>
      <c r="D330" s="93" t="s">
        <v>4594</v>
      </c>
      <c r="E330" s="93" t="s">
        <v>4299</v>
      </c>
    </row>
    <row r="331" spans="1:5" ht="96" x14ac:dyDescent="0.2">
      <c r="A331" s="95" t="s">
        <v>4384</v>
      </c>
      <c r="B331" s="90" t="s">
        <v>4293</v>
      </c>
      <c r="C331" s="93">
        <v>1</v>
      </c>
      <c r="D331" s="93" t="s">
        <v>4594</v>
      </c>
      <c r="E331" s="93" t="s">
        <v>4299</v>
      </c>
    </row>
    <row r="332" spans="1:5" ht="34" x14ac:dyDescent="0.2">
      <c r="A332" s="95" t="s">
        <v>4385</v>
      </c>
      <c r="B332" s="90" t="s">
        <v>4302</v>
      </c>
      <c r="C332" s="93">
        <v>1</v>
      </c>
      <c r="D332" s="93" t="s">
        <v>4594</v>
      </c>
      <c r="E332" s="93" t="s">
        <v>4386</v>
      </c>
    </row>
    <row r="333" spans="1:5" ht="160" x14ac:dyDescent="0.2">
      <c r="A333" s="95" t="s">
        <v>4387</v>
      </c>
      <c r="B333" s="90" t="s">
        <v>4293</v>
      </c>
      <c r="C333" s="93">
        <v>1</v>
      </c>
      <c r="D333" s="93" t="s">
        <v>4594</v>
      </c>
      <c r="E333" s="93" t="s">
        <v>4388</v>
      </c>
    </row>
    <row r="334" spans="1:5" ht="34" x14ac:dyDescent="0.2">
      <c r="A334" s="95" t="s">
        <v>4389</v>
      </c>
      <c r="B334" s="90" t="s">
        <v>4302</v>
      </c>
      <c r="C334" s="93">
        <v>1</v>
      </c>
      <c r="D334" s="93" t="s">
        <v>4594</v>
      </c>
      <c r="E334" s="93" t="s">
        <v>4390</v>
      </c>
    </row>
    <row r="335" spans="1:5" ht="34" x14ac:dyDescent="0.2">
      <c r="A335" s="95" t="s">
        <v>4391</v>
      </c>
      <c r="B335" s="90" t="s">
        <v>4392</v>
      </c>
      <c r="C335" s="93">
        <v>4</v>
      </c>
      <c r="D335" s="93" t="s">
        <v>4594</v>
      </c>
      <c r="E335" s="93" t="s">
        <v>4390</v>
      </c>
    </row>
    <row r="336" spans="1:5" ht="34" x14ac:dyDescent="0.2">
      <c r="A336" s="95" t="s">
        <v>4393</v>
      </c>
      <c r="B336" s="90" t="s">
        <v>4302</v>
      </c>
      <c r="C336" s="93">
        <v>1</v>
      </c>
      <c r="D336" s="93" t="s">
        <v>4594</v>
      </c>
      <c r="E336" s="93" t="s">
        <v>4390</v>
      </c>
    </row>
    <row r="337" spans="1:5" ht="96" x14ac:dyDescent="0.2">
      <c r="A337" s="95" t="s">
        <v>4394</v>
      </c>
      <c r="B337" s="90" t="s">
        <v>4395</v>
      </c>
      <c r="C337" s="93">
        <v>1</v>
      </c>
      <c r="D337" s="93" t="s">
        <v>4594</v>
      </c>
      <c r="E337" s="93" t="s">
        <v>4299</v>
      </c>
    </row>
    <row r="338" spans="1:5" ht="160" x14ac:dyDescent="0.2">
      <c r="A338" s="95" t="s">
        <v>4396</v>
      </c>
      <c r="B338" s="90" t="s">
        <v>4397</v>
      </c>
      <c r="C338" s="93">
        <v>1</v>
      </c>
      <c r="D338" s="93" t="s">
        <v>4594</v>
      </c>
      <c r="E338" s="93" t="s">
        <v>4299</v>
      </c>
    </row>
    <row r="339" spans="1:5" ht="160" x14ac:dyDescent="0.2">
      <c r="A339" s="95" t="s">
        <v>4398</v>
      </c>
      <c r="B339" s="90" t="s">
        <v>4397</v>
      </c>
      <c r="C339" s="93">
        <v>2</v>
      </c>
      <c r="D339" s="93" t="s">
        <v>4594</v>
      </c>
      <c r="E339" s="93" t="s">
        <v>4299</v>
      </c>
    </row>
    <row r="340" spans="1:5" ht="112" x14ac:dyDescent="0.2">
      <c r="A340" s="95" t="s">
        <v>4399</v>
      </c>
      <c r="B340" s="90" t="s">
        <v>4400</v>
      </c>
      <c r="C340" s="93">
        <v>1</v>
      </c>
      <c r="D340" s="93" t="s">
        <v>4594</v>
      </c>
      <c r="E340" s="93" t="s">
        <v>4299</v>
      </c>
    </row>
    <row r="341" spans="1:5" ht="112" x14ac:dyDescent="0.2">
      <c r="A341" s="95" t="s">
        <v>4401</v>
      </c>
      <c r="B341" s="90" t="s">
        <v>4400</v>
      </c>
      <c r="C341" s="93">
        <v>1</v>
      </c>
      <c r="D341" s="93" t="s">
        <v>4594</v>
      </c>
      <c r="E341" s="93" t="s">
        <v>4299</v>
      </c>
    </row>
    <row r="342" spans="1:5" ht="128" x14ac:dyDescent="0.2">
      <c r="A342" s="95" t="s">
        <v>4402</v>
      </c>
      <c r="B342" s="90" t="s">
        <v>4293</v>
      </c>
      <c r="C342" s="93">
        <v>1</v>
      </c>
      <c r="D342" s="93" t="s">
        <v>4594</v>
      </c>
      <c r="E342" s="93" t="s">
        <v>4299</v>
      </c>
    </row>
    <row r="343" spans="1:5" ht="112" x14ac:dyDescent="0.2">
      <c r="A343" s="95" t="s">
        <v>4403</v>
      </c>
      <c r="B343" s="90" t="s">
        <v>4400</v>
      </c>
      <c r="C343" s="93">
        <v>1</v>
      </c>
      <c r="D343" s="93" t="s">
        <v>4594</v>
      </c>
      <c r="E343" s="93" t="s">
        <v>4299</v>
      </c>
    </row>
    <row r="344" spans="1:5" ht="112" x14ac:dyDescent="0.2">
      <c r="A344" s="95" t="s">
        <v>4404</v>
      </c>
      <c r="B344" s="90" t="s">
        <v>4400</v>
      </c>
      <c r="C344" s="93">
        <v>1</v>
      </c>
      <c r="D344" s="93" t="s">
        <v>4594</v>
      </c>
      <c r="E344" s="93" t="s">
        <v>4299</v>
      </c>
    </row>
    <row r="345" spans="1:5" ht="128" x14ac:dyDescent="0.2">
      <c r="A345" s="95" t="s">
        <v>4405</v>
      </c>
      <c r="B345" s="90" t="s">
        <v>4395</v>
      </c>
      <c r="C345" s="93">
        <v>1</v>
      </c>
      <c r="D345" s="93" t="s">
        <v>4598</v>
      </c>
      <c r="E345" s="93" t="s">
        <v>4299</v>
      </c>
    </row>
    <row r="346" spans="1:5" ht="128" x14ac:dyDescent="0.2">
      <c r="A346" s="95" t="s">
        <v>4406</v>
      </c>
      <c r="B346" s="90" t="s">
        <v>4407</v>
      </c>
      <c r="C346" s="93">
        <v>1</v>
      </c>
      <c r="D346" s="93" t="s">
        <v>4594</v>
      </c>
      <c r="E346" s="93" t="s">
        <v>4299</v>
      </c>
    </row>
    <row r="347" spans="1:5" ht="160" x14ac:dyDescent="0.2">
      <c r="A347" s="95" t="s">
        <v>4408</v>
      </c>
      <c r="B347" s="90" t="s">
        <v>4407</v>
      </c>
      <c r="C347" s="93">
        <v>1</v>
      </c>
      <c r="D347" s="93" t="s">
        <v>4594</v>
      </c>
      <c r="E347" s="93" t="s">
        <v>4299</v>
      </c>
    </row>
    <row r="348" spans="1:5" ht="144" x14ac:dyDescent="0.2">
      <c r="A348" s="95" t="s">
        <v>4409</v>
      </c>
      <c r="B348" s="90" t="s">
        <v>4410</v>
      </c>
      <c r="C348" s="93">
        <v>1</v>
      </c>
      <c r="D348" s="93" t="s">
        <v>4594</v>
      </c>
      <c r="E348" s="93" t="s">
        <v>4299</v>
      </c>
    </row>
    <row r="349" spans="1:5" ht="144" x14ac:dyDescent="0.2">
      <c r="A349" s="95" t="s">
        <v>4411</v>
      </c>
      <c r="B349" s="90" t="s">
        <v>4412</v>
      </c>
      <c r="C349" s="93">
        <v>1</v>
      </c>
      <c r="D349" s="93" t="s">
        <v>4594</v>
      </c>
      <c r="E349" s="93" t="s">
        <v>4299</v>
      </c>
    </row>
    <row r="350" spans="1:5" ht="128" x14ac:dyDescent="0.2">
      <c r="A350" s="95" t="s">
        <v>4413</v>
      </c>
      <c r="B350" s="90" t="s">
        <v>4400</v>
      </c>
      <c r="C350" s="93">
        <v>1</v>
      </c>
      <c r="D350" s="93" t="s">
        <v>4594</v>
      </c>
      <c r="E350" s="93" t="s">
        <v>4299</v>
      </c>
    </row>
    <row r="351" spans="1:5" ht="128" x14ac:dyDescent="0.2">
      <c r="A351" s="95" t="s">
        <v>4414</v>
      </c>
      <c r="B351" s="90" t="s">
        <v>4395</v>
      </c>
      <c r="C351" s="93">
        <v>1</v>
      </c>
      <c r="D351" s="93" t="s">
        <v>4598</v>
      </c>
      <c r="E351" s="93" t="s">
        <v>4299</v>
      </c>
    </row>
    <row r="352" spans="1:5" ht="96" x14ac:dyDescent="0.2">
      <c r="A352" s="95" t="s">
        <v>4415</v>
      </c>
      <c r="B352" s="90" t="s">
        <v>4298</v>
      </c>
      <c r="C352" s="93" t="str">
        <f>LEFT(MID(B352,FIND("(",B352)+1,10),FIND("-",MID(B352,FIND("(",B352)+1,10))-1)</f>
        <v>0,5</v>
      </c>
      <c r="D352" s="93" t="str">
        <f>TRIM(MID(B352,FIND(" ",B352,FIND("(",B352))+1,FIND(")",B352)-FIND(" ",B352,FIND("(",B352))-1))</f>
        <v>Litre</v>
      </c>
      <c r="E352" s="93" t="s">
        <v>4299</v>
      </c>
    </row>
    <row r="353" spans="1:5" ht="96" x14ac:dyDescent="0.2">
      <c r="A353" s="95" t="s">
        <v>4416</v>
      </c>
      <c r="B353" s="90" t="s">
        <v>4298</v>
      </c>
      <c r="C353" s="93" t="str">
        <f>LEFT(MID(B353,FIND("(",B353)+1,10),FIND("-",MID(B353,FIND("(",B353)+1,10))-1)</f>
        <v>0,5</v>
      </c>
      <c r="D353" s="93" t="str">
        <f>TRIM(MID(B353,FIND(" ",B353,FIND("(",B353))+1,FIND(")",B353)-FIND(" ",B353,FIND("(",B353))-1))</f>
        <v>Litre</v>
      </c>
      <c r="E353" s="93" t="s">
        <v>4299</v>
      </c>
    </row>
    <row r="354" spans="1:5" ht="144" x14ac:dyDescent="0.2">
      <c r="A354" s="95" t="s">
        <v>4417</v>
      </c>
      <c r="B354" s="90" t="s">
        <v>4407</v>
      </c>
      <c r="C354" s="93">
        <v>1</v>
      </c>
      <c r="D354" s="93" t="s">
        <v>4594</v>
      </c>
      <c r="E354" s="93" t="s">
        <v>4299</v>
      </c>
    </row>
    <row r="355" spans="1:5" ht="144" x14ac:dyDescent="0.2">
      <c r="A355" s="95" t="s">
        <v>4418</v>
      </c>
      <c r="B355" s="90" t="s">
        <v>4407</v>
      </c>
      <c r="C355" s="93">
        <v>1</v>
      </c>
      <c r="D355" s="93" t="s">
        <v>4594</v>
      </c>
      <c r="E355" s="93" t="s">
        <v>4299</v>
      </c>
    </row>
    <row r="356" spans="1:5" ht="112" x14ac:dyDescent="0.2">
      <c r="A356" s="95" t="s">
        <v>4419</v>
      </c>
      <c r="B356" s="90" t="s">
        <v>4407</v>
      </c>
      <c r="C356" s="93">
        <v>1</v>
      </c>
      <c r="D356" s="93" t="s">
        <v>4594</v>
      </c>
      <c r="E356" s="93" t="s">
        <v>4299</v>
      </c>
    </row>
    <row r="357" spans="1:5" ht="112" x14ac:dyDescent="0.2">
      <c r="A357" s="95" t="s">
        <v>4420</v>
      </c>
      <c r="B357" s="90" t="s">
        <v>4407</v>
      </c>
      <c r="C357" s="93">
        <v>1</v>
      </c>
      <c r="D357" s="93" t="s">
        <v>4594</v>
      </c>
      <c r="E357" s="93" t="s">
        <v>4299</v>
      </c>
    </row>
    <row r="358" spans="1:5" ht="304" x14ac:dyDescent="0.2">
      <c r="A358" s="95" t="s">
        <v>4421</v>
      </c>
      <c r="B358" s="90" t="s">
        <v>4293</v>
      </c>
      <c r="C358" s="93">
        <v>1</v>
      </c>
      <c r="D358" s="93" t="s">
        <v>4594</v>
      </c>
      <c r="E358" s="93" t="s">
        <v>4299</v>
      </c>
    </row>
    <row r="359" spans="1:5" ht="112" x14ac:dyDescent="0.2">
      <c r="A359" s="95" t="s">
        <v>4422</v>
      </c>
      <c r="B359" s="90" t="s">
        <v>4293</v>
      </c>
      <c r="C359" s="93">
        <v>1</v>
      </c>
      <c r="D359" s="93" t="s">
        <v>4594</v>
      </c>
      <c r="E359" s="93" t="s">
        <v>4299</v>
      </c>
    </row>
    <row r="360" spans="1:5" ht="112" x14ac:dyDescent="0.2">
      <c r="A360" s="95" t="s">
        <v>4423</v>
      </c>
      <c r="B360" s="90" t="s">
        <v>4293</v>
      </c>
      <c r="C360" s="93">
        <v>1</v>
      </c>
      <c r="D360" s="93" t="s">
        <v>4594</v>
      </c>
      <c r="E360" s="93" t="s">
        <v>4299</v>
      </c>
    </row>
    <row r="361" spans="1:5" ht="144" x14ac:dyDescent="0.2">
      <c r="A361" s="95" t="s">
        <v>4424</v>
      </c>
      <c r="B361" s="90" t="s">
        <v>4139</v>
      </c>
      <c r="C361" s="93" t="e">
        <f>LEFT(MID(B361,FIND("(",B361)+1,10),FIND("-",MID(B361,FIND("(",B361)+1,10))-1)</f>
        <v>#VALUE!</v>
      </c>
      <c r="D361" s="93" t="e">
        <f>TRIM(MID(B361,FIND(" ",B361,FIND("(",B361))+1,FIND(")",B361)-FIND(" ",B361,FIND("(",B361))-1))</f>
        <v>#VALUE!</v>
      </c>
      <c r="E361" s="93" t="s">
        <v>4299</v>
      </c>
    </row>
    <row r="362" spans="1:5" ht="144" x14ac:dyDescent="0.2">
      <c r="A362" s="95" t="s">
        <v>4425</v>
      </c>
      <c r="B362" s="90" t="s">
        <v>4334</v>
      </c>
      <c r="C362" s="93" t="str">
        <f>LEFT(MID(B362,FIND("(",B362)+1,10),FIND("-",MID(B362,FIND("(",B362)+1,10))-1)</f>
        <v>2</v>
      </c>
      <c r="D362" s="93" t="str">
        <f>TRIM(MID(B362,FIND(" ",B362,FIND("(",B362))+1,FIND(")",B362)-FIND(" ",B362,FIND("(",B362))-1))</f>
        <v>Litre</v>
      </c>
      <c r="E362" s="93" t="s">
        <v>4299</v>
      </c>
    </row>
    <row r="363" spans="1:5" ht="176" x14ac:dyDescent="0.2">
      <c r="A363" s="95" t="s">
        <v>4426</v>
      </c>
      <c r="B363" s="90" t="s">
        <v>4395</v>
      </c>
      <c r="C363" s="93">
        <v>1</v>
      </c>
      <c r="D363" s="93" t="s">
        <v>4598</v>
      </c>
      <c r="E363" s="93" t="s">
        <v>4299</v>
      </c>
    </row>
    <row r="364" spans="1:5" ht="128" x14ac:dyDescent="0.2">
      <c r="A364" s="95" t="s">
        <v>4427</v>
      </c>
      <c r="B364" s="90" t="s">
        <v>4395</v>
      </c>
      <c r="C364" s="93">
        <v>1</v>
      </c>
      <c r="D364" s="93" t="s">
        <v>4598</v>
      </c>
      <c r="E364" s="93" t="s">
        <v>4299</v>
      </c>
    </row>
    <row r="365" spans="1:5" ht="128" x14ac:dyDescent="0.2">
      <c r="A365" s="95" t="s">
        <v>4428</v>
      </c>
      <c r="B365" s="90" t="s">
        <v>4395</v>
      </c>
      <c r="C365" s="93">
        <v>1</v>
      </c>
      <c r="D365" s="93" t="s">
        <v>4598</v>
      </c>
      <c r="E365" s="93" t="s">
        <v>4299</v>
      </c>
    </row>
    <row r="366" spans="1:5" ht="112" x14ac:dyDescent="0.2">
      <c r="A366" s="95" t="s">
        <v>4429</v>
      </c>
      <c r="B366" s="90" t="s">
        <v>4407</v>
      </c>
      <c r="C366" s="93">
        <v>1</v>
      </c>
      <c r="D366" s="93" t="s">
        <v>4594</v>
      </c>
      <c r="E366" s="93" t="s">
        <v>4299</v>
      </c>
    </row>
    <row r="367" spans="1:5" ht="112" x14ac:dyDescent="0.2">
      <c r="A367" s="95" t="s">
        <v>4430</v>
      </c>
      <c r="B367" s="90" t="s">
        <v>4407</v>
      </c>
      <c r="C367" s="93">
        <v>1</v>
      </c>
      <c r="D367" s="93" t="s">
        <v>4594</v>
      </c>
      <c r="E367" s="93" t="s">
        <v>4299</v>
      </c>
    </row>
    <row r="368" spans="1:5" ht="112" x14ac:dyDescent="0.2">
      <c r="A368" s="95" t="s">
        <v>4431</v>
      </c>
      <c r="B368" s="90" t="s">
        <v>4293</v>
      </c>
      <c r="C368" s="93">
        <v>1</v>
      </c>
      <c r="D368" s="93" t="s">
        <v>4594</v>
      </c>
      <c r="E368" s="93" t="s">
        <v>4299</v>
      </c>
    </row>
    <row r="369" spans="1:5" ht="112" x14ac:dyDescent="0.2">
      <c r="A369" s="95" t="s">
        <v>4432</v>
      </c>
      <c r="B369" s="90" t="s">
        <v>4293</v>
      </c>
      <c r="C369" s="93">
        <v>1</v>
      </c>
      <c r="D369" s="93" t="s">
        <v>4594</v>
      </c>
      <c r="E369" s="93" t="s">
        <v>4299</v>
      </c>
    </row>
    <row r="370" spans="1:5" ht="112" x14ac:dyDescent="0.2">
      <c r="A370" s="95" t="s">
        <v>4433</v>
      </c>
      <c r="B370" s="90" t="s">
        <v>4293</v>
      </c>
      <c r="C370" s="93">
        <v>1</v>
      </c>
      <c r="D370" s="93" t="s">
        <v>4594</v>
      </c>
      <c r="E370" s="93" t="s">
        <v>4299</v>
      </c>
    </row>
    <row r="371" spans="1:5" ht="128" x14ac:dyDescent="0.2">
      <c r="A371" s="95" t="s">
        <v>4434</v>
      </c>
      <c r="B371" s="90" t="s">
        <v>4407</v>
      </c>
      <c r="C371" s="93">
        <v>1</v>
      </c>
      <c r="D371" s="93" t="s">
        <v>4594</v>
      </c>
      <c r="E371" s="93" t="s">
        <v>4299</v>
      </c>
    </row>
    <row r="372" spans="1:5" ht="128" x14ac:dyDescent="0.2">
      <c r="A372" s="95" t="s">
        <v>4435</v>
      </c>
      <c r="B372" s="90" t="s">
        <v>4407</v>
      </c>
      <c r="C372" s="93">
        <v>1</v>
      </c>
      <c r="D372" s="93" t="s">
        <v>4594</v>
      </c>
      <c r="E372" s="93" t="s">
        <v>4299</v>
      </c>
    </row>
    <row r="373" spans="1:5" ht="128" x14ac:dyDescent="0.2">
      <c r="A373" s="95" t="s">
        <v>4436</v>
      </c>
      <c r="B373" s="90" t="s">
        <v>4340</v>
      </c>
      <c r="C373" s="93">
        <v>1</v>
      </c>
      <c r="D373" s="93" t="s">
        <v>4594</v>
      </c>
      <c r="E373" s="93" t="s">
        <v>4299</v>
      </c>
    </row>
    <row r="374" spans="1:5" ht="128" x14ac:dyDescent="0.2">
      <c r="A374" s="95" t="s">
        <v>4437</v>
      </c>
      <c r="B374" s="90" t="s">
        <v>4340</v>
      </c>
      <c r="C374" s="93">
        <v>1</v>
      </c>
      <c r="D374" s="93" t="s">
        <v>4594</v>
      </c>
      <c r="E374" s="93" t="s">
        <v>4299</v>
      </c>
    </row>
    <row r="375" spans="1:5" ht="144" x14ac:dyDescent="0.2">
      <c r="A375" s="95" t="s">
        <v>4438</v>
      </c>
      <c r="B375" s="90" t="s">
        <v>4407</v>
      </c>
      <c r="C375" s="93">
        <v>1</v>
      </c>
      <c r="D375" s="93" t="s">
        <v>4594</v>
      </c>
      <c r="E375" s="93" t="s">
        <v>4299</v>
      </c>
    </row>
    <row r="376" spans="1:5" ht="144" x14ac:dyDescent="0.2">
      <c r="A376" s="95" t="s">
        <v>4439</v>
      </c>
      <c r="B376" s="90" t="s">
        <v>4407</v>
      </c>
      <c r="C376" s="93">
        <v>1</v>
      </c>
      <c r="D376" s="93" t="s">
        <v>4594</v>
      </c>
      <c r="E376" s="93" t="s">
        <v>4299</v>
      </c>
    </row>
    <row r="377" spans="1:5" ht="96" x14ac:dyDescent="0.2">
      <c r="A377" s="95" t="s">
        <v>4440</v>
      </c>
      <c r="B377" s="90" t="s">
        <v>4395</v>
      </c>
      <c r="C377" s="93">
        <v>1</v>
      </c>
      <c r="D377" s="93" t="s">
        <v>4598</v>
      </c>
      <c r="E377" s="93" t="s">
        <v>4299</v>
      </c>
    </row>
    <row r="378" spans="1:5" ht="128" x14ac:dyDescent="0.2">
      <c r="A378" s="95" t="s">
        <v>4441</v>
      </c>
      <c r="B378" s="90" t="s">
        <v>4340</v>
      </c>
      <c r="C378" s="93">
        <v>1</v>
      </c>
      <c r="D378" s="93" t="s">
        <v>4594</v>
      </c>
      <c r="E378" s="93" t="s">
        <v>4299</v>
      </c>
    </row>
    <row r="379" spans="1:5" ht="144" x14ac:dyDescent="0.2">
      <c r="A379" s="95" t="s">
        <v>4442</v>
      </c>
      <c r="B379" s="90" t="s">
        <v>4407</v>
      </c>
      <c r="C379" s="93">
        <v>1</v>
      </c>
      <c r="D379" s="93" t="s">
        <v>4594</v>
      </c>
      <c r="E379" s="93" t="s">
        <v>4299</v>
      </c>
    </row>
    <row r="380" spans="1:5" ht="144" x14ac:dyDescent="0.2">
      <c r="A380" s="95" t="s">
        <v>4443</v>
      </c>
      <c r="B380" s="90" t="s">
        <v>4407</v>
      </c>
      <c r="C380" s="93">
        <v>1</v>
      </c>
      <c r="D380" s="93" t="s">
        <v>4594</v>
      </c>
      <c r="E380" s="93" t="s">
        <v>4299</v>
      </c>
    </row>
    <row r="381" spans="1:5" ht="128" x14ac:dyDescent="0.2">
      <c r="A381" s="95" t="s">
        <v>4444</v>
      </c>
      <c r="B381" s="90" t="s">
        <v>4302</v>
      </c>
      <c r="C381" s="93">
        <v>1</v>
      </c>
      <c r="D381" s="93" t="s">
        <v>4594</v>
      </c>
      <c r="E381" s="93" t="s">
        <v>4299</v>
      </c>
    </row>
    <row r="382" spans="1:5" ht="128" x14ac:dyDescent="0.2">
      <c r="A382" s="95" t="s">
        <v>4445</v>
      </c>
      <c r="B382" s="90" t="s">
        <v>4302</v>
      </c>
      <c r="C382" s="93">
        <v>1</v>
      </c>
      <c r="D382" s="93" t="s">
        <v>4594</v>
      </c>
      <c r="E382" s="93" t="s">
        <v>4299</v>
      </c>
    </row>
    <row r="383" spans="1:5" ht="128" x14ac:dyDescent="0.2">
      <c r="A383" s="95" t="s">
        <v>4446</v>
      </c>
      <c r="B383" s="90" t="s">
        <v>4298</v>
      </c>
      <c r="C383" s="93" t="str">
        <f>LEFT(MID(B383,FIND("(",B383)+1,10),FIND("-",MID(B383,FIND("(",B383)+1,10))-1)</f>
        <v>0,5</v>
      </c>
      <c r="D383" s="93" t="str">
        <f>TRIM(MID(B383,FIND(" ",B383,FIND("(",B383))+1,FIND(")",B383)-FIND(" ",B383,FIND("(",B383))-1))</f>
        <v>Litre</v>
      </c>
      <c r="E383" s="93" t="s">
        <v>4299</v>
      </c>
    </row>
    <row r="384" spans="1:5" ht="33" x14ac:dyDescent="0.2">
      <c r="A384" s="95" t="s">
        <v>242</v>
      </c>
      <c r="B384" s="90" t="s">
        <v>828</v>
      </c>
      <c r="C384" s="93">
        <v>1</v>
      </c>
      <c r="D384" s="93" t="s">
        <v>4594</v>
      </c>
      <c r="E384" s="93" t="s">
        <v>4149</v>
      </c>
    </row>
    <row r="385" spans="1:5" ht="33" x14ac:dyDescent="0.2">
      <c r="A385" s="95" t="s">
        <v>242</v>
      </c>
      <c r="B385" s="90" t="s">
        <v>828</v>
      </c>
      <c r="C385" s="93">
        <v>1</v>
      </c>
      <c r="D385" s="93" t="s">
        <v>4594</v>
      </c>
      <c r="E385" s="93" t="s">
        <v>4173</v>
      </c>
    </row>
    <row r="386" spans="1:5" ht="48" x14ac:dyDescent="0.2">
      <c r="A386" s="95" t="s">
        <v>4447</v>
      </c>
      <c r="B386" s="90" t="s">
        <v>4302</v>
      </c>
      <c r="C386" s="93">
        <v>1</v>
      </c>
      <c r="D386" s="93" t="s">
        <v>4594</v>
      </c>
      <c r="E386" s="93" t="s">
        <v>4390</v>
      </c>
    </row>
    <row r="387" spans="1:5" ht="48" x14ac:dyDescent="0.2">
      <c r="A387" s="95" t="s">
        <v>4448</v>
      </c>
      <c r="B387" s="90" t="s">
        <v>4302</v>
      </c>
      <c r="C387" s="93">
        <v>1</v>
      </c>
      <c r="D387" s="93" t="s">
        <v>4594</v>
      </c>
      <c r="E387" s="93" t="s">
        <v>4390</v>
      </c>
    </row>
    <row r="388" spans="1:5" ht="35" x14ac:dyDescent="0.2">
      <c r="A388" s="95" t="s">
        <v>265</v>
      </c>
      <c r="B388" s="90" t="s">
        <v>4449</v>
      </c>
      <c r="C388" s="93">
        <v>5</v>
      </c>
      <c r="D388" s="93" t="s">
        <v>4595</v>
      </c>
      <c r="E388" s="93" t="s">
        <v>4450</v>
      </c>
    </row>
    <row r="389" spans="1:5" ht="192" x14ac:dyDescent="0.2">
      <c r="A389" s="95" t="s">
        <v>4451</v>
      </c>
      <c r="B389" s="90" t="s">
        <v>4449</v>
      </c>
      <c r="C389" s="93">
        <v>5</v>
      </c>
      <c r="D389" s="93" t="s">
        <v>4595</v>
      </c>
      <c r="E389" s="93" t="s">
        <v>4119</v>
      </c>
    </row>
    <row r="390" spans="1:5" ht="37" x14ac:dyDescent="0.2">
      <c r="A390" s="95" t="s">
        <v>4452</v>
      </c>
      <c r="B390" s="90" t="s">
        <v>4110</v>
      </c>
      <c r="C390" s="93" t="str">
        <f>LEFT(MID(B390,FIND("(",B390)+1,10),FIND("-",MID(B390,FIND("(",B390)+1,10))-1)</f>
        <v>1</v>
      </c>
      <c r="D390" s="93" t="str">
        <f>TRIM(MID(B390,FIND(" ",B390,FIND("(",B390))+1,FIND(")",B390)-FIND(" ",B390,FIND("(",B390))-1))</f>
        <v>Litre</v>
      </c>
      <c r="E390" s="93" t="s">
        <v>4453</v>
      </c>
    </row>
    <row r="391" spans="1:5" ht="112" x14ac:dyDescent="0.2">
      <c r="A391" s="95" t="s">
        <v>4454</v>
      </c>
      <c r="B391" s="90" t="s">
        <v>4455</v>
      </c>
      <c r="C391" s="93" t="str">
        <f>LEFT(MID(B391,FIND("(",B391)+1,10),FIND("-",MID(B391,FIND("(",B391)+1,10))-1)</f>
        <v>0,5</v>
      </c>
      <c r="D391" s="93" t="str">
        <f>TRIM(MID(B391,FIND(" ",B391,FIND("(",B391))+1,FIND(")",B391)-FIND(" ",B391,FIND("(",B391))-1))</f>
        <v>Litre</v>
      </c>
      <c r="E391" s="93" t="s">
        <v>4456</v>
      </c>
    </row>
    <row r="392" spans="1:5" ht="80" x14ac:dyDescent="0.2">
      <c r="A392" s="95" t="s">
        <v>4457</v>
      </c>
      <c r="B392" s="90" t="s">
        <v>4455</v>
      </c>
      <c r="C392" s="93" t="str">
        <f>LEFT(MID(B392,FIND("(",B392)+1,10),FIND("-",MID(B392,FIND("(",B392)+1,10))-1)</f>
        <v>0,5</v>
      </c>
      <c r="D392" s="93" t="str">
        <f>TRIM(MID(B392,FIND(" ",B392,FIND("(",B392))+1,FIND(")",B392)-FIND(" ",B392,FIND("(",B392))-1))</f>
        <v>Litre</v>
      </c>
      <c r="E392" s="93" t="s">
        <v>4453</v>
      </c>
    </row>
    <row r="393" spans="1:5" ht="64" x14ac:dyDescent="0.2">
      <c r="A393" s="95" t="s">
        <v>4458</v>
      </c>
      <c r="B393" s="90" t="s">
        <v>4459</v>
      </c>
      <c r="C393" s="93">
        <v>1</v>
      </c>
      <c r="D393" s="93" t="s">
        <v>4594</v>
      </c>
      <c r="E393" s="93" t="s">
        <v>4453</v>
      </c>
    </row>
    <row r="394" spans="1:5" ht="64" x14ac:dyDescent="0.2">
      <c r="A394" s="95" t="s">
        <v>4460</v>
      </c>
      <c r="B394" s="90" t="s">
        <v>828</v>
      </c>
      <c r="C394" s="93">
        <v>1</v>
      </c>
      <c r="D394" s="93" t="s">
        <v>4594</v>
      </c>
      <c r="E394" s="93" t="s">
        <v>4461</v>
      </c>
    </row>
    <row r="395" spans="1:5" ht="48" x14ac:dyDescent="0.2">
      <c r="A395" s="95" t="s">
        <v>4252</v>
      </c>
      <c r="B395" s="90" t="s">
        <v>4459</v>
      </c>
      <c r="C395" s="93">
        <v>1</v>
      </c>
      <c r="D395" s="93" t="s">
        <v>4594</v>
      </c>
      <c r="E395" s="93" t="s">
        <v>4254</v>
      </c>
    </row>
    <row r="396" spans="1:5" ht="48" x14ac:dyDescent="0.2">
      <c r="A396" s="95" t="s">
        <v>338</v>
      </c>
      <c r="B396" s="90" t="s">
        <v>4462</v>
      </c>
      <c r="C396" s="93">
        <v>4</v>
      </c>
      <c r="D396" s="93" t="s">
        <v>4594</v>
      </c>
      <c r="E396" s="2" t="s">
        <v>4117</v>
      </c>
    </row>
    <row r="397" spans="1:5" ht="80" x14ac:dyDescent="0.2">
      <c r="A397" s="95" t="s">
        <v>4463</v>
      </c>
      <c r="B397" s="90" t="s">
        <v>4455</v>
      </c>
      <c r="C397" s="93" t="str">
        <f>LEFT(MID(B397,FIND("(",B397)+1,10),FIND("-",MID(B397,FIND("(",B397)+1,10))-1)</f>
        <v>0,5</v>
      </c>
      <c r="D397" s="93" t="str">
        <f>TRIM(MID(B397,FIND(" ",B397,FIND("(",B397))+1,FIND(")",B397)-FIND(" ",B397,FIND("(",B397))-1))</f>
        <v>Litre</v>
      </c>
      <c r="E397" s="93" t="s">
        <v>4453</v>
      </c>
    </row>
    <row r="398" spans="1:5" ht="48" x14ac:dyDescent="0.2">
      <c r="A398" s="95" t="s">
        <v>4464</v>
      </c>
      <c r="B398" s="90" t="s">
        <v>828</v>
      </c>
      <c r="C398" s="93">
        <v>1</v>
      </c>
      <c r="D398" s="93" t="s">
        <v>4594</v>
      </c>
      <c r="E398" s="93" t="s">
        <v>4453</v>
      </c>
    </row>
    <row r="399" spans="1:5" ht="48" x14ac:dyDescent="0.2">
      <c r="A399" s="95" t="s">
        <v>4465</v>
      </c>
      <c r="B399" s="90" t="s">
        <v>4455</v>
      </c>
      <c r="C399" s="93" t="str">
        <f>LEFT(MID(B399,FIND("(",B399)+1,10),FIND("-",MID(B399,FIND("(",B399)+1,10))-1)</f>
        <v>0,5</v>
      </c>
      <c r="D399" s="93" t="str">
        <f>TRIM(MID(B399,FIND(" ",B399,FIND("(",B399))+1,FIND(")",B399)-FIND(" ",B399,FIND("(",B399))-1))</f>
        <v>Litre</v>
      </c>
      <c r="E399" s="93" t="s">
        <v>4453</v>
      </c>
    </row>
    <row r="400" spans="1:5" ht="48" x14ac:dyDescent="0.2">
      <c r="A400" s="95" t="s">
        <v>4466</v>
      </c>
      <c r="B400" s="90" t="s">
        <v>4302</v>
      </c>
      <c r="C400" s="93">
        <v>1</v>
      </c>
      <c r="D400" s="93" t="s">
        <v>4594</v>
      </c>
      <c r="E400" s="93" t="s">
        <v>4390</v>
      </c>
    </row>
    <row r="401" spans="1:5" ht="48" x14ac:dyDescent="0.2">
      <c r="A401" s="95" t="s">
        <v>4467</v>
      </c>
      <c r="B401" s="90" t="s">
        <v>4302</v>
      </c>
      <c r="C401" s="93">
        <v>1</v>
      </c>
      <c r="D401" s="93" t="s">
        <v>4594</v>
      </c>
      <c r="E401" s="93" t="s">
        <v>4390</v>
      </c>
    </row>
    <row r="402" spans="1:5" ht="80" x14ac:dyDescent="0.2">
      <c r="A402" s="95" t="s">
        <v>4468</v>
      </c>
      <c r="B402" s="90" t="s">
        <v>4455</v>
      </c>
      <c r="C402" s="93" t="str">
        <f>LEFT(MID(B402,FIND("(",B402)+1,10),FIND("-",MID(B402,FIND("(",B402)+1,10))-1)</f>
        <v>0,5</v>
      </c>
      <c r="D402" s="93" t="str">
        <f>TRIM(MID(B402,FIND(" ",B402,FIND("(",B402))+1,FIND(")",B402)-FIND(" ",B402,FIND("(",B402))-1))</f>
        <v>Litre</v>
      </c>
      <c r="E402" s="93" t="s">
        <v>4453</v>
      </c>
    </row>
    <row r="403" spans="1:5" ht="64" x14ac:dyDescent="0.2">
      <c r="A403" s="95" t="s">
        <v>4469</v>
      </c>
      <c r="B403" s="90" t="s">
        <v>4470</v>
      </c>
      <c r="C403" s="93" t="str">
        <f>LEFT(MID(B403,FIND("(",B403)+1,10),FIND("-",MID(B403,FIND("(",B403)+1,10))-1)</f>
        <v>0,5</v>
      </c>
      <c r="D403" s="93" t="str">
        <f>TRIM(MID(B403,FIND(" ",B403,FIND("(",B403))+1,FIND(")",B403)-FIND(" ",B403,FIND("(",B403))-1))</f>
        <v>Litre</v>
      </c>
      <c r="E403" s="93" t="s">
        <v>4453</v>
      </c>
    </row>
    <row r="404" spans="1:5" ht="64" x14ac:dyDescent="0.2">
      <c r="A404" s="95" t="s">
        <v>4469</v>
      </c>
      <c r="B404" s="90" t="s">
        <v>4110</v>
      </c>
      <c r="C404" s="93" t="str">
        <f>LEFT(MID(B404,FIND("(",B404)+1,10),FIND("-",MID(B404,FIND("(",B404)+1,10))-1)</f>
        <v>1</v>
      </c>
      <c r="D404" s="93" t="str">
        <f>TRIM(MID(B404,FIND(" ",B404,FIND("(",B404))+1,FIND(")",B404)-FIND(" ",B404,FIND("(",B404))-1))</f>
        <v>Litre</v>
      </c>
      <c r="E404" s="93" t="s">
        <v>4471</v>
      </c>
    </row>
    <row r="405" spans="1:5" ht="80" x14ac:dyDescent="0.2">
      <c r="A405" s="95" t="s">
        <v>4472</v>
      </c>
      <c r="B405" s="90" t="s">
        <v>4293</v>
      </c>
      <c r="C405" s="93">
        <v>1</v>
      </c>
      <c r="D405" s="93" t="s">
        <v>4594</v>
      </c>
      <c r="E405" s="93" t="s">
        <v>4299</v>
      </c>
    </row>
    <row r="406" spans="1:5" ht="80" x14ac:dyDescent="0.2">
      <c r="A406" s="95" t="s">
        <v>4473</v>
      </c>
      <c r="B406" s="90" t="s">
        <v>4293</v>
      </c>
      <c r="C406" s="93">
        <v>1</v>
      </c>
      <c r="D406" s="93" t="s">
        <v>4594</v>
      </c>
      <c r="E406" s="93" t="s">
        <v>4299</v>
      </c>
    </row>
    <row r="407" spans="1:5" ht="64" x14ac:dyDescent="0.2">
      <c r="A407" s="95" t="s">
        <v>4474</v>
      </c>
      <c r="B407" s="90" t="s">
        <v>827</v>
      </c>
      <c r="C407" s="93">
        <v>1</v>
      </c>
      <c r="D407" s="93" t="s">
        <v>4594</v>
      </c>
      <c r="E407" s="93" t="s">
        <v>4453</v>
      </c>
    </row>
    <row r="408" spans="1:5" ht="48" x14ac:dyDescent="0.2">
      <c r="A408" s="95" t="s">
        <v>4475</v>
      </c>
      <c r="B408" s="90" t="s">
        <v>4302</v>
      </c>
      <c r="C408" s="93">
        <v>1</v>
      </c>
      <c r="D408" s="93" t="s">
        <v>4594</v>
      </c>
      <c r="E408" s="93" t="s">
        <v>4299</v>
      </c>
    </row>
    <row r="409" spans="1:5" ht="64" x14ac:dyDescent="0.2">
      <c r="A409" s="95" t="s">
        <v>4476</v>
      </c>
      <c r="B409" s="90" t="s">
        <v>4302</v>
      </c>
      <c r="C409" s="93">
        <v>1</v>
      </c>
      <c r="D409" s="93" t="s">
        <v>4594</v>
      </c>
      <c r="E409" s="93" t="s">
        <v>4299</v>
      </c>
    </row>
    <row r="410" spans="1:5" ht="48" x14ac:dyDescent="0.2">
      <c r="A410" s="95" t="s">
        <v>4135</v>
      </c>
      <c r="B410" s="90" t="s">
        <v>4477</v>
      </c>
      <c r="C410" s="93">
        <v>3</v>
      </c>
      <c r="D410" s="93" t="s">
        <v>4594</v>
      </c>
      <c r="E410" s="93" t="s">
        <v>4117</v>
      </c>
    </row>
    <row r="411" spans="1:5" ht="34" x14ac:dyDescent="0.2">
      <c r="A411" s="95" t="s">
        <v>4478</v>
      </c>
      <c r="B411" s="90" t="s">
        <v>4302</v>
      </c>
      <c r="C411" s="93">
        <v>1</v>
      </c>
      <c r="D411" s="93" t="s">
        <v>4594</v>
      </c>
      <c r="E411" s="93" t="s">
        <v>4390</v>
      </c>
    </row>
    <row r="412" spans="1:5" ht="64" x14ac:dyDescent="0.2">
      <c r="A412" s="95" t="s">
        <v>4479</v>
      </c>
      <c r="B412" s="90" t="s">
        <v>4455</v>
      </c>
      <c r="C412" s="93" t="str">
        <f>LEFT(MID(B412,FIND("(",B412)+1,10),FIND("-",MID(B412,FIND("(",B412)+1,10))-1)</f>
        <v>0,5</v>
      </c>
      <c r="D412" s="93" t="str">
        <f>TRIM(MID(B412,FIND(" ",B412,FIND("(",B412))+1,FIND(")",B412)-FIND(" ",B412,FIND("(",B412))-1))</f>
        <v>Litre</v>
      </c>
      <c r="E412" s="93" t="s">
        <v>4453</v>
      </c>
    </row>
    <row r="413" spans="1:5" ht="160" x14ac:dyDescent="0.2">
      <c r="A413" s="95" t="s">
        <v>4480</v>
      </c>
      <c r="B413" s="90" t="s">
        <v>4302</v>
      </c>
      <c r="C413" s="93">
        <v>1</v>
      </c>
      <c r="D413" s="93" t="s">
        <v>4594</v>
      </c>
      <c r="E413" s="93" t="s">
        <v>4386</v>
      </c>
    </row>
    <row r="414" spans="1:5" ht="64" x14ac:dyDescent="0.2">
      <c r="A414" s="95" t="s">
        <v>4481</v>
      </c>
      <c r="B414" s="90" t="s">
        <v>4455</v>
      </c>
      <c r="C414" s="93" t="str">
        <f>LEFT(MID(B414,FIND("(",B414)+1,10),FIND("-",MID(B414,FIND("(",B414)+1,10))-1)</f>
        <v>0,5</v>
      </c>
      <c r="D414" s="93" t="str">
        <f>TRIM(MID(B414,FIND(" ",B414,FIND("(",B414))+1,FIND(")",B414)-FIND(" ",B414,FIND("(",B414))-1))</f>
        <v>Litre</v>
      </c>
      <c r="E414" s="93" t="s">
        <v>4453</v>
      </c>
    </row>
    <row r="415" spans="1:5" ht="34" x14ac:dyDescent="0.2">
      <c r="A415" s="95" t="s">
        <v>4482</v>
      </c>
      <c r="B415" s="90" t="s">
        <v>4483</v>
      </c>
      <c r="C415" s="93">
        <v>3</v>
      </c>
      <c r="D415" s="93" t="s">
        <v>4594</v>
      </c>
      <c r="E415" s="93" t="s">
        <v>4390</v>
      </c>
    </row>
    <row r="416" spans="1:5" ht="48" x14ac:dyDescent="0.2">
      <c r="A416" s="95" t="s">
        <v>338</v>
      </c>
      <c r="B416" s="90" t="s">
        <v>4125</v>
      </c>
      <c r="C416" s="93" t="str">
        <f>LEFT(MID(B416,FIND("(",B416)+1,10),FIND("-",MID(B416,FIND("(",B416)+1,10))-1)</f>
        <v>750</v>
      </c>
      <c r="D416" s="93" t="str">
        <f>TRIM(MID(B416,FIND(" ",B416,FIND("(",B416))+1,FIND(")",B416)-FIND(" ",B416,FIND("(",B416))-1))</f>
        <v>ml</v>
      </c>
      <c r="E416" s="2" t="s">
        <v>4117</v>
      </c>
    </row>
    <row r="417" spans="1:5" ht="37" x14ac:dyDescent="0.2">
      <c r="A417" s="95" t="s">
        <v>363</v>
      </c>
      <c r="B417" s="90" t="s">
        <v>4126</v>
      </c>
      <c r="C417" s="93" t="str">
        <f>LEFT(MID(B417,FIND("(",B417)+1,10),FIND("-",MID(B417,FIND("(",B417)+1,10))-1)</f>
        <v>6</v>
      </c>
      <c r="D417" s="93" t="str">
        <f>TRIM(MID(B417,FIND(" ",B417,FIND("(",B417))+1,FIND(")",B417)-FIND(" ",B417,FIND("(",B417))-1))</f>
        <v>Litre</v>
      </c>
      <c r="E417" s="2" t="s">
        <v>4117</v>
      </c>
    </row>
    <row r="418" spans="1:5" ht="80" x14ac:dyDescent="0.2">
      <c r="A418" s="95" t="s">
        <v>4138</v>
      </c>
      <c r="B418" s="90" t="s">
        <v>4240</v>
      </c>
      <c r="C418" s="93">
        <v>3</v>
      </c>
      <c r="D418" s="93" t="s">
        <v>4598</v>
      </c>
      <c r="E418" s="93" t="s">
        <v>4140</v>
      </c>
    </row>
    <row r="419" spans="1:5" ht="64" x14ac:dyDescent="0.2">
      <c r="A419" s="95" t="s">
        <v>4241</v>
      </c>
      <c r="B419" s="90" t="s">
        <v>4242</v>
      </c>
      <c r="C419" s="93" t="str">
        <f>LEFT(MID(B419,FIND("(",B419)+1,10),FIND("-",MID(B419,FIND("(",B419)+1,10))-1)</f>
        <v>10</v>
      </c>
      <c r="D419" s="93" t="str">
        <f>TRIM(MID(B419,FIND(" ",B419,FIND("(",B419))+1,FIND(")",B419)-FIND(" ",B419,FIND("(",B419))-1))</f>
        <v>Litre</v>
      </c>
      <c r="E419" s="93" t="s">
        <v>4111</v>
      </c>
    </row>
    <row r="420" spans="1:5" ht="48" x14ac:dyDescent="0.2">
      <c r="A420" s="95" t="s">
        <v>4115</v>
      </c>
      <c r="B420" s="90" t="s">
        <v>4116</v>
      </c>
      <c r="C420" s="93" t="str">
        <f>LEFT(MID(B420,FIND("(",B420)+1,10),FIND("-",MID(B420,FIND("(",B420)+1,10))-1)</f>
        <v>5</v>
      </c>
      <c r="D420" s="93" t="str">
        <f>TRIM(MID(B420,FIND(" ",B420,FIND("(",B420))+1,FIND(")",B420)-FIND(" ",B420,FIND("(",B420))-1))</f>
        <v>Litre</v>
      </c>
      <c r="E420" s="93" t="s">
        <v>4117</v>
      </c>
    </row>
    <row r="421" spans="1:5" ht="48" x14ac:dyDescent="0.2">
      <c r="A421" s="95" t="s">
        <v>4120</v>
      </c>
      <c r="B421" s="90" t="s">
        <v>4121</v>
      </c>
      <c r="C421" s="93" t="str">
        <f>LEFT(MID(B421,FIND("(",B421)+1,10),FIND("-",MID(B421,FIND("(",B421)+1,10))-1)</f>
        <v>5</v>
      </c>
      <c r="D421" s="93" t="str">
        <f>TRIM(MID(B421,FIND(" ",B421,FIND("(",B421))+1,FIND(")",B421)-FIND(" ",B421,FIND("(",B421))-1))</f>
        <v>Litre</v>
      </c>
      <c r="E421" s="2" t="s">
        <v>4122</v>
      </c>
    </row>
    <row r="422" spans="1:5" ht="48" x14ac:dyDescent="0.2">
      <c r="A422" s="95" t="s">
        <v>338</v>
      </c>
      <c r="B422" s="90" t="s">
        <v>4125</v>
      </c>
      <c r="C422" s="93" t="str">
        <f>LEFT(MID(B422,FIND("(",B422)+1,10),FIND("-",MID(B422,FIND("(",B422)+1,10))-1)</f>
        <v>750</v>
      </c>
      <c r="D422" s="93" t="str">
        <f>TRIM(MID(B422,FIND(" ",B422,FIND("(",B422))+1,FIND(")",B422)-FIND(" ",B422,FIND("(",B422))-1))</f>
        <v>ml</v>
      </c>
      <c r="E422" s="2" t="s">
        <v>4117</v>
      </c>
    </row>
    <row r="423" spans="1:5" ht="48" x14ac:dyDescent="0.2">
      <c r="A423" s="95" t="s">
        <v>4484</v>
      </c>
      <c r="B423" s="90" t="s">
        <v>4125</v>
      </c>
      <c r="C423" s="93" t="str">
        <f>LEFT(MID(B423,FIND("(",B423)+1,10),FIND("-",MID(B423,FIND("(",B423)+1,10))-1)</f>
        <v>750</v>
      </c>
      <c r="D423" s="93" t="str">
        <f>TRIM(MID(B423,FIND(" ",B423,FIND("(",B423))+1,FIND(")",B423)-FIND(" ",B423,FIND("(",B423))-1))</f>
        <v>ml</v>
      </c>
      <c r="E423" s="93" t="s">
        <v>4117</v>
      </c>
    </row>
    <row r="424" spans="1:5" ht="37" x14ac:dyDescent="0.2">
      <c r="A424" s="95" t="s">
        <v>363</v>
      </c>
      <c r="B424" s="90" t="s">
        <v>4229</v>
      </c>
      <c r="C424" s="93" t="str">
        <f>LEFT(MID(B424,FIND("(",B424)+1,10),FIND("-",MID(B424,FIND("(",B424)+1,10))-1)</f>
        <v>6</v>
      </c>
      <c r="D424" s="93" t="str">
        <f>TRIM(MID(B424,FIND(" ",B424,FIND("(",B424))+1,FIND(")",B424)-FIND(" ",B424,FIND("(",B424))-1))</f>
        <v>Litre</v>
      </c>
      <c r="E424" s="93" t="s">
        <v>4117</v>
      </c>
    </row>
    <row r="425" spans="1:5" ht="37" x14ac:dyDescent="0.2">
      <c r="A425" s="95" t="s">
        <v>4187</v>
      </c>
      <c r="B425" s="90" t="s">
        <v>4243</v>
      </c>
      <c r="C425" s="93" t="str">
        <f>LEFT(MID(B425,FIND("(",B425)+1,10),FIND("-",MID(B425,FIND("(",B425)+1,10))-1)</f>
        <v>3</v>
      </c>
      <c r="D425" s="93" t="str">
        <f>TRIM(MID(B425,FIND(" ",B425,FIND("(",B425))+1,FIND(")",B425)-FIND(" ",B425,FIND("(",B425))-1))</f>
        <v>Litre</v>
      </c>
      <c r="E425" s="93" t="s">
        <v>4117</v>
      </c>
    </row>
    <row r="426" spans="1:5" ht="48" x14ac:dyDescent="0.2">
      <c r="A426" s="95" t="s">
        <v>4135</v>
      </c>
      <c r="B426" s="90" t="s">
        <v>4110</v>
      </c>
      <c r="C426" s="93" t="str">
        <f>LEFT(MID(B426,FIND("(",B426)+1,10),FIND("-",MID(B426,FIND("(",B426)+1,10))-1)</f>
        <v>1</v>
      </c>
      <c r="D426" s="93" t="str">
        <f>TRIM(MID(B426,FIND(" ",B426,FIND("(",B426))+1,FIND(")",B426)-FIND(" ",B426,FIND("(",B426))-1))</f>
        <v>Litre</v>
      </c>
      <c r="E426" s="93" t="s">
        <v>4117</v>
      </c>
    </row>
    <row r="427" spans="1:5" ht="80" x14ac:dyDescent="0.2">
      <c r="A427" s="95" t="s">
        <v>4138</v>
      </c>
      <c r="B427" s="90" t="s">
        <v>828</v>
      </c>
      <c r="C427" s="93">
        <v>1</v>
      </c>
      <c r="D427" s="93" t="s">
        <v>4594</v>
      </c>
      <c r="E427" s="93" t="s">
        <v>4140</v>
      </c>
    </row>
    <row r="428" spans="1:5" ht="48" x14ac:dyDescent="0.2">
      <c r="A428" s="95" t="s">
        <v>338</v>
      </c>
      <c r="B428" s="90" t="s">
        <v>4125</v>
      </c>
      <c r="C428" s="93" t="str">
        <f>LEFT(MID(B428,FIND("(",B428)+1,10),FIND("-",MID(B428,FIND("(",B428)+1,10))-1)</f>
        <v>750</v>
      </c>
      <c r="D428" s="93" t="str">
        <f>TRIM(MID(B428,FIND(" ",B428,FIND("(",B428))+1,FIND(")",B428)-FIND(" ",B428,FIND("(",B428))-1))</f>
        <v>ml</v>
      </c>
      <c r="E428" s="93" t="s">
        <v>4117</v>
      </c>
    </row>
    <row r="429" spans="1:5" ht="37" x14ac:dyDescent="0.2">
      <c r="A429" s="95" t="s">
        <v>363</v>
      </c>
      <c r="B429" s="90" t="s">
        <v>4229</v>
      </c>
      <c r="C429" s="93" t="str">
        <f>LEFT(MID(B429,FIND("(",B429)+1,10),FIND("-",MID(B429,FIND("(",B429)+1,10))-1)</f>
        <v>6</v>
      </c>
      <c r="D429" s="93" t="str">
        <f>TRIM(MID(B429,FIND(" ",B429,FIND("(",B429))+1,FIND(")",B429)-FIND(" ",B429,FIND("(",B429))-1))</f>
        <v>Litre</v>
      </c>
      <c r="E429" s="93" t="s">
        <v>4117</v>
      </c>
    </row>
    <row r="430" spans="1:5" ht="128" x14ac:dyDescent="0.2">
      <c r="A430" s="95" t="s">
        <v>4485</v>
      </c>
      <c r="B430" s="90" t="s">
        <v>828</v>
      </c>
      <c r="C430" s="93">
        <v>1</v>
      </c>
      <c r="D430" s="93" t="s">
        <v>4594</v>
      </c>
      <c r="E430" s="9" t="s">
        <v>4486</v>
      </c>
    </row>
    <row r="431" spans="1:5" ht="96" x14ac:dyDescent="0.2">
      <c r="A431" s="95" t="s">
        <v>4487</v>
      </c>
      <c r="B431" s="90" t="s">
        <v>828</v>
      </c>
      <c r="C431" s="93">
        <v>1</v>
      </c>
      <c r="D431" s="93" t="s">
        <v>4594</v>
      </c>
      <c r="E431" s="9" t="s">
        <v>4486</v>
      </c>
    </row>
    <row r="432" spans="1:5" ht="96" x14ac:dyDescent="0.2">
      <c r="A432" s="95" t="s">
        <v>4488</v>
      </c>
      <c r="B432" s="90" t="s">
        <v>828</v>
      </c>
      <c r="C432" s="93">
        <v>1</v>
      </c>
      <c r="D432" s="93" t="s">
        <v>4594</v>
      </c>
      <c r="E432" s="9" t="s">
        <v>4486</v>
      </c>
    </row>
    <row r="433" spans="1:5" ht="48" x14ac:dyDescent="0.2">
      <c r="A433" s="95" t="s">
        <v>4135</v>
      </c>
      <c r="B433" s="90" t="s">
        <v>4110</v>
      </c>
      <c r="C433" s="93" t="str">
        <f>LEFT(MID(B433,FIND("(",B433)+1,10),FIND("-",MID(B433,FIND("(",B433)+1,10))-1)</f>
        <v>1</v>
      </c>
      <c r="D433" s="93" t="str">
        <f>TRIM(MID(B433,FIND(" ",B433,FIND("(",B433))+1,FIND(")",B433)-FIND(" ",B433,FIND("(",B433))-1))</f>
        <v>Litre</v>
      </c>
      <c r="E433" s="93" t="s">
        <v>4117</v>
      </c>
    </row>
    <row r="434" spans="1:5" ht="80" x14ac:dyDescent="0.2">
      <c r="A434" s="95" t="s">
        <v>4138</v>
      </c>
      <c r="B434" s="90" t="s">
        <v>4240</v>
      </c>
      <c r="C434" s="93">
        <v>3</v>
      </c>
      <c r="D434" s="93" t="s">
        <v>4598</v>
      </c>
      <c r="E434" s="93" t="s">
        <v>4140</v>
      </c>
    </row>
    <row r="435" spans="1:5" ht="64" x14ac:dyDescent="0.2">
      <c r="A435" s="95" t="s">
        <v>4109</v>
      </c>
      <c r="B435" s="90" t="s">
        <v>4110</v>
      </c>
      <c r="C435" s="93" t="str">
        <f>LEFT(MID(B435,FIND("(",B435)+1,10),FIND("-",MID(B435,FIND("(",B435)+1,10))-1)</f>
        <v>1</v>
      </c>
      <c r="D435" s="93" t="str">
        <f>TRIM(MID(B435,FIND(" ",B435,FIND("(",B435))+1,FIND(")",B435)-FIND(" ",B435,FIND("(",B435))-1))</f>
        <v>Litre</v>
      </c>
      <c r="E435" s="2" t="s">
        <v>4111</v>
      </c>
    </row>
    <row r="436" spans="1:5" ht="80" x14ac:dyDescent="0.2">
      <c r="A436" s="95" t="s">
        <v>4112</v>
      </c>
      <c r="B436" s="90" t="s">
        <v>4113</v>
      </c>
      <c r="C436" s="93" t="str">
        <f>LEFT(MID(B436,FIND("(",B436)+1,10),FIND("-",MID(B436,FIND("(",B436)+1,10))-1)</f>
        <v>400</v>
      </c>
      <c r="D436" s="93" t="str">
        <f>TRIM(MID(B436,FIND(" ",B436,FIND("(",B436))+1,FIND(")",B436)-FIND(" ",B436,FIND("(",B436))-1))</f>
        <v>ml</v>
      </c>
      <c r="E436" s="93" t="s">
        <v>4114</v>
      </c>
    </row>
    <row r="437" spans="1:5" ht="48" x14ac:dyDescent="0.2">
      <c r="A437" s="95" t="s">
        <v>4120</v>
      </c>
      <c r="B437" s="90" t="s">
        <v>4121</v>
      </c>
      <c r="C437" s="93" t="str">
        <f>LEFT(MID(B437,FIND("(",B437)+1,10),FIND("-",MID(B437,FIND("(",B437)+1,10))-1)</f>
        <v>5</v>
      </c>
      <c r="D437" s="93" t="str">
        <f>TRIM(MID(B437,FIND(" ",B437,FIND("(",B437))+1,FIND(")",B437)-FIND(" ",B437,FIND("(",B437))-1))</f>
        <v>Litre</v>
      </c>
      <c r="E437" s="2" t="s">
        <v>4122</v>
      </c>
    </row>
    <row r="438" spans="1:5" ht="48" x14ac:dyDescent="0.2">
      <c r="A438" s="95" t="s">
        <v>338</v>
      </c>
      <c r="B438" s="90" t="s">
        <v>4125</v>
      </c>
      <c r="C438" s="93" t="str">
        <f>LEFT(MID(B438,FIND("(",B438)+1,10),FIND("-",MID(B438,FIND("(",B438)+1,10))-1)</f>
        <v>750</v>
      </c>
      <c r="D438" s="93" t="str">
        <f>TRIM(MID(B438,FIND(" ",B438,FIND("(",B438))+1,FIND(")",B438)-FIND(" ",B438,FIND("(",B438))-1))</f>
        <v>ml</v>
      </c>
      <c r="E438" s="2" t="s">
        <v>4117</v>
      </c>
    </row>
    <row r="439" spans="1:5" ht="48" x14ac:dyDescent="0.2">
      <c r="A439" s="95" t="s">
        <v>4189</v>
      </c>
      <c r="B439" s="90" t="s">
        <v>4237</v>
      </c>
      <c r="C439" s="93" t="str">
        <f>LEFT(MID(B439,FIND("(",B439)+1,10),FIND("-",MID(B439,FIND("(",B439)+1,10))-1)</f>
        <v>100</v>
      </c>
      <c r="D439" s="93" t="str">
        <f>TRIM(MID(B439,FIND(" ",B439,FIND("(",B439))+1,FIND(")",B439)-FIND(" ",B439,FIND("(",B439))-1))</f>
        <v>Adet</v>
      </c>
      <c r="E439" s="2" t="s">
        <v>4191</v>
      </c>
    </row>
    <row r="440" spans="1:5" ht="38" x14ac:dyDescent="0.2">
      <c r="A440" s="97" t="s">
        <v>532</v>
      </c>
      <c r="B440" s="90" t="s">
        <v>4128</v>
      </c>
      <c r="C440" s="93" t="str">
        <f>LEFT(MID(B440,FIND("(",B440)+1,10),FIND("-",MID(B440,FIND("(",B440)+1,10))-1)</f>
        <v>100</v>
      </c>
      <c r="D440" s="93" t="str">
        <f>TRIM(MID(B440,FIND(" ",B440,FIND("(",B440))+1,FIND(")",B440)-FIND(" ",B440,FIND("(",B440))-1))</f>
        <v>ml</v>
      </c>
      <c r="E440" s="93" t="s">
        <v>4193</v>
      </c>
    </row>
    <row r="441" spans="1:5" ht="48" x14ac:dyDescent="0.2">
      <c r="A441" s="95" t="s">
        <v>4135</v>
      </c>
      <c r="B441" s="90" t="s">
        <v>4110</v>
      </c>
      <c r="C441" s="93" t="str">
        <f>LEFT(MID(B441,FIND("(",B441)+1,10),FIND("-",MID(B441,FIND("(",B441)+1,10))-1)</f>
        <v>1</v>
      </c>
      <c r="D441" s="93" t="str">
        <f>TRIM(MID(B441,FIND(" ",B441,FIND("(",B441))+1,FIND(")",B441)-FIND(" ",B441,FIND("(",B441))-1))</f>
        <v>Litre</v>
      </c>
      <c r="E441" s="93" t="s">
        <v>4117</v>
      </c>
    </row>
    <row r="442" spans="1:5" ht="80" x14ac:dyDescent="0.2">
      <c r="A442" s="95" t="s">
        <v>4138</v>
      </c>
      <c r="B442" s="90" t="s">
        <v>4231</v>
      </c>
      <c r="C442" s="93">
        <v>100</v>
      </c>
      <c r="D442" s="93" t="s">
        <v>4594</v>
      </c>
      <c r="E442" s="93" t="s">
        <v>4140</v>
      </c>
    </row>
    <row r="443" spans="1:5" ht="64" x14ac:dyDescent="0.2">
      <c r="A443" s="95" t="s">
        <v>4109</v>
      </c>
      <c r="B443" s="90" t="s">
        <v>4242</v>
      </c>
      <c r="C443" s="93" t="str">
        <f>LEFT(MID(B443,FIND("(",B443)+1,10),FIND("-",MID(B443,FIND("(",B443)+1,10))-1)</f>
        <v>10</v>
      </c>
      <c r="D443" s="93" t="str">
        <f>TRIM(MID(B443,FIND(" ",B443,FIND("(",B443))+1,FIND(")",B443)-FIND(" ",B443,FIND("(",B443))-1))</f>
        <v>Litre</v>
      </c>
      <c r="E443" s="9" t="s">
        <v>4111</v>
      </c>
    </row>
    <row r="444" spans="1:5" ht="80" x14ac:dyDescent="0.2">
      <c r="A444" s="95" t="s">
        <v>4112</v>
      </c>
      <c r="B444" s="90" t="s">
        <v>4113</v>
      </c>
      <c r="C444" s="93" t="str">
        <f>LEFT(MID(B444,FIND("(",B444)+1,10),FIND("-",MID(B444,FIND("(",B444)+1,10))-1)</f>
        <v>400</v>
      </c>
      <c r="D444" s="93" t="str">
        <f>TRIM(MID(B444,FIND(" ",B444,FIND("(",B444))+1,FIND(")",B444)-FIND(" ",B444,FIND("(",B444))-1))</f>
        <v>ml</v>
      </c>
      <c r="E444" s="93" t="s">
        <v>4114</v>
      </c>
    </row>
    <row r="445" spans="1:5" ht="48" x14ac:dyDescent="0.2">
      <c r="A445" s="95" t="s">
        <v>4120</v>
      </c>
      <c r="B445" s="90" t="s">
        <v>4121</v>
      </c>
      <c r="C445" s="93" t="str">
        <f>LEFT(MID(B445,FIND("(",B445)+1,10),FIND("-",MID(B445,FIND("(",B445)+1,10))-1)</f>
        <v>5</v>
      </c>
      <c r="D445" s="93" t="str">
        <f>TRIM(MID(B445,FIND(" ",B445,FIND("(",B445))+1,FIND(")",B445)-FIND(" ",B445,FIND("(",B445))-1))</f>
        <v>Litre</v>
      </c>
      <c r="E445" s="2" t="s">
        <v>4122</v>
      </c>
    </row>
    <row r="446" spans="1:5" ht="96" x14ac:dyDescent="0.2">
      <c r="A446" s="95" t="s">
        <v>291</v>
      </c>
      <c r="B446" s="90" t="s">
        <v>4264</v>
      </c>
      <c r="C446" s="93">
        <v>10</v>
      </c>
      <c r="D446" s="93" t="s">
        <v>4594</v>
      </c>
      <c r="E446" s="93" t="s">
        <v>4265</v>
      </c>
    </row>
    <row r="447" spans="1:5" ht="112" x14ac:dyDescent="0.2">
      <c r="A447" s="95" t="s">
        <v>4266</v>
      </c>
      <c r="B447" s="90" t="s">
        <v>4188</v>
      </c>
      <c r="C447" s="93" t="str">
        <f>LEFT(MID(B447,FIND("(",B447)+1,10),FIND("-",MID(B447,FIND("(",B447)+1,10))-1)</f>
        <v>1</v>
      </c>
      <c r="D447" s="93" t="str">
        <f>TRIM(MID(B447,FIND(" ",B447,FIND("(",B447))+1,FIND(")",B447)-FIND(" ",B447,FIND("(",B447))-1))</f>
        <v>Litre</v>
      </c>
      <c r="E447" s="93" t="s">
        <v>4124</v>
      </c>
    </row>
    <row r="448" spans="1:5" ht="48" x14ac:dyDescent="0.2">
      <c r="A448" s="95" t="s">
        <v>338</v>
      </c>
      <c r="B448" s="90" t="s">
        <v>4125</v>
      </c>
      <c r="C448" s="93" t="str">
        <f>LEFT(MID(B448,FIND("(",B448)+1,10),FIND("-",MID(B448,FIND("(",B448)+1,10))-1)</f>
        <v>750</v>
      </c>
      <c r="D448" s="93" t="str">
        <f>TRIM(MID(B448,FIND(" ",B448,FIND("(",B448))+1,FIND(")",B448)-FIND(" ",B448,FIND("(",B448))-1))</f>
        <v>ml</v>
      </c>
      <c r="E448" s="93" t="s">
        <v>4117</v>
      </c>
    </row>
    <row r="449" spans="1:5" ht="32" x14ac:dyDescent="0.2">
      <c r="A449" s="95" t="s">
        <v>363</v>
      </c>
      <c r="B449" s="90" t="s">
        <v>4217</v>
      </c>
      <c r="C449" s="93" t="e">
        <f>LEFT(MID(B449,FIND("(",B449)+1,10),FIND("-",MID(B449,FIND("(",B449)+1,10))-1)</f>
        <v>#VALUE!</v>
      </c>
      <c r="D449" s="93" t="e">
        <f>TRIM(MID(B449,FIND(" ",B449,FIND("(",B449))+1,FIND(")",B449)-FIND(" ",B449,FIND("(",B449))-1))</f>
        <v>#VALUE!</v>
      </c>
      <c r="E449" s="93" t="s">
        <v>4117</v>
      </c>
    </row>
    <row r="450" spans="1:5" ht="48" x14ac:dyDescent="0.2">
      <c r="A450" s="95" t="s">
        <v>4189</v>
      </c>
      <c r="B450" s="90" t="s">
        <v>4237</v>
      </c>
      <c r="C450" s="93" t="str">
        <f>LEFT(MID(B450,FIND("(",B450)+1,10),FIND("-",MID(B450,FIND("(",B450)+1,10))-1)</f>
        <v>100</v>
      </c>
      <c r="D450" s="93" t="str">
        <f>TRIM(MID(B450,FIND(" ",B450,FIND("(",B450))+1,FIND(")",B450)-FIND(" ",B450,FIND("(",B450))-1))</f>
        <v>Adet</v>
      </c>
      <c r="E450" s="2" t="s">
        <v>4191</v>
      </c>
    </row>
    <row r="451" spans="1:5" ht="40" x14ac:dyDescent="0.2">
      <c r="A451" s="97" t="s">
        <v>532</v>
      </c>
      <c r="B451" s="90" t="s">
        <v>4267</v>
      </c>
      <c r="C451" s="93" t="str">
        <f>LEFT(MID(B451,FIND("(",B451)+1,10),FIND("-",MID(B451,FIND("(",B451)+1,10))-1)</f>
        <v>3</v>
      </c>
      <c r="D451" s="93" t="str">
        <f>TRIM(MID(B451,FIND(" ",B451,FIND("(",B451))+1,FIND(")",B451)-FIND(" ",B451,FIND("(",B451))-1))</f>
        <v>Litre</v>
      </c>
      <c r="E451" s="93" t="s">
        <v>4193</v>
      </c>
    </row>
    <row r="452" spans="1:5" ht="38" x14ac:dyDescent="0.2">
      <c r="A452" s="95" t="s">
        <v>4127</v>
      </c>
      <c r="B452" s="90" t="s">
        <v>4128</v>
      </c>
      <c r="C452" s="93" t="str">
        <f>LEFT(MID(B452,FIND("(",B452)+1,10),FIND("-",MID(B452,FIND("(",B452)+1,10))-1)</f>
        <v>100</v>
      </c>
      <c r="D452" s="93" t="str">
        <f>TRIM(MID(B452,FIND(" ",B452,FIND("(",B452))+1,FIND(")",B452)-FIND(" ",B452,FIND("(",B452))-1))</f>
        <v>ml</v>
      </c>
      <c r="E452" s="93" t="s">
        <v>4129</v>
      </c>
    </row>
    <row r="453" spans="1:5" ht="48" x14ac:dyDescent="0.2">
      <c r="A453" s="95" t="s">
        <v>4133</v>
      </c>
      <c r="B453" s="90" t="s">
        <v>4110</v>
      </c>
      <c r="C453" s="93" t="str">
        <f>LEFT(MID(B453,FIND("(",B453)+1,10),FIND("-",MID(B453,FIND("(",B453)+1,10))-1)</f>
        <v>1</v>
      </c>
      <c r="D453" s="93" t="str">
        <f>TRIM(MID(B453,FIND(" ",B453,FIND("(",B453))+1,FIND(")",B453)-FIND(" ",B453,FIND("(",B453))-1))</f>
        <v>Litre</v>
      </c>
      <c r="E453" s="2" t="s">
        <v>4134</v>
      </c>
    </row>
    <row r="454" spans="1:5" ht="48" x14ac:dyDescent="0.2">
      <c r="A454" s="95" t="s">
        <v>4130</v>
      </c>
      <c r="B454" s="90" t="s">
        <v>4110</v>
      </c>
      <c r="C454" s="93" t="str">
        <f>LEFT(MID(B454,FIND("(",B454)+1,10),FIND("-",MID(B454,FIND("(",B454)+1,10))-1)</f>
        <v>1</v>
      </c>
      <c r="D454" s="93" t="str">
        <f>TRIM(MID(B454,FIND(" ",B454,FIND("(",B454))+1,FIND(")",B454)-FIND(" ",B454,FIND("(",B454))-1))</f>
        <v>Litre</v>
      </c>
      <c r="E454" s="93" t="s">
        <v>4157</v>
      </c>
    </row>
    <row r="455" spans="1:5" ht="48" x14ac:dyDescent="0.2">
      <c r="A455" s="95" t="s">
        <v>4135</v>
      </c>
      <c r="B455" s="90" t="s">
        <v>4110</v>
      </c>
      <c r="C455" s="93" t="str">
        <f>LEFT(MID(B455,FIND("(",B455)+1,10),FIND("-",MID(B455,FIND("(",B455)+1,10))-1)</f>
        <v>1</v>
      </c>
      <c r="D455" s="93" t="str">
        <f>TRIM(MID(B455,FIND(" ",B455,FIND("(",B455))+1,FIND(")",B455)-FIND(" ",B455,FIND("(",B455))-1))</f>
        <v>Litre</v>
      </c>
      <c r="E455" s="93" t="s">
        <v>4117</v>
      </c>
    </row>
    <row r="456" spans="1:5" ht="48" x14ac:dyDescent="0.2">
      <c r="A456" s="95" t="s">
        <v>338</v>
      </c>
      <c r="B456" s="90" t="s">
        <v>4125</v>
      </c>
      <c r="C456" s="93" t="str">
        <f>LEFT(MID(B456,FIND("(",B456)+1,10),FIND("-",MID(B456,FIND("(",B456)+1,10))-1)</f>
        <v>750</v>
      </c>
      <c r="D456" s="93" t="str">
        <f>TRIM(MID(B456,FIND(" ",B456,FIND("(",B456))+1,FIND(")",B456)-FIND(" ",B456,FIND("(",B456))-1))</f>
        <v>ml</v>
      </c>
      <c r="E456" s="93" t="s">
        <v>4117</v>
      </c>
    </row>
    <row r="457" spans="1:5" ht="37" x14ac:dyDescent="0.2">
      <c r="A457" s="95" t="s">
        <v>363</v>
      </c>
      <c r="B457" s="90" t="s">
        <v>4229</v>
      </c>
      <c r="C457" s="93" t="str">
        <f>LEFT(MID(B457,FIND("(",B457)+1,10),FIND("-",MID(B457,FIND("(",B457)+1,10))-1)</f>
        <v>6</v>
      </c>
      <c r="D457" s="93" t="str">
        <f>TRIM(MID(B457,FIND(" ",B457,FIND("(",B457))+1,FIND(")",B457)-FIND(" ",B457,FIND("(",B457))-1))</f>
        <v>Litre</v>
      </c>
      <c r="E457" s="93" t="s">
        <v>4117</v>
      </c>
    </row>
    <row r="458" spans="1:5" ht="48" x14ac:dyDescent="0.2">
      <c r="A458" s="95" t="s">
        <v>4135</v>
      </c>
      <c r="B458" s="90" t="s">
        <v>4110</v>
      </c>
      <c r="C458" s="93" t="str">
        <f>LEFT(MID(B458,FIND("(",B458)+1,10),FIND("-",MID(B458,FIND("(",B458)+1,10))-1)</f>
        <v>1</v>
      </c>
      <c r="D458" s="93" t="str">
        <f>TRIM(MID(B458,FIND(" ",B458,FIND("(",B458))+1,FIND(")",B458)-FIND(" ",B458,FIND("(",B458))-1))</f>
        <v>Litre</v>
      </c>
      <c r="E458" s="93" t="s">
        <v>4117</v>
      </c>
    </row>
    <row r="459" spans="1:5" ht="48" x14ac:dyDescent="0.2">
      <c r="A459" s="95" t="s">
        <v>4489</v>
      </c>
      <c r="B459" s="90" t="s">
        <v>828</v>
      </c>
      <c r="C459" s="93">
        <v>1</v>
      </c>
      <c r="D459" s="93" t="s">
        <v>4594</v>
      </c>
      <c r="E459" s="2" t="s">
        <v>4490</v>
      </c>
    </row>
    <row r="460" spans="1:5" ht="48" x14ac:dyDescent="0.2">
      <c r="A460" s="95" t="s">
        <v>4120</v>
      </c>
      <c r="B460" s="90" t="s">
        <v>4121</v>
      </c>
      <c r="C460" s="93" t="str">
        <f>LEFT(MID(B460,FIND("(",B460)+1,10),FIND("-",MID(B460,FIND("(",B460)+1,10))-1)</f>
        <v>5</v>
      </c>
      <c r="D460" s="93" t="str">
        <f>TRIM(MID(B460,FIND(" ",B460,FIND("(",B460))+1,FIND(")",B460)-FIND(" ",B460,FIND("(",B460))-1))</f>
        <v>Litre</v>
      </c>
      <c r="E460" s="2" t="s">
        <v>4122</v>
      </c>
    </row>
    <row r="461" spans="1:5" ht="51" x14ac:dyDescent="0.2">
      <c r="A461" s="95" t="s">
        <v>338</v>
      </c>
      <c r="B461" s="90" t="s">
        <v>4491</v>
      </c>
      <c r="C461" s="93" t="str">
        <f>LEFT(MID(B461,FIND("(",B461)+1,10),FIND("-",MID(B461,FIND("(",B461)+1,10))-1)</f>
        <v>3750</v>
      </c>
      <c r="D461" s="93" t="str">
        <f>TRIM(MID(B461,FIND(" ",B461,FIND("(",B461))+1,FIND(")",B461)-FIND(" ",B461,FIND("(",B461))-1))</f>
        <v>ml</v>
      </c>
      <c r="E461" s="93" t="s">
        <v>4117</v>
      </c>
    </row>
    <row r="462" spans="1:5" ht="48" x14ac:dyDescent="0.2">
      <c r="A462" s="95" t="s">
        <v>4189</v>
      </c>
      <c r="B462" s="90" t="s">
        <v>4237</v>
      </c>
      <c r="C462" s="93" t="str">
        <f>LEFT(MID(B462,FIND("(",B462)+1,10),FIND("-",MID(B462,FIND("(",B462)+1,10))-1)</f>
        <v>100</v>
      </c>
      <c r="D462" s="93" t="str">
        <f>TRIM(MID(B462,FIND(" ",B462,FIND("(",B462))+1,FIND(")",B462)-FIND(" ",B462,FIND("(",B462))-1))</f>
        <v>Adet</v>
      </c>
      <c r="E462" s="2" t="s">
        <v>4191</v>
      </c>
    </row>
    <row r="463" spans="1:5" ht="48" x14ac:dyDescent="0.2">
      <c r="A463" s="95" t="s">
        <v>4133</v>
      </c>
      <c r="B463" s="90" t="s">
        <v>4110</v>
      </c>
      <c r="C463" s="93" t="str">
        <f>LEFT(MID(B463,FIND("(",B463)+1,10),FIND("-",MID(B463,FIND("(",B463)+1,10))-1)</f>
        <v>1</v>
      </c>
      <c r="D463" s="93" t="str">
        <f>TRIM(MID(B463,FIND(" ",B463,FIND("(",B463))+1,FIND(")",B463)-FIND(" ",B463,FIND("(",B463))-1))</f>
        <v>Litre</v>
      </c>
      <c r="E463" s="2" t="s">
        <v>4134</v>
      </c>
    </row>
    <row r="464" spans="1:5" ht="48" x14ac:dyDescent="0.2">
      <c r="A464" s="95" t="s">
        <v>4135</v>
      </c>
      <c r="B464" s="90" t="s">
        <v>4162</v>
      </c>
      <c r="C464" s="93" t="str">
        <f>LEFT(MID(B464,FIND("(",B464)+1,10),FIND("-",MID(B464,FIND("(",B464)+1,10))-1)</f>
        <v>5</v>
      </c>
      <c r="D464" s="93" t="str">
        <f>TRIM(MID(B464,FIND(" ",B464,FIND("(",B464))+1,FIND(")",B464)-FIND(" ",B464,FIND("(",B464))-1))</f>
        <v>Litre</v>
      </c>
      <c r="E464" s="93" t="s">
        <v>4117</v>
      </c>
    </row>
    <row r="465" spans="1:5" ht="48" x14ac:dyDescent="0.2">
      <c r="A465" s="95" t="s">
        <v>4136</v>
      </c>
      <c r="B465" s="90" t="s">
        <v>4137</v>
      </c>
      <c r="C465" s="93" t="str">
        <f>LEFT(MID(B465,FIND("(",B465)+1,10),FIND("-",MID(B465,FIND("(",B465)+1,10))-1)</f>
        <v>250</v>
      </c>
      <c r="D465" s="93" t="str">
        <f>TRIM(MID(B465,FIND(" ",B465,FIND("(",B465))+1,FIND(")",B465)-FIND(" ",B465,FIND("(",B465))-1))</f>
        <v>gr</v>
      </c>
      <c r="E465" s="93" t="s">
        <v>4134</v>
      </c>
    </row>
    <row r="466" spans="1:5" ht="48" x14ac:dyDescent="0.2">
      <c r="A466" s="95" t="s">
        <v>4115</v>
      </c>
      <c r="B466" s="90" t="s">
        <v>4116</v>
      </c>
      <c r="C466" s="93" t="str">
        <f>LEFT(MID(B466,FIND("(",B466)+1,10),FIND("-",MID(B466,FIND("(",B466)+1,10))-1)</f>
        <v>5</v>
      </c>
      <c r="D466" s="93" t="str">
        <f>TRIM(MID(B466,FIND(" ",B466,FIND("(",B466))+1,FIND(")",B466)-FIND(" ",B466,FIND("(",B466))-1))</f>
        <v>Litre</v>
      </c>
      <c r="E466" s="93" t="s">
        <v>4117</v>
      </c>
    </row>
    <row r="467" spans="1:5" ht="48" x14ac:dyDescent="0.2">
      <c r="A467" s="95" t="s">
        <v>338</v>
      </c>
      <c r="B467" s="90" t="s">
        <v>4125</v>
      </c>
      <c r="C467" s="93" t="str">
        <f>LEFT(MID(B467,FIND("(",B467)+1,10),FIND("-",MID(B467,FIND("(",B467)+1,10))-1)</f>
        <v>750</v>
      </c>
      <c r="D467" s="93" t="str">
        <f>TRIM(MID(B467,FIND(" ",B467,FIND("(",B467))+1,FIND(")",B467)-FIND(" ",B467,FIND("(",B467))-1))</f>
        <v>ml</v>
      </c>
      <c r="E467" s="93" t="s">
        <v>4117</v>
      </c>
    </row>
    <row r="468" spans="1:5" ht="37" x14ac:dyDescent="0.2">
      <c r="A468" s="95" t="s">
        <v>363</v>
      </c>
      <c r="B468" s="90" t="s">
        <v>4126</v>
      </c>
      <c r="C468" s="93" t="str">
        <f>LEFT(MID(B468,FIND("(",B468)+1,10),FIND("-",MID(B468,FIND("(",B468)+1,10))-1)</f>
        <v>6</v>
      </c>
      <c r="D468" s="93" t="str">
        <f>TRIM(MID(B468,FIND(" ",B468,FIND("(",B468))+1,FIND(")",B468)-FIND(" ",B468,FIND("(",B468))-1))</f>
        <v>Litre</v>
      </c>
      <c r="E468" s="2" t="s">
        <v>4117</v>
      </c>
    </row>
    <row r="469" spans="1:5" ht="48" x14ac:dyDescent="0.2">
      <c r="A469" s="95" t="s">
        <v>4201</v>
      </c>
      <c r="B469" s="90" t="s">
        <v>4182</v>
      </c>
      <c r="C469" s="93" t="str">
        <f>LEFT(MID(B469,FIND("(",B469)+1,10),FIND("-",MID(B469,FIND("(",B469)+1,10))-1)</f>
        <v>5</v>
      </c>
      <c r="D469" s="93" t="str">
        <f>TRIM(MID(B469,FIND(" ",B469,FIND("(",B469))+1,FIND(")",B469)-FIND(" ",B469,FIND("(",B469))-1))</f>
        <v>Litre</v>
      </c>
      <c r="E469" s="2" t="s">
        <v>4117</v>
      </c>
    </row>
    <row r="470" spans="1:5" ht="48" x14ac:dyDescent="0.2">
      <c r="A470" s="95" t="s">
        <v>4202</v>
      </c>
      <c r="B470" s="90" t="s">
        <v>4233</v>
      </c>
      <c r="C470" s="93" t="str">
        <f>LEFT(MID(B470,FIND("(",B470)+1,10),FIND("-",MID(B470,FIND("(",B470)+1,10))-1)</f>
        <v>5</v>
      </c>
      <c r="D470" s="93" t="str">
        <f>TRIM(MID(B470,FIND(" ",B470,FIND("(",B470))+1,FIND(")",B470)-FIND(" ",B470,FIND("(",B470))-1))</f>
        <v>Litre</v>
      </c>
      <c r="E470" s="93" t="s">
        <v>4117</v>
      </c>
    </row>
    <row r="471" spans="1:5" ht="48" x14ac:dyDescent="0.2">
      <c r="A471" s="95" t="s">
        <v>4203</v>
      </c>
      <c r="B471" s="90" t="s">
        <v>4233</v>
      </c>
      <c r="C471" s="93" t="str">
        <f>LEFT(MID(B471,FIND("(",B471)+1,10),FIND("-",MID(B471,FIND("(",B471)+1,10))-1)</f>
        <v>5</v>
      </c>
      <c r="D471" s="93" t="str">
        <f>TRIM(MID(B471,FIND(" ",B471,FIND("(",B471))+1,FIND(")",B471)-FIND(" ",B471,FIND("(",B471))-1))</f>
        <v>Litre</v>
      </c>
      <c r="E471" s="93" t="s">
        <v>4117</v>
      </c>
    </row>
    <row r="472" spans="1:5" ht="48" x14ac:dyDescent="0.2">
      <c r="A472" s="95" t="s">
        <v>4204</v>
      </c>
      <c r="B472" s="90" t="s">
        <v>4182</v>
      </c>
      <c r="C472" s="93" t="str">
        <f>LEFT(MID(B472,FIND("(",B472)+1,10),FIND("-",MID(B472,FIND("(",B472)+1,10))-1)</f>
        <v>5</v>
      </c>
      <c r="D472" s="93" t="str">
        <f>TRIM(MID(B472,FIND(" ",B472,FIND("(",B472))+1,FIND(")",B472)-FIND(" ",B472,FIND("(",B472))-1))</f>
        <v>Litre</v>
      </c>
      <c r="E472" s="93" t="s">
        <v>4117</v>
      </c>
    </row>
    <row r="473" spans="1:5" ht="48" x14ac:dyDescent="0.2">
      <c r="A473" s="95" t="s">
        <v>663</v>
      </c>
      <c r="B473" s="90" t="s">
        <v>4233</v>
      </c>
      <c r="C473" s="93" t="str">
        <f>LEFT(MID(B473,FIND("(",B473)+1,10),FIND("-",MID(B473,FIND("(",B473)+1,10))-1)</f>
        <v>5</v>
      </c>
      <c r="D473" s="93" t="str">
        <f>TRIM(MID(B473,FIND(" ",B473,FIND("(",B473))+1,FIND(")",B473)-FIND(" ",B473,FIND("(",B473))-1))</f>
        <v>Litre</v>
      </c>
      <c r="E473" s="93" t="s">
        <v>4117</v>
      </c>
    </row>
    <row r="474" spans="1:5" ht="48" x14ac:dyDescent="0.2">
      <c r="A474" s="95" t="s">
        <v>663</v>
      </c>
      <c r="B474" s="90" t="s">
        <v>4182</v>
      </c>
      <c r="C474" s="93" t="str">
        <f>LEFT(MID(B474,FIND("(",B474)+1,10),FIND("-",MID(B474,FIND("(",B474)+1,10))-1)</f>
        <v>5</v>
      </c>
      <c r="D474" s="93" t="str">
        <f>TRIM(MID(B474,FIND(" ",B474,FIND("(",B474))+1,FIND(")",B474)-FIND(" ",B474,FIND("(",B474))-1))</f>
        <v>Litre</v>
      </c>
      <c r="E474" s="93" t="s">
        <v>4117</v>
      </c>
    </row>
    <row r="475" spans="1:5" ht="48" x14ac:dyDescent="0.2">
      <c r="A475" s="95" t="s">
        <v>4135</v>
      </c>
      <c r="B475" s="90" t="s">
        <v>4221</v>
      </c>
      <c r="C475" s="93" t="str">
        <f>LEFT(MID(B475,FIND("(",B475)+1,10),FIND("-",MID(B475,FIND("(",B475)+1,10))-1)</f>
        <v>1</v>
      </c>
      <c r="D475" s="93" t="str">
        <f>TRIM(MID(B475,FIND(" ",B475,FIND("(",B475))+1,FIND(")",B475)-FIND(" ",B475,FIND("(",B475))-1))</f>
        <v>Litre</v>
      </c>
      <c r="E475" s="93" t="s">
        <v>4117</v>
      </c>
    </row>
    <row r="476" spans="1:5" ht="64" x14ac:dyDescent="0.2">
      <c r="A476" s="95" t="s">
        <v>4492</v>
      </c>
      <c r="B476" s="90" t="s">
        <v>4493</v>
      </c>
      <c r="C476" s="93" t="str">
        <f>LEFT(MID(B476,FIND("(",B476)+1,10),FIND("-",MID(B476,FIND("(",B476)+1,10))-1)</f>
        <v>3</v>
      </c>
      <c r="D476" s="93" t="str">
        <f>TRIM(MID(B476,FIND(" ",B476,FIND("(",B476))+1,FIND(")",B476)-FIND(" ",B476,FIND("(",B476))-1))</f>
        <v>kg</v>
      </c>
      <c r="E476" s="93" t="s">
        <v>4494</v>
      </c>
    </row>
    <row r="477" spans="1:5" ht="64" x14ac:dyDescent="0.2">
      <c r="A477" s="95" t="s">
        <v>4495</v>
      </c>
      <c r="B477" s="90" t="s">
        <v>4493</v>
      </c>
      <c r="C477" s="93" t="str">
        <f>LEFT(MID(B477,FIND("(",B477)+1,10),FIND("-",MID(B477,FIND("(",B477)+1,10))-1)</f>
        <v>3</v>
      </c>
      <c r="D477" s="93" t="str">
        <f>TRIM(MID(B477,FIND(" ",B477,FIND("(",B477))+1,FIND(")",B477)-FIND(" ",B477,FIND("(",B477))-1))</f>
        <v>kg</v>
      </c>
      <c r="E477" s="93" t="s">
        <v>4494</v>
      </c>
    </row>
    <row r="478" spans="1:5" ht="48" x14ac:dyDescent="0.2">
      <c r="A478" s="95" t="s">
        <v>4496</v>
      </c>
      <c r="B478" s="90" t="s">
        <v>4497</v>
      </c>
      <c r="C478" s="93" t="str">
        <f>LEFT(MID(B478,FIND("(",B478)+1,10),FIND("-",MID(B478,FIND("(",B478)+1,10))-1)</f>
        <v>25</v>
      </c>
      <c r="D478" s="93" t="str">
        <f>TRIM(MID(B478,FIND(" ",B478,FIND("(",B478))+1,FIND(")",B478)-FIND(" ",B478,FIND("(",B478))-1))</f>
        <v>litre</v>
      </c>
      <c r="E478" s="93" t="s">
        <v>4498</v>
      </c>
    </row>
    <row r="479" spans="1:5" ht="64" x14ac:dyDescent="0.2">
      <c r="A479" s="95" t="s">
        <v>4499</v>
      </c>
      <c r="B479" s="90" t="s">
        <v>4500</v>
      </c>
      <c r="C479" s="93" t="str">
        <f>LEFT(MID(B479,FIND("(",B479)+1,10),FIND("-",MID(B479,FIND("(",B479)+1,10))-1)</f>
        <v>5</v>
      </c>
      <c r="D479" s="93" t="s">
        <v>4597</v>
      </c>
      <c r="E479" s="93" t="s">
        <v>4501</v>
      </c>
    </row>
    <row r="480" spans="1:5" ht="112" x14ac:dyDescent="0.2">
      <c r="A480" s="95" t="s">
        <v>4502</v>
      </c>
      <c r="B480" s="90" t="s">
        <v>4156</v>
      </c>
      <c r="C480" s="93" t="str">
        <f>LEFT(MID(B480,FIND("(",B480)+1,10),FIND("-",MID(B480,FIND("(",B480)+1,10))-1)</f>
        <v>5</v>
      </c>
      <c r="D480" s="93" t="str">
        <f>TRIM(MID(B480,FIND(" ",B480,FIND("(",B480))+1,FIND(")",B480)-FIND(" ",B480,FIND("(",B480))-1))</f>
        <v>Litre</v>
      </c>
      <c r="E480" s="93" t="s">
        <v>4501</v>
      </c>
    </row>
    <row r="481" spans="1:5" ht="38" x14ac:dyDescent="0.2">
      <c r="A481" s="95" t="s">
        <v>4503</v>
      </c>
      <c r="B481" s="90" t="s">
        <v>4504</v>
      </c>
      <c r="C481" s="93" t="str">
        <f>LEFT(MID(B481,FIND("(",B481)+1,10),FIND("-",MID(B481,FIND("(",B481)+1,10))-1)</f>
        <v>60</v>
      </c>
      <c r="D481" s="93" t="str">
        <f>TRIM(MID(B481,FIND(" ",B481,FIND("(",B481))+1,FIND(")",B481)-FIND(" ",B481,FIND("(",B481))-1))</f>
        <v>Litre</v>
      </c>
      <c r="E481" s="93" t="s">
        <v>4501</v>
      </c>
    </row>
    <row r="482" spans="1:5" ht="48" x14ac:dyDescent="0.2">
      <c r="A482" s="95" t="s">
        <v>4120</v>
      </c>
      <c r="B482" s="90" t="s">
        <v>4505</v>
      </c>
      <c r="C482" s="93" t="str">
        <f>LEFT(MID(B482,FIND("(",B482)+1,10),FIND("-",MID(B482,FIND("(",B482)+1,10))-1)</f>
        <v>100</v>
      </c>
      <c r="D482" s="93" t="str">
        <f>TRIM(MID(B482,FIND(" ",B482,FIND("(",B482))+1,FIND(")",B482)-FIND(" ",B482,FIND("(",B482))-1))</f>
        <v>Litre</v>
      </c>
      <c r="E482" s="93" t="s">
        <v>4122</v>
      </c>
    </row>
    <row r="483" spans="1:5" ht="64" x14ac:dyDescent="0.2">
      <c r="A483" s="95" t="s">
        <v>4506</v>
      </c>
      <c r="B483" s="90" t="s">
        <v>4507</v>
      </c>
      <c r="C483" s="93">
        <v>5</v>
      </c>
      <c r="D483" s="93" t="s">
        <v>4594</v>
      </c>
      <c r="E483" s="93" t="s">
        <v>4122</v>
      </c>
    </row>
    <row r="484" spans="1:5" ht="48" x14ac:dyDescent="0.2">
      <c r="A484" s="95" t="s">
        <v>4508</v>
      </c>
      <c r="B484" s="90" t="s">
        <v>4509</v>
      </c>
      <c r="C484" s="93" t="str">
        <f>LEFT(MID(B484,FIND("(",B484)+1,10),FIND("-",MID(B484,FIND("(",B484)+1,10))-1)</f>
        <v>500</v>
      </c>
      <c r="D484" s="93" t="str">
        <f>TRIM(MID(B484,FIND(" ",B484,FIND("(",B484))+1,FIND(")",B484)-FIND(" ",B484,FIND("(",B484))-1))</f>
        <v>ml</v>
      </c>
      <c r="E484" s="93"/>
    </row>
    <row r="485" spans="1:5" ht="44" x14ac:dyDescent="0.2">
      <c r="A485" s="95" t="s">
        <v>4510</v>
      </c>
      <c r="B485" s="90" t="s">
        <v>4224</v>
      </c>
      <c r="C485" s="93" t="str">
        <f>LEFT(MID(B485,FIND("(",B485)+1,10),FIND("-",MID(B485,FIND("(",B485)+1,10))-1)</f>
        <v>200</v>
      </c>
      <c r="D485" s="93" t="str">
        <f>TRIM(MID(B485,FIND(" ",B485,FIND("(",B485))+1,FIND(")",B485)-FIND(" ",B485,FIND("(",B485))-1))</f>
        <v>ml</v>
      </c>
      <c r="E485" s="93" t="s">
        <v>4511</v>
      </c>
    </row>
    <row r="486" spans="1:5" ht="80" x14ac:dyDescent="0.2">
      <c r="A486" s="95" t="s">
        <v>4512</v>
      </c>
      <c r="B486" s="90" t="s">
        <v>4513</v>
      </c>
      <c r="C486" s="93" t="str">
        <f>LEFT(MID(B486,FIND("(",B486)+1,10),FIND("-",MID(B486,FIND("(",B486)+1,10))-1)</f>
        <v>500</v>
      </c>
      <c r="D486" s="93" t="str">
        <f>TRIM(MID(B486,FIND(" ",B486,FIND("(",B486))+1,FIND(")",B486)-FIND(" ",B486,FIND("(",B486))-1))</f>
        <v>gr</v>
      </c>
      <c r="E486" s="93"/>
    </row>
    <row r="487" spans="1:5" ht="37" x14ac:dyDescent="0.2">
      <c r="A487" s="95" t="s">
        <v>4514</v>
      </c>
      <c r="B487" s="90" t="s">
        <v>4515</v>
      </c>
      <c r="C487" s="93" t="str">
        <f>LEFT(MID(B487,FIND("(",B487)+1,10),FIND("-",MID(B487,FIND("(",B487)+1,10))-1)</f>
        <v>40</v>
      </c>
      <c r="D487" s="93" t="str">
        <f>TRIM(MID(B487,FIND(" ",B487,FIND("(",B487))+1,FIND(")",B487)-FIND(" ",B487,FIND("(",B487))-1))</f>
        <v>Litre</v>
      </c>
      <c r="E487" s="93"/>
    </row>
    <row r="488" spans="1:5" ht="64" x14ac:dyDescent="0.2">
      <c r="A488" s="95" t="s">
        <v>4516</v>
      </c>
      <c r="B488" s="90" t="s">
        <v>4517</v>
      </c>
      <c r="C488" s="93">
        <v>5</v>
      </c>
      <c r="D488" s="93" t="s">
        <v>4596</v>
      </c>
      <c r="E488" s="93" t="s">
        <v>4518</v>
      </c>
    </row>
    <row r="489" spans="1:5" ht="37" x14ac:dyDescent="0.2">
      <c r="A489" s="95" t="s">
        <v>4519</v>
      </c>
      <c r="B489" s="90" t="s">
        <v>4520</v>
      </c>
      <c r="C489" s="93" t="str">
        <f>LEFT(MID(B489,FIND("(",B489)+1,10),FIND("-",MID(B489,FIND("(",B489)+1,10))-1)</f>
        <v>20</v>
      </c>
      <c r="D489" s="93" t="str">
        <f>TRIM(MID(B489,FIND(" ",B489,FIND("(",B489))+1,FIND(")",B489)-FIND(" ",B489,FIND("(",B489))-1))</f>
        <v>kg</v>
      </c>
      <c r="E489" s="93" t="s">
        <v>4494</v>
      </c>
    </row>
    <row r="490" spans="1:5" ht="48" x14ac:dyDescent="0.2">
      <c r="A490" s="95" t="s">
        <v>4521</v>
      </c>
      <c r="B490" s="90" t="s">
        <v>4522</v>
      </c>
      <c r="C490" s="93" t="str">
        <f>LEFT(MID(B490,FIND("(",B490)+1,10),FIND("-",MID(B490,FIND("(",B490)+1,10))-1)</f>
        <v>7,5</v>
      </c>
      <c r="D490" s="93" t="str">
        <f>TRIM(MID(B490,FIND(" ",B490,FIND("(",B490))+1,FIND(")",B490)-FIND(" ",B490,FIND("(",B490))-1))</f>
        <v>Litre</v>
      </c>
      <c r="E490" s="93" t="s">
        <v>4523</v>
      </c>
    </row>
    <row r="491" spans="1:5" ht="37" x14ac:dyDescent="0.2">
      <c r="A491" s="95" t="s">
        <v>4524</v>
      </c>
      <c r="B491" s="90" t="s">
        <v>4520</v>
      </c>
      <c r="C491" s="93" t="str">
        <f>LEFT(MID(B491,FIND("(",B491)+1,10),FIND("-",MID(B491,FIND("(",B491)+1,10))-1)</f>
        <v>20</v>
      </c>
      <c r="D491" s="93" t="str">
        <f>TRIM(MID(B491,FIND(" ",B491,FIND("(",B491))+1,FIND(")",B491)-FIND(" ",B491,FIND("(",B491))-1))</f>
        <v>kg</v>
      </c>
      <c r="E491" s="93" t="s">
        <v>4525</v>
      </c>
    </row>
    <row r="492" spans="1:5" ht="33" x14ac:dyDescent="0.2">
      <c r="A492" s="95" t="s">
        <v>4228</v>
      </c>
      <c r="B492" s="90" t="s">
        <v>4526</v>
      </c>
      <c r="C492" s="93">
        <v>3</v>
      </c>
      <c r="D492" s="93" t="s">
        <v>4594</v>
      </c>
      <c r="E492" s="93" t="s">
        <v>4122</v>
      </c>
    </row>
    <row r="493" spans="1:5" ht="82" x14ac:dyDescent="0.2">
      <c r="A493" s="95" t="s">
        <v>4527</v>
      </c>
      <c r="B493" s="90" t="s">
        <v>4528</v>
      </c>
      <c r="C493" s="93" t="str">
        <f>LEFT(MID(B493,FIND("(",B493)+1,10),FIND("-",MID(B493,FIND("(",B493)+1,10))-1)</f>
        <v>310</v>
      </c>
      <c r="D493" s="93" t="str">
        <f>TRIM(MID(B493,FIND(" ",B493,FIND("(",B493))+1,FIND(")",B493)-FIND(" ",B493,FIND("(",B493))-1))</f>
        <v>ml</v>
      </c>
      <c r="E493" s="93" t="s">
        <v>4529</v>
      </c>
    </row>
    <row r="494" spans="1:5" ht="80" x14ac:dyDescent="0.2">
      <c r="A494" s="95" t="s">
        <v>4530</v>
      </c>
      <c r="B494" s="90" t="s">
        <v>4531</v>
      </c>
      <c r="C494" s="93" t="str">
        <f>LEFT(MID(B494,FIND("(",B494)+1,10),FIND("-",MID(B494,FIND("(",B494)+1,10))-1)</f>
        <v>8400</v>
      </c>
      <c r="D494" s="93" t="str">
        <f>TRIM(MID(B494,FIND(" ",B494,FIND("(",B494))+1,FIND(")",B494)-FIND(" ",B494,FIND("(",B494))-1))</f>
        <v>gr</v>
      </c>
      <c r="E494" s="93" t="s">
        <v>4532</v>
      </c>
    </row>
    <row r="495" spans="1:5" ht="48" x14ac:dyDescent="0.2">
      <c r="A495" s="95" t="s">
        <v>4135</v>
      </c>
      <c r="B495" s="90" t="s">
        <v>4221</v>
      </c>
      <c r="C495" s="93" t="str">
        <f>LEFT(MID(B495,FIND("(",B495)+1,10),FIND("-",MID(B495,FIND("(",B495)+1,10))-1)</f>
        <v>1</v>
      </c>
      <c r="D495" s="93" t="str">
        <f>TRIM(MID(B495,FIND(" ",B495,FIND("(",B495))+1,FIND(")",B495)-FIND(" ",B495,FIND("(",B495))-1))</f>
        <v>Litre</v>
      </c>
      <c r="E495" s="2" t="s">
        <v>4117</v>
      </c>
    </row>
    <row r="496" spans="1:5" ht="96" x14ac:dyDescent="0.2">
      <c r="A496" s="95" t="s">
        <v>4533</v>
      </c>
      <c r="B496" s="90" t="s">
        <v>4534</v>
      </c>
      <c r="C496" s="93" t="str">
        <f>LEFT(MID(B496,FIND("(",B496)+1,10),FIND("-",MID(B496,FIND("(",B496)+1,10))-1)</f>
        <v>125</v>
      </c>
      <c r="D496" s="93" t="str">
        <f>TRIM(MID(B496,FIND(" ",B496,FIND("(",B496))+1,FIND(")",B496)-FIND(" ",B496,FIND("(",B496))-1))</f>
        <v>Litre</v>
      </c>
      <c r="E496" s="93" t="s">
        <v>4525</v>
      </c>
    </row>
    <row r="497" spans="1:5" ht="80" x14ac:dyDescent="0.2">
      <c r="A497" s="95" t="s">
        <v>4535</v>
      </c>
      <c r="B497" s="90" t="s">
        <v>4536</v>
      </c>
      <c r="C497" s="93" t="str">
        <f>LEFT(MID(B497,FIND("(",B497)+1,10),FIND("-",MID(B497,FIND("(",B497)+1,10))-1)</f>
        <v>2</v>
      </c>
      <c r="D497" s="93" t="str">
        <f>TRIM(MID(B497,FIND(" ",B497,FIND("(",B497))+1,FIND(")",B497)-FIND(" ",B497,FIND("(",B497))-1))</f>
        <v>Kg</v>
      </c>
      <c r="E497" s="93" t="s">
        <v>4227</v>
      </c>
    </row>
    <row r="498" spans="1:5" ht="41" x14ac:dyDescent="0.2">
      <c r="A498" s="95" t="s">
        <v>4226</v>
      </c>
      <c r="B498" s="90" t="s">
        <v>4537</v>
      </c>
      <c r="C498" s="93" t="str">
        <f>LEFT(MID(B498,FIND("(",B498)+1,10),FIND("-",MID(B498,FIND("(",B498)+1,10))-1)</f>
        <v>800</v>
      </c>
      <c r="D498" s="93" t="str">
        <f>TRIM(MID(B498,FIND(" ",B498,FIND("(",B498))+1,FIND(")",B498)-FIND(" ",B498,FIND("(",B498))-1))</f>
        <v>ml</v>
      </c>
      <c r="E498" s="93"/>
    </row>
    <row r="499" spans="1:5" ht="64" x14ac:dyDescent="0.2">
      <c r="A499" s="95" t="s">
        <v>4538</v>
      </c>
      <c r="B499" s="90" t="s">
        <v>828</v>
      </c>
      <c r="C499" s="93">
        <v>1</v>
      </c>
      <c r="D499" s="93" t="s">
        <v>4594</v>
      </c>
      <c r="E499" s="2" t="s">
        <v>4117</v>
      </c>
    </row>
    <row r="500" spans="1:5" ht="48" x14ac:dyDescent="0.2">
      <c r="A500" s="95" t="s">
        <v>4115</v>
      </c>
      <c r="B500" s="90" t="s">
        <v>4116</v>
      </c>
      <c r="C500" s="93" t="str">
        <f>LEFT(MID(B500,FIND("(",B500)+1,10),FIND("-",MID(B500,FIND("(",B500)+1,10))-1)</f>
        <v>5</v>
      </c>
      <c r="D500" s="93" t="str">
        <f>TRIM(MID(B500,FIND(" ",B500,FIND("(",B500))+1,FIND(")",B500)-FIND(" ",B500,FIND("(",B500))-1))</f>
        <v>Litre</v>
      </c>
      <c r="E500" s="93" t="s">
        <v>4117</v>
      </c>
    </row>
    <row r="501" spans="1:5" ht="37" x14ac:dyDescent="0.2">
      <c r="A501" s="95" t="s">
        <v>4539</v>
      </c>
      <c r="B501" s="90" t="s">
        <v>4540</v>
      </c>
      <c r="C501" s="93" t="str">
        <f>LEFT(MID(B501,FIND("(",B501)+1,10),FIND("-",MID(B501,FIND("(",B501)+1,10))-1)</f>
        <v>20</v>
      </c>
      <c r="D501" s="93" t="str">
        <f>TRIM(MID(B501,FIND(" ",B501,FIND("(",B501))+1,FIND(")",B501)-FIND(" ",B501,FIND("(",B501))-1))</f>
        <v>litre</v>
      </c>
      <c r="E501" s="2" t="s">
        <v>4541</v>
      </c>
    </row>
    <row r="502" spans="1:5" ht="48" x14ac:dyDescent="0.2">
      <c r="A502" s="95" t="s">
        <v>4542</v>
      </c>
      <c r="B502" s="90" t="s">
        <v>4272</v>
      </c>
      <c r="C502" s="93" t="str">
        <f>LEFT(MID(B502,FIND("(",B502)+1,10),FIND("-",MID(B502,FIND("(",B502)+1,10))-1)</f>
        <v>20</v>
      </c>
      <c r="D502" s="93" t="str">
        <f>TRIM(MID(B502,FIND(" ",B502,FIND("(",B502))+1,FIND(")",B502)-FIND(" ",B502,FIND("(",B502))-1))</f>
        <v>Litre</v>
      </c>
      <c r="E502" s="2" t="s">
        <v>4117</v>
      </c>
    </row>
    <row r="503" spans="1:5" ht="48" x14ac:dyDescent="0.2">
      <c r="A503" s="95" t="s">
        <v>1132</v>
      </c>
      <c r="B503" s="90" t="s">
        <v>4121</v>
      </c>
      <c r="C503" s="93" t="str">
        <f>LEFT(MID(B503,FIND("(",B503)+1,10),FIND("-",MID(B503,FIND("(",B503)+1,10))-1)</f>
        <v>5</v>
      </c>
      <c r="D503" s="93" t="str">
        <f>TRIM(MID(B503,FIND(" ",B503,FIND("(",B503))+1,FIND(")",B503)-FIND(" ",B503,FIND("(",B503))-1))</f>
        <v>Litre</v>
      </c>
      <c r="E503" s="2" t="s">
        <v>4117</v>
      </c>
    </row>
    <row r="504" spans="1:5" ht="48" x14ac:dyDescent="0.2">
      <c r="A504" s="95" t="s">
        <v>4543</v>
      </c>
      <c r="B504" s="90" t="s">
        <v>4121</v>
      </c>
      <c r="C504" s="93" t="str">
        <f>LEFT(MID(B504,FIND("(",B504)+1,10),FIND("-",MID(B504,FIND("(",B504)+1,10))-1)</f>
        <v>5</v>
      </c>
      <c r="D504" s="93" t="str">
        <f>TRIM(MID(B504,FIND(" ",B504,FIND("(",B504))+1,FIND(")",B504)-FIND(" ",B504,FIND("(",B504))-1))</f>
        <v>Litre</v>
      </c>
      <c r="E504" s="2" t="s">
        <v>4117</v>
      </c>
    </row>
    <row r="505" spans="1:5" ht="48" x14ac:dyDescent="0.2">
      <c r="A505" s="95" t="s">
        <v>4544</v>
      </c>
      <c r="B505" s="90" t="s">
        <v>4121</v>
      </c>
      <c r="C505" s="93" t="str">
        <f>LEFT(MID(B505,FIND("(",B505)+1,10),FIND("-",MID(B505,FIND("(",B505)+1,10))-1)</f>
        <v>5</v>
      </c>
      <c r="D505" s="93" t="str">
        <f>TRIM(MID(B505,FIND(" ",B505,FIND("(",B505))+1,FIND(")",B505)-FIND(" ",B505,FIND("(",B505))-1))</f>
        <v>Litre</v>
      </c>
      <c r="E505" s="2" t="s">
        <v>4117</v>
      </c>
    </row>
    <row r="506" spans="1:5" ht="48" x14ac:dyDescent="0.2">
      <c r="A506" s="95" t="s">
        <v>4545</v>
      </c>
      <c r="B506" s="90" t="s">
        <v>4546</v>
      </c>
      <c r="C506" s="93">
        <v>1</v>
      </c>
      <c r="D506" s="93" t="s">
        <v>4595</v>
      </c>
      <c r="E506" s="2" t="s">
        <v>4117</v>
      </c>
    </row>
    <row r="507" spans="1:5" ht="64" x14ac:dyDescent="0.2">
      <c r="A507" s="95" t="s">
        <v>4547</v>
      </c>
      <c r="B507" s="90" t="s">
        <v>4548</v>
      </c>
      <c r="C507" s="93" t="str">
        <f>LEFT(MID(B507,FIND("(",B507)+1,10),FIND("-",MID(B507,FIND("(",B507)+1,10))-1)</f>
        <v>1500</v>
      </c>
      <c r="D507" s="93" t="str">
        <f>TRIM(MID(B507,FIND(" ",B507,FIND("(",B507))+1,FIND(")",B507)-FIND(" ",B507,FIND("(",B507))-1))</f>
        <v>ml</v>
      </c>
      <c r="E507" s="2" t="s">
        <v>4117</v>
      </c>
    </row>
    <row r="508" spans="1:5" ht="48" x14ac:dyDescent="0.2">
      <c r="A508" s="95" t="s">
        <v>338</v>
      </c>
      <c r="B508" s="90" t="s">
        <v>4217</v>
      </c>
      <c r="C508" s="93" t="e">
        <f>LEFT(MID(B508,FIND("(",B508)+1,10),FIND("-",MID(B508,FIND("(",B508)+1,10))-1)</f>
        <v>#VALUE!</v>
      </c>
      <c r="D508" s="93" t="e">
        <f>TRIM(MID(B508,FIND(" ",B508,FIND("(",B508))+1,FIND(")",B508)-FIND(" ",B508,FIND("(",B508))-1))</f>
        <v>#VALUE!</v>
      </c>
      <c r="E508" s="2" t="s">
        <v>4117</v>
      </c>
    </row>
    <row r="509" spans="1:5" ht="37" x14ac:dyDescent="0.2">
      <c r="A509" s="95" t="s">
        <v>363</v>
      </c>
      <c r="B509" s="90" t="s">
        <v>4229</v>
      </c>
      <c r="C509" s="93" t="str">
        <f>LEFT(MID(B509,FIND("(",B509)+1,10),FIND("-",MID(B509,FIND("(",B509)+1,10))-1)</f>
        <v>6</v>
      </c>
      <c r="D509" s="93" t="str">
        <f>TRIM(MID(B509,FIND(" ",B509,FIND("(",B509))+1,FIND(")",B509)-FIND(" ",B509,FIND("(",B509))-1))</f>
        <v>Litre</v>
      </c>
      <c r="E509" s="93" t="s">
        <v>4117</v>
      </c>
    </row>
    <row r="510" spans="1:5" ht="37" x14ac:dyDescent="0.2">
      <c r="A510" s="95" t="s">
        <v>363</v>
      </c>
      <c r="B510" s="90" t="s">
        <v>4229</v>
      </c>
      <c r="C510" s="93" t="str">
        <f>LEFT(MID(B510,FIND("(",B510)+1,10),FIND("-",MID(B510,FIND("(",B510)+1,10))-1)</f>
        <v>6</v>
      </c>
      <c r="D510" s="93" t="str">
        <f>TRIM(MID(B510,FIND(" ",B510,FIND("(",B510))+1,FIND(")",B510)-FIND(" ",B510,FIND("(",B510))-1))</f>
        <v>Litre</v>
      </c>
      <c r="E510" s="93" t="s">
        <v>4117</v>
      </c>
    </row>
    <row r="511" spans="1:5" ht="41" x14ac:dyDescent="0.2">
      <c r="A511" s="95" t="s">
        <v>4549</v>
      </c>
      <c r="B511" s="90" t="s">
        <v>4125</v>
      </c>
      <c r="C511" s="93" t="str">
        <f>LEFT(MID(B511,FIND("(",B511)+1,10),FIND("-",MID(B511,FIND("(",B511)+1,10))-1)</f>
        <v>750</v>
      </c>
      <c r="D511" s="93" t="str">
        <f>TRIM(MID(B511,FIND(" ",B511,FIND("(",B511))+1,FIND(")",B511)-FIND(" ",B511,FIND("(",B511))-1))</f>
        <v>ml</v>
      </c>
      <c r="E511" s="2" t="s">
        <v>4117</v>
      </c>
    </row>
    <row r="512" spans="1:5" ht="64" x14ac:dyDescent="0.2">
      <c r="A512" s="95" t="s">
        <v>4550</v>
      </c>
      <c r="B512" s="90" t="s">
        <v>4110</v>
      </c>
      <c r="C512" s="93" t="str">
        <f>LEFT(MID(B512,FIND("(",B512)+1,10),FIND("-",MID(B512,FIND("(",B512)+1,10))-1)</f>
        <v>1</v>
      </c>
      <c r="D512" s="93" t="str">
        <f>TRIM(MID(B512,FIND(" ",B512,FIND("(",B512))+1,FIND(")",B512)-FIND(" ",B512,FIND("(",B512))-1))</f>
        <v>Litre</v>
      </c>
      <c r="E512" s="93" t="s">
        <v>4551</v>
      </c>
    </row>
    <row r="513" spans="1:5" ht="48" x14ac:dyDescent="0.2">
      <c r="A513" s="96" t="s">
        <v>4552</v>
      </c>
      <c r="B513" s="90" t="s">
        <v>828</v>
      </c>
      <c r="C513" s="93">
        <v>1</v>
      </c>
      <c r="D513" s="93" t="s">
        <v>4594</v>
      </c>
      <c r="E513" s="93" t="s">
        <v>4117</v>
      </c>
    </row>
    <row r="514" spans="1:5" ht="37" x14ac:dyDescent="0.2">
      <c r="A514" s="95" t="s">
        <v>4553</v>
      </c>
      <c r="B514" s="90" t="s">
        <v>4110</v>
      </c>
      <c r="C514" s="93" t="str">
        <f>LEFT(MID(B514,FIND("(",B514)+1,10),FIND("-",MID(B514,FIND("(",B514)+1,10))-1)</f>
        <v>1</v>
      </c>
      <c r="D514" s="93" t="str">
        <f>TRIM(MID(B514,FIND(" ",B514,FIND("(",B514))+1,FIND(")",B514)-FIND(" ",B514,FIND("(",B514))-1))</f>
        <v>Litre</v>
      </c>
      <c r="E514" s="2" t="s">
        <v>4541</v>
      </c>
    </row>
    <row r="515" spans="1:5" ht="33" x14ac:dyDescent="0.2">
      <c r="A515" s="96" t="s">
        <v>4554</v>
      </c>
      <c r="B515" s="90" t="s">
        <v>828</v>
      </c>
      <c r="C515" s="93">
        <v>1</v>
      </c>
      <c r="D515" s="93" t="s">
        <v>4594</v>
      </c>
      <c r="E515" s="2" t="s">
        <v>4541</v>
      </c>
    </row>
    <row r="516" spans="1:5" ht="48" x14ac:dyDescent="0.2">
      <c r="A516" s="95" t="s">
        <v>4555</v>
      </c>
      <c r="B516" s="90" t="s">
        <v>4334</v>
      </c>
      <c r="C516" s="93" t="str">
        <f>LEFT(MID(B516,FIND("(",B516)+1,10),FIND("-",MID(B516,FIND("(",B516)+1,10))-1)</f>
        <v>2</v>
      </c>
      <c r="D516" s="93" t="str">
        <f>TRIM(MID(B516,FIND(" ",B516,FIND("(",B516))+1,FIND(")",B516)-FIND(" ",B516,FIND("(",B516))-1))</f>
        <v>Litre</v>
      </c>
      <c r="E516" s="2" t="s">
        <v>4117</v>
      </c>
    </row>
    <row r="517" spans="1:5" ht="64" x14ac:dyDescent="0.2">
      <c r="A517" s="98" t="s">
        <v>4556</v>
      </c>
      <c r="B517" s="90" t="s">
        <v>4334</v>
      </c>
      <c r="C517" s="93" t="str">
        <f>LEFT(MID(B517,FIND("(",B517)+1,10),FIND("-",MID(B517,FIND("(",B517)+1,10))-1)</f>
        <v>2</v>
      </c>
      <c r="D517" s="93" t="str">
        <f>TRIM(MID(B517,FIND(" ",B517,FIND("(",B517))+1,FIND(")",B517)-FIND(" ",B517,FIND("(",B517))-1))</f>
        <v>Litre</v>
      </c>
      <c r="E517" s="2" t="s">
        <v>4117</v>
      </c>
    </row>
    <row r="518" spans="1:5" ht="64" x14ac:dyDescent="0.2">
      <c r="A518" s="95" t="s">
        <v>4557</v>
      </c>
      <c r="B518" s="90" t="s">
        <v>4334</v>
      </c>
      <c r="C518" s="93" t="str">
        <f>LEFT(MID(B518,FIND("(",B518)+1,10),FIND("-",MID(B518,FIND("(",B518)+1,10))-1)</f>
        <v>2</v>
      </c>
      <c r="D518" s="93" t="str">
        <f>TRIM(MID(B518,FIND(" ",B518,FIND("(",B518))+1,FIND(")",B518)-FIND(" ",B518,FIND("(",B518))-1))</f>
        <v>Litre</v>
      </c>
      <c r="E518" s="2" t="s">
        <v>4541</v>
      </c>
    </row>
    <row r="519" spans="1:5" ht="48" x14ac:dyDescent="0.2">
      <c r="A519" s="95" t="s">
        <v>4558</v>
      </c>
      <c r="B519" s="90" t="s">
        <v>4334</v>
      </c>
      <c r="C519" s="93" t="str">
        <f>LEFT(MID(B519,FIND("(",B519)+1,10),FIND("-",MID(B519,FIND("(",B519)+1,10))-1)</f>
        <v>2</v>
      </c>
      <c r="D519" s="93" t="str">
        <f>TRIM(MID(B519,FIND(" ",B519,FIND("(",B519))+1,FIND(")",B519)-FIND(" ",B519,FIND("(",B519))-1))</f>
        <v>Litre</v>
      </c>
      <c r="E519" s="2" t="s">
        <v>4541</v>
      </c>
    </row>
    <row r="520" spans="1:5" ht="48" x14ac:dyDescent="0.2">
      <c r="A520" s="95" t="s">
        <v>4559</v>
      </c>
      <c r="B520" s="90" t="s">
        <v>4334</v>
      </c>
      <c r="C520" s="93" t="str">
        <f>LEFT(MID(B520,FIND("(",B520)+1,10),FIND("-",MID(B520,FIND("(",B520)+1,10))-1)</f>
        <v>2</v>
      </c>
      <c r="D520" s="93" t="str">
        <f>TRIM(MID(B520,FIND(" ",B520,FIND("(",B520))+1,FIND(")",B520)-FIND(" ",B520,FIND("(",B520))-1))</f>
        <v>Litre</v>
      </c>
      <c r="E520" s="2" t="s">
        <v>4117</v>
      </c>
    </row>
    <row r="521" spans="1:5" ht="80" x14ac:dyDescent="0.2">
      <c r="A521" s="95" t="s">
        <v>4560</v>
      </c>
      <c r="B521" s="90" t="s">
        <v>4121</v>
      </c>
      <c r="C521" s="93" t="str">
        <f>LEFT(MID(B521,FIND("(",B521)+1,10),FIND("-",MID(B521,FIND("(",B521)+1,10))-1)</f>
        <v>5</v>
      </c>
      <c r="D521" s="93" t="str">
        <f>TRIM(MID(B521,FIND(" ",B521,FIND("(",B521))+1,FIND(")",B521)-FIND(" ",B521,FIND("(",B521))-1))</f>
        <v>Litre</v>
      </c>
      <c r="E521" s="93" t="s">
        <v>4561</v>
      </c>
    </row>
    <row r="522" spans="1:5" ht="37" x14ac:dyDescent="0.2">
      <c r="A522" s="95" t="s">
        <v>4562</v>
      </c>
      <c r="B522" s="90" t="s">
        <v>4563</v>
      </c>
      <c r="C522" s="93" t="str">
        <f>LEFT(MID(B522,FIND("(",B522)+1,10),FIND("-",MID(B522,FIND("(",B522)+1,10))-1)</f>
        <v>5</v>
      </c>
      <c r="D522" s="93" t="str">
        <f>TRIM(MID(B522,FIND(" ",B522,FIND("(",B522))+1,FIND(")",B522)-FIND(" ",B522,FIND("(",B522))-1))</f>
        <v>Litre</v>
      </c>
      <c r="E522" s="2" t="s">
        <v>4117</v>
      </c>
    </row>
    <row r="523" spans="1:5" ht="37" x14ac:dyDescent="0.2">
      <c r="A523" s="95" t="s">
        <v>4564</v>
      </c>
      <c r="B523" s="90" t="s">
        <v>4121</v>
      </c>
      <c r="C523" s="93" t="str">
        <f>LEFT(MID(B523,FIND("(",B523)+1,10),FIND("-",MID(B523,FIND("(",B523)+1,10))-1)</f>
        <v>5</v>
      </c>
      <c r="D523" s="93" t="str">
        <f>TRIM(MID(B523,FIND(" ",B523,FIND("(",B523))+1,FIND(")",B523)-FIND(" ",B523,FIND("(",B523))-1))</f>
        <v>Litre</v>
      </c>
      <c r="E523" s="93" t="s">
        <v>4565</v>
      </c>
    </row>
    <row r="524" spans="1:5" ht="41" x14ac:dyDescent="0.2">
      <c r="A524" s="95" t="s">
        <v>4566</v>
      </c>
      <c r="B524" s="90" t="s">
        <v>4125</v>
      </c>
      <c r="C524" s="93" t="str">
        <f>LEFT(MID(B524,FIND("(",B524)+1,10),FIND("-",MID(B524,FIND("(",B524)+1,10))-1)</f>
        <v>750</v>
      </c>
      <c r="D524" s="93" t="str">
        <f>TRIM(MID(B524,FIND(" ",B524,FIND("(",B524))+1,FIND(")",B524)-FIND(" ",B524,FIND("(",B524))-1))</f>
        <v>ml</v>
      </c>
      <c r="E524" s="2" t="s">
        <v>4117</v>
      </c>
    </row>
    <row r="525" spans="1:5" ht="64" x14ac:dyDescent="0.2">
      <c r="A525" s="95" t="s">
        <v>4567</v>
      </c>
      <c r="B525" s="90" t="s">
        <v>4568</v>
      </c>
      <c r="C525" s="93" t="str">
        <f>LEFT(MID(B525,FIND("(",B525)+1,10),FIND("-",MID(B525,FIND("(",B525)+1,10))-1)</f>
        <v>650</v>
      </c>
      <c r="D525" s="93" t="str">
        <f>TRIM(MID(B525,FIND(" ",B525,FIND("(",B525))+1,FIND(")",B525)-FIND(" ",B525,FIND("(",B525))-1))</f>
        <v>ml</v>
      </c>
      <c r="E525" s="93" t="s">
        <v>4117</v>
      </c>
    </row>
    <row r="526" spans="1:5" ht="44" x14ac:dyDescent="0.2">
      <c r="A526" s="95" t="s">
        <v>4569</v>
      </c>
      <c r="B526" s="90" t="s">
        <v>4125</v>
      </c>
      <c r="C526" s="93" t="str">
        <f>LEFT(MID(B526,FIND("(",B526)+1,10),FIND("-",MID(B526,FIND("(",B526)+1,10))-1)</f>
        <v>750</v>
      </c>
      <c r="D526" s="93" t="str">
        <f>TRIM(MID(B526,FIND(" ",B526,FIND("(",B526))+1,FIND(")",B526)-FIND(" ",B526,FIND("(",B526))-1))</f>
        <v>ml</v>
      </c>
      <c r="E526" s="93" t="s">
        <v>4117</v>
      </c>
    </row>
    <row r="527" spans="1:5" ht="48" x14ac:dyDescent="0.2">
      <c r="A527" s="95" t="s">
        <v>4135</v>
      </c>
      <c r="B527" s="90" t="s">
        <v>4110</v>
      </c>
      <c r="C527" s="93" t="str">
        <f>LEFT(MID(B527,FIND("(",B527)+1,10),FIND("-",MID(B527,FIND("(",B527)+1,10))-1)</f>
        <v>1</v>
      </c>
      <c r="D527" s="93" t="str">
        <f>TRIM(MID(B527,FIND(" ",B527,FIND("(",B527))+1,FIND(")",B527)-FIND(" ",B527,FIND("(",B527))-1))</f>
        <v>Litre</v>
      </c>
      <c r="E527" s="93" t="s">
        <v>4117</v>
      </c>
    </row>
    <row r="528" spans="1:5" ht="48" x14ac:dyDescent="0.2">
      <c r="A528" s="95" t="s">
        <v>4570</v>
      </c>
      <c r="B528" s="90" t="s">
        <v>4121</v>
      </c>
      <c r="C528" s="93" t="str">
        <f>LEFT(MID(B528,FIND("(",B528)+1,10),FIND("-",MID(B528,FIND("(",B528)+1,10))-1)</f>
        <v>5</v>
      </c>
      <c r="D528" s="93" t="str">
        <f>TRIM(MID(B528,FIND(" ",B528,FIND("(",B528))+1,FIND(")",B528)-FIND(" ",B528,FIND("(",B528))-1))</f>
        <v>Litre</v>
      </c>
      <c r="E528" s="2" t="s">
        <v>4541</v>
      </c>
    </row>
    <row r="529" spans="1:5" ht="37" x14ac:dyDescent="0.2">
      <c r="A529" s="95" t="s">
        <v>4571</v>
      </c>
      <c r="B529" s="90" t="s">
        <v>4572</v>
      </c>
      <c r="C529" s="93" t="str">
        <f>LEFT(MID(B529,FIND("(",B529)+1,10),FIND("-",MID(B529,FIND("(",B529)+1,10))-1)</f>
        <v>10</v>
      </c>
      <c r="D529" s="93" t="str">
        <f>TRIM(MID(B529,FIND(" ",B529,FIND("(",B529))+1,FIND(")",B529)-FIND(" ",B529,FIND("(",B529))-1))</f>
        <v>Litre</v>
      </c>
      <c r="E529" s="2" t="s">
        <v>4541</v>
      </c>
    </row>
    <row r="530" spans="1:5" ht="48" x14ac:dyDescent="0.2">
      <c r="A530" s="95" t="s">
        <v>4573</v>
      </c>
      <c r="B530" s="90" t="s">
        <v>4121</v>
      </c>
      <c r="C530" s="93" t="str">
        <f>LEFT(MID(B530,FIND("(",B530)+1,10),FIND("-",MID(B530,FIND("(",B530)+1,10))-1)</f>
        <v>5</v>
      </c>
      <c r="D530" s="93" t="str">
        <f>TRIM(MID(B530,FIND(" ",B530,FIND("(",B530))+1,FIND(")",B530)-FIND(" ",B530,FIND("(",B530))-1))</f>
        <v>Litre</v>
      </c>
      <c r="E530" s="2" t="s">
        <v>4541</v>
      </c>
    </row>
    <row r="531" spans="1:5" ht="37" x14ac:dyDescent="0.2">
      <c r="A531" s="95" t="s">
        <v>4574</v>
      </c>
      <c r="B531" s="90" t="s">
        <v>4572</v>
      </c>
      <c r="C531" s="93" t="str">
        <f>LEFT(MID(B531,FIND("(",B531)+1,10),FIND("-",MID(B531,FIND("(",B531)+1,10))-1)</f>
        <v>10</v>
      </c>
      <c r="D531" s="93" t="str">
        <f>TRIM(MID(B531,FIND(" ",B531,FIND("(",B531))+1,FIND(")",B531)-FIND(" ",B531,FIND("(",B531))-1))</f>
        <v>Litre</v>
      </c>
      <c r="E531" s="2" t="s">
        <v>4541</v>
      </c>
    </row>
    <row r="532" spans="1:5" ht="96" x14ac:dyDescent="0.2">
      <c r="A532" s="95" t="s">
        <v>4575</v>
      </c>
      <c r="B532" s="90" t="s">
        <v>4121</v>
      </c>
      <c r="C532" s="93" t="str">
        <f>LEFT(MID(B532,FIND("(",B532)+1,10),FIND("-",MID(B532,FIND("(",B532)+1,10))-1)</f>
        <v>5</v>
      </c>
      <c r="D532" s="93" t="str">
        <f>TRIM(MID(B532,FIND(" ",B532,FIND("(",B532))+1,FIND(")",B532)-FIND(" ",B532,FIND("(",B532))-1))</f>
        <v>Litre</v>
      </c>
      <c r="E532" s="93" t="s">
        <v>4565</v>
      </c>
    </row>
    <row r="533" spans="1:5" ht="64" x14ac:dyDescent="0.2">
      <c r="A533" s="95" t="s">
        <v>4576</v>
      </c>
      <c r="B533" s="90" t="s">
        <v>4121</v>
      </c>
      <c r="C533" s="93" t="str">
        <f>LEFT(MID(B533,FIND("(",B533)+1,10),FIND("-",MID(B533,FIND("(",B533)+1,10))-1)</f>
        <v>5</v>
      </c>
      <c r="D533" s="93" t="str">
        <f>TRIM(MID(B533,FIND(" ",B533,FIND("(",B533))+1,FIND(")",B533)-FIND(" ",B533,FIND("(",B533))-1))</f>
        <v>Litre</v>
      </c>
      <c r="E533" s="93" t="s">
        <v>4117</v>
      </c>
    </row>
    <row r="534" spans="1:5" ht="80" x14ac:dyDescent="0.2">
      <c r="A534" s="95" t="s">
        <v>4577</v>
      </c>
      <c r="B534" s="90" t="s">
        <v>4121</v>
      </c>
      <c r="C534" s="93" t="str">
        <f>LEFT(MID(B534,FIND("(",B534)+1,10),FIND("-",MID(B534,FIND("(",B534)+1,10))-1)</f>
        <v>5</v>
      </c>
      <c r="D534" s="93" t="str">
        <f>TRIM(MID(B534,FIND(" ",B534,FIND("(",B534))+1,FIND(")",B534)-FIND(" ",B534,FIND("(",B534))-1))</f>
        <v>Litre</v>
      </c>
      <c r="E534" s="93" t="s">
        <v>4117</v>
      </c>
    </row>
    <row r="535" spans="1:5" ht="48" x14ac:dyDescent="0.2">
      <c r="A535" s="95" t="s">
        <v>4120</v>
      </c>
      <c r="B535" s="90" t="s">
        <v>4121</v>
      </c>
      <c r="C535" s="93" t="str">
        <f>LEFT(MID(B535,FIND("(",B535)+1,10),FIND("-",MID(B535,FIND("(",B535)+1,10))-1)</f>
        <v>5</v>
      </c>
      <c r="D535" s="93" t="str">
        <f>TRIM(MID(B535,FIND(" ",B535,FIND("(",B535))+1,FIND(")",B535)-FIND(" ",B535,FIND("(",B535))-1))</f>
        <v>Litre</v>
      </c>
      <c r="E535" s="2" t="s">
        <v>4122</v>
      </c>
    </row>
    <row r="536" spans="1:5" ht="48" x14ac:dyDescent="0.2">
      <c r="A536" s="95" t="s">
        <v>338</v>
      </c>
      <c r="B536" s="90" t="s">
        <v>4217</v>
      </c>
      <c r="C536" s="93" t="e">
        <f>LEFT(MID(B536,FIND("(",B536)+1,10),FIND("-",MID(B536,FIND("(",B536)+1,10))-1)</f>
        <v>#VALUE!</v>
      </c>
      <c r="D536" s="93" t="e">
        <f>TRIM(MID(B536,FIND(" ",B536,FIND("(",B536))+1,FIND(")",B536)-FIND(" ",B536,FIND("(",B536))-1))</f>
        <v>#VALUE!</v>
      </c>
      <c r="E536" s="2" t="s">
        <v>4117</v>
      </c>
    </row>
    <row r="537" spans="1:5" ht="37" x14ac:dyDescent="0.2">
      <c r="A537" s="95" t="s">
        <v>363</v>
      </c>
      <c r="B537" s="90" t="s">
        <v>4229</v>
      </c>
      <c r="C537" s="93" t="str">
        <f>LEFT(MID(B537,FIND("(",B537)+1,10),FIND("-",MID(B537,FIND("(",B537)+1,10))-1)</f>
        <v>6</v>
      </c>
      <c r="D537" s="93" t="str">
        <f>TRIM(MID(B537,FIND(" ",B537,FIND("(",B537))+1,FIND(")",B537)-FIND(" ",B537,FIND("(",B537))-1))</f>
        <v>Litre</v>
      </c>
      <c r="E537" s="93" t="s">
        <v>4117</v>
      </c>
    </row>
    <row r="538" spans="1:5" ht="48" x14ac:dyDescent="0.2">
      <c r="A538" s="95" t="s">
        <v>4135</v>
      </c>
      <c r="B538" s="90" t="s">
        <v>4110</v>
      </c>
      <c r="C538" s="93" t="str">
        <f>LEFT(MID(B538,FIND("(",B538)+1,10),FIND("-",MID(B538,FIND("(",B538)+1,10))-1)</f>
        <v>1</v>
      </c>
      <c r="D538" s="93" t="str">
        <f>TRIM(MID(B538,FIND(" ",B538,FIND("(",B538))+1,FIND(")",B538)-FIND(" ",B538,FIND("(",B538))-1))</f>
        <v>Litre</v>
      </c>
      <c r="E538" s="93" t="s">
        <v>4117</v>
      </c>
    </row>
    <row r="539" spans="1:5" ht="37" x14ac:dyDescent="0.2">
      <c r="A539" s="95" t="s">
        <v>4176</v>
      </c>
      <c r="B539" s="90" t="s">
        <v>4121</v>
      </c>
      <c r="C539" s="93" t="str">
        <f>LEFT(MID(B539,FIND("(",B539)+1,10),FIND("-",MID(B539,FIND("(",B539)+1,10))-1)</f>
        <v>5</v>
      </c>
      <c r="D539" s="93" t="str">
        <f>TRIM(MID(B539,FIND(" ",B539,FIND("(",B539))+1,FIND(")",B539)-FIND(" ",B539,FIND("(",B539))-1))</f>
        <v>Litre</v>
      </c>
      <c r="E539" s="93" t="s">
        <v>4117</v>
      </c>
    </row>
    <row r="540" spans="1:5" ht="48" x14ac:dyDescent="0.2">
      <c r="A540" s="95" t="s">
        <v>4115</v>
      </c>
      <c r="B540" s="90" t="s">
        <v>4116</v>
      </c>
      <c r="C540" s="93" t="str">
        <f>LEFT(MID(B540,FIND("(",B540)+1,10),FIND("-",MID(B540,FIND("(",B540)+1,10))-1)</f>
        <v>5</v>
      </c>
      <c r="D540" s="93" t="str">
        <f>TRIM(MID(B540,FIND(" ",B540,FIND("(",B540))+1,FIND(")",B540)-FIND(" ",B540,FIND("(",B540))-1))</f>
        <v>Litre</v>
      </c>
      <c r="E540" s="93" t="s">
        <v>4117</v>
      </c>
    </row>
    <row r="541" spans="1:5" ht="52" x14ac:dyDescent="0.2">
      <c r="A541" s="95" t="s">
        <v>180</v>
      </c>
      <c r="B541" s="90" t="s">
        <v>4180</v>
      </c>
      <c r="C541" s="93" t="str">
        <f>LEFT(MID(B541,FIND("(",B541)+1,10),FIND("-",MID(B541,FIND("(",B541)+1,10))-1)</f>
        <v>10</v>
      </c>
      <c r="D541" s="93" t="str">
        <f>TRIM(MID(B541,FIND(" ",B541,FIND("(",B541))+1,FIND(")",B541)-FIND(" ",B541,FIND("(",B541))-1))</f>
        <v>Litre</v>
      </c>
      <c r="E541" s="93" t="s">
        <v>4117</v>
      </c>
    </row>
    <row r="542" spans="1:5" ht="37" x14ac:dyDescent="0.2">
      <c r="A542" s="95" t="s">
        <v>4187</v>
      </c>
      <c r="B542" s="90" t="s">
        <v>4110</v>
      </c>
      <c r="C542" s="93" t="str">
        <f>LEFT(MID(B542,FIND("(",B542)+1,10),FIND("-",MID(B542,FIND("(",B542)+1,10))-1)</f>
        <v>1</v>
      </c>
      <c r="D542" s="93" t="str">
        <f>TRIM(MID(B542,FIND(" ",B542,FIND("(",B542))+1,FIND(")",B542)-FIND(" ",B542,FIND("(",B542))-1))</f>
        <v>Litre</v>
      </c>
      <c r="E542" s="93" t="s">
        <v>4117</v>
      </c>
    </row>
    <row r="543" spans="1:5" ht="48" x14ac:dyDescent="0.2">
      <c r="A543" s="95" t="s">
        <v>4135</v>
      </c>
      <c r="B543" s="90" t="s">
        <v>4110</v>
      </c>
      <c r="C543" s="93" t="str">
        <f>LEFT(MID(B543,FIND("(",B543)+1,10),FIND("-",MID(B543,FIND("(",B543)+1,10))-1)</f>
        <v>1</v>
      </c>
      <c r="D543" s="93" t="str">
        <f>TRIM(MID(B543,FIND(" ",B543,FIND("(",B543))+1,FIND(")",B543)-FIND(" ",B543,FIND("(",B543))-1))</f>
        <v>Litre</v>
      </c>
      <c r="E543" s="93" t="s">
        <v>4117</v>
      </c>
    </row>
    <row r="544" spans="1:5" ht="80" x14ac:dyDescent="0.2">
      <c r="A544" s="95" t="s">
        <v>4138</v>
      </c>
      <c r="B544" s="90" t="s">
        <v>4214</v>
      </c>
      <c r="C544" s="93">
        <v>50</v>
      </c>
      <c r="D544" s="93" t="s">
        <v>4594</v>
      </c>
      <c r="E544" s="93" t="s">
        <v>4140</v>
      </c>
    </row>
    <row r="545" spans="1:5" ht="44" x14ac:dyDescent="0.2">
      <c r="A545" s="95" t="s">
        <v>4141</v>
      </c>
      <c r="B545" s="90" t="s">
        <v>4142</v>
      </c>
      <c r="C545" s="93" t="str">
        <f>LEFT(MID(B545,FIND("(",B545)+1,10),FIND("-",MID(B545,FIND("(",B545)+1,10))-1)</f>
        <v>220</v>
      </c>
      <c r="D545" s="93" t="str">
        <f>TRIM(MID(B545,FIND(" ",B545,FIND("(",B545))+1,FIND(")",B545)-FIND(" ",B545,FIND("(",B545))-1))</f>
        <v>ml</v>
      </c>
      <c r="E545" s="93" t="s">
        <v>4143</v>
      </c>
    </row>
    <row r="546" spans="1:5" ht="64" x14ac:dyDescent="0.2">
      <c r="A546" s="95" t="s">
        <v>4109</v>
      </c>
      <c r="B546" s="90" t="s">
        <v>4110</v>
      </c>
      <c r="C546" s="93" t="str">
        <f>LEFT(MID(B546,FIND("(",B546)+1,10),FIND("-",MID(B546,FIND("(",B546)+1,10))-1)</f>
        <v>1</v>
      </c>
      <c r="D546" s="93" t="str">
        <f>TRIM(MID(B546,FIND(" ",B546,FIND("(",B546))+1,FIND(")",B546)-FIND(" ",B546,FIND("(",B546))-1))</f>
        <v>Litre</v>
      </c>
      <c r="E546" s="2" t="s">
        <v>4111</v>
      </c>
    </row>
    <row r="547" spans="1:5" ht="112" x14ac:dyDescent="0.2">
      <c r="A547" s="95" t="s">
        <v>4145</v>
      </c>
      <c r="B547" s="90" t="s">
        <v>4110</v>
      </c>
      <c r="C547" s="93" t="str">
        <f>LEFT(MID(B547,FIND("(",B547)+1,10),FIND("-",MID(B547,FIND("(",B547)+1,10))-1)</f>
        <v>1</v>
      </c>
      <c r="D547" s="93" t="str">
        <f>TRIM(MID(B547,FIND(" ",B547,FIND("(",B547))+1,FIND(")",B547)-FIND(" ",B547,FIND("(",B547))-1))</f>
        <v>Litre</v>
      </c>
      <c r="E547" s="2" t="s">
        <v>4147</v>
      </c>
    </row>
    <row r="548" spans="1:5" ht="64" x14ac:dyDescent="0.2">
      <c r="A548" s="95" t="s">
        <v>4578</v>
      </c>
      <c r="B548" s="90" t="s">
        <v>4110</v>
      </c>
      <c r="C548" s="93" t="str">
        <f>LEFT(MID(B548,FIND("(",B548)+1,10),FIND("-",MID(B548,FIND("(",B548)+1,10))-1)</f>
        <v>1</v>
      </c>
      <c r="D548" s="93" t="str">
        <f>TRIM(MID(B548,FIND(" ",B548,FIND("(",B548))+1,FIND(")",B548)-FIND(" ",B548,FIND("(",B548))-1))</f>
        <v>Litre</v>
      </c>
      <c r="E548" s="93"/>
    </row>
    <row r="549" spans="1:5" ht="48" x14ac:dyDescent="0.2">
      <c r="A549" s="95" t="s">
        <v>4120</v>
      </c>
      <c r="B549" s="90" t="s">
        <v>4121</v>
      </c>
      <c r="C549" s="93" t="str">
        <f>LEFT(MID(B549,FIND("(",B549)+1,10),FIND("-",MID(B549,FIND("(",B549)+1,10))-1)</f>
        <v>5</v>
      </c>
      <c r="D549" s="93" t="str">
        <f>TRIM(MID(B549,FIND(" ",B549,FIND("(",B549))+1,FIND(")",B549)-FIND(" ",B549,FIND("(",B549))-1))</f>
        <v>Litre</v>
      </c>
      <c r="E549" s="2" t="s">
        <v>4122</v>
      </c>
    </row>
    <row r="550" spans="1:5" ht="64" x14ac:dyDescent="0.2">
      <c r="A550" s="95" t="s">
        <v>4579</v>
      </c>
      <c r="B550" s="90" t="s">
        <v>4188</v>
      </c>
      <c r="C550" s="93" t="str">
        <f>LEFT(MID(B550,FIND("(",B550)+1,10),FIND("-",MID(B550,FIND("(",B550)+1,10))-1)</f>
        <v>1</v>
      </c>
      <c r="D550" s="93" t="str">
        <f>TRIM(MID(B550,FIND(" ",B550,FIND("(",B550))+1,FIND(")",B550)-FIND(" ",B550,FIND("(",B550))-1))</f>
        <v>Litre</v>
      </c>
      <c r="E550" s="93" t="s">
        <v>4580</v>
      </c>
    </row>
    <row r="551" spans="1:5" ht="48" x14ac:dyDescent="0.2">
      <c r="A551" s="95" t="s">
        <v>338</v>
      </c>
      <c r="B551" s="90" t="s">
        <v>4125</v>
      </c>
      <c r="C551" s="93" t="str">
        <f>LEFT(MID(B551,FIND("(",B551)+1,10),FIND("-",MID(B551,FIND("(",B551)+1,10))-1)</f>
        <v>750</v>
      </c>
      <c r="D551" s="93" t="str">
        <f>TRIM(MID(B551,FIND(" ",B551,FIND("(",B551))+1,FIND(")",B551)-FIND(" ",B551,FIND("(",B551))-1))</f>
        <v>ml</v>
      </c>
      <c r="E551" s="93" t="s">
        <v>4117</v>
      </c>
    </row>
    <row r="552" spans="1:5" ht="32" x14ac:dyDescent="0.2">
      <c r="A552" s="95" t="s">
        <v>363</v>
      </c>
      <c r="B552" s="90" t="s">
        <v>4217</v>
      </c>
      <c r="C552" s="93" t="e">
        <f>LEFT(MID(B552,FIND("(",B552)+1,10),FIND("-",MID(B552,FIND("(",B552)+1,10))-1)</f>
        <v>#VALUE!</v>
      </c>
      <c r="D552" s="93" t="e">
        <f>TRIM(MID(B552,FIND(" ",B552,FIND("(",B552))+1,FIND(")",B552)-FIND(" ",B552,FIND("(",B552))-1))</f>
        <v>#VALUE!</v>
      </c>
      <c r="E552" s="93" t="s">
        <v>4117</v>
      </c>
    </row>
    <row r="553" spans="1:5" ht="48" x14ac:dyDescent="0.2">
      <c r="A553" s="95" t="s">
        <v>4189</v>
      </c>
      <c r="B553" s="90" t="s">
        <v>4237</v>
      </c>
      <c r="C553" s="93" t="str">
        <f>LEFT(MID(B553,FIND("(",B553)+1,10),FIND("-",MID(B553,FIND("(",B553)+1,10))-1)</f>
        <v>100</v>
      </c>
      <c r="D553" s="93" t="str">
        <f>TRIM(MID(B553,FIND(" ",B553,FIND("(",B553))+1,FIND(")",B553)-FIND(" ",B553,FIND("(",B553))-1))</f>
        <v>Adet</v>
      </c>
      <c r="E553" s="2" t="s">
        <v>4191</v>
      </c>
    </row>
    <row r="554" spans="1:5" ht="38" x14ac:dyDescent="0.2">
      <c r="A554" s="97" t="s">
        <v>532</v>
      </c>
      <c r="B554" s="90" t="s">
        <v>4128</v>
      </c>
      <c r="C554" s="93" t="str">
        <f>LEFT(MID(B554,FIND("(",B554)+1,10),FIND("-",MID(B554,FIND("(",B554)+1,10))-1)</f>
        <v>100</v>
      </c>
      <c r="D554" s="93" t="str">
        <f>TRIM(MID(B554,FIND(" ",B554,FIND("(",B554))+1,FIND(")",B554)-FIND(" ",B554,FIND("(",B554))-1))</f>
        <v>ml</v>
      </c>
      <c r="E554" s="93" t="s">
        <v>4193</v>
      </c>
    </row>
    <row r="555" spans="1:5" ht="38" x14ac:dyDescent="0.2">
      <c r="A555" s="95" t="s">
        <v>4127</v>
      </c>
      <c r="B555" s="90" t="s">
        <v>4128</v>
      </c>
      <c r="C555" s="93" t="str">
        <f>LEFT(MID(B555,FIND("(",B555)+1,10),FIND("-",MID(B555,FIND("(",B555)+1,10))-1)</f>
        <v>100</v>
      </c>
      <c r="D555" s="93" t="str">
        <f>TRIM(MID(B555,FIND(" ",B555,FIND("(",B555))+1,FIND(")",B555)-FIND(" ",B555,FIND("(",B555))-1))</f>
        <v>ml</v>
      </c>
      <c r="E555" s="93" t="s">
        <v>4129</v>
      </c>
    </row>
    <row r="556" spans="1:5" ht="48" x14ac:dyDescent="0.2">
      <c r="A556" s="95" t="s">
        <v>4133</v>
      </c>
      <c r="B556" s="90" t="s">
        <v>4110</v>
      </c>
      <c r="C556" s="93" t="str">
        <f>LEFT(MID(B556,FIND("(",B556)+1,10),FIND("-",MID(B556,FIND("(",B556)+1,10))-1)</f>
        <v>1</v>
      </c>
      <c r="D556" s="93" t="str">
        <f>TRIM(MID(B556,FIND(" ",B556,FIND("(",B556))+1,FIND(")",B556)-FIND(" ",B556,FIND("(",B556))-1))</f>
        <v>Litre</v>
      </c>
      <c r="E556" s="2" t="s">
        <v>4134</v>
      </c>
    </row>
    <row r="557" spans="1:5" ht="48" x14ac:dyDescent="0.2">
      <c r="A557" s="95" t="s">
        <v>4135</v>
      </c>
      <c r="B557" s="90" t="s">
        <v>4110</v>
      </c>
      <c r="C557" s="93" t="str">
        <f>LEFT(MID(B557,FIND("(",B557)+1,10),FIND("-",MID(B557,FIND("(",B557)+1,10))-1)</f>
        <v>1</v>
      </c>
      <c r="D557" s="93" t="str">
        <f>TRIM(MID(B557,FIND(" ",B557,FIND("(",B557))+1,FIND(")",B557)-FIND(" ",B557,FIND("(",B557))-1))</f>
        <v>Litre</v>
      </c>
      <c r="E557" s="93" t="s">
        <v>4117</v>
      </c>
    </row>
    <row r="558" spans="1:5" ht="37" x14ac:dyDescent="0.2">
      <c r="A558" s="95" t="s">
        <v>4581</v>
      </c>
      <c r="B558" s="90" t="s">
        <v>4540</v>
      </c>
      <c r="C558" s="93" t="str">
        <f>LEFT(MID(B558,FIND("(",B558)+1,10),FIND("-",MID(B558,FIND("(",B558)+1,10))-1)</f>
        <v>20</v>
      </c>
      <c r="D558" s="93" t="str">
        <f>TRIM(MID(B558,FIND(" ",B558,FIND("(",B558))+1,FIND(")",B558)-FIND(" ",B558,FIND("(",B558))-1))</f>
        <v>litre</v>
      </c>
      <c r="E558" s="93" t="s">
        <v>4117</v>
      </c>
    </row>
    <row r="559" spans="1:5" ht="37" x14ac:dyDescent="0.2">
      <c r="A559" s="95" t="s">
        <v>4582</v>
      </c>
      <c r="B559" s="90" t="s">
        <v>4121</v>
      </c>
      <c r="C559" s="93" t="str">
        <f>LEFT(MID(B559,FIND("(",B559)+1,10),FIND("-",MID(B559,FIND("(",B559)+1,10))-1)</f>
        <v>5</v>
      </c>
      <c r="D559" s="93" t="str">
        <f>TRIM(MID(B559,FIND(" ",B559,FIND("(",B559))+1,FIND(")",B559)-FIND(" ",B559,FIND("(",B559))-1))</f>
        <v>Litre</v>
      </c>
      <c r="E559" s="93" t="s">
        <v>4117</v>
      </c>
    </row>
    <row r="560" spans="1:5" ht="37" x14ac:dyDescent="0.2">
      <c r="A560" s="95" t="s">
        <v>4176</v>
      </c>
      <c r="B560" s="90" t="s">
        <v>4121</v>
      </c>
      <c r="C560" s="93" t="str">
        <f>LEFT(MID(B560,FIND("(",B560)+1,10),FIND("-",MID(B560,FIND("(",B560)+1,10))-1)</f>
        <v>5</v>
      </c>
      <c r="D560" s="93" t="str">
        <f>TRIM(MID(B560,FIND(" ",B560,FIND("(",B560))+1,FIND(")",B560)-FIND(" ",B560,FIND("(",B560))-1))</f>
        <v>Litre</v>
      </c>
      <c r="E560" s="93" t="s">
        <v>4117</v>
      </c>
    </row>
    <row r="561" spans="1:5" ht="48" x14ac:dyDescent="0.2">
      <c r="A561" s="95" t="s">
        <v>4583</v>
      </c>
      <c r="B561" s="90" t="s">
        <v>4540</v>
      </c>
      <c r="C561" s="93" t="str">
        <f>LEFT(MID(B561,FIND("(",B561)+1,10),FIND("-",MID(B561,FIND("(",B561)+1,10))-1)</f>
        <v>20</v>
      </c>
      <c r="D561" s="93" t="str">
        <f>TRIM(MID(B561,FIND(" ",B561,FIND("(",B561))+1,FIND(")",B561)-FIND(" ",B561,FIND("(",B561))-1))</f>
        <v>litre</v>
      </c>
      <c r="E561" s="93" t="s">
        <v>4117</v>
      </c>
    </row>
    <row r="562" spans="1:5" ht="37" x14ac:dyDescent="0.2">
      <c r="A562" s="95" t="s">
        <v>4584</v>
      </c>
      <c r="B562" s="90" t="s">
        <v>4572</v>
      </c>
      <c r="C562" s="93" t="str">
        <f>LEFT(MID(B562,FIND("(",B562)+1,10),FIND("-",MID(B562,FIND("(",B562)+1,10))-1)</f>
        <v>10</v>
      </c>
      <c r="D562" s="93" t="str">
        <f>TRIM(MID(B562,FIND(" ",B562,FIND("(",B562))+1,FIND(")",B562)-FIND(" ",B562,FIND("(",B562))-1))</f>
        <v>Litre</v>
      </c>
      <c r="E562" s="93" t="s">
        <v>4117</v>
      </c>
    </row>
    <row r="563" spans="1:5" ht="48" x14ac:dyDescent="0.2">
      <c r="A563" s="95" t="s">
        <v>4585</v>
      </c>
      <c r="B563" s="90" t="s">
        <v>4121</v>
      </c>
      <c r="C563" s="93" t="str">
        <f>LEFT(MID(B563,FIND("(",B563)+1,10),FIND("-",MID(B563,FIND("(",B563)+1,10))-1)</f>
        <v>5</v>
      </c>
      <c r="D563" s="93" t="str">
        <f>TRIM(MID(B563,FIND(" ",B563,FIND("(",B563))+1,FIND(")",B563)-FIND(" ",B563,FIND("(",B563))-1))</f>
        <v>Litre</v>
      </c>
      <c r="E563" s="93" t="s">
        <v>4117</v>
      </c>
    </row>
    <row r="564" spans="1:5" ht="48" x14ac:dyDescent="0.2">
      <c r="A564" s="95" t="s">
        <v>4586</v>
      </c>
      <c r="B564" s="90" t="s">
        <v>4334</v>
      </c>
      <c r="C564" s="93" t="str">
        <f>LEFT(MID(B564,FIND("(",B564)+1,10),FIND("-",MID(B564,FIND("(",B564)+1,10))-1)</f>
        <v>2</v>
      </c>
      <c r="D564" s="93" t="str">
        <f>TRIM(MID(B564,FIND(" ",B564,FIND("(",B564))+1,FIND(")",B564)-FIND(" ",B564,FIND("(",B564))-1))</f>
        <v>Litre</v>
      </c>
      <c r="E564" s="93" t="s">
        <v>4117</v>
      </c>
    </row>
    <row r="565" spans="1:5" ht="96" x14ac:dyDescent="0.2">
      <c r="A565" s="95" t="s">
        <v>4587</v>
      </c>
      <c r="B565" s="90" t="s">
        <v>4121</v>
      </c>
      <c r="C565" s="93" t="str">
        <f>LEFT(MID(B565,FIND("(",B565)+1,10),FIND("-",MID(B565,FIND("(",B565)+1,10))-1)</f>
        <v>5</v>
      </c>
      <c r="D565" s="93" t="str">
        <f>TRIM(MID(B565,FIND(" ",B565,FIND("(",B565))+1,FIND(")",B565)-FIND(" ",B565,FIND("(",B565))-1))</f>
        <v>Litre</v>
      </c>
      <c r="E565" s="93" t="s">
        <v>4117</v>
      </c>
    </row>
    <row r="566" spans="1:5" ht="64" x14ac:dyDescent="0.2">
      <c r="A566" s="95" t="s">
        <v>4567</v>
      </c>
      <c r="B566" s="90" t="s">
        <v>4568</v>
      </c>
      <c r="C566" s="93" t="str">
        <f>LEFT(MID(B566,FIND("(",B566)+1,10),FIND("-",MID(B566,FIND("(",B566)+1,10))-1)</f>
        <v>650</v>
      </c>
      <c r="D566" s="93" t="str">
        <f>TRIM(MID(B566,FIND(" ",B566,FIND("(",B566))+1,FIND(")",B566)-FIND(" ",B566,FIND("(",B566))-1))</f>
        <v>ml</v>
      </c>
      <c r="E566" s="93" t="s">
        <v>4117</v>
      </c>
    </row>
    <row r="567" spans="1:5" ht="38" x14ac:dyDescent="0.2">
      <c r="A567" s="95" t="s">
        <v>4588</v>
      </c>
      <c r="B567" s="90" t="s">
        <v>4272</v>
      </c>
      <c r="C567" s="93" t="str">
        <f>LEFT(MID(B567,FIND("(",B567)+1,10),FIND("-",MID(B567,FIND("(",B567)+1,10))-1)</f>
        <v>20</v>
      </c>
      <c r="D567" s="93" t="str">
        <f>TRIM(MID(B567,FIND(" ",B567,FIND("(",B567))+1,FIND(")",B567)-FIND(" ",B567,FIND("(",B567))-1))</f>
        <v>Litre</v>
      </c>
      <c r="E567" s="93" t="s">
        <v>4117</v>
      </c>
    </row>
    <row r="568" spans="1:5" ht="48" x14ac:dyDescent="0.2">
      <c r="A568" s="95" t="s">
        <v>4589</v>
      </c>
      <c r="B568" s="90" t="s">
        <v>4110</v>
      </c>
      <c r="C568" s="93" t="str">
        <f>LEFT(MID(B568,FIND("(",B568)+1,10),FIND("-",MID(B568,FIND("(",B568)+1,10))-1)</f>
        <v>1</v>
      </c>
      <c r="D568" s="93" t="str">
        <f>TRIM(MID(B568,FIND(" ",B568,FIND("(",B568))+1,FIND(")",B568)-FIND(" ",B568,FIND("(",B568))-1))</f>
        <v>Litre</v>
      </c>
      <c r="E568" s="93" t="s">
        <v>4117</v>
      </c>
    </row>
    <row r="569" spans="1:5" ht="48" x14ac:dyDescent="0.2">
      <c r="A569" s="95" t="s">
        <v>4590</v>
      </c>
      <c r="B569" s="90" t="s">
        <v>4591</v>
      </c>
      <c r="C569" s="93" t="str">
        <f>LEFT(MID(B569,FIND("(",B569)+1,10),FIND("-",MID(B569,FIND("(",B569)+1,10))-1)</f>
        <v>4,5</v>
      </c>
      <c r="D569" s="93" t="str">
        <f>TRIM(MID(B569,FIND(" ",B569,FIND("(",B569))+1,FIND(")",B569)-FIND(" ",B569,FIND("(",B569))-1))</f>
        <v>Litre</v>
      </c>
      <c r="E569" s="93" t="s">
        <v>4117</v>
      </c>
    </row>
    <row r="570" spans="1:5" ht="38" x14ac:dyDescent="0.2">
      <c r="A570" s="95" t="s">
        <v>4592</v>
      </c>
      <c r="B570" s="90" t="s">
        <v>4272</v>
      </c>
      <c r="C570" s="93" t="str">
        <f>LEFT(MID(B570,FIND("(",B570)+1,10),FIND("-",MID(B570,FIND("(",B570)+1,10))-1)</f>
        <v>20</v>
      </c>
      <c r="D570" s="93" t="str">
        <f>TRIM(MID(B570,FIND(" ",B570,FIND("(",B570))+1,FIND(")",B570)-FIND(" ",B570,FIND("(",B570))-1))</f>
        <v>Litre</v>
      </c>
      <c r="E570" s="93" t="s">
        <v>4117</v>
      </c>
    </row>
    <row r="571" spans="1:5" ht="38" x14ac:dyDescent="0.2">
      <c r="A571" s="95" t="s">
        <v>4593</v>
      </c>
      <c r="B571" s="90" t="s">
        <v>4272</v>
      </c>
      <c r="C571" s="93" t="str">
        <f>LEFT(MID(B571,FIND("(",B571)+1,10),FIND("-",MID(B571,FIND("(",B571)+1,10))-1)</f>
        <v>20</v>
      </c>
      <c r="D571" s="93" t="str">
        <f>TRIM(MID(B571,FIND(" ",B571,FIND("(",B571))+1,FIND(")",B571)-FIND(" ",B571,FIND("(",B571))-1))</f>
        <v>Litre</v>
      </c>
      <c r="E571" s="93" t="s">
        <v>4117</v>
      </c>
    </row>
    <row r="572" spans="1:5" ht="64" x14ac:dyDescent="0.2">
      <c r="A572" s="95" t="s">
        <v>4576</v>
      </c>
      <c r="B572" s="90" t="s">
        <v>4121</v>
      </c>
      <c r="C572" s="93" t="str">
        <f>LEFT(MID(B572,FIND("(",B572)+1,10),FIND("-",MID(B572,FIND("(",B572)+1,10))-1)</f>
        <v>5</v>
      </c>
      <c r="D572" s="93" t="str">
        <f>TRIM(MID(B572,FIND(" ",B572,FIND("(",B572))+1,FIND(")",B572)-FIND(" ",B572,FIND("(",B572))-1))</f>
        <v>Litre</v>
      </c>
      <c r="E572" s="93" t="s">
        <v>4117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Metin Salık</dc:creator>
  <cp:lastModifiedBy>Metin Salık</cp:lastModifiedBy>
  <dcterms:created xsi:type="dcterms:W3CDTF">2026-06-12T10:39:40Z</dcterms:created>
  <dcterms:modified xsi:type="dcterms:W3CDTF">2026-06-14T14:05:14Z</dcterms:modified>
</cp:coreProperties>
</file>